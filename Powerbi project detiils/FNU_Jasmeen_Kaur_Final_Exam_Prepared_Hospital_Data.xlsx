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E8C00A7-A862-48D2-A64C-F49E18BF0C1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ADME" sheetId="1" r:id="rId1"/>
    <sheet name="Patient_Visits" sheetId="2" r:id="rId2"/>
    <sheet name="Prepared_Visits" sheetId="11" r:id="rId3"/>
    <sheet name="Patients" sheetId="3" r:id="rId4"/>
    <sheet name="Doctors" sheetId="4" r:id="rId5"/>
    <sheet name="Departments" sheetId="5" r:id="rId6"/>
    <sheet name="Diagnosis_Guide" sheetId="6" r:id="rId7"/>
    <sheet name="Insurance_Plans" sheetId="7" r:id="rId8"/>
    <sheet name="Suggested_KPI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01" i="11" l="1"/>
  <c r="AE1401" i="11"/>
  <c r="AD1401" i="11"/>
  <c r="AC1401" i="11"/>
  <c r="AB1401" i="11"/>
  <c r="AA1401" i="11"/>
  <c r="AG1400" i="11"/>
  <c r="AE1400" i="11"/>
  <c r="AD1400" i="11"/>
  <c r="AC1400" i="11"/>
  <c r="AB1400" i="11"/>
  <c r="AA1400" i="11"/>
  <c r="AG1399" i="11"/>
  <c r="AE1399" i="11"/>
  <c r="AD1399" i="11"/>
  <c r="AC1399" i="11"/>
  <c r="AB1399" i="11"/>
  <c r="AA1399" i="11"/>
  <c r="AG1398" i="11"/>
  <c r="AE1398" i="11"/>
  <c r="AD1398" i="11"/>
  <c r="AC1398" i="11"/>
  <c r="AB1398" i="11"/>
  <c r="AA1398" i="11"/>
  <c r="AG1397" i="11"/>
  <c r="AE1397" i="11"/>
  <c r="AD1397" i="11"/>
  <c r="AC1397" i="11"/>
  <c r="AB1397" i="11"/>
  <c r="AA1397" i="11"/>
  <c r="AG1396" i="11"/>
  <c r="AF1396" i="11"/>
  <c r="AE1396" i="11"/>
  <c r="AD1396" i="11"/>
  <c r="AC1396" i="11"/>
  <c r="AB1396" i="11"/>
  <c r="AA1396" i="11"/>
  <c r="AG1395" i="11"/>
  <c r="AE1395" i="11"/>
  <c r="AD1395" i="11"/>
  <c r="AC1395" i="11"/>
  <c r="AB1395" i="11"/>
  <c r="AA1395" i="11"/>
  <c r="AG1394" i="11"/>
  <c r="AF1394" i="11"/>
  <c r="AE1394" i="11"/>
  <c r="AD1394" i="11"/>
  <c r="AC1394" i="11"/>
  <c r="AB1394" i="11"/>
  <c r="AA1394" i="11"/>
  <c r="AG1393" i="11"/>
  <c r="AF1393" i="11"/>
  <c r="AE1393" i="11"/>
  <c r="AD1393" i="11"/>
  <c r="AC1393" i="11"/>
  <c r="AB1393" i="11"/>
  <c r="AA1393" i="11"/>
  <c r="AG1392" i="11"/>
  <c r="AE1392" i="11"/>
  <c r="AD1392" i="11"/>
  <c r="AC1392" i="11"/>
  <c r="AB1392" i="11"/>
  <c r="AA1392" i="11"/>
  <c r="AG1391" i="11"/>
  <c r="AF1391" i="11"/>
  <c r="AE1391" i="11"/>
  <c r="AD1391" i="11"/>
  <c r="AC1391" i="11"/>
  <c r="AB1391" i="11"/>
  <c r="AA1391" i="11"/>
  <c r="AG1390" i="11"/>
  <c r="AE1390" i="11"/>
  <c r="AD1390" i="11"/>
  <c r="AC1390" i="11"/>
  <c r="AB1390" i="11"/>
  <c r="AA1390" i="11"/>
  <c r="AG1389" i="11"/>
  <c r="AE1389" i="11"/>
  <c r="AD1389" i="11"/>
  <c r="AC1389" i="11"/>
  <c r="AB1389" i="11"/>
  <c r="AA1389" i="11"/>
  <c r="AG1388" i="11"/>
  <c r="AE1388" i="11"/>
  <c r="AD1388" i="11"/>
  <c r="AC1388" i="11"/>
  <c r="AB1388" i="11"/>
  <c r="AA1388" i="11"/>
  <c r="AG1387" i="11"/>
  <c r="AE1387" i="11"/>
  <c r="AD1387" i="11"/>
  <c r="AC1387" i="11"/>
  <c r="AB1387" i="11"/>
  <c r="AA1387" i="11"/>
  <c r="AG1386" i="11"/>
  <c r="AF1386" i="11"/>
  <c r="AE1386" i="11"/>
  <c r="AD1386" i="11"/>
  <c r="AC1386" i="11"/>
  <c r="AB1386" i="11"/>
  <c r="AA1386" i="11"/>
  <c r="AG1385" i="11"/>
  <c r="AE1385" i="11"/>
  <c r="AD1385" i="11"/>
  <c r="AC1385" i="11"/>
  <c r="AB1385" i="11"/>
  <c r="AA1385" i="11"/>
  <c r="AG1384" i="11"/>
  <c r="AE1384" i="11"/>
  <c r="AD1384" i="11"/>
  <c r="AC1384" i="11"/>
  <c r="AB1384" i="11"/>
  <c r="AA1384" i="11"/>
  <c r="AG1383" i="11"/>
  <c r="AE1383" i="11"/>
  <c r="AD1383" i="11"/>
  <c r="AC1383" i="11"/>
  <c r="AB1383" i="11"/>
  <c r="AA1383" i="11"/>
  <c r="AG1382" i="11"/>
  <c r="AF1382" i="11"/>
  <c r="AE1382" i="11"/>
  <c r="AD1382" i="11"/>
  <c r="AC1382" i="11"/>
  <c r="AB1382" i="11"/>
  <c r="AA1382" i="11"/>
  <c r="AG1381" i="11"/>
  <c r="AF1381" i="11"/>
  <c r="AE1381" i="11"/>
  <c r="AD1381" i="11"/>
  <c r="AC1381" i="11"/>
  <c r="AB1381" i="11"/>
  <c r="AA1381" i="11"/>
  <c r="AG1380" i="11"/>
  <c r="AE1380" i="11"/>
  <c r="AD1380" i="11"/>
  <c r="AC1380" i="11"/>
  <c r="AB1380" i="11"/>
  <c r="AA1380" i="11"/>
  <c r="AG1379" i="11"/>
  <c r="AF1379" i="11"/>
  <c r="AE1379" i="11"/>
  <c r="AD1379" i="11"/>
  <c r="AC1379" i="11"/>
  <c r="AB1379" i="11"/>
  <c r="AA1379" i="11"/>
  <c r="AG1378" i="11"/>
  <c r="AE1378" i="11"/>
  <c r="AD1378" i="11"/>
  <c r="AC1378" i="11"/>
  <c r="AB1378" i="11"/>
  <c r="AA1378" i="11"/>
  <c r="AG1377" i="11"/>
  <c r="AE1377" i="11"/>
  <c r="AD1377" i="11"/>
  <c r="AC1377" i="11"/>
  <c r="AB1377" i="11"/>
  <c r="AA1377" i="11"/>
  <c r="AG1376" i="11"/>
  <c r="AE1376" i="11"/>
  <c r="AD1376" i="11"/>
  <c r="AC1376" i="11"/>
  <c r="AB1376" i="11"/>
  <c r="AA1376" i="11"/>
  <c r="AG1375" i="11"/>
  <c r="AF1375" i="11"/>
  <c r="AE1375" i="11"/>
  <c r="AD1375" i="11"/>
  <c r="AC1375" i="11"/>
  <c r="AB1375" i="11"/>
  <c r="AA1375" i="11"/>
  <c r="AG1374" i="11"/>
  <c r="AE1374" i="11"/>
  <c r="AD1374" i="11"/>
  <c r="AC1374" i="11"/>
  <c r="AB1374" i="11"/>
  <c r="AA1374" i="11"/>
  <c r="AG1373" i="11"/>
  <c r="AE1373" i="11"/>
  <c r="AD1373" i="11"/>
  <c r="AC1373" i="11"/>
  <c r="AB1373" i="11"/>
  <c r="AA1373" i="11"/>
  <c r="AG1372" i="11"/>
  <c r="AE1372" i="11"/>
  <c r="AD1372" i="11"/>
  <c r="AC1372" i="11"/>
  <c r="AB1372" i="11"/>
  <c r="AA1372" i="11"/>
  <c r="AG1371" i="11"/>
  <c r="AF1371" i="11"/>
  <c r="AE1371" i="11"/>
  <c r="AD1371" i="11"/>
  <c r="AC1371" i="11"/>
  <c r="AB1371" i="11"/>
  <c r="AA1371" i="11"/>
  <c r="AG1370" i="11"/>
  <c r="AF1370" i="11"/>
  <c r="AE1370" i="11"/>
  <c r="AD1370" i="11"/>
  <c r="AC1370" i="11"/>
  <c r="AB1370" i="11"/>
  <c r="AA1370" i="11"/>
  <c r="AG1369" i="11"/>
  <c r="AE1369" i="11"/>
  <c r="AD1369" i="11"/>
  <c r="AC1369" i="11"/>
  <c r="AB1369" i="11"/>
  <c r="AA1369" i="11"/>
  <c r="AG1368" i="11"/>
  <c r="AE1368" i="11"/>
  <c r="AD1368" i="11"/>
  <c r="AC1368" i="11"/>
  <c r="AB1368" i="11"/>
  <c r="AA1368" i="11"/>
  <c r="AG1367" i="11"/>
  <c r="AE1367" i="11"/>
  <c r="AD1367" i="11"/>
  <c r="AC1367" i="11"/>
  <c r="AB1367" i="11"/>
  <c r="AA1367" i="11"/>
  <c r="AG1366" i="11"/>
  <c r="AE1366" i="11"/>
  <c r="AD1366" i="11"/>
  <c r="AC1366" i="11"/>
  <c r="AB1366" i="11"/>
  <c r="AA1366" i="11"/>
  <c r="AG1365" i="11"/>
  <c r="AE1365" i="11"/>
  <c r="AD1365" i="11"/>
  <c r="AC1365" i="11"/>
  <c r="AB1365" i="11"/>
  <c r="AA1365" i="11"/>
  <c r="AG1364" i="11"/>
  <c r="AE1364" i="11"/>
  <c r="AD1364" i="11"/>
  <c r="AC1364" i="11"/>
  <c r="AB1364" i="11"/>
  <c r="AA1364" i="11"/>
  <c r="AG1363" i="11"/>
  <c r="AE1363" i="11"/>
  <c r="AD1363" i="11"/>
  <c r="AC1363" i="11"/>
  <c r="AB1363" i="11"/>
  <c r="AA1363" i="11"/>
  <c r="AG1362" i="11"/>
  <c r="AF1362" i="11"/>
  <c r="AE1362" i="11"/>
  <c r="AD1362" i="11"/>
  <c r="AC1362" i="11"/>
  <c r="AB1362" i="11"/>
  <c r="AA1362" i="11"/>
  <c r="AG1361" i="11"/>
  <c r="AE1361" i="11"/>
  <c r="AD1361" i="11"/>
  <c r="AC1361" i="11"/>
  <c r="AB1361" i="11"/>
  <c r="AA1361" i="11"/>
  <c r="AG1360" i="11"/>
  <c r="AE1360" i="11"/>
  <c r="AD1360" i="11"/>
  <c r="AC1360" i="11"/>
  <c r="AB1360" i="11"/>
  <c r="AA1360" i="11"/>
  <c r="AG1359" i="11"/>
  <c r="AE1359" i="11"/>
  <c r="AD1359" i="11"/>
  <c r="AC1359" i="11"/>
  <c r="AB1359" i="11"/>
  <c r="AA1359" i="11"/>
  <c r="AG1358" i="11"/>
  <c r="AE1358" i="11"/>
  <c r="AD1358" i="11"/>
  <c r="AC1358" i="11"/>
  <c r="AB1358" i="11"/>
  <c r="AA1358" i="11"/>
  <c r="AG1357" i="11"/>
  <c r="AF1357" i="11"/>
  <c r="AE1357" i="11"/>
  <c r="AD1357" i="11"/>
  <c r="AC1357" i="11"/>
  <c r="AB1357" i="11"/>
  <c r="AA1357" i="11"/>
  <c r="AG1356" i="11"/>
  <c r="AE1356" i="11"/>
  <c r="AD1356" i="11"/>
  <c r="AC1356" i="11"/>
  <c r="AB1356" i="11"/>
  <c r="AA1356" i="11"/>
  <c r="AG1355" i="11"/>
  <c r="AE1355" i="11"/>
  <c r="AD1355" i="11"/>
  <c r="AC1355" i="11"/>
  <c r="AB1355" i="11"/>
  <c r="AA1355" i="11"/>
  <c r="AG1354" i="11"/>
  <c r="AE1354" i="11"/>
  <c r="AD1354" i="11"/>
  <c r="AC1354" i="11"/>
  <c r="AB1354" i="11"/>
  <c r="AA1354" i="11"/>
  <c r="AG1353" i="11"/>
  <c r="AE1353" i="11"/>
  <c r="AD1353" i="11"/>
  <c r="AC1353" i="11"/>
  <c r="AB1353" i="11"/>
  <c r="AA1353" i="11"/>
  <c r="AG1352" i="11"/>
  <c r="AF1352" i="11"/>
  <c r="AE1352" i="11"/>
  <c r="AD1352" i="11"/>
  <c r="AC1352" i="11"/>
  <c r="AB1352" i="11"/>
  <c r="AA1352" i="11"/>
  <c r="AG1351" i="11"/>
  <c r="AE1351" i="11"/>
  <c r="AD1351" i="11"/>
  <c r="AC1351" i="11"/>
  <c r="AB1351" i="11"/>
  <c r="AA1351" i="11"/>
  <c r="AG1350" i="11"/>
  <c r="AE1350" i="11"/>
  <c r="AD1350" i="11"/>
  <c r="AC1350" i="11"/>
  <c r="AB1350" i="11"/>
  <c r="AA1350" i="11"/>
  <c r="AG1349" i="11"/>
  <c r="AE1349" i="11"/>
  <c r="AD1349" i="11"/>
  <c r="AC1349" i="11"/>
  <c r="AB1349" i="11"/>
  <c r="AA1349" i="11"/>
  <c r="AG1348" i="11"/>
  <c r="AE1348" i="11"/>
  <c r="AD1348" i="11"/>
  <c r="AC1348" i="11"/>
  <c r="AB1348" i="11"/>
  <c r="AA1348" i="11"/>
  <c r="AG1347" i="11"/>
  <c r="AE1347" i="11"/>
  <c r="AD1347" i="11"/>
  <c r="AC1347" i="11"/>
  <c r="AB1347" i="11"/>
  <c r="AA1347" i="11"/>
  <c r="AG1346" i="11"/>
  <c r="AF1346" i="11"/>
  <c r="AE1346" i="11"/>
  <c r="AD1346" i="11"/>
  <c r="AC1346" i="11"/>
  <c r="AB1346" i="11"/>
  <c r="AA1346" i="11"/>
  <c r="AG1345" i="11"/>
  <c r="AF1345" i="11"/>
  <c r="AE1345" i="11"/>
  <c r="AD1345" i="11"/>
  <c r="AC1345" i="11"/>
  <c r="AB1345" i="11"/>
  <c r="AA1345" i="11"/>
  <c r="AG1344" i="11"/>
  <c r="AE1344" i="11"/>
  <c r="AD1344" i="11"/>
  <c r="AC1344" i="11"/>
  <c r="AB1344" i="11"/>
  <c r="AA1344" i="11"/>
  <c r="AG1343" i="11"/>
  <c r="AF1343" i="11"/>
  <c r="AE1343" i="11"/>
  <c r="AD1343" i="11"/>
  <c r="AC1343" i="11"/>
  <c r="AB1343" i="11"/>
  <c r="AA1343" i="11"/>
  <c r="AG1342" i="11"/>
  <c r="AE1342" i="11"/>
  <c r="AD1342" i="11"/>
  <c r="AC1342" i="11"/>
  <c r="AB1342" i="11"/>
  <c r="AA1342" i="11"/>
  <c r="AG1341" i="11"/>
  <c r="AE1341" i="11"/>
  <c r="AD1341" i="11"/>
  <c r="AC1341" i="11"/>
  <c r="AB1341" i="11"/>
  <c r="AA1341" i="11"/>
  <c r="AG1340" i="11"/>
  <c r="AE1340" i="11"/>
  <c r="AD1340" i="11"/>
  <c r="AC1340" i="11"/>
  <c r="AB1340" i="11"/>
  <c r="AA1340" i="11"/>
  <c r="AG1339" i="11"/>
  <c r="AE1339" i="11"/>
  <c r="AD1339" i="11"/>
  <c r="AC1339" i="11"/>
  <c r="AB1339" i="11"/>
  <c r="AA1339" i="11"/>
  <c r="AG1338" i="11"/>
  <c r="AE1338" i="11"/>
  <c r="AD1338" i="11"/>
  <c r="AC1338" i="11"/>
  <c r="AB1338" i="11"/>
  <c r="AA1338" i="11"/>
  <c r="AG1337" i="11"/>
  <c r="AE1337" i="11"/>
  <c r="AD1337" i="11"/>
  <c r="AC1337" i="11"/>
  <c r="AB1337" i="11"/>
  <c r="AA1337" i="11"/>
  <c r="AG1336" i="11"/>
  <c r="AE1336" i="11"/>
  <c r="AD1336" i="11"/>
  <c r="AC1336" i="11"/>
  <c r="AB1336" i="11"/>
  <c r="AA1336" i="11"/>
  <c r="AG1335" i="11"/>
  <c r="AF1335" i="11"/>
  <c r="AE1335" i="11"/>
  <c r="AD1335" i="11"/>
  <c r="AC1335" i="11"/>
  <c r="AB1335" i="11"/>
  <c r="AA1335" i="11"/>
  <c r="AG1334" i="11"/>
  <c r="AF1334" i="11"/>
  <c r="AE1334" i="11"/>
  <c r="AD1334" i="11"/>
  <c r="AC1334" i="11"/>
  <c r="AB1334" i="11"/>
  <c r="AA1334" i="11"/>
  <c r="AG1333" i="11"/>
  <c r="AF1333" i="11"/>
  <c r="AE1333" i="11"/>
  <c r="AD1333" i="11"/>
  <c r="AC1333" i="11"/>
  <c r="AB1333" i="11"/>
  <c r="AA1333" i="11"/>
  <c r="AG1332" i="11"/>
  <c r="AE1332" i="11"/>
  <c r="AD1332" i="11"/>
  <c r="AC1332" i="11"/>
  <c r="AB1332" i="11"/>
  <c r="AA1332" i="11"/>
  <c r="AG1331" i="11"/>
  <c r="AF1331" i="11"/>
  <c r="AE1331" i="11"/>
  <c r="AD1331" i="11"/>
  <c r="AC1331" i="11"/>
  <c r="AB1331" i="11"/>
  <c r="AA1331" i="11"/>
  <c r="AG1330" i="11"/>
  <c r="AE1330" i="11"/>
  <c r="AD1330" i="11"/>
  <c r="AC1330" i="11"/>
  <c r="AB1330" i="11"/>
  <c r="AA1330" i="11"/>
  <c r="AG1329" i="11"/>
  <c r="AE1329" i="11"/>
  <c r="AD1329" i="11"/>
  <c r="AC1329" i="11"/>
  <c r="AB1329" i="11"/>
  <c r="AA1329" i="11"/>
  <c r="AG1328" i="11"/>
  <c r="AE1328" i="11"/>
  <c r="AD1328" i="11"/>
  <c r="AC1328" i="11"/>
  <c r="AB1328" i="11"/>
  <c r="AA1328" i="11"/>
  <c r="AG1327" i="11"/>
  <c r="AF1327" i="11"/>
  <c r="AE1327" i="11"/>
  <c r="AD1327" i="11"/>
  <c r="AC1327" i="11"/>
  <c r="AB1327" i="11"/>
  <c r="AA1327" i="11"/>
  <c r="AG1326" i="11"/>
  <c r="AF1326" i="11"/>
  <c r="AE1326" i="11"/>
  <c r="AD1326" i="11"/>
  <c r="AC1326" i="11"/>
  <c r="AB1326" i="11"/>
  <c r="AA1326" i="11"/>
  <c r="AG1325" i="11"/>
  <c r="AE1325" i="11"/>
  <c r="AD1325" i="11"/>
  <c r="AC1325" i="11"/>
  <c r="AB1325" i="11"/>
  <c r="AA1325" i="11"/>
  <c r="AG1324" i="11"/>
  <c r="AE1324" i="11"/>
  <c r="AD1324" i="11"/>
  <c r="AC1324" i="11"/>
  <c r="AB1324" i="11"/>
  <c r="AA1324" i="11"/>
  <c r="AG1323" i="11"/>
  <c r="AE1323" i="11"/>
  <c r="AD1323" i="11"/>
  <c r="AC1323" i="11"/>
  <c r="AB1323" i="11"/>
  <c r="AA1323" i="11"/>
  <c r="AG1322" i="11"/>
  <c r="AF1322" i="11"/>
  <c r="AE1322" i="11"/>
  <c r="AD1322" i="11"/>
  <c r="AC1322" i="11"/>
  <c r="AB1322" i="11"/>
  <c r="AA1322" i="11"/>
  <c r="AG1321" i="11"/>
  <c r="AE1321" i="11"/>
  <c r="AD1321" i="11"/>
  <c r="AC1321" i="11"/>
  <c r="AB1321" i="11"/>
  <c r="AA1321" i="11"/>
  <c r="AG1320" i="11"/>
  <c r="AE1320" i="11"/>
  <c r="AD1320" i="11"/>
  <c r="AC1320" i="11"/>
  <c r="AB1320" i="11"/>
  <c r="AA1320" i="11"/>
  <c r="AG1319" i="11"/>
  <c r="AE1319" i="11"/>
  <c r="AD1319" i="11"/>
  <c r="AC1319" i="11"/>
  <c r="AB1319" i="11"/>
  <c r="AA1319" i="11"/>
  <c r="AG1318" i="11"/>
  <c r="AE1318" i="11"/>
  <c r="AD1318" i="11"/>
  <c r="AC1318" i="11"/>
  <c r="AB1318" i="11"/>
  <c r="AA1318" i="11"/>
  <c r="AG1317" i="11"/>
  <c r="AE1317" i="11"/>
  <c r="AD1317" i="11"/>
  <c r="AC1317" i="11"/>
  <c r="AB1317" i="11"/>
  <c r="AA1317" i="11"/>
  <c r="AG1316" i="11"/>
  <c r="AE1316" i="11"/>
  <c r="AD1316" i="11"/>
  <c r="AC1316" i="11"/>
  <c r="AB1316" i="11"/>
  <c r="AA1316" i="11"/>
  <c r="AG1315" i="11"/>
  <c r="AE1315" i="11"/>
  <c r="AD1315" i="11"/>
  <c r="AC1315" i="11"/>
  <c r="AB1315" i="11"/>
  <c r="AA1315" i="11"/>
  <c r="AG1314" i="11"/>
  <c r="AE1314" i="11"/>
  <c r="AD1314" i="11"/>
  <c r="AC1314" i="11"/>
  <c r="AB1314" i="11"/>
  <c r="AA1314" i="11"/>
  <c r="AG1313" i="11"/>
  <c r="AF1313" i="11"/>
  <c r="AE1313" i="11"/>
  <c r="AD1313" i="11"/>
  <c r="AC1313" i="11"/>
  <c r="AB1313" i="11"/>
  <c r="AA1313" i="11"/>
  <c r="AG1312" i="11"/>
  <c r="AF1312" i="11"/>
  <c r="AE1312" i="11"/>
  <c r="AD1312" i="11"/>
  <c r="AC1312" i="11"/>
  <c r="AB1312" i="11"/>
  <c r="AA1312" i="11"/>
  <c r="AG1311" i="11"/>
  <c r="AF1311" i="11"/>
  <c r="AE1311" i="11"/>
  <c r="AD1311" i="11"/>
  <c r="AC1311" i="11"/>
  <c r="AB1311" i="11"/>
  <c r="AA1311" i="11"/>
  <c r="AG1310" i="11"/>
  <c r="AE1310" i="11"/>
  <c r="AD1310" i="11"/>
  <c r="AC1310" i="11"/>
  <c r="AB1310" i="11"/>
  <c r="AA1310" i="11"/>
  <c r="AG1309" i="11"/>
  <c r="AE1309" i="11"/>
  <c r="AD1309" i="11"/>
  <c r="AC1309" i="11"/>
  <c r="AB1309" i="11"/>
  <c r="AA1309" i="11"/>
  <c r="AG1308" i="11"/>
  <c r="AE1308" i="11"/>
  <c r="AD1308" i="11"/>
  <c r="AC1308" i="11"/>
  <c r="AB1308" i="11"/>
  <c r="AA1308" i="11"/>
  <c r="AG1307" i="11"/>
  <c r="AE1307" i="11"/>
  <c r="AD1307" i="11"/>
  <c r="AC1307" i="11"/>
  <c r="AB1307" i="11"/>
  <c r="AA1307" i="11"/>
  <c r="AG1306" i="11"/>
  <c r="AE1306" i="11"/>
  <c r="AD1306" i="11"/>
  <c r="AC1306" i="11"/>
  <c r="AB1306" i="11"/>
  <c r="AA1306" i="11"/>
  <c r="AG1305" i="11"/>
  <c r="AE1305" i="11"/>
  <c r="AD1305" i="11"/>
  <c r="AC1305" i="11"/>
  <c r="AB1305" i="11"/>
  <c r="AA1305" i="11"/>
  <c r="AG1304" i="11"/>
  <c r="AF1304" i="11"/>
  <c r="AE1304" i="11"/>
  <c r="AD1304" i="11"/>
  <c r="AC1304" i="11"/>
  <c r="AB1304" i="11"/>
  <c r="AA1304" i="11"/>
  <c r="AG1303" i="11"/>
  <c r="AE1303" i="11"/>
  <c r="AD1303" i="11"/>
  <c r="AC1303" i="11"/>
  <c r="AB1303" i="11"/>
  <c r="AA1303" i="11"/>
  <c r="AG1302" i="11"/>
  <c r="AE1302" i="11"/>
  <c r="AD1302" i="11"/>
  <c r="AC1302" i="11"/>
  <c r="AB1302" i="11"/>
  <c r="AA1302" i="11"/>
  <c r="AG1301" i="11"/>
  <c r="AE1301" i="11"/>
  <c r="AD1301" i="11"/>
  <c r="AC1301" i="11"/>
  <c r="AB1301" i="11"/>
  <c r="AA1301" i="11"/>
  <c r="AG1300" i="11"/>
  <c r="AE1300" i="11"/>
  <c r="AD1300" i="11"/>
  <c r="AC1300" i="11"/>
  <c r="AB1300" i="11"/>
  <c r="AA1300" i="11"/>
  <c r="AG1299" i="11"/>
  <c r="AE1299" i="11"/>
  <c r="AD1299" i="11"/>
  <c r="AC1299" i="11"/>
  <c r="AB1299" i="11"/>
  <c r="AA1299" i="11"/>
  <c r="AG1298" i="11"/>
  <c r="AE1298" i="11"/>
  <c r="AD1298" i="11"/>
  <c r="AC1298" i="11"/>
  <c r="AB1298" i="11"/>
  <c r="AA1298" i="11"/>
  <c r="AG1297" i="11"/>
  <c r="AE1297" i="11"/>
  <c r="AD1297" i="11"/>
  <c r="AC1297" i="11"/>
  <c r="AB1297" i="11"/>
  <c r="AA1297" i="11"/>
  <c r="AG1296" i="11"/>
  <c r="AE1296" i="11"/>
  <c r="AD1296" i="11"/>
  <c r="AC1296" i="11"/>
  <c r="AB1296" i="11"/>
  <c r="AA1296" i="11"/>
  <c r="AG1295" i="11"/>
  <c r="AF1295" i="11"/>
  <c r="AE1295" i="11"/>
  <c r="AD1295" i="11"/>
  <c r="AC1295" i="11"/>
  <c r="AB1295" i="11"/>
  <c r="AA1295" i="11"/>
  <c r="AG1294" i="11"/>
  <c r="AF1294" i="11"/>
  <c r="AE1294" i="11"/>
  <c r="AD1294" i="11"/>
  <c r="AC1294" i="11"/>
  <c r="AB1294" i="11"/>
  <c r="AA1294" i="11"/>
  <c r="AG1293" i="11"/>
  <c r="AE1293" i="11"/>
  <c r="AD1293" i="11"/>
  <c r="AC1293" i="11"/>
  <c r="AB1293" i="11"/>
  <c r="AA1293" i="11"/>
  <c r="AG1292" i="11"/>
  <c r="AE1292" i="11"/>
  <c r="AD1292" i="11"/>
  <c r="AC1292" i="11"/>
  <c r="AB1292" i="11"/>
  <c r="AA1292" i="11"/>
  <c r="AG1291" i="11"/>
  <c r="AE1291" i="11"/>
  <c r="AD1291" i="11"/>
  <c r="AC1291" i="11"/>
  <c r="AB1291" i="11"/>
  <c r="AA1291" i="11"/>
  <c r="AG1290" i="11"/>
  <c r="AE1290" i="11"/>
  <c r="AD1290" i="11"/>
  <c r="AC1290" i="11"/>
  <c r="AB1290" i="11"/>
  <c r="AA1290" i="11"/>
  <c r="AG1289" i="11"/>
  <c r="AE1289" i="11"/>
  <c r="AD1289" i="11"/>
  <c r="AC1289" i="11"/>
  <c r="AB1289" i="11"/>
  <c r="AA1289" i="11"/>
  <c r="AG1288" i="11"/>
  <c r="AE1288" i="11"/>
  <c r="AD1288" i="11"/>
  <c r="AC1288" i="11"/>
  <c r="AB1288" i="11"/>
  <c r="AA1288" i="11"/>
  <c r="AG1287" i="11"/>
  <c r="AE1287" i="11"/>
  <c r="AD1287" i="11"/>
  <c r="AC1287" i="11"/>
  <c r="AB1287" i="11"/>
  <c r="AA1287" i="11"/>
  <c r="AG1286" i="11"/>
  <c r="AF1286" i="11"/>
  <c r="AE1286" i="11"/>
  <c r="AD1286" i="11"/>
  <c r="AC1286" i="11"/>
  <c r="AB1286" i="11"/>
  <c r="AA1286" i="11"/>
  <c r="AG1285" i="11"/>
  <c r="AE1285" i="11"/>
  <c r="AD1285" i="11"/>
  <c r="AC1285" i="11"/>
  <c r="AB1285" i="11"/>
  <c r="AA1285" i="11"/>
  <c r="AG1284" i="11"/>
  <c r="AE1284" i="11"/>
  <c r="AD1284" i="11"/>
  <c r="AC1284" i="11"/>
  <c r="AB1284" i="11"/>
  <c r="AA1284" i="11"/>
  <c r="AG1283" i="11"/>
  <c r="AF1283" i="11"/>
  <c r="AE1283" i="11"/>
  <c r="AD1283" i="11"/>
  <c r="AC1283" i="11"/>
  <c r="AB1283" i="11"/>
  <c r="AA1283" i="11"/>
  <c r="AG1282" i="11"/>
  <c r="AF1282" i="11"/>
  <c r="AE1282" i="11"/>
  <c r="AD1282" i="11"/>
  <c r="AC1282" i="11"/>
  <c r="AB1282" i="11"/>
  <c r="AA1282" i="11"/>
  <c r="AG1281" i="11"/>
  <c r="AE1281" i="11"/>
  <c r="AD1281" i="11"/>
  <c r="AC1281" i="11"/>
  <c r="AB1281" i="11"/>
  <c r="AA1281" i="11"/>
  <c r="AG1280" i="11"/>
  <c r="AE1280" i="11"/>
  <c r="AD1280" i="11"/>
  <c r="AC1280" i="11"/>
  <c r="AB1280" i="11"/>
  <c r="AA1280" i="11"/>
  <c r="AG1279" i="11"/>
  <c r="AE1279" i="11"/>
  <c r="AD1279" i="11"/>
  <c r="AC1279" i="11"/>
  <c r="AB1279" i="11"/>
  <c r="AA1279" i="11"/>
  <c r="AG1278" i="11"/>
  <c r="AE1278" i="11"/>
  <c r="AD1278" i="11"/>
  <c r="AC1278" i="11"/>
  <c r="AB1278" i="11"/>
  <c r="AA1278" i="11"/>
  <c r="AG1277" i="11"/>
  <c r="AF1277" i="11"/>
  <c r="AE1277" i="11"/>
  <c r="AD1277" i="11"/>
  <c r="AC1277" i="11"/>
  <c r="AB1277" i="11"/>
  <c r="AA1277" i="11"/>
  <c r="AG1276" i="11"/>
  <c r="AE1276" i="11"/>
  <c r="AD1276" i="11"/>
  <c r="AC1276" i="11"/>
  <c r="AB1276" i="11"/>
  <c r="AA1276" i="11"/>
  <c r="AG1275" i="11"/>
  <c r="AE1275" i="11"/>
  <c r="AD1275" i="11"/>
  <c r="AC1275" i="11"/>
  <c r="AB1275" i="11"/>
  <c r="AA1275" i="11"/>
  <c r="AG1274" i="11"/>
  <c r="AF1274" i="11"/>
  <c r="AE1274" i="11"/>
  <c r="AD1274" i="11"/>
  <c r="AC1274" i="11"/>
  <c r="AB1274" i="11"/>
  <c r="AA1274" i="11"/>
  <c r="AG1273" i="11"/>
  <c r="AF1273" i="11"/>
  <c r="AE1273" i="11"/>
  <c r="AD1273" i="11"/>
  <c r="AC1273" i="11"/>
  <c r="AB1273" i="11"/>
  <c r="AA1273" i="11"/>
  <c r="AG1272" i="11"/>
  <c r="AF1272" i="11"/>
  <c r="AE1272" i="11"/>
  <c r="AD1272" i="11"/>
  <c r="AC1272" i="11"/>
  <c r="AB1272" i="11"/>
  <c r="AA1272" i="11"/>
  <c r="AG1271" i="11"/>
  <c r="AE1271" i="11"/>
  <c r="AD1271" i="11"/>
  <c r="AC1271" i="11"/>
  <c r="AB1271" i="11"/>
  <c r="AA1271" i="11"/>
  <c r="AG1270" i="11"/>
  <c r="AF1270" i="11"/>
  <c r="AE1270" i="11"/>
  <c r="AD1270" i="11"/>
  <c r="AC1270" i="11"/>
  <c r="AB1270" i="11"/>
  <c r="AA1270" i="11"/>
  <c r="AG1269" i="11"/>
  <c r="AE1269" i="11"/>
  <c r="AD1269" i="11"/>
  <c r="AC1269" i="11"/>
  <c r="AB1269" i="11"/>
  <c r="AA1269" i="11"/>
  <c r="AG1268" i="11"/>
  <c r="AE1268" i="11"/>
  <c r="AD1268" i="11"/>
  <c r="AC1268" i="11"/>
  <c r="AB1268" i="11"/>
  <c r="AA1268" i="11"/>
  <c r="AG1267" i="11"/>
  <c r="AE1267" i="11"/>
  <c r="AD1267" i="11"/>
  <c r="AC1267" i="11"/>
  <c r="AB1267" i="11"/>
  <c r="AA1267" i="11"/>
  <c r="AG1266" i="11"/>
  <c r="AF1266" i="11"/>
  <c r="AE1266" i="11"/>
  <c r="AD1266" i="11"/>
  <c r="AC1266" i="11"/>
  <c r="AB1266" i="11"/>
  <c r="AA1266" i="11"/>
  <c r="AG1265" i="11"/>
  <c r="AE1265" i="11"/>
  <c r="AD1265" i="11"/>
  <c r="AC1265" i="11"/>
  <c r="AB1265" i="11"/>
  <c r="AA1265" i="11"/>
  <c r="AG1264" i="11"/>
  <c r="AE1264" i="11"/>
  <c r="AD1264" i="11"/>
  <c r="AC1264" i="11"/>
  <c r="AB1264" i="11"/>
  <c r="AA1264" i="11"/>
  <c r="AG1263" i="11"/>
  <c r="AE1263" i="11"/>
  <c r="AD1263" i="11"/>
  <c r="AC1263" i="11"/>
  <c r="AB1263" i="11"/>
  <c r="AA1263" i="11"/>
  <c r="AG1262" i="11"/>
  <c r="AE1262" i="11"/>
  <c r="AD1262" i="11"/>
  <c r="AC1262" i="11"/>
  <c r="AB1262" i="11"/>
  <c r="AA1262" i="11"/>
  <c r="AG1261" i="11"/>
  <c r="AF1261" i="11"/>
  <c r="AE1261" i="11"/>
  <c r="AD1261" i="11"/>
  <c r="AC1261" i="11"/>
  <c r="AB1261" i="11"/>
  <c r="AA1261" i="11"/>
  <c r="AG1260" i="11"/>
  <c r="AE1260" i="11"/>
  <c r="AD1260" i="11"/>
  <c r="AC1260" i="11"/>
  <c r="AB1260" i="11"/>
  <c r="AA1260" i="11"/>
  <c r="AG1259" i="11"/>
  <c r="AF1259" i="11"/>
  <c r="AE1259" i="11"/>
  <c r="AD1259" i="11"/>
  <c r="AC1259" i="11"/>
  <c r="AB1259" i="11"/>
  <c r="AA1259" i="11"/>
  <c r="AG1258" i="11"/>
  <c r="AF1258" i="11"/>
  <c r="AE1258" i="11"/>
  <c r="AD1258" i="11"/>
  <c r="AC1258" i="11"/>
  <c r="AB1258" i="11"/>
  <c r="AA1258" i="11"/>
  <c r="AG1257" i="11"/>
  <c r="AE1257" i="11"/>
  <c r="AD1257" i="11"/>
  <c r="AC1257" i="11"/>
  <c r="AB1257" i="11"/>
  <c r="AA1257" i="11"/>
  <c r="AG1256" i="11"/>
  <c r="AE1256" i="11"/>
  <c r="AD1256" i="11"/>
  <c r="AC1256" i="11"/>
  <c r="AB1256" i="11"/>
  <c r="AA1256" i="11"/>
  <c r="AG1255" i="11"/>
  <c r="AE1255" i="11"/>
  <c r="AD1255" i="11"/>
  <c r="AC1255" i="11"/>
  <c r="AB1255" i="11"/>
  <c r="AA1255" i="11"/>
  <c r="AG1254" i="11"/>
  <c r="AE1254" i="11"/>
  <c r="AD1254" i="11"/>
  <c r="AC1254" i="11"/>
  <c r="AB1254" i="11"/>
  <c r="AA1254" i="11"/>
  <c r="AG1253" i="11"/>
  <c r="AE1253" i="11"/>
  <c r="AD1253" i="11"/>
  <c r="AC1253" i="11"/>
  <c r="AB1253" i="11"/>
  <c r="AA1253" i="11"/>
  <c r="AG1252" i="11"/>
  <c r="AE1252" i="11"/>
  <c r="AD1252" i="11"/>
  <c r="AC1252" i="11"/>
  <c r="AB1252" i="11"/>
  <c r="AA1252" i="11"/>
  <c r="AG1251" i="11"/>
  <c r="AE1251" i="11"/>
  <c r="AD1251" i="11"/>
  <c r="AC1251" i="11"/>
  <c r="AB1251" i="11"/>
  <c r="AA1251" i="11"/>
  <c r="AG1250" i="11"/>
  <c r="AE1250" i="11"/>
  <c r="AD1250" i="11"/>
  <c r="AC1250" i="11"/>
  <c r="AB1250" i="11"/>
  <c r="AA1250" i="11"/>
  <c r="AG1249" i="11"/>
  <c r="AE1249" i="11"/>
  <c r="AD1249" i="11"/>
  <c r="AC1249" i="11"/>
  <c r="AB1249" i="11"/>
  <c r="AA1249" i="11"/>
  <c r="AG1248" i="11"/>
  <c r="AE1248" i="11"/>
  <c r="AD1248" i="11"/>
  <c r="AC1248" i="11"/>
  <c r="AB1248" i="11"/>
  <c r="AA1248" i="11"/>
  <c r="AG1247" i="11"/>
  <c r="AE1247" i="11"/>
  <c r="AD1247" i="11"/>
  <c r="AC1247" i="11"/>
  <c r="AB1247" i="11"/>
  <c r="AA1247" i="11"/>
  <c r="AG1246" i="11"/>
  <c r="AE1246" i="11"/>
  <c r="AD1246" i="11"/>
  <c r="AC1246" i="11"/>
  <c r="AB1246" i="11"/>
  <c r="AA1246" i="11"/>
  <c r="AG1245" i="11"/>
  <c r="AE1245" i="11"/>
  <c r="AD1245" i="11"/>
  <c r="AC1245" i="11"/>
  <c r="AB1245" i="11"/>
  <c r="AA1245" i="11"/>
  <c r="AG1244" i="11"/>
  <c r="AE1244" i="11"/>
  <c r="AD1244" i="11"/>
  <c r="AC1244" i="11"/>
  <c r="AB1244" i="11"/>
  <c r="AA1244" i="11"/>
  <c r="AG1243" i="11"/>
  <c r="AE1243" i="11"/>
  <c r="AD1243" i="11"/>
  <c r="AC1243" i="11"/>
  <c r="AB1243" i="11"/>
  <c r="AA1243" i="11"/>
  <c r="AG1242" i="11"/>
  <c r="AE1242" i="11"/>
  <c r="AD1242" i="11"/>
  <c r="AC1242" i="11"/>
  <c r="AB1242" i="11"/>
  <c r="AA1242" i="11"/>
  <c r="AG1241" i="11"/>
  <c r="AE1241" i="11"/>
  <c r="AD1241" i="11"/>
  <c r="AC1241" i="11"/>
  <c r="AB1241" i="11"/>
  <c r="AA1241" i="11"/>
  <c r="AG1240" i="11"/>
  <c r="AF1240" i="11"/>
  <c r="AE1240" i="11"/>
  <c r="AD1240" i="11"/>
  <c r="AC1240" i="11"/>
  <c r="AB1240" i="11"/>
  <c r="AA1240" i="11"/>
  <c r="AG1239" i="11"/>
  <c r="AE1239" i="11"/>
  <c r="AD1239" i="11"/>
  <c r="AC1239" i="11"/>
  <c r="AB1239" i="11"/>
  <c r="AA1239" i="11"/>
  <c r="AG1238" i="11"/>
  <c r="AE1238" i="11"/>
  <c r="AD1238" i="11"/>
  <c r="AC1238" i="11"/>
  <c r="AB1238" i="11"/>
  <c r="AA1238" i="11"/>
  <c r="AG1237" i="11"/>
  <c r="AE1237" i="11"/>
  <c r="AD1237" i="11"/>
  <c r="AC1237" i="11"/>
  <c r="AB1237" i="11"/>
  <c r="AA1237" i="11"/>
  <c r="AG1236" i="11"/>
  <c r="AF1236" i="11"/>
  <c r="AE1236" i="11"/>
  <c r="AD1236" i="11"/>
  <c r="AC1236" i="11"/>
  <c r="AB1236" i="11"/>
  <c r="AA1236" i="11"/>
  <c r="AG1235" i="11"/>
  <c r="AE1235" i="11"/>
  <c r="AD1235" i="11"/>
  <c r="AC1235" i="11"/>
  <c r="AB1235" i="11"/>
  <c r="AA1235" i="11"/>
  <c r="AG1234" i="11"/>
  <c r="AE1234" i="11"/>
  <c r="AD1234" i="11"/>
  <c r="AC1234" i="11"/>
  <c r="AB1234" i="11"/>
  <c r="AA1234" i="11"/>
  <c r="AG1233" i="11"/>
  <c r="AE1233" i="11"/>
  <c r="AD1233" i="11"/>
  <c r="AC1233" i="11"/>
  <c r="AB1233" i="11"/>
  <c r="AA1233" i="11"/>
  <c r="AG1232" i="11"/>
  <c r="AF1232" i="11"/>
  <c r="AE1232" i="11"/>
  <c r="AD1232" i="11"/>
  <c r="AC1232" i="11"/>
  <c r="AB1232" i="11"/>
  <c r="AA1232" i="11"/>
  <c r="AG1231" i="11"/>
  <c r="AF1231" i="11"/>
  <c r="AE1231" i="11"/>
  <c r="AD1231" i="11"/>
  <c r="AC1231" i="11"/>
  <c r="AB1231" i="11"/>
  <c r="AA1231" i="11"/>
  <c r="AG1230" i="11"/>
  <c r="AF1230" i="11"/>
  <c r="AE1230" i="11"/>
  <c r="AD1230" i="11"/>
  <c r="AC1230" i="11"/>
  <c r="AB1230" i="11"/>
  <c r="AA1230" i="11"/>
  <c r="AG1229" i="11"/>
  <c r="AE1229" i="11"/>
  <c r="AD1229" i="11"/>
  <c r="AC1229" i="11"/>
  <c r="AB1229" i="11"/>
  <c r="AA1229" i="11"/>
  <c r="AG1228" i="11"/>
  <c r="AE1228" i="11"/>
  <c r="AD1228" i="11"/>
  <c r="AC1228" i="11"/>
  <c r="AB1228" i="11"/>
  <c r="AA1228" i="11"/>
  <c r="AG1227" i="11"/>
  <c r="AF1227" i="11"/>
  <c r="AE1227" i="11"/>
  <c r="AD1227" i="11"/>
  <c r="AC1227" i="11"/>
  <c r="AB1227" i="11"/>
  <c r="AA1227" i="11"/>
  <c r="AG1226" i="11"/>
  <c r="AF1226" i="11"/>
  <c r="AE1226" i="11"/>
  <c r="AD1226" i="11"/>
  <c r="AC1226" i="11"/>
  <c r="AB1226" i="11"/>
  <c r="AA1226" i="11"/>
  <c r="AG1225" i="11"/>
  <c r="AF1225" i="11"/>
  <c r="AE1225" i="11"/>
  <c r="AD1225" i="11"/>
  <c r="AC1225" i="11"/>
  <c r="AB1225" i="11"/>
  <c r="AA1225" i="11"/>
  <c r="AG1224" i="11"/>
  <c r="AE1224" i="11"/>
  <c r="AD1224" i="11"/>
  <c r="AC1224" i="11"/>
  <c r="AB1224" i="11"/>
  <c r="AA1224" i="11"/>
  <c r="AG1223" i="11"/>
  <c r="AF1223" i="11"/>
  <c r="AE1223" i="11"/>
  <c r="AD1223" i="11"/>
  <c r="AC1223" i="11"/>
  <c r="AB1223" i="11"/>
  <c r="AA1223" i="11"/>
  <c r="AG1222" i="11"/>
  <c r="AE1222" i="11"/>
  <c r="AD1222" i="11"/>
  <c r="AC1222" i="11"/>
  <c r="AB1222" i="11"/>
  <c r="AA1222" i="11"/>
  <c r="AG1221" i="11"/>
  <c r="AE1221" i="11"/>
  <c r="AD1221" i="11"/>
  <c r="AC1221" i="11"/>
  <c r="AB1221" i="11"/>
  <c r="AA1221" i="11"/>
  <c r="AG1220" i="11"/>
  <c r="AE1220" i="11"/>
  <c r="AD1220" i="11"/>
  <c r="AC1220" i="11"/>
  <c r="AB1220" i="11"/>
  <c r="AA1220" i="11"/>
  <c r="AG1219" i="11"/>
  <c r="AF1219" i="11"/>
  <c r="AE1219" i="11"/>
  <c r="AD1219" i="11"/>
  <c r="AC1219" i="11"/>
  <c r="AB1219" i="11"/>
  <c r="AA1219" i="11"/>
  <c r="AG1218" i="11"/>
  <c r="AE1218" i="11"/>
  <c r="AD1218" i="11"/>
  <c r="AC1218" i="11"/>
  <c r="AB1218" i="11"/>
  <c r="AA1218" i="11"/>
  <c r="AG1217" i="11"/>
  <c r="AF1217" i="11"/>
  <c r="AE1217" i="11"/>
  <c r="AD1217" i="11"/>
  <c r="AC1217" i="11"/>
  <c r="AB1217" i="11"/>
  <c r="AA1217" i="11"/>
  <c r="AG1216" i="11"/>
  <c r="AE1216" i="11"/>
  <c r="AD1216" i="11"/>
  <c r="AC1216" i="11"/>
  <c r="AB1216" i="11"/>
  <c r="AA1216" i="11"/>
  <c r="AG1215" i="11"/>
  <c r="AF1215" i="11"/>
  <c r="AE1215" i="11"/>
  <c r="AD1215" i="11"/>
  <c r="AC1215" i="11"/>
  <c r="AB1215" i="11"/>
  <c r="AA1215" i="11"/>
  <c r="AG1214" i="11"/>
  <c r="AE1214" i="11"/>
  <c r="AD1214" i="11"/>
  <c r="AC1214" i="11"/>
  <c r="AB1214" i="11"/>
  <c r="AA1214" i="11"/>
  <c r="AG1213" i="11"/>
  <c r="AE1213" i="11"/>
  <c r="AD1213" i="11"/>
  <c r="AC1213" i="11"/>
  <c r="AB1213" i="11"/>
  <c r="AA1213" i="11"/>
  <c r="AG1212" i="11"/>
  <c r="AF1212" i="11"/>
  <c r="AE1212" i="11"/>
  <c r="AD1212" i="11"/>
  <c r="AC1212" i="11"/>
  <c r="AB1212" i="11"/>
  <c r="AA1212" i="11"/>
  <c r="AG1211" i="11"/>
  <c r="AE1211" i="11"/>
  <c r="AD1211" i="11"/>
  <c r="AC1211" i="11"/>
  <c r="AB1211" i="11"/>
  <c r="AA1211" i="11"/>
  <c r="AG1210" i="11"/>
  <c r="AE1210" i="11"/>
  <c r="AD1210" i="11"/>
  <c r="AC1210" i="11"/>
  <c r="AB1210" i="11"/>
  <c r="AA1210" i="11"/>
  <c r="AG1209" i="11"/>
  <c r="AE1209" i="11"/>
  <c r="AD1209" i="11"/>
  <c r="AC1209" i="11"/>
  <c r="AB1209" i="11"/>
  <c r="AA1209" i="11"/>
  <c r="AG1208" i="11"/>
  <c r="AE1208" i="11"/>
  <c r="AD1208" i="11"/>
  <c r="AC1208" i="11"/>
  <c r="AB1208" i="11"/>
  <c r="AA1208" i="11"/>
  <c r="AG1207" i="11"/>
  <c r="AE1207" i="11"/>
  <c r="AD1207" i="11"/>
  <c r="AC1207" i="11"/>
  <c r="AB1207" i="11"/>
  <c r="AA1207" i="11"/>
  <c r="AG1206" i="11"/>
  <c r="AE1206" i="11"/>
  <c r="AD1206" i="11"/>
  <c r="AC1206" i="11"/>
  <c r="AB1206" i="11"/>
  <c r="AA1206" i="11"/>
  <c r="AG1205" i="11"/>
  <c r="AF1205" i="11"/>
  <c r="AE1205" i="11"/>
  <c r="AD1205" i="11"/>
  <c r="AC1205" i="11"/>
  <c r="AB1205" i="11"/>
  <c r="AA1205" i="11"/>
  <c r="AG1204" i="11"/>
  <c r="AE1204" i="11"/>
  <c r="AD1204" i="11"/>
  <c r="AC1204" i="11"/>
  <c r="AB1204" i="11"/>
  <c r="AA1204" i="11"/>
  <c r="AG1203" i="11"/>
  <c r="AF1203" i="11"/>
  <c r="AE1203" i="11"/>
  <c r="AD1203" i="11"/>
  <c r="AC1203" i="11"/>
  <c r="AB1203" i="11"/>
  <c r="AA1203" i="11"/>
  <c r="AG1202" i="11"/>
  <c r="AE1202" i="11"/>
  <c r="AD1202" i="11"/>
  <c r="AC1202" i="11"/>
  <c r="AB1202" i="11"/>
  <c r="AA1202" i="11"/>
  <c r="AG1201" i="11"/>
  <c r="AE1201" i="11"/>
  <c r="AD1201" i="11"/>
  <c r="AC1201" i="11"/>
  <c r="AB1201" i="11"/>
  <c r="AA1201" i="11"/>
  <c r="AG1200" i="11"/>
  <c r="AF1200" i="11"/>
  <c r="AE1200" i="11"/>
  <c r="AD1200" i="11"/>
  <c r="AC1200" i="11"/>
  <c r="AB1200" i="11"/>
  <c r="AA1200" i="11"/>
  <c r="AG1199" i="11"/>
  <c r="AE1199" i="11"/>
  <c r="AD1199" i="11"/>
  <c r="AC1199" i="11"/>
  <c r="AB1199" i="11"/>
  <c r="AA1199" i="11"/>
  <c r="AG1198" i="11"/>
  <c r="AE1198" i="11"/>
  <c r="AD1198" i="11"/>
  <c r="AC1198" i="11"/>
  <c r="AB1198" i="11"/>
  <c r="AA1198" i="11"/>
  <c r="AG1197" i="11"/>
  <c r="AE1197" i="11"/>
  <c r="AD1197" i="11"/>
  <c r="AC1197" i="11"/>
  <c r="AB1197" i="11"/>
  <c r="AA1197" i="11"/>
  <c r="AG1196" i="11"/>
  <c r="AF1196" i="11"/>
  <c r="AE1196" i="11"/>
  <c r="AD1196" i="11"/>
  <c r="AC1196" i="11"/>
  <c r="AB1196" i="11"/>
  <c r="AA1196" i="11"/>
  <c r="AG1195" i="11"/>
  <c r="AE1195" i="11"/>
  <c r="AD1195" i="11"/>
  <c r="AC1195" i="11"/>
  <c r="AB1195" i="11"/>
  <c r="AA1195" i="11"/>
  <c r="AG1194" i="11"/>
  <c r="AE1194" i="11"/>
  <c r="AD1194" i="11"/>
  <c r="AC1194" i="11"/>
  <c r="AB1194" i="11"/>
  <c r="AA1194" i="11"/>
  <c r="AG1193" i="11"/>
  <c r="AE1193" i="11"/>
  <c r="AD1193" i="11"/>
  <c r="AC1193" i="11"/>
  <c r="AB1193" i="11"/>
  <c r="AA1193" i="11"/>
  <c r="AG1192" i="11"/>
  <c r="AE1192" i="11"/>
  <c r="AD1192" i="11"/>
  <c r="AC1192" i="11"/>
  <c r="AB1192" i="11"/>
  <c r="AA1192" i="11"/>
  <c r="AG1191" i="11"/>
  <c r="AE1191" i="11"/>
  <c r="AD1191" i="11"/>
  <c r="AC1191" i="11"/>
  <c r="AB1191" i="11"/>
  <c r="AA1191" i="11"/>
  <c r="AG1190" i="11"/>
  <c r="AE1190" i="11"/>
  <c r="AD1190" i="11"/>
  <c r="AC1190" i="11"/>
  <c r="AB1190" i="11"/>
  <c r="AA1190" i="11"/>
  <c r="AG1189" i="11"/>
  <c r="AE1189" i="11"/>
  <c r="AD1189" i="11"/>
  <c r="AC1189" i="11"/>
  <c r="AB1189" i="11"/>
  <c r="AA1189" i="11"/>
  <c r="AG1188" i="11"/>
  <c r="AE1188" i="11"/>
  <c r="AD1188" i="11"/>
  <c r="AC1188" i="11"/>
  <c r="AB1188" i="11"/>
  <c r="AA1188" i="11"/>
  <c r="AG1187" i="11"/>
  <c r="AE1187" i="11"/>
  <c r="AD1187" i="11"/>
  <c r="AC1187" i="11"/>
  <c r="AB1187" i="11"/>
  <c r="AA1187" i="11"/>
  <c r="AG1186" i="11"/>
  <c r="AE1186" i="11"/>
  <c r="AD1186" i="11"/>
  <c r="AC1186" i="11"/>
  <c r="AB1186" i="11"/>
  <c r="AA1186" i="11"/>
  <c r="AG1185" i="11"/>
  <c r="AE1185" i="11"/>
  <c r="AD1185" i="11"/>
  <c r="AC1185" i="11"/>
  <c r="AB1185" i="11"/>
  <c r="AA1185" i="11"/>
  <c r="AG1184" i="11"/>
  <c r="AE1184" i="11"/>
  <c r="AD1184" i="11"/>
  <c r="AC1184" i="11"/>
  <c r="AB1184" i="11"/>
  <c r="AA1184" i="11"/>
  <c r="AG1183" i="11"/>
  <c r="AE1183" i="11"/>
  <c r="AD1183" i="11"/>
  <c r="AC1183" i="11"/>
  <c r="AB1183" i="11"/>
  <c r="AA1183" i="11"/>
  <c r="AG1182" i="11"/>
  <c r="AE1182" i="11"/>
  <c r="AD1182" i="11"/>
  <c r="AC1182" i="11"/>
  <c r="AB1182" i="11"/>
  <c r="AA1182" i="11"/>
  <c r="AG1181" i="11"/>
  <c r="AF1181" i="11"/>
  <c r="AE1181" i="11"/>
  <c r="AD1181" i="11"/>
  <c r="AC1181" i="11"/>
  <c r="AB1181" i="11"/>
  <c r="AA1181" i="11"/>
  <c r="AG1180" i="11"/>
  <c r="AE1180" i="11"/>
  <c r="AD1180" i="11"/>
  <c r="AC1180" i="11"/>
  <c r="AB1180" i="11"/>
  <c r="AA1180" i="11"/>
  <c r="AG1179" i="11"/>
  <c r="AE1179" i="11"/>
  <c r="AD1179" i="11"/>
  <c r="AC1179" i="11"/>
  <c r="AB1179" i="11"/>
  <c r="AA1179" i="11"/>
  <c r="AG1178" i="11"/>
  <c r="AE1178" i="11"/>
  <c r="AD1178" i="11"/>
  <c r="AC1178" i="11"/>
  <c r="AB1178" i="11"/>
  <c r="AA1178" i="11"/>
  <c r="AG1177" i="11"/>
  <c r="AF1177" i="11"/>
  <c r="AE1177" i="11"/>
  <c r="AD1177" i="11"/>
  <c r="AC1177" i="11"/>
  <c r="AB1177" i="11"/>
  <c r="AA1177" i="11"/>
  <c r="AG1176" i="11"/>
  <c r="AE1176" i="11"/>
  <c r="AD1176" i="11"/>
  <c r="AC1176" i="11"/>
  <c r="AB1176" i="11"/>
  <c r="AA1176" i="11"/>
  <c r="AG1175" i="11"/>
  <c r="AE1175" i="11"/>
  <c r="AD1175" i="11"/>
  <c r="AC1175" i="11"/>
  <c r="AB1175" i="11"/>
  <c r="AA1175" i="11"/>
  <c r="AG1174" i="11"/>
  <c r="AE1174" i="11"/>
  <c r="AD1174" i="11"/>
  <c r="AC1174" i="11"/>
  <c r="AB1174" i="11"/>
  <c r="AA1174" i="11"/>
  <c r="AG1173" i="11"/>
  <c r="AE1173" i="11"/>
  <c r="AD1173" i="11"/>
  <c r="AC1173" i="11"/>
  <c r="AB1173" i="11"/>
  <c r="AA1173" i="11"/>
  <c r="AG1172" i="11"/>
  <c r="AE1172" i="11"/>
  <c r="AD1172" i="11"/>
  <c r="AC1172" i="11"/>
  <c r="AB1172" i="11"/>
  <c r="AA1172" i="11"/>
  <c r="AG1171" i="11"/>
  <c r="AE1171" i="11"/>
  <c r="AD1171" i="11"/>
  <c r="AC1171" i="11"/>
  <c r="AB1171" i="11"/>
  <c r="AA1171" i="11"/>
  <c r="AG1170" i="11"/>
  <c r="AE1170" i="11"/>
  <c r="AD1170" i="11"/>
  <c r="AC1170" i="11"/>
  <c r="AB1170" i="11"/>
  <c r="AA1170" i="11"/>
  <c r="AG1169" i="11"/>
  <c r="AE1169" i="11"/>
  <c r="AD1169" i="11"/>
  <c r="AC1169" i="11"/>
  <c r="AB1169" i="11"/>
  <c r="AA1169" i="11"/>
  <c r="AG1168" i="11"/>
  <c r="AF1168" i="11"/>
  <c r="AE1168" i="11"/>
  <c r="AD1168" i="11"/>
  <c r="AC1168" i="11"/>
  <c r="AB1168" i="11"/>
  <c r="AA1168" i="11"/>
  <c r="AG1167" i="11"/>
  <c r="AE1167" i="11"/>
  <c r="AD1167" i="11"/>
  <c r="AC1167" i="11"/>
  <c r="AB1167" i="11"/>
  <c r="AA1167" i="11"/>
  <c r="AG1166" i="11"/>
  <c r="AE1166" i="11"/>
  <c r="AD1166" i="11"/>
  <c r="AC1166" i="11"/>
  <c r="AB1166" i="11"/>
  <c r="AA1166" i="11"/>
  <c r="AG1165" i="11"/>
  <c r="AE1165" i="11"/>
  <c r="AD1165" i="11"/>
  <c r="AC1165" i="11"/>
  <c r="AB1165" i="11"/>
  <c r="AA1165" i="11"/>
  <c r="AG1164" i="11"/>
  <c r="AE1164" i="11"/>
  <c r="AD1164" i="11"/>
  <c r="AC1164" i="11"/>
  <c r="AB1164" i="11"/>
  <c r="AA1164" i="11"/>
  <c r="AG1163" i="11"/>
  <c r="AE1163" i="11"/>
  <c r="AD1163" i="11"/>
  <c r="AC1163" i="11"/>
  <c r="AB1163" i="11"/>
  <c r="AA1163" i="11"/>
  <c r="AG1162" i="11"/>
  <c r="AF1162" i="11"/>
  <c r="AE1162" i="11"/>
  <c r="AD1162" i="11"/>
  <c r="AC1162" i="11"/>
  <c r="AB1162" i="11"/>
  <c r="AA1162" i="11"/>
  <c r="AG1161" i="11"/>
  <c r="AF1161" i="11"/>
  <c r="AE1161" i="11"/>
  <c r="AD1161" i="11"/>
  <c r="AC1161" i="11"/>
  <c r="AB1161" i="11"/>
  <c r="AA1161" i="11"/>
  <c r="AG1160" i="11"/>
  <c r="AE1160" i="11"/>
  <c r="AD1160" i="11"/>
  <c r="AC1160" i="11"/>
  <c r="AB1160" i="11"/>
  <c r="AA1160" i="11"/>
  <c r="AG1159" i="11"/>
  <c r="AE1159" i="11"/>
  <c r="AD1159" i="11"/>
  <c r="AC1159" i="11"/>
  <c r="AB1159" i="11"/>
  <c r="AA1159" i="11"/>
  <c r="AG1158" i="11"/>
  <c r="AE1158" i="11"/>
  <c r="AD1158" i="11"/>
  <c r="AC1158" i="11"/>
  <c r="AB1158" i="11"/>
  <c r="AA1158" i="11"/>
  <c r="AG1157" i="11"/>
  <c r="AE1157" i="11"/>
  <c r="AD1157" i="11"/>
  <c r="AC1157" i="11"/>
  <c r="AB1157" i="11"/>
  <c r="AA1157" i="11"/>
  <c r="AG1156" i="11"/>
  <c r="AE1156" i="11"/>
  <c r="AD1156" i="11"/>
  <c r="AC1156" i="11"/>
  <c r="AB1156" i="11"/>
  <c r="AA1156" i="11"/>
  <c r="AG1155" i="11"/>
  <c r="AF1155" i="11"/>
  <c r="AE1155" i="11"/>
  <c r="AD1155" i="11"/>
  <c r="AC1155" i="11"/>
  <c r="AB1155" i="11"/>
  <c r="AA1155" i="11"/>
  <c r="AG1154" i="11"/>
  <c r="AE1154" i="11"/>
  <c r="AD1154" i="11"/>
  <c r="AC1154" i="11"/>
  <c r="AB1154" i="11"/>
  <c r="AA1154" i="11"/>
  <c r="AG1153" i="11"/>
  <c r="AE1153" i="11"/>
  <c r="AD1153" i="11"/>
  <c r="AC1153" i="11"/>
  <c r="AB1153" i="11"/>
  <c r="AA1153" i="11"/>
  <c r="AG1152" i="11"/>
  <c r="AE1152" i="11"/>
  <c r="AD1152" i="11"/>
  <c r="AC1152" i="11"/>
  <c r="AB1152" i="11"/>
  <c r="AA1152" i="11"/>
  <c r="AG1151" i="11"/>
  <c r="AE1151" i="11"/>
  <c r="AD1151" i="11"/>
  <c r="AC1151" i="11"/>
  <c r="AB1151" i="11"/>
  <c r="AA1151" i="11"/>
  <c r="AG1150" i="11"/>
  <c r="AF1150" i="11"/>
  <c r="AE1150" i="11"/>
  <c r="AD1150" i="11"/>
  <c r="AC1150" i="11"/>
  <c r="AB1150" i="11"/>
  <c r="AA1150" i="11"/>
  <c r="AG1149" i="11"/>
  <c r="AE1149" i="11"/>
  <c r="AD1149" i="11"/>
  <c r="AC1149" i="11"/>
  <c r="AB1149" i="11"/>
  <c r="AA1149" i="11"/>
  <c r="AG1148" i="11"/>
  <c r="AE1148" i="11"/>
  <c r="AD1148" i="11"/>
  <c r="AC1148" i="11"/>
  <c r="AB1148" i="11"/>
  <c r="AA1148" i="11"/>
  <c r="AG1147" i="11"/>
  <c r="AE1147" i="11"/>
  <c r="AD1147" i="11"/>
  <c r="AC1147" i="11"/>
  <c r="AB1147" i="11"/>
  <c r="AA1147" i="11"/>
  <c r="AG1146" i="11"/>
  <c r="AE1146" i="11"/>
  <c r="AD1146" i="11"/>
  <c r="AC1146" i="11"/>
  <c r="AB1146" i="11"/>
  <c r="AA1146" i="11"/>
  <c r="AG1145" i="11"/>
  <c r="AE1145" i="11"/>
  <c r="AD1145" i="11"/>
  <c r="AC1145" i="11"/>
  <c r="AB1145" i="11"/>
  <c r="AA1145" i="11"/>
  <c r="AG1144" i="11"/>
  <c r="AE1144" i="11"/>
  <c r="AD1144" i="11"/>
  <c r="AC1144" i="11"/>
  <c r="AB1144" i="11"/>
  <c r="AA1144" i="11"/>
  <c r="AG1143" i="11"/>
  <c r="AE1143" i="11"/>
  <c r="AD1143" i="11"/>
  <c r="AC1143" i="11"/>
  <c r="AB1143" i="11"/>
  <c r="AA1143" i="11"/>
  <c r="AG1142" i="11"/>
  <c r="AE1142" i="11"/>
  <c r="AD1142" i="11"/>
  <c r="AC1142" i="11"/>
  <c r="AB1142" i="11"/>
  <c r="AA1142" i="11"/>
  <c r="AG1141" i="11"/>
  <c r="AF1141" i="11"/>
  <c r="AE1141" i="11"/>
  <c r="AD1141" i="11"/>
  <c r="AC1141" i="11"/>
  <c r="AB1141" i="11"/>
  <c r="AA1141" i="11"/>
  <c r="AG1140" i="11"/>
  <c r="AE1140" i="11"/>
  <c r="AD1140" i="11"/>
  <c r="AC1140" i="11"/>
  <c r="AB1140" i="11"/>
  <c r="AA1140" i="11"/>
  <c r="AG1139" i="11"/>
  <c r="AE1139" i="11"/>
  <c r="AD1139" i="11"/>
  <c r="AC1139" i="11"/>
  <c r="AB1139" i="11"/>
  <c r="AA1139" i="11"/>
  <c r="AG1138" i="11"/>
  <c r="AF1138" i="11"/>
  <c r="AE1138" i="11"/>
  <c r="AD1138" i="11"/>
  <c r="AC1138" i="11"/>
  <c r="AB1138" i="11"/>
  <c r="AA1138" i="11"/>
  <c r="AG1137" i="11"/>
  <c r="AF1137" i="11"/>
  <c r="AE1137" i="11"/>
  <c r="AD1137" i="11"/>
  <c r="AC1137" i="11"/>
  <c r="AB1137" i="11"/>
  <c r="AA1137" i="11"/>
  <c r="AG1136" i="11"/>
  <c r="AF1136" i="11"/>
  <c r="AE1136" i="11"/>
  <c r="AD1136" i="11"/>
  <c r="AC1136" i="11"/>
  <c r="AB1136" i="11"/>
  <c r="AA1136" i="11"/>
  <c r="AG1135" i="11"/>
  <c r="AF1135" i="11"/>
  <c r="AE1135" i="11"/>
  <c r="AD1135" i="11"/>
  <c r="AC1135" i="11"/>
  <c r="AB1135" i="11"/>
  <c r="AA1135" i="11"/>
  <c r="AG1134" i="11"/>
  <c r="AE1134" i="11"/>
  <c r="AD1134" i="11"/>
  <c r="AC1134" i="11"/>
  <c r="AB1134" i="11"/>
  <c r="AA1134" i="11"/>
  <c r="AG1133" i="11"/>
  <c r="AF1133" i="11"/>
  <c r="AE1133" i="11"/>
  <c r="AD1133" i="11"/>
  <c r="AC1133" i="11"/>
  <c r="AB1133" i="11"/>
  <c r="AA1133" i="11"/>
  <c r="AG1132" i="11"/>
  <c r="AE1132" i="11"/>
  <c r="AD1132" i="11"/>
  <c r="AC1132" i="11"/>
  <c r="AB1132" i="11"/>
  <c r="AA1132" i="11"/>
  <c r="AG1131" i="11"/>
  <c r="AE1131" i="11"/>
  <c r="AD1131" i="11"/>
  <c r="AC1131" i="11"/>
  <c r="AB1131" i="11"/>
  <c r="AA1131" i="11"/>
  <c r="AG1130" i="11"/>
  <c r="AE1130" i="11"/>
  <c r="AD1130" i="11"/>
  <c r="AC1130" i="11"/>
  <c r="AB1130" i="11"/>
  <c r="AA1130" i="11"/>
  <c r="AG1129" i="11"/>
  <c r="AE1129" i="11"/>
  <c r="AD1129" i="11"/>
  <c r="AC1129" i="11"/>
  <c r="AB1129" i="11"/>
  <c r="AA1129" i="11"/>
  <c r="AG1128" i="11"/>
  <c r="AE1128" i="11"/>
  <c r="AD1128" i="11"/>
  <c r="AC1128" i="11"/>
  <c r="AB1128" i="11"/>
  <c r="AA1128" i="11"/>
  <c r="AG1127" i="11"/>
  <c r="AF1127" i="11"/>
  <c r="AE1127" i="11"/>
  <c r="AD1127" i="11"/>
  <c r="AC1127" i="11"/>
  <c r="AB1127" i="11"/>
  <c r="AA1127" i="11"/>
  <c r="AG1126" i="11"/>
  <c r="AE1126" i="11"/>
  <c r="AD1126" i="11"/>
  <c r="AC1126" i="11"/>
  <c r="AB1126" i="11"/>
  <c r="AA1126" i="11"/>
  <c r="AG1125" i="11"/>
  <c r="AF1125" i="11"/>
  <c r="AE1125" i="11"/>
  <c r="AD1125" i="11"/>
  <c r="AC1125" i="11"/>
  <c r="AB1125" i="11"/>
  <c r="AA1125" i="11"/>
  <c r="AG1124" i="11"/>
  <c r="AF1124" i="11"/>
  <c r="AE1124" i="11"/>
  <c r="AD1124" i="11"/>
  <c r="AC1124" i="11"/>
  <c r="AB1124" i="11"/>
  <c r="AA1124" i="11"/>
  <c r="AG1123" i="11"/>
  <c r="AF1123" i="11"/>
  <c r="AE1123" i="11"/>
  <c r="AD1123" i="11"/>
  <c r="AC1123" i="11"/>
  <c r="AB1123" i="11"/>
  <c r="AA1123" i="11"/>
  <c r="AG1122" i="11"/>
  <c r="AF1122" i="11"/>
  <c r="AE1122" i="11"/>
  <c r="AD1122" i="11"/>
  <c r="AC1122" i="11"/>
  <c r="AB1122" i="11"/>
  <c r="AA1122" i="11"/>
  <c r="AG1121" i="11"/>
  <c r="AE1121" i="11"/>
  <c r="AD1121" i="11"/>
  <c r="AC1121" i="11"/>
  <c r="AB1121" i="11"/>
  <c r="AA1121" i="11"/>
  <c r="AG1120" i="11"/>
  <c r="AE1120" i="11"/>
  <c r="AD1120" i="11"/>
  <c r="AC1120" i="11"/>
  <c r="AB1120" i="11"/>
  <c r="AA1120" i="11"/>
  <c r="AG1119" i="11"/>
  <c r="AE1119" i="11"/>
  <c r="AD1119" i="11"/>
  <c r="AC1119" i="11"/>
  <c r="AB1119" i="11"/>
  <c r="AA1119" i="11"/>
  <c r="AG1118" i="11"/>
  <c r="AE1118" i="11"/>
  <c r="AD1118" i="11"/>
  <c r="AC1118" i="11"/>
  <c r="AB1118" i="11"/>
  <c r="AA1118" i="11"/>
  <c r="AG1117" i="11"/>
  <c r="AE1117" i="11"/>
  <c r="AD1117" i="11"/>
  <c r="AC1117" i="11"/>
  <c r="AB1117" i="11"/>
  <c r="AA1117" i="11"/>
  <c r="AG1116" i="11"/>
  <c r="AE1116" i="11"/>
  <c r="AD1116" i="11"/>
  <c r="AC1116" i="11"/>
  <c r="AB1116" i="11"/>
  <c r="AA1116" i="11"/>
  <c r="AG1115" i="11"/>
  <c r="AE1115" i="11"/>
  <c r="AD1115" i="11"/>
  <c r="AC1115" i="11"/>
  <c r="AB1115" i="11"/>
  <c r="AA1115" i="11"/>
  <c r="AG1114" i="11"/>
  <c r="AF1114" i="11"/>
  <c r="AE1114" i="11"/>
  <c r="AD1114" i="11"/>
  <c r="AC1114" i="11"/>
  <c r="AB1114" i="11"/>
  <c r="AA1114" i="11"/>
  <c r="AG1113" i="11"/>
  <c r="AE1113" i="11"/>
  <c r="AD1113" i="11"/>
  <c r="AC1113" i="11"/>
  <c r="AB1113" i="11"/>
  <c r="AA1113" i="11"/>
  <c r="AG1112" i="11"/>
  <c r="AE1112" i="11"/>
  <c r="AD1112" i="11"/>
  <c r="AC1112" i="11"/>
  <c r="AB1112" i="11"/>
  <c r="AA1112" i="11"/>
  <c r="AG1111" i="11"/>
  <c r="AF1111" i="11"/>
  <c r="AE1111" i="11"/>
  <c r="AD1111" i="11"/>
  <c r="AC1111" i="11"/>
  <c r="AB1111" i="11"/>
  <c r="AA1111" i="11"/>
  <c r="AG1110" i="11"/>
  <c r="AE1110" i="11"/>
  <c r="AD1110" i="11"/>
  <c r="AC1110" i="11"/>
  <c r="AB1110" i="11"/>
  <c r="AA1110" i="11"/>
  <c r="AG1109" i="11"/>
  <c r="AE1109" i="11"/>
  <c r="AD1109" i="11"/>
  <c r="AC1109" i="11"/>
  <c r="AB1109" i="11"/>
  <c r="AA1109" i="11"/>
  <c r="AG1108" i="11"/>
  <c r="AE1108" i="11"/>
  <c r="AD1108" i="11"/>
  <c r="AC1108" i="11"/>
  <c r="AB1108" i="11"/>
  <c r="AA1108" i="11"/>
  <c r="AG1107" i="11"/>
  <c r="AE1107" i="11"/>
  <c r="AD1107" i="11"/>
  <c r="AC1107" i="11"/>
  <c r="AB1107" i="11"/>
  <c r="AA1107" i="11"/>
  <c r="AG1106" i="11"/>
  <c r="AE1106" i="11"/>
  <c r="AD1106" i="11"/>
  <c r="AC1106" i="11"/>
  <c r="AB1106" i="11"/>
  <c r="AA1106" i="11"/>
  <c r="AG1105" i="11"/>
  <c r="AE1105" i="11"/>
  <c r="AD1105" i="11"/>
  <c r="AC1105" i="11"/>
  <c r="AB1105" i="11"/>
  <c r="AA1105" i="11"/>
  <c r="AG1104" i="11"/>
  <c r="AE1104" i="11"/>
  <c r="AD1104" i="11"/>
  <c r="AC1104" i="11"/>
  <c r="AB1104" i="11"/>
  <c r="AA1104" i="11"/>
  <c r="AG1103" i="11"/>
  <c r="AE1103" i="11"/>
  <c r="AD1103" i="11"/>
  <c r="AC1103" i="11"/>
  <c r="AB1103" i="11"/>
  <c r="AA1103" i="11"/>
  <c r="AG1102" i="11"/>
  <c r="AE1102" i="11"/>
  <c r="AD1102" i="11"/>
  <c r="AC1102" i="11"/>
  <c r="AB1102" i="11"/>
  <c r="AA1102" i="11"/>
  <c r="AG1101" i="11"/>
  <c r="AF1101" i="11"/>
  <c r="AE1101" i="11"/>
  <c r="AD1101" i="11"/>
  <c r="AC1101" i="11"/>
  <c r="AB1101" i="11"/>
  <c r="AA1101" i="11"/>
  <c r="AG1100" i="11"/>
  <c r="AF1100" i="11"/>
  <c r="AE1100" i="11"/>
  <c r="AD1100" i="11"/>
  <c r="AC1100" i="11"/>
  <c r="AB1100" i="11"/>
  <c r="AA1100" i="11"/>
  <c r="AG1099" i="11"/>
  <c r="AF1099" i="11"/>
  <c r="AE1099" i="11"/>
  <c r="AD1099" i="11"/>
  <c r="AC1099" i="11"/>
  <c r="AB1099" i="11"/>
  <c r="AA1099" i="11"/>
  <c r="AG1098" i="11"/>
  <c r="AE1098" i="11"/>
  <c r="AD1098" i="11"/>
  <c r="AC1098" i="11"/>
  <c r="AB1098" i="11"/>
  <c r="AA1098" i="11"/>
  <c r="AG1097" i="11"/>
  <c r="AE1097" i="11"/>
  <c r="AD1097" i="11"/>
  <c r="AC1097" i="11"/>
  <c r="AB1097" i="11"/>
  <c r="AA1097" i="11"/>
  <c r="AG1096" i="11"/>
  <c r="AE1096" i="11"/>
  <c r="AD1096" i="11"/>
  <c r="AC1096" i="11"/>
  <c r="AB1096" i="11"/>
  <c r="AA1096" i="11"/>
  <c r="AG1095" i="11"/>
  <c r="AE1095" i="11"/>
  <c r="AD1095" i="11"/>
  <c r="AC1095" i="11"/>
  <c r="AB1095" i="11"/>
  <c r="AA1095" i="11"/>
  <c r="AG1094" i="11"/>
  <c r="AE1094" i="11"/>
  <c r="AD1094" i="11"/>
  <c r="AC1094" i="11"/>
  <c r="AB1094" i="11"/>
  <c r="AA1094" i="11"/>
  <c r="AG1093" i="11"/>
  <c r="AE1093" i="11"/>
  <c r="AD1093" i="11"/>
  <c r="AC1093" i="11"/>
  <c r="AB1093" i="11"/>
  <c r="AA1093" i="11"/>
  <c r="AG1092" i="11"/>
  <c r="AE1092" i="11"/>
  <c r="AD1092" i="11"/>
  <c r="AC1092" i="11"/>
  <c r="AB1092" i="11"/>
  <c r="AA1092" i="11"/>
  <c r="AG1091" i="11"/>
  <c r="AE1091" i="11"/>
  <c r="AD1091" i="11"/>
  <c r="AC1091" i="11"/>
  <c r="AB1091" i="11"/>
  <c r="AA1091" i="11"/>
  <c r="AG1090" i="11"/>
  <c r="AE1090" i="11"/>
  <c r="AD1090" i="11"/>
  <c r="AC1090" i="11"/>
  <c r="AB1090" i="11"/>
  <c r="AA1090" i="11"/>
  <c r="AG1089" i="11"/>
  <c r="AE1089" i="11"/>
  <c r="AD1089" i="11"/>
  <c r="AC1089" i="11"/>
  <c r="AB1089" i="11"/>
  <c r="AA1089" i="11"/>
  <c r="AG1088" i="11"/>
  <c r="AE1088" i="11"/>
  <c r="AD1088" i="11"/>
  <c r="AC1088" i="11"/>
  <c r="AB1088" i="11"/>
  <c r="AA1088" i="11"/>
  <c r="AG1087" i="11"/>
  <c r="AE1087" i="11"/>
  <c r="AD1087" i="11"/>
  <c r="AC1087" i="11"/>
  <c r="AB1087" i="11"/>
  <c r="AA1087" i="11"/>
  <c r="AG1086" i="11"/>
  <c r="AF1086" i="11"/>
  <c r="AE1086" i="11"/>
  <c r="AD1086" i="11"/>
  <c r="AC1086" i="11"/>
  <c r="AB1086" i="11"/>
  <c r="AA1086" i="11"/>
  <c r="AG1085" i="11"/>
  <c r="AE1085" i="11"/>
  <c r="AD1085" i="11"/>
  <c r="AC1085" i="11"/>
  <c r="AB1085" i="11"/>
  <c r="AA1085" i="11"/>
  <c r="AG1084" i="11"/>
  <c r="AF1084" i="11"/>
  <c r="AE1084" i="11"/>
  <c r="AD1084" i="11"/>
  <c r="AC1084" i="11"/>
  <c r="AB1084" i="11"/>
  <c r="AA1084" i="11"/>
  <c r="AG1083" i="11"/>
  <c r="AE1083" i="11"/>
  <c r="AD1083" i="11"/>
  <c r="AC1083" i="11"/>
  <c r="AB1083" i="11"/>
  <c r="AA1083" i="11"/>
  <c r="AG1082" i="11"/>
  <c r="AF1082" i="11"/>
  <c r="AE1082" i="11"/>
  <c r="AD1082" i="11"/>
  <c r="AC1082" i="11"/>
  <c r="AB1082" i="11"/>
  <c r="AA1082" i="11"/>
  <c r="AG1081" i="11"/>
  <c r="AE1081" i="11"/>
  <c r="AD1081" i="11"/>
  <c r="AC1081" i="11"/>
  <c r="AB1081" i="11"/>
  <c r="AA1081" i="11"/>
  <c r="AG1080" i="11"/>
  <c r="AF1080" i="11"/>
  <c r="AE1080" i="11"/>
  <c r="AD1080" i="11"/>
  <c r="AC1080" i="11"/>
  <c r="AB1080" i="11"/>
  <c r="AA1080" i="11"/>
  <c r="AG1079" i="11"/>
  <c r="AE1079" i="11"/>
  <c r="AD1079" i="11"/>
  <c r="AC1079" i="11"/>
  <c r="AB1079" i="11"/>
  <c r="AA1079" i="11"/>
  <c r="AG1078" i="11"/>
  <c r="AF1078" i="11"/>
  <c r="AE1078" i="11"/>
  <c r="AD1078" i="11"/>
  <c r="AC1078" i="11"/>
  <c r="AB1078" i="11"/>
  <c r="AA1078" i="11"/>
  <c r="AG1077" i="11"/>
  <c r="AE1077" i="11"/>
  <c r="AD1077" i="11"/>
  <c r="AC1077" i="11"/>
  <c r="AB1077" i="11"/>
  <c r="AA1077" i="11"/>
  <c r="AG1076" i="11"/>
  <c r="AF1076" i="11"/>
  <c r="AE1076" i="11"/>
  <c r="AD1076" i="11"/>
  <c r="AC1076" i="11"/>
  <c r="AB1076" i="11"/>
  <c r="AA1076" i="11"/>
  <c r="AG1075" i="11"/>
  <c r="AE1075" i="11"/>
  <c r="AD1075" i="11"/>
  <c r="AC1075" i="11"/>
  <c r="AB1075" i="11"/>
  <c r="AA1075" i="11"/>
  <c r="AG1074" i="11"/>
  <c r="AE1074" i="11"/>
  <c r="AD1074" i="11"/>
  <c r="AC1074" i="11"/>
  <c r="AB1074" i="11"/>
  <c r="AA1074" i="11"/>
  <c r="AG1073" i="11"/>
  <c r="AE1073" i="11"/>
  <c r="AD1073" i="11"/>
  <c r="AC1073" i="11"/>
  <c r="AB1073" i="11"/>
  <c r="AA1073" i="11"/>
  <c r="AG1072" i="11"/>
  <c r="AE1072" i="11"/>
  <c r="AD1072" i="11"/>
  <c r="AC1072" i="11"/>
  <c r="AB1072" i="11"/>
  <c r="AA1072" i="11"/>
  <c r="AG1071" i="11"/>
  <c r="AE1071" i="11"/>
  <c r="AD1071" i="11"/>
  <c r="AC1071" i="11"/>
  <c r="AB1071" i="11"/>
  <c r="AA1071" i="11"/>
  <c r="AG1070" i="11"/>
  <c r="AE1070" i="11"/>
  <c r="AD1070" i="11"/>
  <c r="AC1070" i="11"/>
  <c r="AB1070" i="11"/>
  <c r="AA1070" i="11"/>
  <c r="AG1069" i="11"/>
  <c r="AE1069" i="11"/>
  <c r="AD1069" i="11"/>
  <c r="AC1069" i="11"/>
  <c r="AB1069" i="11"/>
  <c r="AA1069" i="11"/>
  <c r="AG1068" i="11"/>
  <c r="AE1068" i="11"/>
  <c r="AD1068" i="11"/>
  <c r="AC1068" i="11"/>
  <c r="AB1068" i="11"/>
  <c r="AA1068" i="11"/>
  <c r="AG1067" i="11"/>
  <c r="AE1067" i="11"/>
  <c r="AD1067" i="11"/>
  <c r="AC1067" i="11"/>
  <c r="AB1067" i="11"/>
  <c r="AA1067" i="11"/>
  <c r="AG1066" i="11"/>
  <c r="AE1066" i="11"/>
  <c r="AD1066" i="11"/>
  <c r="AC1066" i="11"/>
  <c r="AB1066" i="11"/>
  <c r="AA1066" i="11"/>
  <c r="AG1065" i="11"/>
  <c r="AE1065" i="11"/>
  <c r="AD1065" i="11"/>
  <c r="AC1065" i="11"/>
  <c r="AB1065" i="11"/>
  <c r="AA1065" i="11"/>
  <c r="AG1064" i="11"/>
  <c r="AE1064" i="11"/>
  <c r="AD1064" i="11"/>
  <c r="AC1064" i="11"/>
  <c r="AB1064" i="11"/>
  <c r="AA1064" i="11"/>
  <c r="AG1063" i="11"/>
  <c r="AF1063" i="11"/>
  <c r="AE1063" i="11"/>
  <c r="AD1063" i="11"/>
  <c r="AC1063" i="11"/>
  <c r="AB1063" i="11"/>
  <c r="AA1063" i="11"/>
  <c r="AG1062" i="11"/>
  <c r="AE1062" i="11"/>
  <c r="AD1062" i="11"/>
  <c r="AC1062" i="11"/>
  <c r="AB1062" i="11"/>
  <c r="AA1062" i="11"/>
  <c r="AG1061" i="11"/>
  <c r="AE1061" i="11"/>
  <c r="AD1061" i="11"/>
  <c r="AC1061" i="11"/>
  <c r="AB1061" i="11"/>
  <c r="AA1061" i="11"/>
  <c r="AG1060" i="11"/>
  <c r="AE1060" i="11"/>
  <c r="AD1060" i="11"/>
  <c r="AC1060" i="11"/>
  <c r="AB1060" i="11"/>
  <c r="AA1060" i="11"/>
  <c r="AG1059" i="11"/>
  <c r="AF1059" i="11"/>
  <c r="AE1059" i="11"/>
  <c r="AD1059" i="11"/>
  <c r="AC1059" i="11"/>
  <c r="AB1059" i="11"/>
  <c r="AA1059" i="11"/>
  <c r="AG1058" i="11"/>
  <c r="AE1058" i="11"/>
  <c r="AD1058" i="11"/>
  <c r="AC1058" i="11"/>
  <c r="AB1058" i="11"/>
  <c r="AA1058" i="11"/>
  <c r="AG1057" i="11"/>
  <c r="AE1057" i="11"/>
  <c r="AD1057" i="11"/>
  <c r="AC1057" i="11"/>
  <c r="AB1057" i="11"/>
  <c r="AA1057" i="11"/>
  <c r="AG1056" i="11"/>
  <c r="AE1056" i="11"/>
  <c r="AD1056" i="11"/>
  <c r="AC1056" i="11"/>
  <c r="AB1056" i="11"/>
  <c r="AA1056" i="11"/>
  <c r="AG1055" i="11"/>
  <c r="AE1055" i="11"/>
  <c r="AD1055" i="11"/>
  <c r="AC1055" i="11"/>
  <c r="AB1055" i="11"/>
  <c r="AA1055" i="11"/>
  <c r="AG1054" i="11"/>
  <c r="AE1054" i="11"/>
  <c r="AD1054" i="11"/>
  <c r="AC1054" i="11"/>
  <c r="AB1054" i="11"/>
  <c r="AA1054" i="11"/>
  <c r="AG1053" i="11"/>
  <c r="AE1053" i="11"/>
  <c r="AD1053" i="11"/>
  <c r="AC1053" i="11"/>
  <c r="AB1053" i="11"/>
  <c r="AA1053" i="11"/>
  <c r="AG1052" i="11"/>
  <c r="AE1052" i="11"/>
  <c r="AD1052" i="11"/>
  <c r="AC1052" i="11"/>
  <c r="AB1052" i="11"/>
  <c r="AA1052" i="11"/>
  <c r="AG1051" i="11"/>
  <c r="AE1051" i="11"/>
  <c r="AD1051" i="11"/>
  <c r="AC1051" i="11"/>
  <c r="AB1051" i="11"/>
  <c r="AA1051" i="11"/>
  <c r="AG1050" i="11"/>
  <c r="AE1050" i="11"/>
  <c r="AD1050" i="11"/>
  <c r="AC1050" i="11"/>
  <c r="AB1050" i="11"/>
  <c r="AA1050" i="11"/>
  <c r="AG1049" i="11"/>
  <c r="AE1049" i="11"/>
  <c r="AD1049" i="11"/>
  <c r="AC1049" i="11"/>
  <c r="AB1049" i="11"/>
  <c r="AA1049" i="11"/>
  <c r="AG1048" i="11"/>
  <c r="AE1048" i="11"/>
  <c r="AD1048" i="11"/>
  <c r="AC1048" i="11"/>
  <c r="AB1048" i="11"/>
  <c r="AA1048" i="11"/>
  <c r="AG1047" i="11"/>
  <c r="AE1047" i="11"/>
  <c r="AD1047" i="11"/>
  <c r="AC1047" i="11"/>
  <c r="AB1047" i="11"/>
  <c r="AA1047" i="11"/>
  <c r="AG1046" i="11"/>
  <c r="AE1046" i="11"/>
  <c r="AD1046" i="11"/>
  <c r="AC1046" i="11"/>
  <c r="AB1046" i="11"/>
  <c r="AA1046" i="11"/>
  <c r="AG1045" i="11"/>
  <c r="AE1045" i="11"/>
  <c r="AD1045" i="11"/>
  <c r="AC1045" i="11"/>
  <c r="AB1045" i="11"/>
  <c r="AA1045" i="11"/>
  <c r="AG1044" i="11"/>
  <c r="AE1044" i="11"/>
  <c r="AD1044" i="11"/>
  <c r="AC1044" i="11"/>
  <c r="AB1044" i="11"/>
  <c r="AA1044" i="11"/>
  <c r="AG1043" i="11"/>
  <c r="AF1043" i="11"/>
  <c r="AE1043" i="11"/>
  <c r="AD1043" i="11"/>
  <c r="AC1043" i="11"/>
  <c r="AB1043" i="11"/>
  <c r="AA1043" i="11"/>
  <c r="AG1042" i="11"/>
  <c r="AE1042" i="11"/>
  <c r="AD1042" i="11"/>
  <c r="AC1042" i="11"/>
  <c r="AB1042" i="11"/>
  <c r="AA1042" i="11"/>
  <c r="AG1041" i="11"/>
  <c r="AE1041" i="11"/>
  <c r="AD1041" i="11"/>
  <c r="AC1041" i="11"/>
  <c r="AB1041" i="11"/>
  <c r="AA1041" i="11"/>
  <c r="AG1040" i="11"/>
  <c r="AE1040" i="11"/>
  <c r="AD1040" i="11"/>
  <c r="AC1040" i="11"/>
  <c r="AB1040" i="11"/>
  <c r="AA1040" i="11"/>
  <c r="AG1039" i="11"/>
  <c r="AE1039" i="11"/>
  <c r="AD1039" i="11"/>
  <c r="AC1039" i="11"/>
  <c r="AB1039" i="11"/>
  <c r="AA1039" i="11"/>
  <c r="AG1038" i="11"/>
  <c r="AE1038" i="11"/>
  <c r="AD1038" i="11"/>
  <c r="AC1038" i="11"/>
  <c r="AB1038" i="11"/>
  <c r="AA1038" i="11"/>
  <c r="AG1037" i="11"/>
  <c r="AF1037" i="11"/>
  <c r="AE1037" i="11"/>
  <c r="AD1037" i="11"/>
  <c r="AC1037" i="11"/>
  <c r="AB1037" i="11"/>
  <c r="AA1037" i="11"/>
  <c r="AG1036" i="11"/>
  <c r="AE1036" i="11"/>
  <c r="AD1036" i="11"/>
  <c r="AC1036" i="11"/>
  <c r="AB1036" i="11"/>
  <c r="AA1036" i="11"/>
  <c r="AG1035" i="11"/>
  <c r="AE1035" i="11"/>
  <c r="AD1035" i="11"/>
  <c r="AC1035" i="11"/>
  <c r="AB1035" i="11"/>
  <c r="AA1035" i="11"/>
  <c r="AG1034" i="11"/>
  <c r="AE1034" i="11"/>
  <c r="AD1034" i="11"/>
  <c r="AC1034" i="11"/>
  <c r="AB1034" i="11"/>
  <c r="AA1034" i="11"/>
  <c r="AG1033" i="11"/>
  <c r="AF1033" i="11"/>
  <c r="AE1033" i="11"/>
  <c r="AD1033" i="11"/>
  <c r="AC1033" i="11"/>
  <c r="AB1033" i="11"/>
  <c r="AA1033" i="11"/>
  <c r="AG1032" i="11"/>
  <c r="AE1032" i="11"/>
  <c r="AD1032" i="11"/>
  <c r="AC1032" i="11"/>
  <c r="AB1032" i="11"/>
  <c r="AA1032" i="11"/>
  <c r="AG1031" i="11"/>
  <c r="AF1031" i="11"/>
  <c r="AE1031" i="11"/>
  <c r="AD1031" i="11"/>
  <c r="AC1031" i="11"/>
  <c r="AB1031" i="11"/>
  <c r="AA1031" i="11"/>
  <c r="AG1030" i="11"/>
  <c r="AE1030" i="11"/>
  <c r="AD1030" i="11"/>
  <c r="AC1030" i="11"/>
  <c r="AB1030" i="11"/>
  <c r="AA1030" i="11"/>
  <c r="AG1029" i="11"/>
  <c r="AF1029" i="11"/>
  <c r="AE1029" i="11"/>
  <c r="AD1029" i="11"/>
  <c r="AC1029" i="11"/>
  <c r="AB1029" i="11"/>
  <c r="AA1029" i="11"/>
  <c r="AG1028" i="11"/>
  <c r="AE1028" i="11"/>
  <c r="AD1028" i="11"/>
  <c r="AC1028" i="11"/>
  <c r="AB1028" i="11"/>
  <c r="AA1028" i="11"/>
  <c r="AG1027" i="11"/>
  <c r="AE1027" i="11"/>
  <c r="AD1027" i="11"/>
  <c r="AC1027" i="11"/>
  <c r="AB1027" i="11"/>
  <c r="AA1027" i="11"/>
  <c r="AG1026" i="11"/>
  <c r="AE1026" i="11"/>
  <c r="AD1026" i="11"/>
  <c r="AC1026" i="11"/>
  <c r="AB1026" i="11"/>
  <c r="AA1026" i="11"/>
  <c r="AG1025" i="11"/>
  <c r="AF1025" i="11"/>
  <c r="AE1025" i="11"/>
  <c r="AD1025" i="11"/>
  <c r="AC1025" i="11"/>
  <c r="AB1025" i="11"/>
  <c r="AA1025" i="11"/>
  <c r="AG1024" i="11"/>
  <c r="AE1024" i="11"/>
  <c r="AD1024" i="11"/>
  <c r="AC1024" i="11"/>
  <c r="AB1024" i="11"/>
  <c r="AA1024" i="11"/>
  <c r="AG1023" i="11"/>
  <c r="AE1023" i="11"/>
  <c r="AD1023" i="11"/>
  <c r="AC1023" i="11"/>
  <c r="AB1023" i="11"/>
  <c r="AA1023" i="11"/>
  <c r="AG1022" i="11"/>
  <c r="AF1022" i="11"/>
  <c r="AE1022" i="11"/>
  <c r="AD1022" i="11"/>
  <c r="AC1022" i="11"/>
  <c r="AB1022" i="11"/>
  <c r="AA1022" i="11"/>
  <c r="AG1021" i="11"/>
  <c r="AE1021" i="11"/>
  <c r="AD1021" i="11"/>
  <c r="AC1021" i="11"/>
  <c r="AB1021" i="11"/>
  <c r="AA1021" i="11"/>
  <c r="AG1020" i="11"/>
  <c r="AE1020" i="11"/>
  <c r="AD1020" i="11"/>
  <c r="AC1020" i="11"/>
  <c r="AB1020" i="11"/>
  <c r="AA1020" i="11"/>
  <c r="AG1019" i="11"/>
  <c r="AE1019" i="11"/>
  <c r="AD1019" i="11"/>
  <c r="AC1019" i="11"/>
  <c r="AB1019" i="11"/>
  <c r="AA1019" i="11"/>
  <c r="AG1018" i="11"/>
  <c r="AF1018" i="11"/>
  <c r="AE1018" i="11"/>
  <c r="AD1018" i="11"/>
  <c r="AC1018" i="11"/>
  <c r="AB1018" i="11"/>
  <c r="AA1018" i="11"/>
  <c r="AG1017" i="11"/>
  <c r="AF1017" i="11"/>
  <c r="AE1017" i="11"/>
  <c r="AD1017" i="11"/>
  <c r="AC1017" i="11"/>
  <c r="AB1017" i="11"/>
  <c r="AA1017" i="11"/>
  <c r="AG1016" i="11"/>
  <c r="AE1016" i="11"/>
  <c r="AD1016" i="11"/>
  <c r="AC1016" i="11"/>
  <c r="AB1016" i="11"/>
  <c r="AA1016" i="11"/>
  <c r="AG1015" i="11"/>
  <c r="AE1015" i="11"/>
  <c r="AD1015" i="11"/>
  <c r="AC1015" i="11"/>
  <c r="AB1015" i="11"/>
  <c r="AA1015" i="11"/>
  <c r="AG1014" i="11"/>
  <c r="AF1014" i="11"/>
  <c r="AE1014" i="11"/>
  <c r="AD1014" i="11"/>
  <c r="AC1014" i="11"/>
  <c r="AB1014" i="11"/>
  <c r="AA1014" i="11"/>
  <c r="AG1013" i="11"/>
  <c r="AE1013" i="11"/>
  <c r="AD1013" i="11"/>
  <c r="AC1013" i="11"/>
  <c r="AB1013" i="11"/>
  <c r="AA1013" i="11"/>
  <c r="AG1012" i="11"/>
  <c r="AE1012" i="11"/>
  <c r="AD1012" i="11"/>
  <c r="AC1012" i="11"/>
  <c r="AB1012" i="11"/>
  <c r="AA1012" i="11"/>
  <c r="AG1011" i="11"/>
  <c r="AE1011" i="11"/>
  <c r="AD1011" i="11"/>
  <c r="AC1011" i="11"/>
  <c r="AB1011" i="11"/>
  <c r="AA1011" i="11"/>
  <c r="AG1010" i="11"/>
  <c r="AE1010" i="11"/>
  <c r="AD1010" i="11"/>
  <c r="AC1010" i="11"/>
  <c r="AB1010" i="11"/>
  <c r="AA1010" i="11"/>
  <c r="AG1009" i="11"/>
  <c r="AE1009" i="11"/>
  <c r="AD1009" i="11"/>
  <c r="AC1009" i="11"/>
  <c r="AB1009" i="11"/>
  <c r="AA1009" i="11"/>
  <c r="AG1008" i="11"/>
  <c r="AE1008" i="11"/>
  <c r="AD1008" i="11"/>
  <c r="AC1008" i="11"/>
  <c r="AB1008" i="11"/>
  <c r="AA1008" i="11"/>
  <c r="AG1007" i="11"/>
  <c r="AE1007" i="11"/>
  <c r="AD1007" i="11"/>
  <c r="AC1007" i="11"/>
  <c r="AB1007" i="11"/>
  <c r="AA1007" i="11"/>
  <c r="AG1006" i="11"/>
  <c r="AE1006" i="11"/>
  <c r="AD1006" i="11"/>
  <c r="AC1006" i="11"/>
  <c r="AB1006" i="11"/>
  <c r="AA1006" i="11"/>
  <c r="AG1005" i="11"/>
  <c r="AF1005" i="11"/>
  <c r="AE1005" i="11"/>
  <c r="AD1005" i="11"/>
  <c r="AC1005" i="11"/>
  <c r="AB1005" i="11"/>
  <c r="AA1005" i="11"/>
  <c r="AG1004" i="11"/>
  <c r="AE1004" i="11"/>
  <c r="AD1004" i="11"/>
  <c r="AC1004" i="11"/>
  <c r="AB1004" i="11"/>
  <c r="AA1004" i="11"/>
  <c r="AG1003" i="11"/>
  <c r="AE1003" i="11"/>
  <c r="AD1003" i="11"/>
  <c r="AC1003" i="11"/>
  <c r="AB1003" i="11"/>
  <c r="AA1003" i="11"/>
  <c r="AG1002" i="11"/>
  <c r="AF1002" i="11"/>
  <c r="AE1002" i="11"/>
  <c r="AD1002" i="11"/>
  <c r="AC1002" i="11"/>
  <c r="AB1002" i="11"/>
  <c r="AA1002" i="11"/>
  <c r="AG1001" i="11"/>
  <c r="AE1001" i="11"/>
  <c r="AD1001" i="11"/>
  <c r="AC1001" i="11"/>
  <c r="AB1001" i="11"/>
  <c r="AA1001" i="11"/>
  <c r="AG1000" i="11"/>
  <c r="AE1000" i="11"/>
  <c r="AD1000" i="11"/>
  <c r="AC1000" i="11"/>
  <c r="AB1000" i="11"/>
  <c r="AA1000" i="11"/>
  <c r="AG999" i="11"/>
  <c r="AE999" i="11"/>
  <c r="AD999" i="11"/>
  <c r="AC999" i="11"/>
  <c r="AB999" i="11"/>
  <c r="AA999" i="11"/>
  <c r="AG998" i="11"/>
  <c r="AE998" i="11"/>
  <c r="AD998" i="11"/>
  <c r="AC998" i="11"/>
  <c r="AB998" i="11"/>
  <c r="AA998" i="11"/>
  <c r="AG997" i="11"/>
  <c r="AE997" i="11"/>
  <c r="AD997" i="11"/>
  <c r="AC997" i="11"/>
  <c r="AB997" i="11"/>
  <c r="AA997" i="11"/>
  <c r="AG996" i="11"/>
  <c r="AF996" i="11"/>
  <c r="AE996" i="11"/>
  <c r="AD996" i="11"/>
  <c r="AC996" i="11"/>
  <c r="AB996" i="11"/>
  <c r="AA996" i="11"/>
  <c r="AG995" i="11"/>
  <c r="AE995" i="11"/>
  <c r="AD995" i="11"/>
  <c r="AC995" i="11"/>
  <c r="AB995" i="11"/>
  <c r="AA995" i="11"/>
  <c r="AG994" i="11"/>
  <c r="AF994" i="11"/>
  <c r="AE994" i="11"/>
  <c r="AD994" i="11"/>
  <c r="AC994" i="11"/>
  <c r="AB994" i="11"/>
  <c r="AA994" i="11"/>
  <c r="AG993" i="11"/>
  <c r="AE993" i="11"/>
  <c r="AD993" i="11"/>
  <c r="AC993" i="11"/>
  <c r="AB993" i="11"/>
  <c r="AA993" i="11"/>
  <c r="AG992" i="11"/>
  <c r="AE992" i="11"/>
  <c r="AD992" i="11"/>
  <c r="AC992" i="11"/>
  <c r="AB992" i="11"/>
  <c r="AA992" i="11"/>
  <c r="AG991" i="11"/>
  <c r="AF991" i="11"/>
  <c r="AE991" i="11"/>
  <c r="AD991" i="11"/>
  <c r="AC991" i="11"/>
  <c r="AB991" i="11"/>
  <c r="AA991" i="11"/>
  <c r="AG990" i="11"/>
  <c r="AE990" i="11"/>
  <c r="AD990" i="11"/>
  <c r="AC990" i="11"/>
  <c r="AB990" i="11"/>
  <c r="AA990" i="11"/>
  <c r="AG989" i="11"/>
  <c r="AF989" i="11"/>
  <c r="AE989" i="11"/>
  <c r="AD989" i="11"/>
  <c r="AC989" i="11"/>
  <c r="AB989" i="11"/>
  <c r="AA989" i="11"/>
  <c r="AG988" i="11"/>
  <c r="AF988" i="11"/>
  <c r="AE988" i="11"/>
  <c r="AD988" i="11"/>
  <c r="AC988" i="11"/>
  <c r="AB988" i="11"/>
  <c r="AA988" i="11"/>
  <c r="AG987" i="11"/>
  <c r="AE987" i="11"/>
  <c r="AD987" i="11"/>
  <c r="AC987" i="11"/>
  <c r="AB987" i="11"/>
  <c r="AA987" i="11"/>
  <c r="AG986" i="11"/>
  <c r="AF986" i="11"/>
  <c r="AE986" i="11"/>
  <c r="AD986" i="11"/>
  <c r="AC986" i="11"/>
  <c r="AB986" i="11"/>
  <c r="AA986" i="11"/>
  <c r="AG985" i="11"/>
  <c r="AE985" i="11"/>
  <c r="AD985" i="11"/>
  <c r="AC985" i="11"/>
  <c r="AB985" i="11"/>
  <c r="AA985" i="11"/>
  <c r="AG984" i="11"/>
  <c r="AE984" i="11"/>
  <c r="AD984" i="11"/>
  <c r="AC984" i="11"/>
  <c r="AB984" i="11"/>
  <c r="AA984" i="11"/>
  <c r="AG983" i="11"/>
  <c r="AF983" i="11"/>
  <c r="AE983" i="11"/>
  <c r="AD983" i="11"/>
  <c r="AC983" i="11"/>
  <c r="AB983" i="11"/>
  <c r="AA983" i="11"/>
  <c r="AG982" i="11"/>
  <c r="AE982" i="11"/>
  <c r="AD982" i="11"/>
  <c r="AC982" i="11"/>
  <c r="AB982" i="11"/>
  <c r="AA982" i="11"/>
  <c r="AG981" i="11"/>
  <c r="AF981" i="11"/>
  <c r="AE981" i="11"/>
  <c r="AD981" i="11"/>
  <c r="AC981" i="11"/>
  <c r="AB981" i="11"/>
  <c r="AA981" i="11"/>
  <c r="AG980" i="11"/>
  <c r="AE980" i="11"/>
  <c r="AD980" i="11"/>
  <c r="AC980" i="11"/>
  <c r="AB980" i="11"/>
  <c r="AA980" i="11"/>
  <c r="AG979" i="11"/>
  <c r="AE979" i="11"/>
  <c r="AD979" i="11"/>
  <c r="AC979" i="11"/>
  <c r="AB979" i="11"/>
  <c r="AA979" i="11"/>
  <c r="AG978" i="11"/>
  <c r="AE978" i="11"/>
  <c r="AD978" i="11"/>
  <c r="AC978" i="11"/>
  <c r="AB978" i="11"/>
  <c r="AA978" i="11"/>
  <c r="AG977" i="11"/>
  <c r="AE977" i="11"/>
  <c r="AD977" i="11"/>
  <c r="AC977" i="11"/>
  <c r="AB977" i="11"/>
  <c r="AA977" i="11"/>
  <c r="AG976" i="11"/>
  <c r="AF976" i="11"/>
  <c r="AE976" i="11"/>
  <c r="AD976" i="11"/>
  <c r="AC976" i="11"/>
  <c r="AB976" i="11"/>
  <c r="AA976" i="11"/>
  <c r="AG975" i="11"/>
  <c r="AE975" i="11"/>
  <c r="AD975" i="11"/>
  <c r="AC975" i="11"/>
  <c r="AB975" i="11"/>
  <c r="AA975" i="11"/>
  <c r="AG974" i="11"/>
  <c r="AF974" i="11"/>
  <c r="AE974" i="11"/>
  <c r="AD974" i="11"/>
  <c r="AC974" i="11"/>
  <c r="AB974" i="11"/>
  <c r="AA974" i="11"/>
  <c r="AG973" i="11"/>
  <c r="AE973" i="11"/>
  <c r="AD973" i="11"/>
  <c r="AC973" i="11"/>
  <c r="AB973" i="11"/>
  <c r="AA973" i="11"/>
  <c r="AG972" i="11"/>
  <c r="AE972" i="11"/>
  <c r="AD972" i="11"/>
  <c r="AC972" i="11"/>
  <c r="AB972" i="11"/>
  <c r="AA972" i="11"/>
  <c r="AG971" i="11"/>
  <c r="AE971" i="11"/>
  <c r="AD971" i="11"/>
  <c r="AC971" i="11"/>
  <c r="AB971" i="11"/>
  <c r="AA971" i="11"/>
  <c r="AG970" i="11"/>
  <c r="AE970" i="11"/>
  <c r="AD970" i="11"/>
  <c r="AC970" i="11"/>
  <c r="AB970" i="11"/>
  <c r="AA970" i="11"/>
  <c r="AG969" i="11"/>
  <c r="AE969" i="11"/>
  <c r="AD969" i="11"/>
  <c r="AC969" i="11"/>
  <c r="AB969" i="11"/>
  <c r="AA969" i="11"/>
  <c r="AG968" i="11"/>
  <c r="AE968" i="11"/>
  <c r="AD968" i="11"/>
  <c r="AC968" i="11"/>
  <c r="AB968" i="11"/>
  <c r="AA968" i="11"/>
  <c r="AG967" i="11"/>
  <c r="AF967" i="11"/>
  <c r="AE967" i="11"/>
  <c r="AD967" i="11"/>
  <c r="AC967" i="11"/>
  <c r="AB967" i="11"/>
  <c r="AA967" i="11"/>
  <c r="AG966" i="11"/>
  <c r="AF966" i="11"/>
  <c r="AE966" i="11"/>
  <c r="AD966" i="11"/>
  <c r="AC966" i="11"/>
  <c r="AB966" i="11"/>
  <c r="AA966" i="11"/>
  <c r="AG965" i="11"/>
  <c r="AE965" i="11"/>
  <c r="AD965" i="11"/>
  <c r="AC965" i="11"/>
  <c r="AB965" i="11"/>
  <c r="AA965" i="11"/>
  <c r="AG964" i="11"/>
  <c r="AE964" i="11"/>
  <c r="AD964" i="11"/>
  <c r="AC964" i="11"/>
  <c r="AB964" i="11"/>
  <c r="AA964" i="11"/>
  <c r="AG963" i="11"/>
  <c r="AE963" i="11"/>
  <c r="AD963" i="11"/>
  <c r="AC963" i="11"/>
  <c r="AB963" i="11"/>
  <c r="AA963" i="11"/>
  <c r="AG962" i="11"/>
  <c r="AE962" i="11"/>
  <c r="AD962" i="11"/>
  <c r="AC962" i="11"/>
  <c r="AB962" i="11"/>
  <c r="AA962" i="11"/>
  <c r="AG961" i="11"/>
  <c r="AE961" i="11"/>
  <c r="AD961" i="11"/>
  <c r="AC961" i="11"/>
  <c r="AB961" i="11"/>
  <c r="AA961" i="11"/>
  <c r="AG960" i="11"/>
  <c r="AE960" i="11"/>
  <c r="AD960" i="11"/>
  <c r="AC960" i="11"/>
  <c r="AB960" i="11"/>
  <c r="AA960" i="11"/>
  <c r="AG959" i="11"/>
  <c r="AF959" i="11"/>
  <c r="AE959" i="11"/>
  <c r="AD959" i="11"/>
  <c r="AC959" i="11"/>
  <c r="AB959" i="11"/>
  <c r="AA959" i="11"/>
  <c r="AG958" i="11"/>
  <c r="AE958" i="11"/>
  <c r="AD958" i="11"/>
  <c r="AC958" i="11"/>
  <c r="AB958" i="11"/>
  <c r="AA958" i="11"/>
  <c r="AG957" i="11"/>
  <c r="AE957" i="11"/>
  <c r="AD957" i="11"/>
  <c r="AC957" i="11"/>
  <c r="AB957" i="11"/>
  <c r="AA957" i="11"/>
  <c r="AG956" i="11"/>
  <c r="AE956" i="11"/>
  <c r="AD956" i="11"/>
  <c r="AC956" i="11"/>
  <c r="AB956" i="11"/>
  <c r="AA956" i="11"/>
  <c r="AG955" i="11"/>
  <c r="AE955" i="11"/>
  <c r="AD955" i="11"/>
  <c r="AC955" i="11"/>
  <c r="AB955" i="11"/>
  <c r="AA955" i="11"/>
  <c r="AG954" i="11"/>
  <c r="AE954" i="11"/>
  <c r="AD954" i="11"/>
  <c r="AC954" i="11"/>
  <c r="AB954" i="11"/>
  <c r="AA954" i="11"/>
  <c r="AG953" i="11"/>
  <c r="AE953" i="11"/>
  <c r="AD953" i="11"/>
  <c r="AC953" i="11"/>
  <c r="AB953" i="11"/>
  <c r="AA953" i="11"/>
  <c r="AG952" i="11"/>
  <c r="AE952" i="11"/>
  <c r="AD952" i="11"/>
  <c r="AC952" i="11"/>
  <c r="AB952" i="11"/>
  <c r="AA952" i="11"/>
  <c r="AG951" i="11"/>
  <c r="AE951" i="11"/>
  <c r="AD951" i="11"/>
  <c r="AC951" i="11"/>
  <c r="AB951" i="11"/>
  <c r="AA951" i="11"/>
  <c r="AG950" i="11"/>
  <c r="AF950" i="11"/>
  <c r="AE950" i="11"/>
  <c r="AD950" i="11"/>
  <c r="AC950" i="11"/>
  <c r="AB950" i="11"/>
  <c r="AA950" i="11"/>
  <c r="AG949" i="11"/>
  <c r="AE949" i="11"/>
  <c r="AD949" i="11"/>
  <c r="AC949" i="11"/>
  <c r="AB949" i="11"/>
  <c r="AA949" i="11"/>
  <c r="AG948" i="11"/>
  <c r="AF948" i="11"/>
  <c r="AE948" i="11"/>
  <c r="AD948" i="11"/>
  <c r="AC948" i="11"/>
  <c r="AB948" i="11"/>
  <c r="AA948" i="11"/>
  <c r="AG947" i="11"/>
  <c r="AE947" i="11"/>
  <c r="AD947" i="11"/>
  <c r="AC947" i="11"/>
  <c r="AB947" i="11"/>
  <c r="AA947" i="11"/>
  <c r="AG946" i="11"/>
  <c r="AE946" i="11"/>
  <c r="AD946" i="11"/>
  <c r="AC946" i="11"/>
  <c r="AB946" i="11"/>
  <c r="AA946" i="11"/>
  <c r="AG945" i="11"/>
  <c r="AE945" i="11"/>
  <c r="AD945" i="11"/>
  <c r="AC945" i="11"/>
  <c r="AB945" i="11"/>
  <c r="AA945" i="11"/>
  <c r="AG944" i="11"/>
  <c r="AE944" i="11"/>
  <c r="AD944" i="11"/>
  <c r="AC944" i="11"/>
  <c r="AB944" i="11"/>
  <c r="AA944" i="11"/>
  <c r="AG943" i="11"/>
  <c r="AE943" i="11"/>
  <c r="AD943" i="11"/>
  <c r="AC943" i="11"/>
  <c r="AB943" i="11"/>
  <c r="AA943" i="11"/>
  <c r="AG942" i="11"/>
  <c r="AE942" i="11"/>
  <c r="AD942" i="11"/>
  <c r="AC942" i="11"/>
  <c r="AB942" i="11"/>
  <c r="AA942" i="11"/>
  <c r="AG941" i="11"/>
  <c r="AE941" i="11"/>
  <c r="AD941" i="11"/>
  <c r="AC941" i="11"/>
  <c r="AB941" i="11"/>
  <c r="AA941" i="11"/>
  <c r="AG940" i="11"/>
  <c r="AE940" i="11"/>
  <c r="AD940" i="11"/>
  <c r="AC940" i="11"/>
  <c r="AB940" i="11"/>
  <c r="AA940" i="11"/>
  <c r="AG939" i="11"/>
  <c r="AE939" i="11"/>
  <c r="AD939" i="11"/>
  <c r="AC939" i="11"/>
  <c r="AB939" i="11"/>
  <c r="AA939" i="11"/>
  <c r="AG938" i="11"/>
  <c r="AE938" i="11"/>
  <c r="AD938" i="11"/>
  <c r="AC938" i="11"/>
  <c r="AB938" i="11"/>
  <c r="AA938" i="11"/>
  <c r="AG937" i="11"/>
  <c r="AE937" i="11"/>
  <c r="AD937" i="11"/>
  <c r="AC937" i="11"/>
  <c r="AB937" i="11"/>
  <c r="AA937" i="11"/>
  <c r="AG936" i="11"/>
  <c r="AE936" i="11"/>
  <c r="AD936" i="11"/>
  <c r="AC936" i="11"/>
  <c r="AB936" i="11"/>
  <c r="AA936" i="11"/>
  <c r="AG935" i="11"/>
  <c r="AE935" i="11"/>
  <c r="AD935" i="11"/>
  <c r="AC935" i="11"/>
  <c r="AB935" i="11"/>
  <c r="AA935" i="11"/>
  <c r="AG934" i="11"/>
  <c r="AE934" i="11"/>
  <c r="AD934" i="11"/>
  <c r="AC934" i="11"/>
  <c r="AB934" i="11"/>
  <c r="AA934" i="11"/>
  <c r="AG933" i="11"/>
  <c r="AE933" i="11"/>
  <c r="AD933" i="11"/>
  <c r="AC933" i="11"/>
  <c r="AB933" i="11"/>
  <c r="AA933" i="11"/>
  <c r="AG932" i="11"/>
  <c r="AE932" i="11"/>
  <c r="AD932" i="11"/>
  <c r="AC932" i="11"/>
  <c r="AB932" i="11"/>
  <c r="AA932" i="11"/>
  <c r="AG931" i="11"/>
  <c r="AE931" i="11"/>
  <c r="AD931" i="11"/>
  <c r="AC931" i="11"/>
  <c r="AB931" i="11"/>
  <c r="AA931" i="11"/>
  <c r="AG930" i="11"/>
  <c r="AF930" i="11"/>
  <c r="AE930" i="11"/>
  <c r="AD930" i="11"/>
  <c r="AC930" i="11"/>
  <c r="AB930" i="11"/>
  <c r="AA930" i="11"/>
  <c r="AG929" i="11"/>
  <c r="AE929" i="11"/>
  <c r="AD929" i="11"/>
  <c r="AC929" i="11"/>
  <c r="AB929" i="11"/>
  <c r="AA929" i="11"/>
  <c r="AG928" i="11"/>
  <c r="AE928" i="11"/>
  <c r="AD928" i="11"/>
  <c r="AC928" i="11"/>
  <c r="AB928" i="11"/>
  <c r="AA928" i="11"/>
  <c r="AG927" i="11"/>
  <c r="AE927" i="11"/>
  <c r="AD927" i="11"/>
  <c r="AC927" i="11"/>
  <c r="AB927" i="11"/>
  <c r="AA927" i="11"/>
  <c r="AG926" i="11"/>
  <c r="AE926" i="11"/>
  <c r="AD926" i="11"/>
  <c r="AC926" i="11"/>
  <c r="AB926" i="11"/>
  <c r="AA926" i="11"/>
  <c r="AG925" i="11"/>
  <c r="AE925" i="11"/>
  <c r="AD925" i="11"/>
  <c r="AC925" i="11"/>
  <c r="AB925" i="11"/>
  <c r="AA925" i="11"/>
  <c r="AG924" i="11"/>
  <c r="AE924" i="11"/>
  <c r="AD924" i="11"/>
  <c r="AC924" i="11"/>
  <c r="AB924" i="11"/>
  <c r="AA924" i="11"/>
  <c r="AG923" i="11"/>
  <c r="AF923" i="11"/>
  <c r="AE923" i="11"/>
  <c r="AD923" i="11"/>
  <c r="AC923" i="11"/>
  <c r="AB923" i="11"/>
  <c r="AA923" i="11"/>
  <c r="AG922" i="11"/>
  <c r="AE922" i="11"/>
  <c r="AD922" i="11"/>
  <c r="AC922" i="11"/>
  <c r="AB922" i="11"/>
  <c r="AA922" i="11"/>
  <c r="AG921" i="11"/>
  <c r="AE921" i="11"/>
  <c r="AD921" i="11"/>
  <c r="AC921" i="11"/>
  <c r="AB921" i="11"/>
  <c r="AA921" i="11"/>
  <c r="AG920" i="11"/>
  <c r="AF920" i="11"/>
  <c r="AE920" i="11"/>
  <c r="AD920" i="11"/>
  <c r="AC920" i="11"/>
  <c r="AB920" i="11"/>
  <c r="AA920" i="11"/>
  <c r="AG919" i="11"/>
  <c r="AF919" i="11"/>
  <c r="AE919" i="11"/>
  <c r="AD919" i="11"/>
  <c r="AC919" i="11"/>
  <c r="AB919" i="11"/>
  <c r="AA919" i="11"/>
  <c r="AG918" i="11"/>
  <c r="AE918" i="11"/>
  <c r="AD918" i="11"/>
  <c r="AC918" i="11"/>
  <c r="AB918" i="11"/>
  <c r="AA918" i="11"/>
  <c r="AG917" i="11"/>
  <c r="AE917" i="11"/>
  <c r="AD917" i="11"/>
  <c r="AC917" i="11"/>
  <c r="AB917" i="11"/>
  <c r="AA917" i="11"/>
  <c r="AG916" i="11"/>
  <c r="AF916" i="11"/>
  <c r="AE916" i="11"/>
  <c r="AD916" i="11"/>
  <c r="AC916" i="11"/>
  <c r="AB916" i="11"/>
  <c r="AA916" i="11"/>
  <c r="AG915" i="11"/>
  <c r="AE915" i="11"/>
  <c r="AD915" i="11"/>
  <c r="AC915" i="11"/>
  <c r="AB915" i="11"/>
  <c r="AA915" i="11"/>
  <c r="AG914" i="11"/>
  <c r="AE914" i="11"/>
  <c r="AD914" i="11"/>
  <c r="AC914" i="11"/>
  <c r="AB914" i="11"/>
  <c r="AA914" i="11"/>
  <c r="AG913" i="11"/>
  <c r="AE913" i="11"/>
  <c r="AD913" i="11"/>
  <c r="AC913" i="11"/>
  <c r="AB913" i="11"/>
  <c r="AA913" i="11"/>
  <c r="AG912" i="11"/>
  <c r="AE912" i="11"/>
  <c r="AD912" i="11"/>
  <c r="AC912" i="11"/>
  <c r="AB912" i="11"/>
  <c r="AA912" i="11"/>
  <c r="AG911" i="11"/>
  <c r="AE911" i="11"/>
  <c r="AD911" i="11"/>
  <c r="AC911" i="11"/>
  <c r="AB911" i="11"/>
  <c r="AA911" i="11"/>
  <c r="AG910" i="11"/>
  <c r="AF910" i="11"/>
  <c r="AE910" i="11"/>
  <c r="AD910" i="11"/>
  <c r="AC910" i="11"/>
  <c r="AB910" i="11"/>
  <c r="AA910" i="11"/>
  <c r="AG909" i="11"/>
  <c r="AF909" i="11"/>
  <c r="AE909" i="11"/>
  <c r="AD909" i="11"/>
  <c r="AC909" i="11"/>
  <c r="AB909" i="11"/>
  <c r="AA909" i="11"/>
  <c r="AG908" i="11"/>
  <c r="AE908" i="11"/>
  <c r="AD908" i="11"/>
  <c r="AC908" i="11"/>
  <c r="AB908" i="11"/>
  <c r="AA908" i="11"/>
  <c r="AG907" i="11"/>
  <c r="AF907" i="11"/>
  <c r="AE907" i="11"/>
  <c r="AD907" i="11"/>
  <c r="AC907" i="11"/>
  <c r="AB907" i="11"/>
  <c r="AA907" i="11"/>
  <c r="AG906" i="11"/>
  <c r="AF906" i="11"/>
  <c r="AE906" i="11"/>
  <c r="AD906" i="11"/>
  <c r="AC906" i="11"/>
  <c r="AB906" i="11"/>
  <c r="AA906" i="11"/>
  <c r="AG905" i="11"/>
  <c r="AE905" i="11"/>
  <c r="AD905" i="11"/>
  <c r="AC905" i="11"/>
  <c r="AB905" i="11"/>
  <c r="AA905" i="11"/>
  <c r="AG904" i="11"/>
  <c r="AF904" i="11"/>
  <c r="AE904" i="11"/>
  <c r="AD904" i="11"/>
  <c r="AC904" i="11"/>
  <c r="AB904" i="11"/>
  <c r="AA904" i="11"/>
  <c r="AG903" i="11"/>
  <c r="AF903" i="11"/>
  <c r="AE903" i="11"/>
  <c r="AD903" i="11"/>
  <c r="AC903" i="11"/>
  <c r="AB903" i="11"/>
  <c r="AA903" i="11"/>
  <c r="AG902" i="11"/>
  <c r="AE902" i="11"/>
  <c r="AD902" i="11"/>
  <c r="AC902" i="11"/>
  <c r="AB902" i="11"/>
  <c r="AA902" i="11"/>
  <c r="AG901" i="11"/>
  <c r="AE901" i="11"/>
  <c r="AD901" i="11"/>
  <c r="AC901" i="11"/>
  <c r="AB901" i="11"/>
  <c r="AA901" i="11"/>
  <c r="AG900" i="11"/>
  <c r="AE900" i="11"/>
  <c r="AD900" i="11"/>
  <c r="AC900" i="11"/>
  <c r="AB900" i="11"/>
  <c r="AA900" i="11"/>
  <c r="AG899" i="11"/>
  <c r="AE899" i="11"/>
  <c r="AD899" i="11"/>
  <c r="AC899" i="11"/>
  <c r="AB899" i="11"/>
  <c r="AA899" i="11"/>
  <c r="AG898" i="11"/>
  <c r="AE898" i="11"/>
  <c r="AD898" i="11"/>
  <c r="AC898" i="11"/>
  <c r="AB898" i="11"/>
  <c r="AA898" i="11"/>
  <c r="AG897" i="11"/>
  <c r="AE897" i="11"/>
  <c r="AD897" i="11"/>
  <c r="AC897" i="11"/>
  <c r="AB897" i="11"/>
  <c r="AA897" i="11"/>
  <c r="AG896" i="11"/>
  <c r="AE896" i="11"/>
  <c r="AD896" i="11"/>
  <c r="AC896" i="11"/>
  <c r="AB896" i="11"/>
  <c r="AA896" i="11"/>
  <c r="AG895" i="11"/>
  <c r="AE895" i="11"/>
  <c r="AD895" i="11"/>
  <c r="AC895" i="11"/>
  <c r="AB895" i="11"/>
  <c r="AA895" i="11"/>
  <c r="AG894" i="11"/>
  <c r="AE894" i="11"/>
  <c r="AD894" i="11"/>
  <c r="AC894" i="11"/>
  <c r="AB894" i="11"/>
  <c r="AA894" i="11"/>
  <c r="AG893" i="11"/>
  <c r="AF893" i="11"/>
  <c r="AE893" i="11"/>
  <c r="AD893" i="11"/>
  <c r="AC893" i="11"/>
  <c r="AB893" i="11"/>
  <c r="AA893" i="11"/>
  <c r="AG892" i="11"/>
  <c r="AE892" i="11"/>
  <c r="AD892" i="11"/>
  <c r="AC892" i="11"/>
  <c r="AB892" i="11"/>
  <c r="AA892" i="11"/>
  <c r="AG891" i="11"/>
  <c r="AE891" i="11"/>
  <c r="AD891" i="11"/>
  <c r="AC891" i="11"/>
  <c r="AB891" i="11"/>
  <c r="AA891" i="11"/>
  <c r="AG890" i="11"/>
  <c r="AE890" i="11"/>
  <c r="AD890" i="11"/>
  <c r="AC890" i="11"/>
  <c r="AB890" i="11"/>
  <c r="AA890" i="11"/>
  <c r="AG889" i="11"/>
  <c r="AE889" i="11"/>
  <c r="AD889" i="11"/>
  <c r="AC889" i="11"/>
  <c r="AB889" i="11"/>
  <c r="AA889" i="11"/>
  <c r="AG888" i="11"/>
  <c r="AE888" i="11"/>
  <c r="AD888" i="11"/>
  <c r="AC888" i="11"/>
  <c r="AB888" i="11"/>
  <c r="AA888" i="11"/>
  <c r="AG887" i="11"/>
  <c r="AF887" i="11"/>
  <c r="AE887" i="11"/>
  <c r="AD887" i="11"/>
  <c r="AC887" i="11"/>
  <c r="AB887" i="11"/>
  <c r="AA887" i="11"/>
  <c r="AG886" i="11"/>
  <c r="AE886" i="11"/>
  <c r="AD886" i="11"/>
  <c r="AC886" i="11"/>
  <c r="AB886" i="11"/>
  <c r="AA886" i="11"/>
  <c r="AG885" i="11"/>
  <c r="AE885" i="11"/>
  <c r="AD885" i="11"/>
  <c r="AC885" i="11"/>
  <c r="AB885" i="11"/>
  <c r="AA885" i="11"/>
  <c r="AG884" i="11"/>
  <c r="AE884" i="11"/>
  <c r="AD884" i="11"/>
  <c r="AC884" i="11"/>
  <c r="AB884" i="11"/>
  <c r="AA884" i="11"/>
  <c r="AG883" i="11"/>
  <c r="AF883" i="11"/>
  <c r="AE883" i="11"/>
  <c r="AD883" i="11"/>
  <c r="AC883" i="11"/>
  <c r="AB883" i="11"/>
  <c r="AA883" i="11"/>
  <c r="AG882" i="11"/>
  <c r="AE882" i="11"/>
  <c r="AD882" i="11"/>
  <c r="AC882" i="11"/>
  <c r="AB882" i="11"/>
  <c r="AA882" i="11"/>
  <c r="AG881" i="11"/>
  <c r="AE881" i="11"/>
  <c r="AD881" i="11"/>
  <c r="AC881" i="11"/>
  <c r="AB881" i="11"/>
  <c r="AA881" i="11"/>
  <c r="AG880" i="11"/>
  <c r="AE880" i="11"/>
  <c r="AD880" i="11"/>
  <c r="AC880" i="11"/>
  <c r="AB880" i="11"/>
  <c r="AA880" i="11"/>
  <c r="AG879" i="11"/>
  <c r="AE879" i="11"/>
  <c r="AD879" i="11"/>
  <c r="AC879" i="11"/>
  <c r="AB879" i="11"/>
  <c r="AA879" i="11"/>
  <c r="AG878" i="11"/>
  <c r="AF878" i="11"/>
  <c r="AE878" i="11"/>
  <c r="AD878" i="11"/>
  <c r="AC878" i="11"/>
  <c r="AB878" i="11"/>
  <c r="AA878" i="11"/>
  <c r="AG877" i="11"/>
  <c r="AE877" i="11"/>
  <c r="AD877" i="11"/>
  <c r="AC877" i="11"/>
  <c r="AB877" i="11"/>
  <c r="AA877" i="11"/>
  <c r="AG876" i="11"/>
  <c r="AE876" i="11"/>
  <c r="AD876" i="11"/>
  <c r="AC876" i="11"/>
  <c r="AB876" i="11"/>
  <c r="AA876" i="11"/>
  <c r="AG875" i="11"/>
  <c r="AE875" i="11"/>
  <c r="AD875" i="11"/>
  <c r="AC875" i="11"/>
  <c r="AB875" i="11"/>
  <c r="AA875" i="11"/>
  <c r="AG874" i="11"/>
  <c r="AE874" i="11"/>
  <c r="AD874" i="11"/>
  <c r="AC874" i="11"/>
  <c r="AB874" i="11"/>
  <c r="AA874" i="11"/>
  <c r="AG873" i="11"/>
  <c r="AE873" i="11"/>
  <c r="AD873" i="11"/>
  <c r="AC873" i="11"/>
  <c r="AB873" i="11"/>
  <c r="AA873" i="11"/>
  <c r="AG872" i="11"/>
  <c r="AE872" i="11"/>
  <c r="AD872" i="11"/>
  <c r="AC872" i="11"/>
  <c r="AB872" i="11"/>
  <c r="AA872" i="11"/>
  <c r="AG871" i="11"/>
  <c r="AE871" i="11"/>
  <c r="AD871" i="11"/>
  <c r="AC871" i="11"/>
  <c r="AB871" i="11"/>
  <c r="AA871" i="11"/>
  <c r="AG870" i="11"/>
  <c r="AE870" i="11"/>
  <c r="AD870" i="11"/>
  <c r="AC870" i="11"/>
  <c r="AB870" i="11"/>
  <c r="AA870" i="11"/>
  <c r="AG869" i="11"/>
  <c r="AF869" i="11"/>
  <c r="AE869" i="11"/>
  <c r="AD869" i="11"/>
  <c r="AC869" i="11"/>
  <c r="AB869" i="11"/>
  <c r="AA869" i="11"/>
  <c r="AG868" i="11"/>
  <c r="AF868" i="11"/>
  <c r="AE868" i="11"/>
  <c r="AD868" i="11"/>
  <c r="AC868" i="11"/>
  <c r="AB868" i="11"/>
  <c r="AA868" i="11"/>
  <c r="AG867" i="11"/>
  <c r="AE867" i="11"/>
  <c r="AD867" i="11"/>
  <c r="AC867" i="11"/>
  <c r="AB867" i="11"/>
  <c r="AA867" i="11"/>
  <c r="AG866" i="11"/>
  <c r="AE866" i="11"/>
  <c r="AD866" i="11"/>
  <c r="AC866" i="11"/>
  <c r="AB866" i="11"/>
  <c r="AA866" i="11"/>
  <c r="AG865" i="11"/>
  <c r="AE865" i="11"/>
  <c r="AD865" i="11"/>
  <c r="AC865" i="11"/>
  <c r="AB865" i="11"/>
  <c r="AA865" i="11"/>
  <c r="AG864" i="11"/>
  <c r="AE864" i="11"/>
  <c r="AD864" i="11"/>
  <c r="AC864" i="11"/>
  <c r="AB864" i="11"/>
  <c r="AA864" i="11"/>
  <c r="AG863" i="11"/>
  <c r="AE863" i="11"/>
  <c r="AD863" i="11"/>
  <c r="AC863" i="11"/>
  <c r="AB863" i="11"/>
  <c r="AA863" i="11"/>
  <c r="AG862" i="11"/>
  <c r="AE862" i="11"/>
  <c r="AD862" i="11"/>
  <c r="AC862" i="11"/>
  <c r="AB862" i="11"/>
  <c r="AA862" i="11"/>
  <c r="AG861" i="11"/>
  <c r="AE861" i="11"/>
  <c r="AD861" i="11"/>
  <c r="AC861" i="11"/>
  <c r="AB861" i="11"/>
  <c r="AA861" i="11"/>
  <c r="AG860" i="11"/>
  <c r="AF860" i="11"/>
  <c r="AE860" i="11"/>
  <c r="AD860" i="11"/>
  <c r="AC860" i="11"/>
  <c r="AB860" i="11"/>
  <c r="AA860" i="11"/>
  <c r="AG859" i="11"/>
  <c r="AE859" i="11"/>
  <c r="AD859" i="11"/>
  <c r="AC859" i="11"/>
  <c r="AB859" i="11"/>
  <c r="AA859" i="11"/>
  <c r="AG858" i="11"/>
  <c r="AF858" i="11"/>
  <c r="AE858" i="11"/>
  <c r="AD858" i="11"/>
  <c r="AC858" i="11"/>
  <c r="AB858" i="11"/>
  <c r="AA858" i="11"/>
  <c r="AG857" i="11"/>
  <c r="AF857" i="11"/>
  <c r="AE857" i="11"/>
  <c r="AD857" i="11"/>
  <c r="AC857" i="11"/>
  <c r="AB857" i="11"/>
  <c r="AA857" i="11"/>
  <c r="AG856" i="11"/>
  <c r="AE856" i="11"/>
  <c r="AD856" i="11"/>
  <c r="AC856" i="11"/>
  <c r="AB856" i="11"/>
  <c r="AA856" i="11"/>
  <c r="AG855" i="11"/>
  <c r="AF855" i="11"/>
  <c r="AE855" i="11"/>
  <c r="AD855" i="11"/>
  <c r="AC855" i="11"/>
  <c r="AB855" i="11"/>
  <c r="AA855" i="11"/>
  <c r="AG854" i="11"/>
  <c r="AE854" i="11"/>
  <c r="AD854" i="11"/>
  <c r="AC854" i="11"/>
  <c r="AB854" i="11"/>
  <c r="AA854" i="11"/>
  <c r="AG853" i="11"/>
  <c r="AF853" i="11"/>
  <c r="AE853" i="11"/>
  <c r="AD853" i="11"/>
  <c r="AC853" i="11"/>
  <c r="AB853" i="11"/>
  <c r="AA853" i="11"/>
  <c r="AG852" i="11"/>
  <c r="AE852" i="11"/>
  <c r="AD852" i="11"/>
  <c r="AC852" i="11"/>
  <c r="AB852" i="11"/>
  <c r="AA852" i="11"/>
  <c r="AG851" i="11"/>
  <c r="AE851" i="11"/>
  <c r="AD851" i="11"/>
  <c r="AC851" i="11"/>
  <c r="AB851" i="11"/>
  <c r="AA851" i="11"/>
  <c r="AG850" i="11"/>
  <c r="AE850" i="11"/>
  <c r="AD850" i="11"/>
  <c r="AC850" i="11"/>
  <c r="AB850" i="11"/>
  <c r="AA850" i="11"/>
  <c r="AG849" i="11"/>
  <c r="AE849" i="11"/>
  <c r="AD849" i="11"/>
  <c r="AC849" i="11"/>
  <c r="AB849" i="11"/>
  <c r="AA849" i="11"/>
  <c r="AG848" i="11"/>
  <c r="AE848" i="11"/>
  <c r="AD848" i="11"/>
  <c r="AC848" i="11"/>
  <c r="AB848" i="11"/>
  <c r="AA848" i="11"/>
  <c r="AG847" i="11"/>
  <c r="AE847" i="11"/>
  <c r="AD847" i="11"/>
  <c r="AC847" i="11"/>
  <c r="AB847" i="11"/>
  <c r="AA847" i="11"/>
  <c r="AG846" i="11"/>
  <c r="AE846" i="11"/>
  <c r="AD846" i="11"/>
  <c r="AC846" i="11"/>
  <c r="AB846" i="11"/>
  <c r="AA846" i="11"/>
  <c r="AG845" i="11"/>
  <c r="AE845" i="11"/>
  <c r="AD845" i="11"/>
  <c r="AC845" i="11"/>
  <c r="AB845" i="11"/>
  <c r="AA845" i="11"/>
  <c r="AG844" i="11"/>
  <c r="AE844" i="11"/>
  <c r="AD844" i="11"/>
  <c r="AC844" i="11"/>
  <c r="AB844" i="11"/>
  <c r="AA844" i="11"/>
  <c r="AG843" i="11"/>
  <c r="AE843" i="11"/>
  <c r="AD843" i="11"/>
  <c r="AC843" i="11"/>
  <c r="AB843" i="11"/>
  <c r="AA843" i="11"/>
  <c r="AG842" i="11"/>
  <c r="AE842" i="11"/>
  <c r="AD842" i="11"/>
  <c r="AC842" i="11"/>
  <c r="AB842" i="11"/>
  <c r="AA842" i="11"/>
  <c r="AG841" i="11"/>
  <c r="AE841" i="11"/>
  <c r="AD841" i="11"/>
  <c r="AC841" i="11"/>
  <c r="AB841" i="11"/>
  <c r="AA841" i="11"/>
  <c r="AG840" i="11"/>
  <c r="AE840" i="11"/>
  <c r="AD840" i="11"/>
  <c r="AC840" i="11"/>
  <c r="AB840" i="11"/>
  <c r="AA840" i="11"/>
  <c r="AG839" i="11"/>
  <c r="AE839" i="11"/>
  <c r="AD839" i="11"/>
  <c r="AC839" i="11"/>
  <c r="AB839" i="11"/>
  <c r="AA839" i="11"/>
  <c r="AG838" i="11"/>
  <c r="AF838" i="11"/>
  <c r="AE838" i="11"/>
  <c r="AD838" i="11"/>
  <c r="AC838" i="11"/>
  <c r="AB838" i="11"/>
  <c r="AA838" i="11"/>
  <c r="AG837" i="11"/>
  <c r="AE837" i="11"/>
  <c r="AD837" i="11"/>
  <c r="AC837" i="11"/>
  <c r="AB837" i="11"/>
  <c r="AA837" i="11"/>
  <c r="AG836" i="11"/>
  <c r="AE836" i="11"/>
  <c r="AD836" i="11"/>
  <c r="AC836" i="11"/>
  <c r="AB836" i="11"/>
  <c r="AA836" i="11"/>
  <c r="AG835" i="11"/>
  <c r="AE835" i="11"/>
  <c r="AD835" i="11"/>
  <c r="AC835" i="11"/>
  <c r="AB835" i="11"/>
  <c r="AA835" i="11"/>
  <c r="AG834" i="11"/>
  <c r="AE834" i="11"/>
  <c r="AD834" i="11"/>
  <c r="AC834" i="11"/>
  <c r="AB834" i="11"/>
  <c r="AA834" i="11"/>
  <c r="AG833" i="11"/>
  <c r="AE833" i="11"/>
  <c r="AD833" i="11"/>
  <c r="AC833" i="11"/>
  <c r="AB833" i="11"/>
  <c r="AA833" i="11"/>
  <c r="AG832" i="11"/>
  <c r="AE832" i="11"/>
  <c r="AD832" i="11"/>
  <c r="AC832" i="11"/>
  <c r="AB832" i="11"/>
  <c r="AA832" i="11"/>
  <c r="AG831" i="11"/>
  <c r="AE831" i="11"/>
  <c r="AD831" i="11"/>
  <c r="AC831" i="11"/>
  <c r="AB831" i="11"/>
  <c r="AA831" i="11"/>
  <c r="AG830" i="11"/>
  <c r="AE830" i="11"/>
  <c r="AD830" i="11"/>
  <c r="AC830" i="11"/>
  <c r="AB830" i="11"/>
  <c r="AA830" i="11"/>
  <c r="AG829" i="11"/>
  <c r="AF829" i="11"/>
  <c r="AE829" i="11"/>
  <c r="AD829" i="11"/>
  <c r="AC829" i="11"/>
  <c r="AB829" i="11"/>
  <c r="AA829" i="11"/>
  <c r="AG828" i="11"/>
  <c r="AE828" i="11"/>
  <c r="AD828" i="11"/>
  <c r="AC828" i="11"/>
  <c r="AB828" i="11"/>
  <c r="AA828" i="11"/>
  <c r="AG827" i="11"/>
  <c r="AF827" i="11"/>
  <c r="AE827" i="11"/>
  <c r="AD827" i="11"/>
  <c r="AC827" i="11"/>
  <c r="AB827" i="11"/>
  <c r="AA827" i="11"/>
  <c r="AG826" i="11"/>
  <c r="AF826" i="11"/>
  <c r="AE826" i="11"/>
  <c r="AD826" i="11"/>
  <c r="AC826" i="11"/>
  <c r="AB826" i="11"/>
  <c r="AA826" i="11"/>
  <c r="AG825" i="11"/>
  <c r="AE825" i="11"/>
  <c r="AD825" i="11"/>
  <c r="AC825" i="11"/>
  <c r="AB825" i="11"/>
  <c r="AA825" i="11"/>
  <c r="AG824" i="11"/>
  <c r="AE824" i="11"/>
  <c r="AD824" i="11"/>
  <c r="AC824" i="11"/>
  <c r="AB824" i="11"/>
  <c r="AA824" i="11"/>
  <c r="AG823" i="11"/>
  <c r="AE823" i="11"/>
  <c r="AD823" i="11"/>
  <c r="AC823" i="11"/>
  <c r="AB823" i="11"/>
  <c r="AA823" i="11"/>
  <c r="AG822" i="11"/>
  <c r="AE822" i="11"/>
  <c r="AD822" i="11"/>
  <c r="AC822" i="11"/>
  <c r="AB822" i="11"/>
  <c r="AA822" i="11"/>
  <c r="AG821" i="11"/>
  <c r="AE821" i="11"/>
  <c r="AD821" i="11"/>
  <c r="AC821" i="11"/>
  <c r="AB821" i="11"/>
  <c r="AA821" i="11"/>
  <c r="AG820" i="11"/>
  <c r="AE820" i="11"/>
  <c r="AD820" i="11"/>
  <c r="AC820" i="11"/>
  <c r="AB820" i="11"/>
  <c r="AA820" i="11"/>
  <c r="AG819" i="11"/>
  <c r="AE819" i="11"/>
  <c r="AD819" i="11"/>
  <c r="AC819" i="11"/>
  <c r="AB819" i="11"/>
  <c r="AA819" i="11"/>
  <c r="AG818" i="11"/>
  <c r="AE818" i="11"/>
  <c r="AD818" i="11"/>
  <c r="AC818" i="11"/>
  <c r="AB818" i="11"/>
  <c r="AA818" i="11"/>
  <c r="AG817" i="11"/>
  <c r="AF817" i="11"/>
  <c r="AE817" i="11"/>
  <c r="AD817" i="11"/>
  <c r="AC817" i="11"/>
  <c r="AB817" i="11"/>
  <c r="AA817" i="11"/>
  <c r="AG816" i="11"/>
  <c r="AE816" i="11"/>
  <c r="AD816" i="11"/>
  <c r="AC816" i="11"/>
  <c r="AB816" i="11"/>
  <c r="AA816" i="11"/>
  <c r="AG815" i="11"/>
  <c r="AE815" i="11"/>
  <c r="AD815" i="11"/>
  <c r="AC815" i="11"/>
  <c r="AB815" i="11"/>
  <c r="AA815" i="11"/>
  <c r="AG814" i="11"/>
  <c r="AE814" i="11"/>
  <c r="AD814" i="11"/>
  <c r="AC814" i="11"/>
  <c r="AB814" i="11"/>
  <c r="AA814" i="11"/>
  <c r="AG813" i="11"/>
  <c r="AE813" i="11"/>
  <c r="AD813" i="11"/>
  <c r="AC813" i="11"/>
  <c r="AB813" i="11"/>
  <c r="AA813" i="11"/>
  <c r="AG812" i="11"/>
  <c r="AE812" i="11"/>
  <c r="AD812" i="11"/>
  <c r="AC812" i="11"/>
  <c r="AB812" i="11"/>
  <c r="AA812" i="11"/>
  <c r="AG811" i="11"/>
  <c r="AE811" i="11"/>
  <c r="AD811" i="11"/>
  <c r="AC811" i="11"/>
  <c r="AB811" i="11"/>
  <c r="AA811" i="11"/>
  <c r="AG810" i="11"/>
  <c r="AE810" i="11"/>
  <c r="AD810" i="11"/>
  <c r="AC810" i="11"/>
  <c r="AB810" i="11"/>
  <c r="AA810" i="11"/>
  <c r="AG809" i="11"/>
  <c r="AE809" i="11"/>
  <c r="AD809" i="11"/>
  <c r="AC809" i="11"/>
  <c r="AB809" i="11"/>
  <c r="AA809" i="11"/>
  <c r="AG808" i="11"/>
  <c r="AE808" i="11"/>
  <c r="AD808" i="11"/>
  <c r="AC808" i="11"/>
  <c r="AB808" i="11"/>
  <c r="AA808" i="11"/>
  <c r="AG807" i="11"/>
  <c r="AE807" i="11"/>
  <c r="AD807" i="11"/>
  <c r="AC807" i="11"/>
  <c r="AB807" i="11"/>
  <c r="AA807" i="11"/>
  <c r="AG806" i="11"/>
  <c r="AF806" i="11"/>
  <c r="AE806" i="11"/>
  <c r="AD806" i="11"/>
  <c r="AC806" i="11"/>
  <c r="AB806" i="11"/>
  <c r="AA806" i="11"/>
  <c r="AG805" i="11"/>
  <c r="AE805" i="11"/>
  <c r="AD805" i="11"/>
  <c r="AC805" i="11"/>
  <c r="AB805" i="11"/>
  <c r="AA805" i="11"/>
  <c r="AG804" i="11"/>
  <c r="AE804" i="11"/>
  <c r="AD804" i="11"/>
  <c r="AC804" i="11"/>
  <c r="AB804" i="11"/>
  <c r="AA804" i="11"/>
  <c r="AG803" i="11"/>
  <c r="AE803" i="11"/>
  <c r="AD803" i="11"/>
  <c r="AC803" i="11"/>
  <c r="AB803" i="11"/>
  <c r="AA803" i="11"/>
  <c r="AG802" i="11"/>
  <c r="AF802" i="11"/>
  <c r="AE802" i="11"/>
  <c r="AD802" i="11"/>
  <c r="AC802" i="11"/>
  <c r="AB802" i="11"/>
  <c r="AA802" i="11"/>
  <c r="AG801" i="11"/>
  <c r="AF801" i="11"/>
  <c r="AE801" i="11"/>
  <c r="AD801" i="11"/>
  <c r="AC801" i="11"/>
  <c r="AB801" i="11"/>
  <c r="AA801" i="11"/>
  <c r="AG800" i="11"/>
  <c r="AE800" i="11"/>
  <c r="AD800" i="11"/>
  <c r="AC800" i="11"/>
  <c r="AB800" i="11"/>
  <c r="AA800" i="11"/>
  <c r="AG799" i="11"/>
  <c r="AE799" i="11"/>
  <c r="AD799" i="11"/>
  <c r="AC799" i="11"/>
  <c r="AB799" i="11"/>
  <c r="AA799" i="11"/>
  <c r="AG798" i="11"/>
  <c r="AE798" i="11"/>
  <c r="AD798" i="11"/>
  <c r="AC798" i="11"/>
  <c r="AB798" i="11"/>
  <c r="AA798" i="11"/>
  <c r="AG797" i="11"/>
  <c r="AE797" i="11"/>
  <c r="AD797" i="11"/>
  <c r="AC797" i="11"/>
  <c r="AB797" i="11"/>
  <c r="AA797" i="11"/>
  <c r="AG796" i="11"/>
  <c r="AE796" i="11"/>
  <c r="AD796" i="11"/>
  <c r="AC796" i="11"/>
  <c r="AB796" i="11"/>
  <c r="AA796" i="11"/>
  <c r="AG795" i="11"/>
  <c r="AE795" i="11"/>
  <c r="AD795" i="11"/>
  <c r="AC795" i="11"/>
  <c r="AB795" i="11"/>
  <c r="AA795" i="11"/>
  <c r="AG794" i="11"/>
  <c r="AE794" i="11"/>
  <c r="AD794" i="11"/>
  <c r="AC794" i="11"/>
  <c r="AB794" i="11"/>
  <c r="AA794" i="11"/>
  <c r="AG793" i="11"/>
  <c r="AF793" i="11"/>
  <c r="AE793" i="11"/>
  <c r="AD793" i="11"/>
  <c r="AC793" i="11"/>
  <c r="AB793" i="11"/>
  <c r="AA793" i="11"/>
  <c r="AG792" i="11"/>
  <c r="AE792" i="11"/>
  <c r="AD792" i="11"/>
  <c r="AC792" i="11"/>
  <c r="AB792" i="11"/>
  <c r="AA792" i="11"/>
  <c r="AG791" i="11"/>
  <c r="AE791" i="11"/>
  <c r="AD791" i="11"/>
  <c r="AC791" i="11"/>
  <c r="AB791" i="11"/>
  <c r="AA791" i="11"/>
  <c r="AG790" i="11"/>
  <c r="AE790" i="11"/>
  <c r="AD790" i="11"/>
  <c r="AC790" i="11"/>
  <c r="AB790" i="11"/>
  <c r="AA790" i="11"/>
  <c r="AG789" i="11"/>
  <c r="AE789" i="11"/>
  <c r="AD789" i="11"/>
  <c r="AC789" i="11"/>
  <c r="AB789" i="11"/>
  <c r="AA789" i="11"/>
  <c r="AG788" i="11"/>
  <c r="AE788" i="11"/>
  <c r="AD788" i="11"/>
  <c r="AC788" i="11"/>
  <c r="AB788" i="11"/>
  <c r="AA788" i="11"/>
  <c r="AG787" i="11"/>
  <c r="AE787" i="11"/>
  <c r="AD787" i="11"/>
  <c r="AC787" i="11"/>
  <c r="AB787" i="11"/>
  <c r="AA787" i="11"/>
  <c r="AG786" i="11"/>
  <c r="AE786" i="11"/>
  <c r="AD786" i="11"/>
  <c r="AC786" i="11"/>
  <c r="AB786" i="11"/>
  <c r="AA786" i="11"/>
  <c r="AG785" i="11"/>
  <c r="AE785" i="11"/>
  <c r="AD785" i="11"/>
  <c r="AC785" i="11"/>
  <c r="AB785" i="11"/>
  <c r="AA785" i="11"/>
  <c r="AG784" i="11"/>
  <c r="AE784" i="11"/>
  <c r="AD784" i="11"/>
  <c r="AC784" i="11"/>
  <c r="AB784" i="11"/>
  <c r="AA784" i="11"/>
  <c r="AG783" i="11"/>
  <c r="AE783" i="11"/>
  <c r="AD783" i="11"/>
  <c r="AC783" i="11"/>
  <c r="AB783" i="11"/>
  <c r="AA783" i="11"/>
  <c r="AG782" i="11"/>
  <c r="AE782" i="11"/>
  <c r="AD782" i="11"/>
  <c r="AC782" i="11"/>
  <c r="AB782" i="11"/>
  <c r="AA782" i="11"/>
  <c r="AG781" i="11"/>
  <c r="AE781" i="11"/>
  <c r="AD781" i="11"/>
  <c r="AC781" i="11"/>
  <c r="AB781" i="11"/>
  <c r="AA781" i="11"/>
  <c r="AG780" i="11"/>
  <c r="AE780" i="11"/>
  <c r="AD780" i="11"/>
  <c r="AC780" i="11"/>
  <c r="AB780" i="11"/>
  <c r="AA780" i="11"/>
  <c r="AG779" i="11"/>
  <c r="AE779" i="11"/>
  <c r="AD779" i="11"/>
  <c r="AC779" i="11"/>
  <c r="AB779" i="11"/>
  <c r="AA779" i="11"/>
  <c r="AG778" i="11"/>
  <c r="AE778" i="11"/>
  <c r="AD778" i="11"/>
  <c r="AC778" i="11"/>
  <c r="AB778" i="11"/>
  <c r="AA778" i="11"/>
  <c r="AG777" i="11"/>
  <c r="AE777" i="11"/>
  <c r="AD777" i="11"/>
  <c r="AC777" i="11"/>
  <c r="AB777" i="11"/>
  <c r="AA777" i="11"/>
  <c r="AG776" i="11"/>
  <c r="AF776" i="11"/>
  <c r="AE776" i="11"/>
  <c r="AD776" i="11"/>
  <c r="AC776" i="11"/>
  <c r="AB776" i="11"/>
  <c r="AA776" i="11"/>
  <c r="AG775" i="11"/>
  <c r="AE775" i="11"/>
  <c r="AD775" i="11"/>
  <c r="AC775" i="11"/>
  <c r="AB775" i="11"/>
  <c r="AA775" i="11"/>
  <c r="AG774" i="11"/>
  <c r="AE774" i="11"/>
  <c r="AD774" i="11"/>
  <c r="AC774" i="11"/>
  <c r="AB774" i="11"/>
  <c r="AA774" i="11"/>
  <c r="AG773" i="11"/>
  <c r="AE773" i="11"/>
  <c r="AD773" i="11"/>
  <c r="AC773" i="11"/>
  <c r="AB773" i="11"/>
  <c r="AA773" i="11"/>
  <c r="AG772" i="11"/>
  <c r="AE772" i="11"/>
  <c r="AD772" i="11"/>
  <c r="AC772" i="11"/>
  <c r="AB772" i="11"/>
  <c r="AA772" i="11"/>
  <c r="AG771" i="11"/>
  <c r="AE771" i="11"/>
  <c r="AD771" i="11"/>
  <c r="AC771" i="11"/>
  <c r="AB771" i="11"/>
  <c r="AA771" i="11"/>
  <c r="AG770" i="11"/>
  <c r="AE770" i="11"/>
  <c r="AD770" i="11"/>
  <c r="AC770" i="11"/>
  <c r="AB770" i="11"/>
  <c r="AA770" i="11"/>
  <c r="AG769" i="11"/>
  <c r="AE769" i="11"/>
  <c r="AD769" i="11"/>
  <c r="AC769" i="11"/>
  <c r="AB769" i="11"/>
  <c r="AA769" i="11"/>
  <c r="AG768" i="11"/>
  <c r="AE768" i="11"/>
  <c r="AD768" i="11"/>
  <c r="AC768" i="11"/>
  <c r="AB768" i="11"/>
  <c r="AA768" i="11"/>
  <c r="AG767" i="11"/>
  <c r="AF767" i="11"/>
  <c r="AE767" i="11"/>
  <c r="AD767" i="11"/>
  <c r="AC767" i="11"/>
  <c r="AB767" i="11"/>
  <c r="AA767" i="11"/>
  <c r="AG766" i="11"/>
  <c r="AE766" i="11"/>
  <c r="AD766" i="11"/>
  <c r="AC766" i="11"/>
  <c r="AB766" i="11"/>
  <c r="AA766" i="11"/>
  <c r="AG765" i="11"/>
  <c r="AF765" i="11"/>
  <c r="AE765" i="11"/>
  <c r="AD765" i="11"/>
  <c r="AC765" i="11"/>
  <c r="AB765" i="11"/>
  <c r="AA765" i="11"/>
  <c r="AG764" i="11"/>
  <c r="AE764" i="11"/>
  <c r="AD764" i="11"/>
  <c r="AC764" i="11"/>
  <c r="AB764" i="11"/>
  <c r="AA764" i="11"/>
  <c r="AG763" i="11"/>
  <c r="AE763" i="11"/>
  <c r="AD763" i="11"/>
  <c r="AC763" i="11"/>
  <c r="AB763" i="11"/>
  <c r="AA763" i="11"/>
  <c r="AG762" i="11"/>
  <c r="AE762" i="11"/>
  <c r="AD762" i="11"/>
  <c r="AC762" i="11"/>
  <c r="AB762" i="11"/>
  <c r="AA762" i="11"/>
  <c r="AG761" i="11"/>
  <c r="AE761" i="11"/>
  <c r="AD761" i="11"/>
  <c r="AC761" i="11"/>
  <c r="AB761" i="11"/>
  <c r="AA761" i="11"/>
  <c r="AG760" i="11"/>
  <c r="AF760" i="11"/>
  <c r="AE760" i="11"/>
  <c r="AD760" i="11"/>
  <c r="AC760" i="11"/>
  <c r="AB760" i="11"/>
  <c r="AA760" i="11"/>
  <c r="AG759" i="11"/>
  <c r="AE759" i="11"/>
  <c r="AD759" i="11"/>
  <c r="AC759" i="11"/>
  <c r="AB759" i="11"/>
  <c r="AA759" i="11"/>
  <c r="AG758" i="11"/>
  <c r="AE758" i="11"/>
  <c r="AD758" i="11"/>
  <c r="AC758" i="11"/>
  <c r="AB758" i="11"/>
  <c r="AA758" i="11"/>
  <c r="AG757" i="11"/>
  <c r="AE757" i="11"/>
  <c r="AD757" i="11"/>
  <c r="AC757" i="11"/>
  <c r="AB757" i="11"/>
  <c r="AA757" i="11"/>
  <c r="AG756" i="11"/>
  <c r="AF756" i="11"/>
  <c r="AE756" i="11"/>
  <c r="AD756" i="11"/>
  <c r="AC756" i="11"/>
  <c r="AB756" i="11"/>
  <c r="AA756" i="11"/>
  <c r="AG755" i="11"/>
  <c r="AF755" i="11"/>
  <c r="AE755" i="11"/>
  <c r="AD755" i="11"/>
  <c r="AC755" i="11"/>
  <c r="AB755" i="11"/>
  <c r="AA755" i="11"/>
  <c r="AG754" i="11"/>
  <c r="AF754" i="11"/>
  <c r="AE754" i="11"/>
  <c r="AD754" i="11"/>
  <c r="AC754" i="11"/>
  <c r="AB754" i="11"/>
  <c r="AA754" i="11"/>
  <c r="AG753" i="11"/>
  <c r="AE753" i="11"/>
  <c r="AD753" i="11"/>
  <c r="AC753" i="11"/>
  <c r="AB753" i="11"/>
  <c r="AA753" i="11"/>
  <c r="AG752" i="11"/>
  <c r="AE752" i="11"/>
  <c r="AD752" i="11"/>
  <c r="AC752" i="11"/>
  <c r="AB752" i="11"/>
  <c r="AA752" i="11"/>
  <c r="AG751" i="11"/>
  <c r="AE751" i="11"/>
  <c r="AD751" i="11"/>
  <c r="AC751" i="11"/>
  <c r="AB751" i="11"/>
  <c r="AA751" i="11"/>
  <c r="AG750" i="11"/>
  <c r="AF750" i="11"/>
  <c r="AE750" i="11"/>
  <c r="AD750" i="11"/>
  <c r="AC750" i="11"/>
  <c r="AB750" i="11"/>
  <c r="AA750" i="11"/>
  <c r="AG749" i="11"/>
  <c r="AE749" i="11"/>
  <c r="AD749" i="11"/>
  <c r="AC749" i="11"/>
  <c r="AB749" i="11"/>
  <c r="AA749" i="11"/>
  <c r="AG748" i="11"/>
  <c r="AE748" i="11"/>
  <c r="AD748" i="11"/>
  <c r="AC748" i="11"/>
  <c r="AB748" i="11"/>
  <c r="AA748" i="11"/>
  <c r="AG747" i="11"/>
  <c r="AE747" i="11"/>
  <c r="AD747" i="11"/>
  <c r="AC747" i="11"/>
  <c r="AB747" i="11"/>
  <c r="AA747" i="11"/>
  <c r="AG746" i="11"/>
  <c r="AE746" i="11"/>
  <c r="AD746" i="11"/>
  <c r="AC746" i="11"/>
  <c r="AB746" i="11"/>
  <c r="AA746" i="11"/>
  <c r="AG745" i="11"/>
  <c r="AE745" i="11"/>
  <c r="AD745" i="11"/>
  <c r="AC745" i="11"/>
  <c r="AB745" i="11"/>
  <c r="AA745" i="11"/>
  <c r="AG744" i="11"/>
  <c r="AE744" i="11"/>
  <c r="AD744" i="11"/>
  <c r="AC744" i="11"/>
  <c r="AB744" i="11"/>
  <c r="AA744" i="11"/>
  <c r="AG743" i="11"/>
  <c r="AE743" i="11"/>
  <c r="AD743" i="11"/>
  <c r="AC743" i="11"/>
  <c r="AB743" i="11"/>
  <c r="AA743" i="11"/>
  <c r="AG742" i="11"/>
  <c r="AE742" i="11"/>
  <c r="AD742" i="11"/>
  <c r="AC742" i="11"/>
  <c r="AB742" i="11"/>
  <c r="AA742" i="11"/>
  <c r="AG741" i="11"/>
  <c r="AE741" i="11"/>
  <c r="AD741" i="11"/>
  <c r="AC741" i="11"/>
  <c r="AB741" i="11"/>
  <c r="AA741" i="11"/>
  <c r="AG740" i="11"/>
  <c r="AE740" i="11"/>
  <c r="AD740" i="11"/>
  <c r="AC740" i="11"/>
  <c r="AB740" i="11"/>
  <c r="AA740" i="11"/>
  <c r="AG739" i="11"/>
  <c r="AE739" i="11"/>
  <c r="AD739" i="11"/>
  <c r="AC739" i="11"/>
  <c r="AB739" i="11"/>
  <c r="AA739" i="11"/>
  <c r="AG738" i="11"/>
  <c r="AE738" i="11"/>
  <c r="AD738" i="11"/>
  <c r="AC738" i="11"/>
  <c r="AB738" i="11"/>
  <c r="AA738" i="11"/>
  <c r="AG737" i="11"/>
  <c r="AE737" i="11"/>
  <c r="AD737" i="11"/>
  <c r="AC737" i="11"/>
  <c r="AB737" i="11"/>
  <c r="AA737" i="11"/>
  <c r="AG736" i="11"/>
  <c r="AF736" i="11"/>
  <c r="AE736" i="11"/>
  <c r="AD736" i="11"/>
  <c r="AC736" i="11"/>
  <c r="AB736" i="11"/>
  <c r="AA736" i="11"/>
  <c r="AG735" i="11"/>
  <c r="AF735" i="11"/>
  <c r="AE735" i="11"/>
  <c r="AD735" i="11"/>
  <c r="AC735" i="11"/>
  <c r="AB735" i="11"/>
  <c r="AA735" i="11"/>
  <c r="AG734" i="11"/>
  <c r="AE734" i="11"/>
  <c r="AD734" i="11"/>
  <c r="AC734" i="11"/>
  <c r="AB734" i="11"/>
  <c r="AA734" i="11"/>
  <c r="AG733" i="11"/>
  <c r="AF733" i="11"/>
  <c r="AE733" i="11"/>
  <c r="AD733" i="11"/>
  <c r="AC733" i="11"/>
  <c r="AB733" i="11"/>
  <c r="AA733" i="11"/>
  <c r="AG732" i="11"/>
  <c r="AF732" i="11"/>
  <c r="AE732" i="11"/>
  <c r="AD732" i="11"/>
  <c r="AC732" i="11"/>
  <c r="AB732" i="11"/>
  <c r="AA732" i="11"/>
  <c r="AG731" i="11"/>
  <c r="AF731" i="11"/>
  <c r="AE731" i="11"/>
  <c r="AD731" i="11"/>
  <c r="AC731" i="11"/>
  <c r="AB731" i="11"/>
  <c r="AA731" i="11"/>
  <c r="AG730" i="11"/>
  <c r="AE730" i="11"/>
  <c r="AD730" i="11"/>
  <c r="AC730" i="11"/>
  <c r="AB730" i="11"/>
  <c r="AA730" i="11"/>
  <c r="AG729" i="11"/>
  <c r="AE729" i="11"/>
  <c r="AD729" i="11"/>
  <c r="AC729" i="11"/>
  <c r="AB729" i="11"/>
  <c r="AA729" i="11"/>
  <c r="AG728" i="11"/>
  <c r="AF728" i="11"/>
  <c r="AE728" i="11"/>
  <c r="AD728" i="11"/>
  <c r="AC728" i="11"/>
  <c r="AB728" i="11"/>
  <c r="AA728" i="11"/>
  <c r="AG727" i="11"/>
  <c r="AE727" i="11"/>
  <c r="AD727" i="11"/>
  <c r="AC727" i="11"/>
  <c r="AB727" i="11"/>
  <c r="AA727" i="11"/>
  <c r="AG726" i="11"/>
  <c r="AE726" i="11"/>
  <c r="AD726" i="11"/>
  <c r="AC726" i="11"/>
  <c r="AB726" i="11"/>
  <c r="AA726" i="11"/>
  <c r="AG725" i="11"/>
  <c r="AE725" i="11"/>
  <c r="AD725" i="11"/>
  <c r="AC725" i="11"/>
  <c r="AB725" i="11"/>
  <c r="AA725" i="11"/>
  <c r="AG724" i="11"/>
  <c r="AE724" i="11"/>
  <c r="AD724" i="11"/>
  <c r="AC724" i="11"/>
  <c r="AB724" i="11"/>
  <c r="AA724" i="11"/>
  <c r="AG723" i="11"/>
  <c r="AE723" i="11"/>
  <c r="AD723" i="11"/>
  <c r="AC723" i="11"/>
  <c r="AB723" i="11"/>
  <c r="AA723" i="11"/>
  <c r="AG722" i="11"/>
  <c r="AE722" i="11"/>
  <c r="AD722" i="11"/>
  <c r="AC722" i="11"/>
  <c r="AB722" i="11"/>
  <c r="AA722" i="11"/>
  <c r="AG721" i="11"/>
  <c r="AE721" i="11"/>
  <c r="AD721" i="11"/>
  <c r="AC721" i="11"/>
  <c r="AB721" i="11"/>
  <c r="AA721" i="11"/>
  <c r="AG720" i="11"/>
  <c r="AE720" i="11"/>
  <c r="AD720" i="11"/>
  <c r="AC720" i="11"/>
  <c r="AB720" i="11"/>
  <c r="AA720" i="11"/>
  <c r="AG719" i="11"/>
  <c r="AE719" i="11"/>
  <c r="AD719" i="11"/>
  <c r="AC719" i="11"/>
  <c r="AB719" i="11"/>
  <c r="AA719" i="11"/>
  <c r="AG718" i="11"/>
  <c r="AF718" i="11"/>
  <c r="AE718" i="11"/>
  <c r="AD718" i="11"/>
  <c r="AC718" i="11"/>
  <c r="AB718" i="11"/>
  <c r="AA718" i="11"/>
  <c r="AG717" i="11"/>
  <c r="AE717" i="11"/>
  <c r="AD717" i="11"/>
  <c r="AC717" i="11"/>
  <c r="AB717" i="11"/>
  <c r="AA717" i="11"/>
  <c r="AG716" i="11"/>
  <c r="AE716" i="11"/>
  <c r="AD716" i="11"/>
  <c r="AC716" i="11"/>
  <c r="AB716" i="11"/>
  <c r="AA716" i="11"/>
  <c r="AG715" i="11"/>
  <c r="AF715" i="11"/>
  <c r="AE715" i="11"/>
  <c r="AD715" i="11"/>
  <c r="AC715" i="11"/>
  <c r="AB715" i="11"/>
  <c r="AA715" i="11"/>
  <c r="AG714" i="11"/>
  <c r="AF714" i="11"/>
  <c r="AE714" i="11"/>
  <c r="AD714" i="11"/>
  <c r="AC714" i="11"/>
  <c r="AB714" i="11"/>
  <c r="AA714" i="11"/>
  <c r="AG713" i="11"/>
  <c r="AF713" i="11"/>
  <c r="AE713" i="11"/>
  <c r="AD713" i="11"/>
  <c r="AC713" i="11"/>
  <c r="AB713" i="11"/>
  <c r="AA713" i="11"/>
  <c r="AG712" i="11"/>
  <c r="AE712" i="11"/>
  <c r="AD712" i="11"/>
  <c r="AC712" i="11"/>
  <c r="AB712" i="11"/>
  <c r="AA712" i="11"/>
  <c r="AG711" i="11"/>
  <c r="AF711" i="11"/>
  <c r="AE711" i="11"/>
  <c r="AD711" i="11"/>
  <c r="AC711" i="11"/>
  <c r="AB711" i="11"/>
  <c r="AA711" i="11"/>
  <c r="AG710" i="11"/>
  <c r="AE710" i="11"/>
  <c r="AD710" i="11"/>
  <c r="AC710" i="11"/>
  <c r="AB710" i="11"/>
  <c r="AA710" i="11"/>
  <c r="AG709" i="11"/>
  <c r="AE709" i="11"/>
  <c r="AD709" i="11"/>
  <c r="AC709" i="11"/>
  <c r="AB709" i="11"/>
  <c r="AA709" i="11"/>
  <c r="AG708" i="11"/>
  <c r="AE708" i="11"/>
  <c r="AD708" i="11"/>
  <c r="AC708" i="11"/>
  <c r="AB708" i="11"/>
  <c r="AA708" i="11"/>
  <c r="AG707" i="11"/>
  <c r="AE707" i="11"/>
  <c r="AD707" i="11"/>
  <c r="AC707" i="11"/>
  <c r="AB707" i="11"/>
  <c r="AA707" i="11"/>
  <c r="AG706" i="11"/>
  <c r="AF706" i="11"/>
  <c r="AE706" i="11"/>
  <c r="AD706" i="11"/>
  <c r="AC706" i="11"/>
  <c r="AB706" i="11"/>
  <c r="AA706" i="11"/>
  <c r="AG705" i="11"/>
  <c r="AE705" i="11"/>
  <c r="AD705" i="11"/>
  <c r="AC705" i="11"/>
  <c r="AB705" i="11"/>
  <c r="AA705" i="11"/>
  <c r="AG704" i="11"/>
  <c r="AE704" i="11"/>
  <c r="AD704" i="11"/>
  <c r="AC704" i="11"/>
  <c r="AB704" i="11"/>
  <c r="AA704" i="11"/>
  <c r="AG703" i="11"/>
  <c r="AE703" i="11"/>
  <c r="AD703" i="11"/>
  <c r="AC703" i="11"/>
  <c r="AB703" i="11"/>
  <c r="AA703" i="11"/>
  <c r="AG702" i="11"/>
  <c r="AE702" i="11"/>
  <c r="AD702" i="11"/>
  <c r="AC702" i="11"/>
  <c r="AB702" i="11"/>
  <c r="AA702" i="11"/>
  <c r="AG701" i="11"/>
  <c r="AE701" i="11"/>
  <c r="AD701" i="11"/>
  <c r="AC701" i="11"/>
  <c r="AB701" i="11"/>
  <c r="AA701" i="11"/>
  <c r="AG700" i="11"/>
  <c r="AE700" i="11"/>
  <c r="AD700" i="11"/>
  <c r="AC700" i="11"/>
  <c r="AB700" i="11"/>
  <c r="AA700" i="11"/>
  <c r="AG699" i="11"/>
  <c r="AF699" i="11"/>
  <c r="AE699" i="11"/>
  <c r="AD699" i="11"/>
  <c r="AC699" i="11"/>
  <c r="AB699" i="11"/>
  <c r="AA699" i="11"/>
  <c r="AG698" i="11"/>
  <c r="AE698" i="11"/>
  <c r="AD698" i="11"/>
  <c r="AC698" i="11"/>
  <c r="AB698" i="11"/>
  <c r="AA698" i="11"/>
  <c r="AG697" i="11"/>
  <c r="AE697" i="11"/>
  <c r="AD697" i="11"/>
  <c r="AC697" i="11"/>
  <c r="AB697" i="11"/>
  <c r="AA697" i="11"/>
  <c r="AG696" i="11"/>
  <c r="AE696" i="11"/>
  <c r="AD696" i="11"/>
  <c r="AC696" i="11"/>
  <c r="AB696" i="11"/>
  <c r="AA696" i="11"/>
  <c r="AG695" i="11"/>
  <c r="AE695" i="11"/>
  <c r="AD695" i="11"/>
  <c r="AC695" i="11"/>
  <c r="AB695" i="11"/>
  <c r="AA695" i="11"/>
  <c r="AG694" i="11"/>
  <c r="AE694" i="11"/>
  <c r="AD694" i="11"/>
  <c r="AC694" i="11"/>
  <c r="AB694" i="11"/>
  <c r="AA694" i="11"/>
  <c r="AG693" i="11"/>
  <c r="AE693" i="11"/>
  <c r="AD693" i="11"/>
  <c r="AC693" i="11"/>
  <c r="AB693" i="11"/>
  <c r="AA693" i="11"/>
  <c r="AG692" i="11"/>
  <c r="AE692" i="11"/>
  <c r="AD692" i="11"/>
  <c r="AC692" i="11"/>
  <c r="AB692" i="11"/>
  <c r="AA692" i="11"/>
  <c r="AG691" i="11"/>
  <c r="AE691" i="11"/>
  <c r="AD691" i="11"/>
  <c r="AC691" i="11"/>
  <c r="AB691" i="11"/>
  <c r="AA691" i="11"/>
  <c r="AG690" i="11"/>
  <c r="AE690" i="11"/>
  <c r="AD690" i="11"/>
  <c r="AC690" i="11"/>
  <c r="AB690" i="11"/>
  <c r="AA690" i="11"/>
  <c r="AG689" i="11"/>
  <c r="AF689" i="11"/>
  <c r="AE689" i="11"/>
  <c r="AD689" i="11"/>
  <c r="AC689" i="11"/>
  <c r="AB689" i="11"/>
  <c r="AA689" i="11"/>
  <c r="AG688" i="11"/>
  <c r="AE688" i="11"/>
  <c r="AD688" i="11"/>
  <c r="AC688" i="11"/>
  <c r="AB688" i="11"/>
  <c r="AA688" i="11"/>
  <c r="AG687" i="11"/>
  <c r="AE687" i="11"/>
  <c r="AD687" i="11"/>
  <c r="AC687" i="11"/>
  <c r="AB687" i="11"/>
  <c r="AA687" i="11"/>
  <c r="AG686" i="11"/>
  <c r="AE686" i="11"/>
  <c r="AD686" i="11"/>
  <c r="AC686" i="11"/>
  <c r="AB686" i="11"/>
  <c r="AA686" i="11"/>
  <c r="AG685" i="11"/>
  <c r="AE685" i="11"/>
  <c r="AD685" i="11"/>
  <c r="AC685" i="11"/>
  <c r="AB685" i="11"/>
  <c r="AA685" i="11"/>
  <c r="AG684" i="11"/>
  <c r="AF684" i="11"/>
  <c r="AE684" i="11"/>
  <c r="AD684" i="11"/>
  <c r="AC684" i="11"/>
  <c r="AB684" i="11"/>
  <c r="AA684" i="11"/>
  <c r="AG683" i="11"/>
  <c r="AE683" i="11"/>
  <c r="AD683" i="11"/>
  <c r="AC683" i="11"/>
  <c r="AB683" i="11"/>
  <c r="AA683" i="11"/>
  <c r="AG682" i="11"/>
  <c r="AE682" i="11"/>
  <c r="AD682" i="11"/>
  <c r="AC682" i="11"/>
  <c r="AB682" i="11"/>
  <c r="AA682" i="11"/>
  <c r="AG681" i="11"/>
  <c r="AE681" i="11"/>
  <c r="AD681" i="11"/>
  <c r="AC681" i="11"/>
  <c r="AB681" i="11"/>
  <c r="AA681" i="11"/>
  <c r="AG680" i="11"/>
  <c r="AE680" i="11"/>
  <c r="AD680" i="11"/>
  <c r="AC680" i="11"/>
  <c r="AB680" i="11"/>
  <c r="AA680" i="11"/>
  <c r="AG679" i="11"/>
  <c r="AE679" i="11"/>
  <c r="AD679" i="11"/>
  <c r="AC679" i="11"/>
  <c r="AB679" i="11"/>
  <c r="AA679" i="11"/>
  <c r="AG678" i="11"/>
  <c r="AE678" i="11"/>
  <c r="AD678" i="11"/>
  <c r="AC678" i="11"/>
  <c r="AB678" i="11"/>
  <c r="AA678" i="11"/>
  <c r="AG677" i="11"/>
  <c r="AE677" i="11"/>
  <c r="AD677" i="11"/>
  <c r="AC677" i="11"/>
  <c r="AB677" i="11"/>
  <c r="AA677" i="11"/>
  <c r="AG676" i="11"/>
  <c r="AE676" i="11"/>
  <c r="AD676" i="11"/>
  <c r="AC676" i="11"/>
  <c r="AB676" i="11"/>
  <c r="AA676" i="11"/>
  <c r="AG675" i="11"/>
  <c r="AE675" i="11"/>
  <c r="AD675" i="11"/>
  <c r="AC675" i="11"/>
  <c r="AB675" i="11"/>
  <c r="AA675" i="11"/>
  <c r="AG674" i="11"/>
  <c r="AE674" i="11"/>
  <c r="AD674" i="11"/>
  <c r="AC674" i="11"/>
  <c r="AB674" i="11"/>
  <c r="AA674" i="11"/>
  <c r="AG673" i="11"/>
  <c r="AE673" i="11"/>
  <c r="AD673" i="11"/>
  <c r="AC673" i="11"/>
  <c r="AB673" i="11"/>
  <c r="AA673" i="11"/>
  <c r="AG672" i="11"/>
  <c r="AE672" i="11"/>
  <c r="AD672" i="11"/>
  <c r="AC672" i="11"/>
  <c r="AB672" i="11"/>
  <c r="AA672" i="11"/>
  <c r="AG671" i="11"/>
  <c r="AE671" i="11"/>
  <c r="AD671" i="11"/>
  <c r="AC671" i="11"/>
  <c r="AB671" i="11"/>
  <c r="AA671" i="11"/>
  <c r="AG670" i="11"/>
  <c r="AE670" i="11"/>
  <c r="AD670" i="11"/>
  <c r="AC670" i="11"/>
  <c r="AB670" i="11"/>
  <c r="AA670" i="11"/>
  <c r="AG669" i="11"/>
  <c r="AE669" i="11"/>
  <c r="AD669" i="11"/>
  <c r="AC669" i="11"/>
  <c r="AB669" i="11"/>
  <c r="AA669" i="11"/>
  <c r="AG668" i="11"/>
  <c r="AE668" i="11"/>
  <c r="AD668" i="11"/>
  <c r="AC668" i="11"/>
  <c r="AB668" i="11"/>
  <c r="AA668" i="11"/>
  <c r="AG667" i="11"/>
  <c r="AE667" i="11"/>
  <c r="AD667" i="11"/>
  <c r="AC667" i="11"/>
  <c r="AB667" i="11"/>
  <c r="AA667" i="11"/>
  <c r="AG666" i="11"/>
  <c r="AF666" i="11"/>
  <c r="AE666" i="11"/>
  <c r="AD666" i="11"/>
  <c r="AC666" i="11"/>
  <c r="AB666" i="11"/>
  <c r="AA666" i="11"/>
  <c r="AG665" i="11"/>
  <c r="AE665" i="11"/>
  <c r="AD665" i="11"/>
  <c r="AC665" i="11"/>
  <c r="AB665" i="11"/>
  <c r="AA665" i="11"/>
  <c r="AG664" i="11"/>
  <c r="AE664" i="11"/>
  <c r="AD664" i="11"/>
  <c r="AC664" i="11"/>
  <c r="AB664" i="11"/>
  <c r="AA664" i="11"/>
  <c r="AG663" i="11"/>
  <c r="AE663" i="11"/>
  <c r="AD663" i="11"/>
  <c r="AC663" i="11"/>
  <c r="AB663" i="11"/>
  <c r="AA663" i="11"/>
  <c r="AG662" i="11"/>
  <c r="AE662" i="11"/>
  <c r="AD662" i="11"/>
  <c r="AC662" i="11"/>
  <c r="AB662" i="11"/>
  <c r="AA662" i="11"/>
  <c r="AG661" i="11"/>
  <c r="AE661" i="11"/>
  <c r="AD661" i="11"/>
  <c r="AC661" i="11"/>
  <c r="AB661" i="11"/>
  <c r="AA661" i="11"/>
  <c r="AG660" i="11"/>
  <c r="AE660" i="11"/>
  <c r="AD660" i="11"/>
  <c r="AC660" i="11"/>
  <c r="AB660" i="11"/>
  <c r="AA660" i="11"/>
  <c r="AG659" i="11"/>
  <c r="AE659" i="11"/>
  <c r="AD659" i="11"/>
  <c r="AC659" i="11"/>
  <c r="AB659" i="11"/>
  <c r="AA659" i="11"/>
  <c r="AG658" i="11"/>
  <c r="AE658" i="11"/>
  <c r="AD658" i="11"/>
  <c r="AC658" i="11"/>
  <c r="AB658" i="11"/>
  <c r="AA658" i="11"/>
  <c r="AG657" i="11"/>
  <c r="AE657" i="11"/>
  <c r="AD657" i="11"/>
  <c r="AC657" i="11"/>
  <c r="AB657" i="11"/>
  <c r="AA657" i="11"/>
  <c r="AG656" i="11"/>
  <c r="AF656" i="11"/>
  <c r="AE656" i="11"/>
  <c r="AD656" i="11"/>
  <c r="AC656" i="11"/>
  <c r="AB656" i="11"/>
  <c r="AA656" i="11"/>
  <c r="AG655" i="11"/>
  <c r="AF655" i="11"/>
  <c r="AE655" i="11"/>
  <c r="AD655" i="11"/>
  <c r="AC655" i="11"/>
  <c r="AB655" i="11"/>
  <c r="AA655" i="11"/>
  <c r="AG654" i="11"/>
  <c r="AF654" i="11"/>
  <c r="AE654" i="11"/>
  <c r="AD654" i="11"/>
  <c r="AC654" i="11"/>
  <c r="AB654" i="11"/>
  <c r="AA654" i="11"/>
  <c r="AG653" i="11"/>
  <c r="AF653" i="11"/>
  <c r="AE653" i="11"/>
  <c r="AD653" i="11"/>
  <c r="AC653" i="11"/>
  <c r="AB653" i="11"/>
  <c r="AA653" i="11"/>
  <c r="AG652" i="11"/>
  <c r="AE652" i="11"/>
  <c r="AD652" i="11"/>
  <c r="AC652" i="11"/>
  <c r="AB652" i="11"/>
  <c r="AA652" i="11"/>
  <c r="AG651" i="11"/>
  <c r="AF651" i="11"/>
  <c r="AE651" i="11"/>
  <c r="AD651" i="11"/>
  <c r="AC651" i="11"/>
  <c r="AB651" i="11"/>
  <c r="AA651" i="11"/>
  <c r="AG650" i="11"/>
  <c r="AE650" i="11"/>
  <c r="AD650" i="11"/>
  <c r="AC650" i="11"/>
  <c r="AB650" i="11"/>
  <c r="AA650" i="11"/>
  <c r="AG649" i="11"/>
  <c r="AE649" i="11"/>
  <c r="AD649" i="11"/>
  <c r="AC649" i="11"/>
  <c r="AB649" i="11"/>
  <c r="AA649" i="11"/>
  <c r="AG648" i="11"/>
  <c r="AE648" i="11"/>
  <c r="AD648" i="11"/>
  <c r="AC648" i="11"/>
  <c r="AB648" i="11"/>
  <c r="AA648" i="11"/>
  <c r="AG647" i="11"/>
  <c r="AE647" i="11"/>
  <c r="AD647" i="11"/>
  <c r="AC647" i="11"/>
  <c r="AB647" i="11"/>
  <c r="AA647" i="11"/>
  <c r="AG646" i="11"/>
  <c r="AE646" i="11"/>
  <c r="AD646" i="11"/>
  <c r="AC646" i="11"/>
  <c r="AB646" i="11"/>
  <c r="AA646" i="11"/>
  <c r="AG645" i="11"/>
  <c r="AE645" i="11"/>
  <c r="AD645" i="11"/>
  <c r="AC645" i="11"/>
  <c r="AB645" i="11"/>
  <c r="AA645" i="11"/>
  <c r="AG644" i="11"/>
  <c r="AE644" i="11"/>
  <c r="AD644" i="11"/>
  <c r="AC644" i="11"/>
  <c r="AB644" i="11"/>
  <c r="AA644" i="11"/>
  <c r="AG643" i="11"/>
  <c r="AF643" i="11"/>
  <c r="AE643" i="11"/>
  <c r="AD643" i="11"/>
  <c r="AC643" i="11"/>
  <c r="AB643" i="11"/>
  <c r="AA643" i="11"/>
  <c r="AG642" i="11"/>
  <c r="AE642" i="11"/>
  <c r="AD642" i="11"/>
  <c r="AC642" i="11"/>
  <c r="AB642" i="11"/>
  <c r="AA642" i="11"/>
  <c r="AG641" i="11"/>
  <c r="AE641" i="11"/>
  <c r="AD641" i="11"/>
  <c r="AC641" i="11"/>
  <c r="AB641" i="11"/>
  <c r="AA641" i="11"/>
  <c r="AG640" i="11"/>
  <c r="AF640" i="11"/>
  <c r="AE640" i="11"/>
  <c r="AD640" i="11"/>
  <c r="AC640" i="11"/>
  <c r="AB640" i="11"/>
  <c r="AA640" i="11"/>
  <c r="AG639" i="11"/>
  <c r="AE639" i="11"/>
  <c r="AD639" i="11"/>
  <c r="AC639" i="11"/>
  <c r="AB639" i="11"/>
  <c r="AA639" i="11"/>
  <c r="AG638" i="11"/>
  <c r="AE638" i="11"/>
  <c r="AD638" i="11"/>
  <c r="AC638" i="11"/>
  <c r="AB638" i="11"/>
  <c r="AA638" i="11"/>
  <c r="AG637" i="11"/>
  <c r="AE637" i="11"/>
  <c r="AD637" i="11"/>
  <c r="AC637" i="11"/>
  <c r="AB637" i="11"/>
  <c r="AA637" i="11"/>
  <c r="AG636" i="11"/>
  <c r="AE636" i="11"/>
  <c r="AD636" i="11"/>
  <c r="AC636" i="11"/>
  <c r="AB636" i="11"/>
  <c r="AA636" i="11"/>
  <c r="AG635" i="11"/>
  <c r="AE635" i="11"/>
  <c r="AD635" i="11"/>
  <c r="AC635" i="11"/>
  <c r="AB635" i="11"/>
  <c r="AA635" i="11"/>
  <c r="AG634" i="11"/>
  <c r="AF634" i="11"/>
  <c r="AE634" i="11"/>
  <c r="AD634" i="11"/>
  <c r="AC634" i="11"/>
  <c r="AB634" i="11"/>
  <c r="AA634" i="11"/>
  <c r="AG633" i="11"/>
  <c r="AF633" i="11"/>
  <c r="AE633" i="11"/>
  <c r="AD633" i="11"/>
  <c r="AC633" i="11"/>
  <c r="AB633" i="11"/>
  <c r="AA633" i="11"/>
  <c r="AG632" i="11"/>
  <c r="AE632" i="11"/>
  <c r="AD632" i="11"/>
  <c r="AC632" i="11"/>
  <c r="AB632" i="11"/>
  <c r="AA632" i="11"/>
  <c r="AG631" i="11"/>
  <c r="AE631" i="11"/>
  <c r="AD631" i="11"/>
  <c r="AC631" i="11"/>
  <c r="AB631" i="11"/>
  <c r="AA631" i="11"/>
  <c r="AG630" i="11"/>
  <c r="AE630" i="11"/>
  <c r="AD630" i="11"/>
  <c r="AC630" i="11"/>
  <c r="AB630" i="11"/>
  <c r="AA630" i="11"/>
  <c r="AG629" i="11"/>
  <c r="AE629" i="11"/>
  <c r="AD629" i="11"/>
  <c r="AC629" i="11"/>
  <c r="AB629" i="11"/>
  <c r="AA629" i="11"/>
  <c r="AG628" i="11"/>
  <c r="AE628" i="11"/>
  <c r="AD628" i="11"/>
  <c r="AC628" i="11"/>
  <c r="AB628" i="11"/>
  <c r="AA628" i="11"/>
  <c r="AG627" i="11"/>
  <c r="AF627" i="11"/>
  <c r="AE627" i="11"/>
  <c r="AD627" i="11"/>
  <c r="AC627" i="11"/>
  <c r="AB627" i="11"/>
  <c r="AA627" i="11"/>
  <c r="AG626" i="11"/>
  <c r="AF626" i="11"/>
  <c r="AE626" i="11"/>
  <c r="AD626" i="11"/>
  <c r="AC626" i="11"/>
  <c r="AB626" i="11"/>
  <c r="AA626" i="11"/>
  <c r="AG625" i="11"/>
  <c r="AE625" i="11"/>
  <c r="AD625" i="11"/>
  <c r="AC625" i="11"/>
  <c r="AB625" i="11"/>
  <c r="AA625" i="11"/>
  <c r="AG624" i="11"/>
  <c r="AF624" i="11"/>
  <c r="AE624" i="11"/>
  <c r="AD624" i="11"/>
  <c r="AC624" i="11"/>
  <c r="AB624" i="11"/>
  <c r="AA624" i="11"/>
  <c r="AG623" i="11"/>
  <c r="AE623" i="11"/>
  <c r="AD623" i="11"/>
  <c r="AC623" i="11"/>
  <c r="AB623" i="11"/>
  <c r="AA623" i="11"/>
  <c r="AG622" i="11"/>
  <c r="AF622" i="11"/>
  <c r="AE622" i="11"/>
  <c r="AD622" i="11"/>
  <c r="AC622" i="11"/>
  <c r="AB622" i="11"/>
  <c r="AA622" i="11"/>
  <c r="AG621" i="11"/>
  <c r="AE621" i="11"/>
  <c r="AD621" i="11"/>
  <c r="AC621" i="11"/>
  <c r="AB621" i="11"/>
  <c r="AA621" i="11"/>
  <c r="AG620" i="11"/>
  <c r="AE620" i="11"/>
  <c r="AD620" i="11"/>
  <c r="AC620" i="11"/>
  <c r="AB620" i="11"/>
  <c r="AA620" i="11"/>
  <c r="AG619" i="11"/>
  <c r="AE619" i="11"/>
  <c r="AD619" i="11"/>
  <c r="AC619" i="11"/>
  <c r="AB619" i="11"/>
  <c r="AA619" i="11"/>
  <c r="AG618" i="11"/>
  <c r="AF618" i="11"/>
  <c r="AE618" i="11"/>
  <c r="AD618" i="11"/>
  <c r="AC618" i="11"/>
  <c r="AB618" i="11"/>
  <c r="AA618" i="11"/>
  <c r="AG617" i="11"/>
  <c r="AE617" i="11"/>
  <c r="AD617" i="11"/>
  <c r="AC617" i="11"/>
  <c r="AB617" i="11"/>
  <c r="AA617" i="11"/>
  <c r="AG616" i="11"/>
  <c r="AE616" i="11"/>
  <c r="AD616" i="11"/>
  <c r="AC616" i="11"/>
  <c r="AB616" i="11"/>
  <c r="AA616" i="11"/>
  <c r="AG615" i="11"/>
  <c r="AE615" i="11"/>
  <c r="AD615" i="11"/>
  <c r="AC615" i="11"/>
  <c r="AB615" i="11"/>
  <c r="AA615" i="11"/>
  <c r="AG614" i="11"/>
  <c r="AE614" i="11"/>
  <c r="AD614" i="11"/>
  <c r="AC614" i="11"/>
  <c r="AB614" i="11"/>
  <c r="AA614" i="11"/>
  <c r="AG613" i="11"/>
  <c r="AE613" i="11"/>
  <c r="AD613" i="11"/>
  <c r="AC613" i="11"/>
  <c r="AB613" i="11"/>
  <c r="AA613" i="11"/>
  <c r="AG612" i="11"/>
  <c r="AE612" i="11"/>
  <c r="AD612" i="11"/>
  <c r="AC612" i="11"/>
  <c r="AB612" i="11"/>
  <c r="AA612" i="11"/>
  <c r="AG611" i="11"/>
  <c r="AE611" i="11"/>
  <c r="AD611" i="11"/>
  <c r="AC611" i="11"/>
  <c r="AB611" i="11"/>
  <c r="AA611" i="11"/>
  <c r="AG610" i="11"/>
  <c r="AF610" i="11"/>
  <c r="AE610" i="11"/>
  <c r="AD610" i="11"/>
  <c r="AC610" i="11"/>
  <c r="AB610" i="11"/>
  <c r="AA610" i="11"/>
  <c r="AG609" i="11"/>
  <c r="AE609" i="11"/>
  <c r="AD609" i="11"/>
  <c r="AC609" i="11"/>
  <c r="AB609" i="11"/>
  <c r="AA609" i="11"/>
  <c r="AG608" i="11"/>
  <c r="AE608" i="11"/>
  <c r="AD608" i="11"/>
  <c r="AC608" i="11"/>
  <c r="AB608" i="11"/>
  <c r="AA608" i="11"/>
  <c r="AG607" i="11"/>
  <c r="AE607" i="11"/>
  <c r="AD607" i="11"/>
  <c r="AC607" i="11"/>
  <c r="AB607" i="11"/>
  <c r="AA607" i="11"/>
  <c r="AG606" i="11"/>
  <c r="AE606" i="11"/>
  <c r="AD606" i="11"/>
  <c r="AC606" i="11"/>
  <c r="AB606" i="11"/>
  <c r="AA606" i="11"/>
  <c r="AG605" i="11"/>
  <c r="AE605" i="11"/>
  <c r="AD605" i="11"/>
  <c r="AC605" i="11"/>
  <c r="AB605" i="11"/>
  <c r="AA605" i="11"/>
  <c r="AG604" i="11"/>
  <c r="AF604" i="11"/>
  <c r="AE604" i="11"/>
  <c r="AD604" i="11"/>
  <c r="AC604" i="11"/>
  <c r="AB604" i="11"/>
  <c r="AA604" i="11"/>
  <c r="AG603" i="11"/>
  <c r="AF603" i="11"/>
  <c r="AE603" i="11"/>
  <c r="AD603" i="11"/>
  <c r="AC603" i="11"/>
  <c r="AB603" i="11"/>
  <c r="AA603" i="11"/>
  <c r="AG602" i="11"/>
  <c r="AE602" i="11"/>
  <c r="AD602" i="11"/>
  <c r="AC602" i="11"/>
  <c r="AB602" i="11"/>
  <c r="AA602" i="11"/>
  <c r="AG601" i="11"/>
  <c r="AE601" i="11"/>
  <c r="AD601" i="11"/>
  <c r="AC601" i="11"/>
  <c r="AB601" i="11"/>
  <c r="AA601" i="11"/>
  <c r="AG600" i="11"/>
  <c r="AF600" i="11"/>
  <c r="AE600" i="11"/>
  <c r="AD600" i="11"/>
  <c r="AC600" i="11"/>
  <c r="AB600" i="11"/>
  <c r="AA600" i="11"/>
  <c r="AG599" i="11"/>
  <c r="AE599" i="11"/>
  <c r="AD599" i="11"/>
  <c r="AC599" i="11"/>
  <c r="AB599" i="11"/>
  <c r="AA599" i="11"/>
  <c r="AG598" i="11"/>
  <c r="AE598" i="11"/>
  <c r="AD598" i="11"/>
  <c r="AC598" i="11"/>
  <c r="AB598" i="11"/>
  <c r="AA598" i="11"/>
  <c r="AG597" i="11"/>
  <c r="AE597" i="11"/>
  <c r="AD597" i="11"/>
  <c r="AC597" i="11"/>
  <c r="AB597" i="11"/>
  <c r="AA597" i="11"/>
  <c r="AG596" i="11"/>
  <c r="AF596" i="11"/>
  <c r="AE596" i="11"/>
  <c r="AD596" i="11"/>
  <c r="AC596" i="11"/>
  <c r="AB596" i="11"/>
  <c r="AA596" i="11"/>
  <c r="AG595" i="11"/>
  <c r="AE595" i="11"/>
  <c r="AD595" i="11"/>
  <c r="AC595" i="11"/>
  <c r="AB595" i="11"/>
  <c r="AA595" i="11"/>
  <c r="AG594" i="11"/>
  <c r="AE594" i="11"/>
  <c r="AD594" i="11"/>
  <c r="AC594" i="11"/>
  <c r="AB594" i="11"/>
  <c r="AA594" i="11"/>
  <c r="AG593" i="11"/>
  <c r="AF593" i="11"/>
  <c r="AE593" i="11"/>
  <c r="AD593" i="11"/>
  <c r="AC593" i="11"/>
  <c r="AB593" i="11"/>
  <c r="AA593" i="11"/>
  <c r="AG592" i="11"/>
  <c r="AE592" i="11"/>
  <c r="AD592" i="11"/>
  <c r="AC592" i="11"/>
  <c r="AB592" i="11"/>
  <c r="AA592" i="11"/>
  <c r="AG591" i="11"/>
  <c r="AE591" i="11"/>
  <c r="AD591" i="11"/>
  <c r="AC591" i="11"/>
  <c r="AB591" i="11"/>
  <c r="AA591" i="11"/>
  <c r="AG590" i="11"/>
  <c r="AE590" i="11"/>
  <c r="AD590" i="11"/>
  <c r="AC590" i="11"/>
  <c r="AB590" i="11"/>
  <c r="AA590" i="11"/>
  <c r="AG589" i="11"/>
  <c r="AE589" i="11"/>
  <c r="AD589" i="11"/>
  <c r="AC589" i="11"/>
  <c r="AB589" i="11"/>
  <c r="AA589" i="11"/>
  <c r="AG588" i="11"/>
  <c r="AE588" i="11"/>
  <c r="AD588" i="11"/>
  <c r="AC588" i="11"/>
  <c r="AB588" i="11"/>
  <c r="AA588" i="11"/>
  <c r="AG587" i="11"/>
  <c r="AE587" i="11"/>
  <c r="AD587" i="11"/>
  <c r="AC587" i="11"/>
  <c r="AB587" i="11"/>
  <c r="AA587" i="11"/>
  <c r="AG586" i="11"/>
  <c r="AE586" i="11"/>
  <c r="AD586" i="11"/>
  <c r="AC586" i="11"/>
  <c r="AB586" i="11"/>
  <c r="AA586" i="11"/>
  <c r="AG585" i="11"/>
  <c r="AE585" i="11"/>
  <c r="AD585" i="11"/>
  <c r="AC585" i="11"/>
  <c r="AB585" i="11"/>
  <c r="AA585" i="11"/>
  <c r="AG584" i="11"/>
  <c r="AE584" i="11"/>
  <c r="AD584" i="11"/>
  <c r="AC584" i="11"/>
  <c r="AB584" i="11"/>
  <c r="AA584" i="11"/>
  <c r="AG583" i="11"/>
  <c r="AE583" i="11"/>
  <c r="AD583" i="11"/>
  <c r="AC583" i="11"/>
  <c r="AB583" i="11"/>
  <c r="AA583" i="11"/>
  <c r="AG582" i="11"/>
  <c r="AE582" i="11"/>
  <c r="AD582" i="11"/>
  <c r="AC582" i="11"/>
  <c r="AB582" i="11"/>
  <c r="AA582" i="11"/>
  <c r="AG581" i="11"/>
  <c r="AE581" i="11"/>
  <c r="AD581" i="11"/>
  <c r="AC581" i="11"/>
  <c r="AB581" i="11"/>
  <c r="AA581" i="11"/>
  <c r="AG580" i="11"/>
  <c r="AE580" i="11"/>
  <c r="AD580" i="11"/>
  <c r="AC580" i="11"/>
  <c r="AB580" i="11"/>
  <c r="AA580" i="11"/>
  <c r="AG579" i="11"/>
  <c r="AE579" i="11"/>
  <c r="AD579" i="11"/>
  <c r="AC579" i="11"/>
  <c r="AB579" i="11"/>
  <c r="AA579" i="11"/>
  <c r="AG578" i="11"/>
  <c r="AE578" i="11"/>
  <c r="AD578" i="11"/>
  <c r="AC578" i="11"/>
  <c r="AB578" i="11"/>
  <c r="AA578" i="11"/>
  <c r="AG577" i="11"/>
  <c r="AF577" i="11"/>
  <c r="AE577" i="11"/>
  <c r="AD577" i="11"/>
  <c r="AC577" i="11"/>
  <c r="AB577" i="11"/>
  <c r="AA577" i="11"/>
  <c r="AG576" i="11"/>
  <c r="AE576" i="11"/>
  <c r="AD576" i="11"/>
  <c r="AC576" i="11"/>
  <c r="AB576" i="11"/>
  <c r="AA576" i="11"/>
  <c r="AG575" i="11"/>
  <c r="AE575" i="11"/>
  <c r="AD575" i="11"/>
  <c r="AC575" i="11"/>
  <c r="AB575" i="11"/>
  <c r="AA575" i="11"/>
  <c r="AG574" i="11"/>
  <c r="AF574" i="11"/>
  <c r="AE574" i="11"/>
  <c r="AD574" i="11"/>
  <c r="AC574" i="11"/>
  <c r="AB574" i="11"/>
  <c r="AA574" i="11"/>
  <c r="AG573" i="11"/>
  <c r="AE573" i="11"/>
  <c r="AD573" i="11"/>
  <c r="AC573" i="11"/>
  <c r="AB573" i="11"/>
  <c r="AA573" i="11"/>
  <c r="AG572" i="11"/>
  <c r="AE572" i="11"/>
  <c r="AD572" i="11"/>
  <c r="AC572" i="11"/>
  <c r="AB572" i="11"/>
  <c r="AA572" i="11"/>
  <c r="AG571" i="11"/>
  <c r="AE571" i="11"/>
  <c r="AD571" i="11"/>
  <c r="AC571" i="11"/>
  <c r="AB571" i="11"/>
  <c r="AA571" i="11"/>
  <c r="AG570" i="11"/>
  <c r="AE570" i="11"/>
  <c r="AD570" i="11"/>
  <c r="AC570" i="11"/>
  <c r="AB570" i="11"/>
  <c r="AA570" i="11"/>
  <c r="AG569" i="11"/>
  <c r="AE569" i="11"/>
  <c r="AD569" i="11"/>
  <c r="AC569" i="11"/>
  <c r="AB569" i="11"/>
  <c r="AA569" i="11"/>
  <c r="AG568" i="11"/>
  <c r="AE568" i="11"/>
  <c r="AD568" i="11"/>
  <c r="AC568" i="11"/>
  <c r="AB568" i="11"/>
  <c r="AA568" i="11"/>
  <c r="AG567" i="11"/>
  <c r="AE567" i="11"/>
  <c r="AD567" i="11"/>
  <c r="AC567" i="11"/>
  <c r="AB567" i="11"/>
  <c r="AA567" i="11"/>
  <c r="AG566" i="11"/>
  <c r="AE566" i="11"/>
  <c r="AD566" i="11"/>
  <c r="AC566" i="11"/>
  <c r="AB566" i="11"/>
  <c r="AA566" i="11"/>
  <c r="AG565" i="11"/>
  <c r="AF565" i="11"/>
  <c r="AE565" i="11"/>
  <c r="AD565" i="11"/>
  <c r="AC565" i="11"/>
  <c r="AB565" i="11"/>
  <c r="AA565" i="11"/>
  <c r="AG564" i="11"/>
  <c r="AE564" i="11"/>
  <c r="AD564" i="11"/>
  <c r="AC564" i="11"/>
  <c r="AB564" i="11"/>
  <c r="AA564" i="11"/>
  <c r="AG563" i="11"/>
  <c r="AE563" i="11"/>
  <c r="AD563" i="11"/>
  <c r="AC563" i="11"/>
  <c r="AB563" i="11"/>
  <c r="AA563" i="11"/>
  <c r="AG562" i="11"/>
  <c r="AE562" i="11"/>
  <c r="AD562" i="11"/>
  <c r="AC562" i="11"/>
  <c r="AB562" i="11"/>
  <c r="AA562" i="11"/>
  <c r="AG561" i="11"/>
  <c r="AE561" i="11"/>
  <c r="AD561" i="11"/>
  <c r="AC561" i="11"/>
  <c r="AB561" i="11"/>
  <c r="AA561" i="11"/>
  <c r="AG560" i="11"/>
  <c r="AF560" i="11"/>
  <c r="AE560" i="11"/>
  <c r="AD560" i="11"/>
  <c r="AC560" i="11"/>
  <c r="AB560" i="11"/>
  <c r="AA560" i="11"/>
  <c r="AG559" i="11"/>
  <c r="AE559" i="11"/>
  <c r="AD559" i="11"/>
  <c r="AC559" i="11"/>
  <c r="AB559" i="11"/>
  <c r="AA559" i="11"/>
  <c r="AG558" i="11"/>
  <c r="AE558" i="11"/>
  <c r="AD558" i="11"/>
  <c r="AC558" i="11"/>
  <c r="AB558" i="11"/>
  <c r="AA558" i="11"/>
  <c r="AG557" i="11"/>
  <c r="AF557" i="11"/>
  <c r="AE557" i="11"/>
  <c r="AD557" i="11"/>
  <c r="AC557" i="11"/>
  <c r="AB557" i="11"/>
  <c r="AA557" i="11"/>
  <c r="AG556" i="11"/>
  <c r="AE556" i="11"/>
  <c r="AD556" i="11"/>
  <c r="AC556" i="11"/>
  <c r="AB556" i="11"/>
  <c r="AA556" i="11"/>
  <c r="AG555" i="11"/>
  <c r="AF555" i="11"/>
  <c r="AE555" i="11"/>
  <c r="AD555" i="11"/>
  <c r="AC555" i="11"/>
  <c r="AB555" i="11"/>
  <c r="AA555" i="11"/>
  <c r="AG554" i="11"/>
  <c r="AE554" i="11"/>
  <c r="AD554" i="11"/>
  <c r="AC554" i="11"/>
  <c r="AB554" i="11"/>
  <c r="AA554" i="11"/>
  <c r="AG553" i="11"/>
  <c r="AE553" i="11"/>
  <c r="AD553" i="11"/>
  <c r="AC553" i="11"/>
  <c r="AB553" i="11"/>
  <c r="AA553" i="11"/>
  <c r="AG552" i="11"/>
  <c r="AE552" i="11"/>
  <c r="AD552" i="11"/>
  <c r="AC552" i="11"/>
  <c r="AB552" i="11"/>
  <c r="AA552" i="11"/>
  <c r="AG551" i="11"/>
  <c r="AE551" i="11"/>
  <c r="AD551" i="11"/>
  <c r="AC551" i="11"/>
  <c r="AB551" i="11"/>
  <c r="AA551" i="11"/>
  <c r="AG550" i="11"/>
  <c r="AF550" i="11"/>
  <c r="AE550" i="11"/>
  <c r="AD550" i="11"/>
  <c r="AC550" i="11"/>
  <c r="AB550" i="11"/>
  <c r="AA550" i="11"/>
  <c r="AG549" i="11"/>
  <c r="AE549" i="11"/>
  <c r="AD549" i="11"/>
  <c r="AC549" i="11"/>
  <c r="AB549" i="11"/>
  <c r="AA549" i="11"/>
  <c r="AG548" i="11"/>
  <c r="AE548" i="11"/>
  <c r="AD548" i="11"/>
  <c r="AC548" i="11"/>
  <c r="AB548" i="11"/>
  <c r="AA548" i="11"/>
  <c r="AG547" i="11"/>
  <c r="AE547" i="11"/>
  <c r="AD547" i="11"/>
  <c r="AC547" i="11"/>
  <c r="AB547" i="11"/>
  <c r="AA547" i="11"/>
  <c r="AG546" i="11"/>
  <c r="AE546" i="11"/>
  <c r="AD546" i="11"/>
  <c r="AC546" i="11"/>
  <c r="AB546" i="11"/>
  <c r="AA546" i="11"/>
  <c r="AG545" i="11"/>
  <c r="AE545" i="11"/>
  <c r="AD545" i="11"/>
  <c r="AC545" i="11"/>
  <c r="AB545" i="11"/>
  <c r="AA545" i="11"/>
  <c r="AG544" i="11"/>
  <c r="AE544" i="11"/>
  <c r="AD544" i="11"/>
  <c r="AC544" i="11"/>
  <c r="AB544" i="11"/>
  <c r="AA544" i="11"/>
  <c r="AG543" i="11"/>
  <c r="AE543" i="11"/>
  <c r="AD543" i="11"/>
  <c r="AC543" i="11"/>
  <c r="AB543" i="11"/>
  <c r="AA543" i="11"/>
  <c r="AG542" i="11"/>
  <c r="AE542" i="11"/>
  <c r="AD542" i="11"/>
  <c r="AC542" i="11"/>
  <c r="AB542" i="11"/>
  <c r="AA542" i="11"/>
  <c r="AG541" i="11"/>
  <c r="AE541" i="11"/>
  <c r="AD541" i="11"/>
  <c r="AC541" i="11"/>
  <c r="AB541" i="11"/>
  <c r="AA541" i="11"/>
  <c r="AG540" i="11"/>
  <c r="AE540" i="11"/>
  <c r="AD540" i="11"/>
  <c r="AC540" i="11"/>
  <c r="AB540" i="11"/>
  <c r="AA540" i="11"/>
  <c r="AG539" i="11"/>
  <c r="AF539" i="11"/>
  <c r="AE539" i="11"/>
  <c r="AD539" i="11"/>
  <c r="AC539" i="11"/>
  <c r="AB539" i="11"/>
  <c r="AA539" i="11"/>
  <c r="AG538" i="11"/>
  <c r="AF538" i="11"/>
  <c r="AE538" i="11"/>
  <c r="AD538" i="11"/>
  <c r="AC538" i="11"/>
  <c r="AB538" i="11"/>
  <c r="AA538" i="11"/>
  <c r="AG537" i="11"/>
  <c r="AF537" i="11"/>
  <c r="AE537" i="11"/>
  <c r="AD537" i="11"/>
  <c r="AC537" i="11"/>
  <c r="AB537" i="11"/>
  <c r="AA537" i="11"/>
  <c r="AG536" i="11"/>
  <c r="AE536" i="11"/>
  <c r="AD536" i="11"/>
  <c r="AC536" i="11"/>
  <c r="AB536" i="11"/>
  <c r="AA536" i="11"/>
  <c r="AG535" i="11"/>
  <c r="AF535" i="11"/>
  <c r="AE535" i="11"/>
  <c r="AD535" i="11"/>
  <c r="AC535" i="11"/>
  <c r="AB535" i="11"/>
  <c r="AA535" i="11"/>
  <c r="AG534" i="11"/>
  <c r="AE534" i="11"/>
  <c r="AD534" i="11"/>
  <c r="AC534" i="11"/>
  <c r="AB534" i="11"/>
  <c r="AA534" i="11"/>
  <c r="AG533" i="11"/>
  <c r="AE533" i="11"/>
  <c r="AD533" i="11"/>
  <c r="AC533" i="11"/>
  <c r="AB533" i="11"/>
  <c r="AA533" i="11"/>
  <c r="AG532" i="11"/>
  <c r="AE532" i="11"/>
  <c r="AD532" i="11"/>
  <c r="AC532" i="11"/>
  <c r="AB532" i="11"/>
  <c r="AA532" i="11"/>
  <c r="AG531" i="11"/>
  <c r="AE531" i="11"/>
  <c r="AD531" i="11"/>
  <c r="AC531" i="11"/>
  <c r="AB531" i="11"/>
  <c r="AA531" i="11"/>
  <c r="AG530" i="11"/>
  <c r="AE530" i="11"/>
  <c r="AD530" i="11"/>
  <c r="AC530" i="11"/>
  <c r="AB530" i="11"/>
  <c r="AA530" i="11"/>
  <c r="AG529" i="11"/>
  <c r="AF529" i="11"/>
  <c r="AE529" i="11"/>
  <c r="AD529" i="11"/>
  <c r="AC529" i="11"/>
  <c r="AB529" i="11"/>
  <c r="AA529" i="11"/>
  <c r="AG528" i="11"/>
  <c r="AE528" i="11"/>
  <c r="AD528" i="11"/>
  <c r="AC528" i="11"/>
  <c r="AB528" i="11"/>
  <c r="AA528" i="11"/>
  <c r="AG527" i="11"/>
  <c r="AE527" i="11"/>
  <c r="AD527" i="11"/>
  <c r="AC527" i="11"/>
  <c r="AB527" i="11"/>
  <c r="AA527" i="11"/>
  <c r="AG526" i="11"/>
  <c r="AE526" i="11"/>
  <c r="AD526" i="11"/>
  <c r="AC526" i="11"/>
  <c r="AB526" i="11"/>
  <c r="AA526" i="11"/>
  <c r="AG525" i="11"/>
  <c r="AE525" i="11"/>
  <c r="AD525" i="11"/>
  <c r="AC525" i="11"/>
  <c r="AB525" i="11"/>
  <c r="AA525" i="11"/>
  <c r="AG524" i="11"/>
  <c r="AE524" i="11"/>
  <c r="AD524" i="11"/>
  <c r="AC524" i="11"/>
  <c r="AB524" i="11"/>
  <c r="AA524" i="11"/>
  <c r="AG523" i="11"/>
  <c r="AE523" i="11"/>
  <c r="AD523" i="11"/>
  <c r="AC523" i="11"/>
  <c r="AB523" i="11"/>
  <c r="AA523" i="11"/>
  <c r="AG522" i="11"/>
  <c r="AF522" i="11"/>
  <c r="AE522" i="11"/>
  <c r="AD522" i="11"/>
  <c r="AC522" i="11"/>
  <c r="AB522" i="11"/>
  <c r="AA522" i="11"/>
  <c r="AG521" i="11"/>
  <c r="AE521" i="11"/>
  <c r="AD521" i="11"/>
  <c r="AC521" i="11"/>
  <c r="AB521" i="11"/>
  <c r="AA521" i="11"/>
  <c r="AG520" i="11"/>
  <c r="AF520" i="11"/>
  <c r="AE520" i="11"/>
  <c r="AD520" i="11"/>
  <c r="AC520" i="11"/>
  <c r="AB520" i="11"/>
  <c r="AA520" i="11"/>
  <c r="AG519" i="11"/>
  <c r="AF519" i="11"/>
  <c r="AE519" i="11"/>
  <c r="AD519" i="11"/>
  <c r="AC519" i="11"/>
  <c r="AB519" i="11"/>
  <c r="AA519" i="11"/>
  <c r="AG518" i="11"/>
  <c r="AE518" i="11"/>
  <c r="AD518" i="11"/>
  <c r="AC518" i="11"/>
  <c r="AB518" i="11"/>
  <c r="AA518" i="11"/>
  <c r="AG517" i="11"/>
  <c r="AE517" i="11"/>
  <c r="AD517" i="11"/>
  <c r="AC517" i="11"/>
  <c r="AB517" i="11"/>
  <c r="AA517" i="11"/>
  <c r="AG516" i="11"/>
  <c r="AE516" i="11"/>
  <c r="AD516" i="11"/>
  <c r="AC516" i="11"/>
  <c r="AB516" i="11"/>
  <c r="AA516" i="11"/>
  <c r="AG515" i="11"/>
  <c r="AE515" i="11"/>
  <c r="AD515" i="11"/>
  <c r="AC515" i="11"/>
  <c r="AB515" i="11"/>
  <c r="AA515" i="11"/>
  <c r="AG514" i="11"/>
  <c r="AE514" i="11"/>
  <c r="AD514" i="11"/>
  <c r="AC514" i="11"/>
  <c r="AB514" i="11"/>
  <c r="AA514" i="11"/>
  <c r="AG513" i="11"/>
  <c r="AE513" i="11"/>
  <c r="AD513" i="11"/>
  <c r="AC513" i="11"/>
  <c r="AB513" i="11"/>
  <c r="AA513" i="11"/>
  <c r="AG512" i="11"/>
  <c r="AF512" i="11"/>
  <c r="AE512" i="11"/>
  <c r="AD512" i="11"/>
  <c r="AC512" i="11"/>
  <c r="AB512" i="11"/>
  <c r="AA512" i="11"/>
  <c r="AG511" i="11"/>
  <c r="AE511" i="11"/>
  <c r="AD511" i="11"/>
  <c r="AC511" i="11"/>
  <c r="AB511" i="11"/>
  <c r="AA511" i="11"/>
  <c r="AG510" i="11"/>
  <c r="AE510" i="11"/>
  <c r="AD510" i="11"/>
  <c r="AC510" i="11"/>
  <c r="AB510" i="11"/>
  <c r="AA510" i="11"/>
  <c r="AG509" i="11"/>
  <c r="AE509" i="11"/>
  <c r="AD509" i="11"/>
  <c r="AC509" i="11"/>
  <c r="AB509" i="11"/>
  <c r="AA509" i="11"/>
  <c r="AG508" i="11"/>
  <c r="AE508" i="11"/>
  <c r="AD508" i="11"/>
  <c r="AC508" i="11"/>
  <c r="AB508" i="11"/>
  <c r="AA508" i="11"/>
  <c r="AG507" i="11"/>
  <c r="AE507" i="11"/>
  <c r="AD507" i="11"/>
  <c r="AC507" i="11"/>
  <c r="AB507" i="11"/>
  <c r="AA507" i="11"/>
  <c r="AG506" i="11"/>
  <c r="AE506" i="11"/>
  <c r="AD506" i="11"/>
  <c r="AC506" i="11"/>
  <c r="AB506" i="11"/>
  <c r="AA506" i="11"/>
  <c r="AG505" i="11"/>
  <c r="AE505" i="11"/>
  <c r="AD505" i="11"/>
  <c r="AC505" i="11"/>
  <c r="AB505" i="11"/>
  <c r="AA505" i="11"/>
  <c r="AG504" i="11"/>
  <c r="AE504" i="11"/>
  <c r="AD504" i="11"/>
  <c r="AC504" i="11"/>
  <c r="AB504" i="11"/>
  <c r="AA504" i="11"/>
  <c r="AG503" i="11"/>
  <c r="AF503" i="11"/>
  <c r="AE503" i="11"/>
  <c r="AD503" i="11"/>
  <c r="AC503" i="11"/>
  <c r="AB503" i="11"/>
  <c r="AA503" i="11"/>
  <c r="AG502" i="11"/>
  <c r="AF502" i="11"/>
  <c r="AE502" i="11"/>
  <c r="AD502" i="11"/>
  <c r="AC502" i="11"/>
  <c r="AB502" i="11"/>
  <c r="AA502" i="11"/>
  <c r="AG501" i="11"/>
  <c r="AF501" i="11"/>
  <c r="AE501" i="11"/>
  <c r="AD501" i="11"/>
  <c r="AC501" i="11"/>
  <c r="AB501" i="11"/>
  <c r="AA501" i="11"/>
  <c r="AG500" i="11"/>
  <c r="AE500" i="11"/>
  <c r="AD500" i="11"/>
  <c r="AC500" i="11"/>
  <c r="AB500" i="11"/>
  <c r="AA500" i="11"/>
  <c r="AG499" i="11"/>
  <c r="AE499" i="11"/>
  <c r="AD499" i="11"/>
  <c r="AC499" i="11"/>
  <c r="AB499" i="11"/>
  <c r="AA499" i="11"/>
  <c r="AG498" i="11"/>
  <c r="AE498" i="11"/>
  <c r="AD498" i="11"/>
  <c r="AC498" i="11"/>
  <c r="AB498" i="11"/>
  <c r="AA498" i="11"/>
  <c r="AG497" i="11"/>
  <c r="AF497" i="11"/>
  <c r="AE497" i="11"/>
  <c r="AD497" i="11"/>
  <c r="AC497" i="11"/>
  <c r="AB497" i="11"/>
  <c r="AA497" i="11"/>
  <c r="AG496" i="11"/>
  <c r="AE496" i="11"/>
  <c r="AD496" i="11"/>
  <c r="AC496" i="11"/>
  <c r="AB496" i="11"/>
  <c r="AA496" i="11"/>
  <c r="AG495" i="11"/>
  <c r="AE495" i="11"/>
  <c r="AD495" i="11"/>
  <c r="AC495" i="11"/>
  <c r="AB495" i="11"/>
  <c r="AA495" i="11"/>
  <c r="AG494" i="11"/>
  <c r="AE494" i="11"/>
  <c r="AD494" i="11"/>
  <c r="AC494" i="11"/>
  <c r="AB494" i="11"/>
  <c r="AA494" i="11"/>
  <c r="AG493" i="11"/>
  <c r="AE493" i="11"/>
  <c r="AD493" i="11"/>
  <c r="AC493" i="11"/>
  <c r="AB493" i="11"/>
  <c r="AA493" i="11"/>
  <c r="AG492" i="11"/>
  <c r="AE492" i="11"/>
  <c r="AD492" i="11"/>
  <c r="AC492" i="11"/>
  <c r="AB492" i="11"/>
  <c r="AA492" i="11"/>
  <c r="AG491" i="11"/>
  <c r="AE491" i="11"/>
  <c r="AD491" i="11"/>
  <c r="AC491" i="11"/>
  <c r="AB491" i="11"/>
  <c r="AA491" i="11"/>
  <c r="AG490" i="11"/>
  <c r="AE490" i="11"/>
  <c r="AD490" i="11"/>
  <c r="AC490" i="11"/>
  <c r="AB490" i="11"/>
  <c r="AA490" i="11"/>
  <c r="AG489" i="11"/>
  <c r="AF489" i="11"/>
  <c r="AE489" i="11"/>
  <c r="AD489" i="11"/>
  <c r="AC489" i="11"/>
  <c r="AB489" i="11"/>
  <c r="AA489" i="11"/>
  <c r="AG488" i="11"/>
  <c r="AF488" i="11"/>
  <c r="AE488" i="11"/>
  <c r="AD488" i="11"/>
  <c r="AC488" i="11"/>
  <c r="AB488" i="11"/>
  <c r="AA488" i="11"/>
  <c r="AG487" i="11"/>
  <c r="AE487" i="11"/>
  <c r="AD487" i="11"/>
  <c r="AC487" i="11"/>
  <c r="AB487" i="11"/>
  <c r="AA487" i="11"/>
  <c r="AG486" i="11"/>
  <c r="AE486" i="11"/>
  <c r="AD486" i="11"/>
  <c r="AC486" i="11"/>
  <c r="AB486" i="11"/>
  <c r="AA486" i="11"/>
  <c r="AG485" i="11"/>
  <c r="AF485" i="11"/>
  <c r="AE485" i="11"/>
  <c r="AD485" i="11"/>
  <c r="AC485" i="11"/>
  <c r="AB485" i="11"/>
  <c r="AA485" i="11"/>
  <c r="AG484" i="11"/>
  <c r="AE484" i="11"/>
  <c r="AD484" i="11"/>
  <c r="AC484" i="11"/>
  <c r="AB484" i="11"/>
  <c r="AA484" i="11"/>
  <c r="AG483" i="11"/>
  <c r="AF483" i="11"/>
  <c r="AE483" i="11"/>
  <c r="AD483" i="11"/>
  <c r="AC483" i="11"/>
  <c r="AB483" i="11"/>
  <c r="AA483" i="11"/>
  <c r="AG482" i="11"/>
  <c r="AE482" i="11"/>
  <c r="AD482" i="11"/>
  <c r="AC482" i="11"/>
  <c r="AB482" i="11"/>
  <c r="AA482" i="11"/>
  <c r="AG481" i="11"/>
  <c r="AF481" i="11"/>
  <c r="AE481" i="11"/>
  <c r="AD481" i="11"/>
  <c r="AC481" i="11"/>
  <c r="AB481" i="11"/>
  <c r="AA481" i="11"/>
  <c r="AG480" i="11"/>
  <c r="AE480" i="11"/>
  <c r="AD480" i="11"/>
  <c r="AC480" i="11"/>
  <c r="AB480" i="11"/>
  <c r="AA480" i="11"/>
  <c r="AG479" i="11"/>
  <c r="AE479" i="11"/>
  <c r="AD479" i="11"/>
  <c r="AC479" i="11"/>
  <c r="AB479" i="11"/>
  <c r="AA479" i="11"/>
  <c r="AG478" i="11"/>
  <c r="AF478" i="11"/>
  <c r="AE478" i="11"/>
  <c r="AD478" i="11"/>
  <c r="AC478" i="11"/>
  <c r="AB478" i="11"/>
  <c r="AA478" i="11"/>
  <c r="AG477" i="11"/>
  <c r="AE477" i="11"/>
  <c r="AD477" i="11"/>
  <c r="AC477" i="11"/>
  <c r="AB477" i="11"/>
  <c r="AA477" i="11"/>
  <c r="AG476" i="11"/>
  <c r="AF476" i="11"/>
  <c r="AE476" i="11"/>
  <c r="AD476" i="11"/>
  <c r="AC476" i="11"/>
  <c r="AB476" i="11"/>
  <c r="AA476" i="11"/>
  <c r="AG475" i="11"/>
  <c r="AE475" i="11"/>
  <c r="AD475" i="11"/>
  <c r="AC475" i="11"/>
  <c r="AB475" i="11"/>
  <c r="AA475" i="11"/>
  <c r="AG474" i="11"/>
  <c r="AE474" i="11"/>
  <c r="AD474" i="11"/>
  <c r="AC474" i="11"/>
  <c r="AB474" i="11"/>
  <c r="AA474" i="11"/>
  <c r="AG473" i="11"/>
  <c r="AE473" i="11"/>
  <c r="AD473" i="11"/>
  <c r="AC473" i="11"/>
  <c r="AB473" i="11"/>
  <c r="AA473" i="11"/>
  <c r="AG472" i="11"/>
  <c r="AE472" i="11"/>
  <c r="AD472" i="11"/>
  <c r="AC472" i="11"/>
  <c r="AB472" i="11"/>
  <c r="AA472" i="11"/>
  <c r="AG471" i="11"/>
  <c r="AF471" i="11"/>
  <c r="AE471" i="11"/>
  <c r="AD471" i="11"/>
  <c r="AC471" i="11"/>
  <c r="AB471" i="11"/>
  <c r="AA471" i="11"/>
  <c r="AG470" i="11"/>
  <c r="AE470" i="11"/>
  <c r="AD470" i="11"/>
  <c r="AC470" i="11"/>
  <c r="AB470" i="11"/>
  <c r="AA470" i="11"/>
  <c r="AG469" i="11"/>
  <c r="AF469" i="11"/>
  <c r="AE469" i="11"/>
  <c r="AD469" i="11"/>
  <c r="AC469" i="11"/>
  <c r="AB469" i="11"/>
  <c r="AA469" i="11"/>
  <c r="AG468" i="11"/>
  <c r="AF468" i="11"/>
  <c r="AE468" i="11"/>
  <c r="AD468" i="11"/>
  <c r="AC468" i="11"/>
  <c r="AB468" i="11"/>
  <c r="AA468" i="11"/>
  <c r="AG467" i="11"/>
  <c r="AE467" i="11"/>
  <c r="AD467" i="11"/>
  <c r="AC467" i="11"/>
  <c r="AB467" i="11"/>
  <c r="AA467" i="11"/>
  <c r="AG466" i="11"/>
  <c r="AE466" i="11"/>
  <c r="AD466" i="11"/>
  <c r="AC466" i="11"/>
  <c r="AB466" i="11"/>
  <c r="AA466" i="11"/>
  <c r="AG465" i="11"/>
  <c r="AE465" i="11"/>
  <c r="AD465" i="11"/>
  <c r="AC465" i="11"/>
  <c r="AB465" i="11"/>
  <c r="AA465" i="11"/>
  <c r="AG464" i="11"/>
  <c r="AE464" i="11"/>
  <c r="AD464" i="11"/>
  <c r="AC464" i="11"/>
  <c r="AB464" i="11"/>
  <c r="AA464" i="11"/>
  <c r="AG463" i="11"/>
  <c r="AE463" i="11"/>
  <c r="AD463" i="11"/>
  <c r="AC463" i="11"/>
  <c r="AB463" i="11"/>
  <c r="AA463" i="11"/>
  <c r="AG462" i="11"/>
  <c r="AE462" i="11"/>
  <c r="AD462" i="11"/>
  <c r="AC462" i="11"/>
  <c r="AB462" i="11"/>
  <c r="AA462" i="11"/>
  <c r="AG461" i="11"/>
  <c r="AE461" i="11"/>
  <c r="AD461" i="11"/>
  <c r="AC461" i="11"/>
  <c r="AB461" i="11"/>
  <c r="AA461" i="11"/>
  <c r="AG460" i="11"/>
  <c r="AE460" i="11"/>
  <c r="AD460" i="11"/>
  <c r="AC460" i="11"/>
  <c r="AB460" i="11"/>
  <c r="AA460" i="11"/>
  <c r="AG459" i="11"/>
  <c r="AF459" i="11"/>
  <c r="AE459" i="11"/>
  <c r="AD459" i="11"/>
  <c r="AC459" i="11"/>
  <c r="AB459" i="11"/>
  <c r="AA459" i="11"/>
  <c r="AG458" i="11"/>
  <c r="AE458" i="11"/>
  <c r="AD458" i="11"/>
  <c r="AC458" i="11"/>
  <c r="AB458" i="11"/>
  <c r="AA458" i="11"/>
  <c r="AG457" i="11"/>
  <c r="AF457" i="11"/>
  <c r="AE457" i="11"/>
  <c r="AD457" i="11"/>
  <c r="AC457" i="11"/>
  <c r="AB457" i="11"/>
  <c r="AA457" i="11"/>
  <c r="AG456" i="11"/>
  <c r="AE456" i="11"/>
  <c r="AD456" i="11"/>
  <c r="AC456" i="11"/>
  <c r="AB456" i="11"/>
  <c r="AA456" i="11"/>
  <c r="AG455" i="11"/>
  <c r="AF455" i="11"/>
  <c r="AE455" i="11"/>
  <c r="AD455" i="11"/>
  <c r="AC455" i="11"/>
  <c r="AB455" i="11"/>
  <c r="AA455" i="11"/>
  <c r="AG454" i="11"/>
  <c r="AE454" i="11"/>
  <c r="AD454" i="11"/>
  <c r="AC454" i="11"/>
  <c r="AB454" i="11"/>
  <c r="AA454" i="11"/>
  <c r="AG453" i="11"/>
  <c r="AF453" i="11"/>
  <c r="AE453" i="11"/>
  <c r="AD453" i="11"/>
  <c r="AC453" i="11"/>
  <c r="AB453" i="11"/>
  <c r="AA453" i="11"/>
  <c r="AG452" i="11"/>
  <c r="AE452" i="11"/>
  <c r="AD452" i="11"/>
  <c r="AC452" i="11"/>
  <c r="AB452" i="11"/>
  <c r="AA452" i="11"/>
  <c r="AG451" i="11"/>
  <c r="AE451" i="11"/>
  <c r="AD451" i="11"/>
  <c r="AC451" i="11"/>
  <c r="AB451" i="11"/>
  <c r="AA451" i="11"/>
  <c r="AG450" i="11"/>
  <c r="AE450" i="11"/>
  <c r="AD450" i="11"/>
  <c r="AC450" i="11"/>
  <c r="AB450" i="11"/>
  <c r="AA450" i="11"/>
  <c r="AG449" i="11"/>
  <c r="AE449" i="11"/>
  <c r="AD449" i="11"/>
  <c r="AC449" i="11"/>
  <c r="AB449" i="11"/>
  <c r="AA449" i="11"/>
  <c r="AG448" i="11"/>
  <c r="AE448" i="11"/>
  <c r="AD448" i="11"/>
  <c r="AC448" i="11"/>
  <c r="AB448" i="11"/>
  <c r="AA448" i="11"/>
  <c r="AG447" i="11"/>
  <c r="AE447" i="11"/>
  <c r="AD447" i="11"/>
  <c r="AC447" i="11"/>
  <c r="AB447" i="11"/>
  <c r="AA447" i="11"/>
  <c r="AG446" i="11"/>
  <c r="AE446" i="11"/>
  <c r="AD446" i="11"/>
  <c r="AC446" i="11"/>
  <c r="AB446" i="11"/>
  <c r="AA446" i="11"/>
  <c r="AG445" i="11"/>
  <c r="AE445" i="11"/>
  <c r="AD445" i="11"/>
  <c r="AC445" i="11"/>
  <c r="AB445" i="11"/>
  <c r="AA445" i="11"/>
  <c r="AG444" i="11"/>
  <c r="AE444" i="11"/>
  <c r="AD444" i="11"/>
  <c r="AC444" i="11"/>
  <c r="AB444" i="11"/>
  <c r="AA444" i="11"/>
  <c r="AG443" i="11"/>
  <c r="AE443" i="11"/>
  <c r="AD443" i="11"/>
  <c r="AC443" i="11"/>
  <c r="AB443" i="11"/>
  <c r="AA443" i="11"/>
  <c r="AG442" i="11"/>
  <c r="AE442" i="11"/>
  <c r="AD442" i="11"/>
  <c r="AC442" i="11"/>
  <c r="AB442" i="11"/>
  <c r="AA442" i="11"/>
  <c r="AG441" i="11"/>
  <c r="AE441" i="11"/>
  <c r="AD441" i="11"/>
  <c r="AC441" i="11"/>
  <c r="AB441" i="11"/>
  <c r="AA441" i="11"/>
  <c r="AG440" i="11"/>
  <c r="AE440" i="11"/>
  <c r="AD440" i="11"/>
  <c r="AC440" i="11"/>
  <c r="AB440" i="11"/>
  <c r="AA440" i="11"/>
  <c r="AG439" i="11"/>
  <c r="AE439" i="11"/>
  <c r="AD439" i="11"/>
  <c r="AC439" i="11"/>
  <c r="AB439" i="11"/>
  <c r="AA439" i="11"/>
  <c r="AG438" i="11"/>
  <c r="AE438" i="11"/>
  <c r="AD438" i="11"/>
  <c r="AC438" i="11"/>
  <c r="AB438" i="11"/>
  <c r="AA438" i="11"/>
  <c r="AG437" i="11"/>
  <c r="AE437" i="11"/>
  <c r="AD437" i="11"/>
  <c r="AC437" i="11"/>
  <c r="AB437" i="11"/>
  <c r="AA437" i="11"/>
  <c r="AG436" i="11"/>
  <c r="AE436" i="11"/>
  <c r="AD436" i="11"/>
  <c r="AC436" i="11"/>
  <c r="AB436" i="11"/>
  <c r="AA436" i="11"/>
  <c r="AG435" i="11"/>
  <c r="AF435" i="11"/>
  <c r="AE435" i="11"/>
  <c r="AD435" i="11"/>
  <c r="AC435" i="11"/>
  <c r="AB435" i="11"/>
  <c r="AA435" i="11"/>
  <c r="AG434" i="11"/>
  <c r="AE434" i="11"/>
  <c r="AD434" i="11"/>
  <c r="AC434" i="11"/>
  <c r="AB434" i="11"/>
  <c r="AA434" i="11"/>
  <c r="AG433" i="11"/>
  <c r="AE433" i="11"/>
  <c r="AD433" i="11"/>
  <c r="AC433" i="11"/>
  <c r="AB433" i="11"/>
  <c r="AA433" i="11"/>
  <c r="AG432" i="11"/>
  <c r="AE432" i="11"/>
  <c r="AD432" i="11"/>
  <c r="AC432" i="11"/>
  <c r="AB432" i="11"/>
  <c r="AA432" i="11"/>
  <c r="AG431" i="11"/>
  <c r="AF431" i="11"/>
  <c r="AE431" i="11"/>
  <c r="AD431" i="11"/>
  <c r="AC431" i="11"/>
  <c r="AB431" i="11"/>
  <c r="AA431" i="11"/>
  <c r="AG430" i="11"/>
  <c r="AF430" i="11"/>
  <c r="AE430" i="11"/>
  <c r="AD430" i="11"/>
  <c r="AC430" i="11"/>
  <c r="AB430" i="11"/>
  <c r="AA430" i="11"/>
  <c r="AG429" i="11"/>
  <c r="AE429" i="11"/>
  <c r="AD429" i="11"/>
  <c r="AC429" i="11"/>
  <c r="AB429" i="11"/>
  <c r="AA429" i="11"/>
  <c r="AG428" i="11"/>
  <c r="AE428" i="11"/>
  <c r="AD428" i="11"/>
  <c r="AC428" i="11"/>
  <c r="AB428" i="11"/>
  <c r="AA428" i="11"/>
  <c r="AG427" i="11"/>
  <c r="AF427" i="11"/>
  <c r="AE427" i="11"/>
  <c r="AD427" i="11"/>
  <c r="AC427" i="11"/>
  <c r="AB427" i="11"/>
  <c r="AA427" i="11"/>
  <c r="AG426" i="11"/>
  <c r="AF426" i="11"/>
  <c r="AE426" i="11"/>
  <c r="AD426" i="11"/>
  <c r="AC426" i="11"/>
  <c r="AB426" i="11"/>
  <c r="AA426" i="11"/>
  <c r="AG425" i="11"/>
  <c r="AE425" i="11"/>
  <c r="AD425" i="11"/>
  <c r="AC425" i="11"/>
  <c r="AB425" i="11"/>
  <c r="AA425" i="11"/>
  <c r="AG424" i="11"/>
  <c r="AE424" i="11"/>
  <c r="AD424" i="11"/>
  <c r="AC424" i="11"/>
  <c r="AB424" i="11"/>
  <c r="AA424" i="11"/>
  <c r="AG423" i="11"/>
  <c r="AE423" i="11"/>
  <c r="AD423" i="11"/>
  <c r="AC423" i="11"/>
  <c r="AB423" i="11"/>
  <c r="AA423" i="11"/>
  <c r="AG422" i="11"/>
  <c r="AF422" i="11"/>
  <c r="AE422" i="11"/>
  <c r="AD422" i="11"/>
  <c r="AC422" i="11"/>
  <c r="AB422" i="11"/>
  <c r="AA422" i="11"/>
  <c r="AG421" i="11"/>
  <c r="AE421" i="11"/>
  <c r="AD421" i="11"/>
  <c r="AC421" i="11"/>
  <c r="AB421" i="11"/>
  <c r="AA421" i="11"/>
  <c r="AG420" i="11"/>
  <c r="AE420" i="11"/>
  <c r="AD420" i="11"/>
  <c r="AC420" i="11"/>
  <c r="AB420" i="11"/>
  <c r="AA420" i="11"/>
  <c r="AG419" i="11"/>
  <c r="AE419" i="11"/>
  <c r="AD419" i="11"/>
  <c r="AC419" i="11"/>
  <c r="AB419" i="11"/>
  <c r="AA419" i="11"/>
  <c r="AG418" i="11"/>
  <c r="AE418" i="11"/>
  <c r="AD418" i="11"/>
  <c r="AC418" i="11"/>
  <c r="AB418" i="11"/>
  <c r="AA418" i="11"/>
  <c r="AG417" i="11"/>
  <c r="AF417" i="11"/>
  <c r="AE417" i="11"/>
  <c r="AD417" i="11"/>
  <c r="AC417" i="11"/>
  <c r="AB417" i="11"/>
  <c r="AA417" i="11"/>
  <c r="AG416" i="11"/>
  <c r="AE416" i="11"/>
  <c r="AD416" i="11"/>
  <c r="AC416" i="11"/>
  <c r="AB416" i="11"/>
  <c r="AA416" i="11"/>
  <c r="AG415" i="11"/>
  <c r="AE415" i="11"/>
  <c r="AD415" i="11"/>
  <c r="AC415" i="11"/>
  <c r="AB415" i="11"/>
  <c r="AA415" i="11"/>
  <c r="AG414" i="11"/>
  <c r="AF414" i="11"/>
  <c r="AE414" i="11"/>
  <c r="AD414" i="11"/>
  <c r="AC414" i="11"/>
  <c r="AB414" i="11"/>
  <c r="AA414" i="11"/>
  <c r="AG413" i="11"/>
  <c r="AE413" i="11"/>
  <c r="AD413" i="11"/>
  <c r="AC413" i="11"/>
  <c r="AB413" i="11"/>
  <c r="AA413" i="11"/>
  <c r="AG412" i="11"/>
  <c r="AF412" i="11"/>
  <c r="AE412" i="11"/>
  <c r="AD412" i="11"/>
  <c r="AC412" i="11"/>
  <c r="AB412" i="11"/>
  <c r="AA412" i="11"/>
  <c r="AG411" i="11"/>
  <c r="AE411" i="11"/>
  <c r="AD411" i="11"/>
  <c r="AC411" i="11"/>
  <c r="AB411" i="11"/>
  <c r="AA411" i="11"/>
  <c r="AG410" i="11"/>
  <c r="AE410" i="11"/>
  <c r="AD410" i="11"/>
  <c r="AC410" i="11"/>
  <c r="AB410" i="11"/>
  <c r="AA410" i="11"/>
  <c r="AG409" i="11"/>
  <c r="AE409" i="11"/>
  <c r="AD409" i="11"/>
  <c r="AC409" i="11"/>
  <c r="AB409" i="11"/>
  <c r="AA409" i="11"/>
  <c r="AG408" i="11"/>
  <c r="AF408" i="11"/>
  <c r="AE408" i="11"/>
  <c r="AD408" i="11"/>
  <c r="AC408" i="11"/>
  <c r="AB408" i="11"/>
  <c r="AA408" i="11"/>
  <c r="AG407" i="11"/>
  <c r="AE407" i="11"/>
  <c r="AD407" i="11"/>
  <c r="AC407" i="11"/>
  <c r="AB407" i="11"/>
  <c r="AA407" i="11"/>
  <c r="AG406" i="11"/>
  <c r="AE406" i="11"/>
  <c r="AD406" i="11"/>
  <c r="AC406" i="11"/>
  <c r="AB406" i="11"/>
  <c r="AA406" i="11"/>
  <c r="AG405" i="11"/>
  <c r="AE405" i="11"/>
  <c r="AD405" i="11"/>
  <c r="AC405" i="11"/>
  <c r="AB405" i="11"/>
  <c r="AA405" i="11"/>
  <c r="AG404" i="11"/>
  <c r="AE404" i="11"/>
  <c r="AD404" i="11"/>
  <c r="AC404" i="11"/>
  <c r="AB404" i="11"/>
  <c r="AA404" i="11"/>
  <c r="AG403" i="11"/>
  <c r="AE403" i="11"/>
  <c r="AD403" i="11"/>
  <c r="AC403" i="11"/>
  <c r="AB403" i="11"/>
  <c r="AA403" i="11"/>
  <c r="AG402" i="11"/>
  <c r="AE402" i="11"/>
  <c r="AD402" i="11"/>
  <c r="AC402" i="11"/>
  <c r="AB402" i="11"/>
  <c r="AA402" i="11"/>
  <c r="AG401" i="11"/>
  <c r="AE401" i="11"/>
  <c r="AD401" i="11"/>
  <c r="AC401" i="11"/>
  <c r="AB401" i="11"/>
  <c r="AA401" i="11"/>
  <c r="AG400" i="11"/>
  <c r="AF400" i="11"/>
  <c r="AE400" i="11"/>
  <c r="AD400" i="11"/>
  <c r="AC400" i="11"/>
  <c r="AB400" i="11"/>
  <c r="AA400" i="11"/>
  <c r="AG399" i="11"/>
  <c r="AE399" i="11"/>
  <c r="AD399" i="11"/>
  <c r="AC399" i="11"/>
  <c r="AB399" i="11"/>
  <c r="AA399" i="11"/>
  <c r="AG398" i="11"/>
  <c r="AE398" i="11"/>
  <c r="AD398" i="11"/>
  <c r="AC398" i="11"/>
  <c r="AB398" i="11"/>
  <c r="AA398" i="11"/>
  <c r="AG397" i="11"/>
  <c r="AF397" i="11"/>
  <c r="AE397" i="11"/>
  <c r="AD397" i="11"/>
  <c r="AC397" i="11"/>
  <c r="AB397" i="11"/>
  <c r="AA397" i="11"/>
  <c r="AG396" i="11"/>
  <c r="AE396" i="11"/>
  <c r="AD396" i="11"/>
  <c r="AC396" i="11"/>
  <c r="AB396" i="11"/>
  <c r="AA396" i="11"/>
  <c r="AG395" i="11"/>
  <c r="AE395" i="11"/>
  <c r="AD395" i="11"/>
  <c r="AC395" i="11"/>
  <c r="AB395" i="11"/>
  <c r="AA395" i="11"/>
  <c r="AG394" i="11"/>
  <c r="AE394" i="11"/>
  <c r="AD394" i="11"/>
  <c r="AC394" i="11"/>
  <c r="AB394" i="11"/>
  <c r="AA394" i="11"/>
  <c r="AG393" i="11"/>
  <c r="AE393" i="11"/>
  <c r="AD393" i="11"/>
  <c r="AC393" i="11"/>
  <c r="AB393" i="11"/>
  <c r="AA393" i="11"/>
  <c r="AG392" i="11"/>
  <c r="AE392" i="11"/>
  <c r="AD392" i="11"/>
  <c r="AC392" i="11"/>
  <c r="AB392" i="11"/>
  <c r="AA392" i="11"/>
  <c r="AG391" i="11"/>
  <c r="AF391" i="11"/>
  <c r="AE391" i="11"/>
  <c r="AD391" i="11"/>
  <c r="AC391" i="11"/>
  <c r="AB391" i="11"/>
  <c r="AA391" i="11"/>
  <c r="AG390" i="11"/>
  <c r="AE390" i="11"/>
  <c r="AD390" i="11"/>
  <c r="AC390" i="11"/>
  <c r="AB390" i="11"/>
  <c r="AA390" i="11"/>
  <c r="AG389" i="11"/>
  <c r="AE389" i="11"/>
  <c r="AD389" i="11"/>
  <c r="AC389" i="11"/>
  <c r="AB389" i="11"/>
  <c r="AA389" i="11"/>
  <c r="AG388" i="11"/>
  <c r="AE388" i="11"/>
  <c r="AD388" i="11"/>
  <c r="AC388" i="11"/>
  <c r="AB388" i="11"/>
  <c r="AA388" i="11"/>
  <c r="AG387" i="11"/>
  <c r="AE387" i="11"/>
  <c r="AD387" i="11"/>
  <c r="AC387" i="11"/>
  <c r="AB387" i="11"/>
  <c r="AA387" i="11"/>
  <c r="AG386" i="11"/>
  <c r="AE386" i="11"/>
  <c r="AD386" i="11"/>
  <c r="AC386" i="11"/>
  <c r="AB386" i="11"/>
  <c r="AA386" i="11"/>
  <c r="AG385" i="11"/>
  <c r="AE385" i="11"/>
  <c r="AD385" i="11"/>
  <c r="AC385" i="11"/>
  <c r="AB385" i="11"/>
  <c r="AA385" i="11"/>
  <c r="AG384" i="11"/>
  <c r="AE384" i="11"/>
  <c r="AD384" i="11"/>
  <c r="AC384" i="11"/>
  <c r="AB384" i="11"/>
  <c r="AA384" i="11"/>
  <c r="AG383" i="11"/>
  <c r="AE383" i="11"/>
  <c r="AD383" i="11"/>
  <c r="AC383" i="11"/>
  <c r="AB383" i="11"/>
  <c r="AA383" i="11"/>
  <c r="AG382" i="11"/>
  <c r="AE382" i="11"/>
  <c r="AD382" i="11"/>
  <c r="AC382" i="11"/>
  <c r="AB382" i="11"/>
  <c r="AA382" i="11"/>
  <c r="AG381" i="11"/>
  <c r="AE381" i="11"/>
  <c r="AD381" i="11"/>
  <c r="AC381" i="11"/>
  <c r="AB381" i="11"/>
  <c r="AA381" i="11"/>
  <c r="AG380" i="11"/>
  <c r="AF380" i="11"/>
  <c r="AE380" i="11"/>
  <c r="AD380" i="11"/>
  <c r="AC380" i="11"/>
  <c r="AB380" i="11"/>
  <c r="AA380" i="11"/>
  <c r="AG379" i="11"/>
  <c r="AE379" i="11"/>
  <c r="AD379" i="11"/>
  <c r="AC379" i="11"/>
  <c r="AB379" i="11"/>
  <c r="AA379" i="11"/>
  <c r="AG378" i="11"/>
  <c r="AE378" i="11"/>
  <c r="AD378" i="11"/>
  <c r="AC378" i="11"/>
  <c r="AB378" i="11"/>
  <c r="AA378" i="11"/>
  <c r="AG377" i="11"/>
  <c r="AE377" i="11"/>
  <c r="AD377" i="11"/>
  <c r="AC377" i="11"/>
  <c r="AB377" i="11"/>
  <c r="AA377" i="11"/>
  <c r="AG376" i="11"/>
  <c r="AE376" i="11"/>
  <c r="AD376" i="11"/>
  <c r="AC376" i="11"/>
  <c r="AB376" i="11"/>
  <c r="AA376" i="11"/>
  <c r="AG375" i="11"/>
  <c r="AE375" i="11"/>
  <c r="AD375" i="11"/>
  <c r="AC375" i="11"/>
  <c r="AB375" i="11"/>
  <c r="AA375" i="11"/>
  <c r="AG374" i="11"/>
  <c r="AE374" i="11"/>
  <c r="AD374" i="11"/>
  <c r="AC374" i="11"/>
  <c r="AB374" i="11"/>
  <c r="AA374" i="11"/>
  <c r="AG373" i="11"/>
  <c r="AE373" i="11"/>
  <c r="AD373" i="11"/>
  <c r="AC373" i="11"/>
  <c r="AB373" i="11"/>
  <c r="AA373" i="11"/>
  <c r="AG372" i="11"/>
  <c r="AE372" i="11"/>
  <c r="AD372" i="11"/>
  <c r="AC372" i="11"/>
  <c r="AB372" i="11"/>
  <c r="AA372" i="11"/>
  <c r="AG371" i="11"/>
  <c r="AF371" i="11"/>
  <c r="AE371" i="11"/>
  <c r="AD371" i="11"/>
  <c r="AC371" i="11"/>
  <c r="AB371" i="11"/>
  <c r="AA371" i="11"/>
  <c r="AG370" i="11"/>
  <c r="AE370" i="11"/>
  <c r="AD370" i="11"/>
  <c r="AC370" i="11"/>
  <c r="AB370" i="11"/>
  <c r="AA370" i="11"/>
  <c r="AG369" i="11"/>
  <c r="AE369" i="11"/>
  <c r="AD369" i="11"/>
  <c r="AC369" i="11"/>
  <c r="AB369" i="11"/>
  <c r="AA369" i="11"/>
  <c r="AG368" i="11"/>
  <c r="AE368" i="11"/>
  <c r="AD368" i="11"/>
  <c r="AC368" i="11"/>
  <c r="AB368" i="11"/>
  <c r="AA368" i="11"/>
  <c r="AG367" i="11"/>
  <c r="AE367" i="11"/>
  <c r="AD367" i="11"/>
  <c r="AC367" i="11"/>
  <c r="AB367" i="11"/>
  <c r="AA367" i="11"/>
  <c r="AG366" i="11"/>
  <c r="AE366" i="11"/>
  <c r="AD366" i="11"/>
  <c r="AC366" i="11"/>
  <c r="AB366" i="11"/>
  <c r="AA366" i="11"/>
  <c r="AG365" i="11"/>
  <c r="AE365" i="11"/>
  <c r="AD365" i="11"/>
  <c r="AC365" i="11"/>
  <c r="AB365" i="11"/>
  <c r="AA365" i="11"/>
  <c r="AG364" i="11"/>
  <c r="AE364" i="11"/>
  <c r="AD364" i="11"/>
  <c r="AC364" i="11"/>
  <c r="AB364" i="11"/>
  <c r="AA364" i="11"/>
  <c r="AG363" i="11"/>
  <c r="AE363" i="11"/>
  <c r="AD363" i="11"/>
  <c r="AC363" i="11"/>
  <c r="AB363" i="11"/>
  <c r="AA363" i="11"/>
  <c r="AG362" i="11"/>
  <c r="AE362" i="11"/>
  <c r="AD362" i="11"/>
  <c r="AC362" i="11"/>
  <c r="AB362" i="11"/>
  <c r="AA362" i="11"/>
  <c r="AG361" i="11"/>
  <c r="AE361" i="11"/>
  <c r="AD361" i="11"/>
  <c r="AC361" i="11"/>
  <c r="AB361" i="11"/>
  <c r="AA361" i="11"/>
  <c r="AG360" i="11"/>
  <c r="AE360" i="11"/>
  <c r="AD360" i="11"/>
  <c r="AC360" i="11"/>
  <c r="AB360" i="11"/>
  <c r="AA360" i="11"/>
  <c r="AG359" i="11"/>
  <c r="AE359" i="11"/>
  <c r="AD359" i="11"/>
  <c r="AC359" i="11"/>
  <c r="AB359" i="11"/>
  <c r="AA359" i="11"/>
  <c r="AG358" i="11"/>
  <c r="AE358" i="11"/>
  <c r="AD358" i="11"/>
  <c r="AC358" i="11"/>
  <c r="AB358" i="11"/>
  <c r="AA358" i="11"/>
  <c r="AG357" i="11"/>
  <c r="AE357" i="11"/>
  <c r="AD357" i="11"/>
  <c r="AC357" i="11"/>
  <c r="AB357" i="11"/>
  <c r="AA357" i="11"/>
  <c r="AG356" i="11"/>
  <c r="AE356" i="11"/>
  <c r="AD356" i="11"/>
  <c r="AC356" i="11"/>
  <c r="AB356" i="11"/>
  <c r="AA356" i="11"/>
  <c r="AG355" i="11"/>
  <c r="AE355" i="11"/>
  <c r="AD355" i="11"/>
  <c r="AC355" i="11"/>
  <c r="AB355" i="11"/>
  <c r="AA355" i="11"/>
  <c r="AG354" i="11"/>
  <c r="AE354" i="11"/>
  <c r="AD354" i="11"/>
  <c r="AC354" i="11"/>
  <c r="AB354" i="11"/>
  <c r="AA354" i="11"/>
  <c r="AG353" i="11"/>
  <c r="AE353" i="11"/>
  <c r="AD353" i="11"/>
  <c r="AC353" i="11"/>
  <c r="AB353" i="11"/>
  <c r="AA353" i="11"/>
  <c r="AG352" i="11"/>
  <c r="AE352" i="11"/>
  <c r="AD352" i="11"/>
  <c r="AC352" i="11"/>
  <c r="AB352" i="11"/>
  <c r="AA352" i="11"/>
  <c r="AG351" i="11"/>
  <c r="AE351" i="11"/>
  <c r="AD351" i="11"/>
  <c r="AC351" i="11"/>
  <c r="AB351" i="11"/>
  <c r="AA351" i="11"/>
  <c r="AG350" i="11"/>
  <c r="AE350" i="11"/>
  <c r="AD350" i="11"/>
  <c r="AC350" i="11"/>
  <c r="AB350" i="11"/>
  <c r="AA350" i="11"/>
  <c r="AG349" i="11"/>
  <c r="AE349" i="11"/>
  <c r="AD349" i="11"/>
  <c r="AC349" i="11"/>
  <c r="AB349" i="11"/>
  <c r="AA349" i="11"/>
  <c r="AG348" i="11"/>
  <c r="AE348" i="11"/>
  <c r="AD348" i="11"/>
  <c r="AC348" i="11"/>
  <c r="AB348" i="11"/>
  <c r="AA348" i="11"/>
  <c r="AG347" i="11"/>
  <c r="AE347" i="11"/>
  <c r="AD347" i="11"/>
  <c r="AC347" i="11"/>
  <c r="AB347" i="11"/>
  <c r="AA347" i="11"/>
  <c r="AG346" i="11"/>
  <c r="AE346" i="11"/>
  <c r="AD346" i="11"/>
  <c r="AC346" i="11"/>
  <c r="AB346" i="11"/>
  <c r="AA346" i="11"/>
  <c r="AG345" i="11"/>
  <c r="AE345" i="11"/>
  <c r="AD345" i="11"/>
  <c r="AC345" i="11"/>
  <c r="AB345" i="11"/>
  <c r="AA345" i="11"/>
  <c r="AG344" i="11"/>
  <c r="AF344" i="11"/>
  <c r="AE344" i="11"/>
  <c r="AD344" i="11"/>
  <c r="AC344" i="11"/>
  <c r="AB344" i="11"/>
  <c r="AA344" i="11"/>
  <c r="AG343" i="11"/>
  <c r="AE343" i="11"/>
  <c r="AD343" i="11"/>
  <c r="AC343" i="11"/>
  <c r="AB343" i="11"/>
  <c r="AA343" i="11"/>
  <c r="AG342" i="11"/>
  <c r="AE342" i="11"/>
  <c r="AD342" i="11"/>
  <c r="AC342" i="11"/>
  <c r="AB342" i="11"/>
  <c r="AA342" i="11"/>
  <c r="AG341" i="11"/>
  <c r="AE341" i="11"/>
  <c r="AD341" i="11"/>
  <c r="AC341" i="11"/>
  <c r="AB341" i="11"/>
  <c r="AA341" i="11"/>
  <c r="AG340" i="11"/>
  <c r="AE340" i="11"/>
  <c r="AD340" i="11"/>
  <c r="AC340" i="11"/>
  <c r="AB340" i="11"/>
  <c r="AA340" i="11"/>
  <c r="AG339" i="11"/>
  <c r="AE339" i="11"/>
  <c r="AD339" i="11"/>
  <c r="AC339" i="11"/>
  <c r="AB339" i="11"/>
  <c r="AA339" i="11"/>
  <c r="AG338" i="11"/>
  <c r="AE338" i="11"/>
  <c r="AD338" i="11"/>
  <c r="AC338" i="11"/>
  <c r="AB338" i="11"/>
  <c r="AA338" i="11"/>
  <c r="AG337" i="11"/>
  <c r="AE337" i="11"/>
  <c r="AD337" i="11"/>
  <c r="AC337" i="11"/>
  <c r="AB337" i="11"/>
  <c r="AA337" i="11"/>
  <c r="AG336" i="11"/>
  <c r="AE336" i="11"/>
  <c r="AD336" i="11"/>
  <c r="AC336" i="11"/>
  <c r="AB336" i="11"/>
  <c r="AA336" i="11"/>
  <c r="AG335" i="11"/>
  <c r="AE335" i="11"/>
  <c r="AD335" i="11"/>
  <c r="AC335" i="11"/>
  <c r="AB335" i="11"/>
  <c r="AA335" i="11"/>
  <c r="AG334" i="11"/>
  <c r="AE334" i="11"/>
  <c r="AD334" i="11"/>
  <c r="AC334" i="11"/>
  <c r="AB334" i="11"/>
  <c r="AA334" i="11"/>
  <c r="AG333" i="11"/>
  <c r="AF333" i="11"/>
  <c r="AE333" i="11"/>
  <c r="AD333" i="11"/>
  <c r="AC333" i="11"/>
  <c r="AB333" i="11"/>
  <c r="AA333" i="11"/>
  <c r="AG332" i="11"/>
  <c r="AE332" i="11"/>
  <c r="AD332" i="11"/>
  <c r="AC332" i="11"/>
  <c r="AB332" i="11"/>
  <c r="AA332" i="11"/>
  <c r="AG331" i="11"/>
  <c r="AF331" i="11"/>
  <c r="AE331" i="11"/>
  <c r="AD331" i="11"/>
  <c r="AC331" i="11"/>
  <c r="AB331" i="11"/>
  <c r="AA331" i="11"/>
  <c r="AG330" i="11"/>
  <c r="AE330" i="11"/>
  <c r="AD330" i="11"/>
  <c r="AC330" i="11"/>
  <c r="AB330" i="11"/>
  <c r="AA330" i="11"/>
  <c r="AG329" i="11"/>
  <c r="AF329" i="11"/>
  <c r="AE329" i="11"/>
  <c r="AD329" i="11"/>
  <c r="AC329" i="11"/>
  <c r="AB329" i="11"/>
  <c r="AA329" i="11"/>
  <c r="AG328" i="11"/>
  <c r="AF328" i="11"/>
  <c r="AE328" i="11"/>
  <c r="AD328" i="11"/>
  <c r="AC328" i="11"/>
  <c r="AB328" i="11"/>
  <c r="AA328" i="11"/>
  <c r="AG327" i="11"/>
  <c r="AE327" i="11"/>
  <c r="AD327" i="11"/>
  <c r="AC327" i="11"/>
  <c r="AB327" i="11"/>
  <c r="AA327" i="11"/>
  <c r="AG326" i="11"/>
  <c r="AE326" i="11"/>
  <c r="AD326" i="11"/>
  <c r="AC326" i="11"/>
  <c r="AB326" i="11"/>
  <c r="AA326" i="11"/>
  <c r="AG325" i="11"/>
  <c r="AE325" i="11"/>
  <c r="AD325" i="11"/>
  <c r="AC325" i="11"/>
  <c r="AB325" i="11"/>
  <c r="AA325" i="11"/>
  <c r="AG324" i="11"/>
  <c r="AE324" i="11"/>
  <c r="AD324" i="11"/>
  <c r="AC324" i="11"/>
  <c r="AB324" i="11"/>
  <c r="AA324" i="11"/>
  <c r="AG323" i="11"/>
  <c r="AE323" i="11"/>
  <c r="AD323" i="11"/>
  <c r="AC323" i="11"/>
  <c r="AB323" i="11"/>
  <c r="AA323" i="11"/>
  <c r="AG322" i="11"/>
  <c r="AE322" i="11"/>
  <c r="AD322" i="11"/>
  <c r="AC322" i="11"/>
  <c r="AB322" i="11"/>
  <c r="AA322" i="11"/>
  <c r="AG321" i="11"/>
  <c r="AE321" i="11"/>
  <c r="AD321" i="11"/>
  <c r="AC321" i="11"/>
  <c r="AB321" i="11"/>
  <c r="AA321" i="11"/>
  <c r="AG320" i="11"/>
  <c r="AE320" i="11"/>
  <c r="AD320" i="11"/>
  <c r="AC320" i="11"/>
  <c r="AB320" i="11"/>
  <c r="AA320" i="11"/>
  <c r="AG319" i="11"/>
  <c r="AE319" i="11"/>
  <c r="AD319" i="11"/>
  <c r="AC319" i="11"/>
  <c r="AB319" i="11"/>
  <c r="AA319" i="11"/>
  <c r="AG318" i="11"/>
  <c r="AE318" i="11"/>
  <c r="AD318" i="11"/>
  <c r="AC318" i="11"/>
  <c r="AB318" i="11"/>
  <c r="AA318" i="11"/>
  <c r="AG317" i="11"/>
  <c r="AE317" i="11"/>
  <c r="AD317" i="11"/>
  <c r="AC317" i="11"/>
  <c r="AB317" i="11"/>
  <c r="AA317" i="11"/>
  <c r="AG316" i="11"/>
  <c r="AE316" i="11"/>
  <c r="AD316" i="11"/>
  <c r="AC316" i="11"/>
  <c r="AB316" i="11"/>
  <c r="AA316" i="11"/>
  <c r="AG315" i="11"/>
  <c r="AE315" i="11"/>
  <c r="AD315" i="11"/>
  <c r="AC315" i="11"/>
  <c r="AB315" i="11"/>
  <c r="AA315" i="11"/>
  <c r="AG314" i="11"/>
  <c r="AE314" i="11"/>
  <c r="AD314" i="11"/>
  <c r="AC314" i="11"/>
  <c r="AB314" i="11"/>
  <c r="AA314" i="11"/>
  <c r="AG313" i="11"/>
  <c r="AE313" i="11"/>
  <c r="AD313" i="11"/>
  <c r="AC313" i="11"/>
  <c r="AB313" i="11"/>
  <c r="AA313" i="11"/>
  <c r="AG312" i="11"/>
  <c r="AE312" i="11"/>
  <c r="AD312" i="11"/>
  <c r="AC312" i="11"/>
  <c r="AB312" i="11"/>
  <c r="AA312" i="11"/>
  <c r="AG311" i="11"/>
  <c r="AE311" i="11"/>
  <c r="AD311" i="11"/>
  <c r="AC311" i="11"/>
  <c r="AB311" i="11"/>
  <c r="AA311" i="11"/>
  <c r="AG310" i="11"/>
  <c r="AE310" i="11"/>
  <c r="AD310" i="11"/>
  <c r="AC310" i="11"/>
  <c r="AB310" i="11"/>
  <c r="AA310" i="11"/>
  <c r="AG309" i="11"/>
  <c r="AE309" i="11"/>
  <c r="AD309" i="11"/>
  <c r="AC309" i="11"/>
  <c r="AB309" i="11"/>
  <c r="AA309" i="11"/>
  <c r="AG308" i="11"/>
  <c r="AF308" i="11"/>
  <c r="AE308" i="11"/>
  <c r="AD308" i="11"/>
  <c r="AC308" i="11"/>
  <c r="AB308" i="11"/>
  <c r="AA308" i="11"/>
  <c r="AG307" i="11"/>
  <c r="AE307" i="11"/>
  <c r="AD307" i="11"/>
  <c r="AC307" i="11"/>
  <c r="AB307" i="11"/>
  <c r="AA307" i="11"/>
  <c r="AG306" i="11"/>
  <c r="AF306" i="11"/>
  <c r="AE306" i="11"/>
  <c r="AD306" i="11"/>
  <c r="AC306" i="11"/>
  <c r="AB306" i="11"/>
  <c r="AA306" i="11"/>
  <c r="AG305" i="11"/>
  <c r="AF305" i="11"/>
  <c r="AE305" i="11"/>
  <c r="AD305" i="11"/>
  <c r="AC305" i="11"/>
  <c r="AB305" i="11"/>
  <c r="AA305" i="11"/>
  <c r="AG304" i="11"/>
  <c r="AE304" i="11"/>
  <c r="AD304" i="11"/>
  <c r="AC304" i="11"/>
  <c r="AB304" i="11"/>
  <c r="AA304" i="11"/>
  <c r="AG303" i="11"/>
  <c r="AE303" i="11"/>
  <c r="AD303" i="11"/>
  <c r="AC303" i="11"/>
  <c r="AB303" i="11"/>
  <c r="AA303" i="11"/>
  <c r="AG302" i="11"/>
  <c r="AE302" i="11"/>
  <c r="AD302" i="11"/>
  <c r="AC302" i="11"/>
  <c r="AB302" i="11"/>
  <c r="AA302" i="11"/>
  <c r="AG301" i="11"/>
  <c r="AE301" i="11"/>
  <c r="AD301" i="11"/>
  <c r="AC301" i="11"/>
  <c r="AB301" i="11"/>
  <c r="AA301" i="11"/>
  <c r="AG300" i="11"/>
  <c r="AF300" i="11"/>
  <c r="AE300" i="11"/>
  <c r="AD300" i="11"/>
  <c r="AC300" i="11"/>
  <c r="AB300" i="11"/>
  <c r="AA300" i="11"/>
  <c r="AG299" i="11"/>
  <c r="AE299" i="11"/>
  <c r="AD299" i="11"/>
  <c r="AC299" i="11"/>
  <c r="AB299" i="11"/>
  <c r="AA299" i="11"/>
  <c r="AG298" i="11"/>
  <c r="AF298" i="11"/>
  <c r="AE298" i="11"/>
  <c r="AD298" i="11"/>
  <c r="AC298" i="11"/>
  <c r="AB298" i="11"/>
  <c r="AA298" i="11"/>
  <c r="AG297" i="11"/>
  <c r="AE297" i="11"/>
  <c r="AD297" i="11"/>
  <c r="AC297" i="11"/>
  <c r="AB297" i="11"/>
  <c r="AA297" i="11"/>
  <c r="AG296" i="11"/>
  <c r="AE296" i="11"/>
  <c r="AD296" i="11"/>
  <c r="AC296" i="11"/>
  <c r="AB296" i="11"/>
  <c r="AA296" i="11"/>
  <c r="AG295" i="11"/>
  <c r="AE295" i="11"/>
  <c r="AD295" i="11"/>
  <c r="AC295" i="11"/>
  <c r="AB295" i="11"/>
  <c r="AA295" i="11"/>
  <c r="AG294" i="11"/>
  <c r="AF294" i="11"/>
  <c r="AE294" i="11"/>
  <c r="AD294" i="11"/>
  <c r="AC294" i="11"/>
  <c r="AB294" i="11"/>
  <c r="AA294" i="11"/>
  <c r="AG293" i="11"/>
  <c r="AE293" i="11"/>
  <c r="AD293" i="11"/>
  <c r="AC293" i="11"/>
  <c r="AB293" i="11"/>
  <c r="AA293" i="11"/>
  <c r="AG292" i="11"/>
  <c r="AE292" i="11"/>
  <c r="AD292" i="11"/>
  <c r="AC292" i="11"/>
  <c r="AB292" i="11"/>
  <c r="AA292" i="11"/>
  <c r="AG291" i="11"/>
  <c r="AE291" i="11"/>
  <c r="AD291" i="11"/>
  <c r="AC291" i="11"/>
  <c r="AB291" i="11"/>
  <c r="AA291" i="11"/>
  <c r="AG290" i="11"/>
  <c r="AE290" i="11"/>
  <c r="AD290" i="11"/>
  <c r="AC290" i="11"/>
  <c r="AB290" i="11"/>
  <c r="AA290" i="11"/>
  <c r="AG289" i="11"/>
  <c r="AE289" i="11"/>
  <c r="AD289" i="11"/>
  <c r="AC289" i="11"/>
  <c r="AB289" i="11"/>
  <c r="AA289" i="11"/>
  <c r="AG288" i="11"/>
  <c r="AE288" i="11"/>
  <c r="AD288" i="11"/>
  <c r="AC288" i="11"/>
  <c r="AB288" i="11"/>
  <c r="AA288" i="11"/>
  <c r="AG287" i="11"/>
  <c r="AE287" i="11"/>
  <c r="AD287" i="11"/>
  <c r="AC287" i="11"/>
  <c r="AB287" i="11"/>
  <c r="AA287" i="11"/>
  <c r="AG286" i="11"/>
  <c r="AE286" i="11"/>
  <c r="AD286" i="11"/>
  <c r="AC286" i="11"/>
  <c r="AB286" i="11"/>
  <c r="AA286" i="11"/>
  <c r="AG285" i="11"/>
  <c r="AF285" i="11"/>
  <c r="AE285" i="11"/>
  <c r="AD285" i="11"/>
  <c r="AC285" i="11"/>
  <c r="AB285" i="11"/>
  <c r="AA285" i="11"/>
  <c r="AG284" i="11"/>
  <c r="AE284" i="11"/>
  <c r="AD284" i="11"/>
  <c r="AC284" i="11"/>
  <c r="AB284" i="11"/>
  <c r="AA284" i="11"/>
  <c r="AG283" i="11"/>
  <c r="AF283" i="11"/>
  <c r="AE283" i="11"/>
  <c r="AD283" i="11"/>
  <c r="AC283" i="11"/>
  <c r="AB283" i="11"/>
  <c r="AA283" i="11"/>
  <c r="AG282" i="11"/>
  <c r="AE282" i="11"/>
  <c r="AD282" i="11"/>
  <c r="AC282" i="11"/>
  <c r="AB282" i="11"/>
  <c r="AA282" i="11"/>
  <c r="AG281" i="11"/>
  <c r="AF281" i="11"/>
  <c r="AE281" i="11"/>
  <c r="AD281" i="11"/>
  <c r="AC281" i="11"/>
  <c r="AB281" i="11"/>
  <c r="AA281" i="11"/>
  <c r="AG280" i="11"/>
  <c r="AE280" i="11"/>
  <c r="AD280" i="11"/>
  <c r="AC280" i="11"/>
  <c r="AB280" i="11"/>
  <c r="AA280" i="11"/>
  <c r="AG279" i="11"/>
  <c r="AE279" i="11"/>
  <c r="AD279" i="11"/>
  <c r="AC279" i="11"/>
  <c r="AB279" i="11"/>
  <c r="AA279" i="11"/>
  <c r="AG278" i="11"/>
  <c r="AE278" i="11"/>
  <c r="AD278" i="11"/>
  <c r="AC278" i="11"/>
  <c r="AB278" i="11"/>
  <c r="AA278" i="11"/>
  <c r="AG277" i="11"/>
  <c r="AE277" i="11"/>
  <c r="AD277" i="11"/>
  <c r="AC277" i="11"/>
  <c r="AB277" i="11"/>
  <c r="AA277" i="11"/>
  <c r="AG276" i="11"/>
  <c r="AE276" i="11"/>
  <c r="AD276" i="11"/>
  <c r="AC276" i="11"/>
  <c r="AB276" i="11"/>
  <c r="AA276" i="11"/>
  <c r="AG275" i="11"/>
  <c r="AE275" i="11"/>
  <c r="AD275" i="11"/>
  <c r="AC275" i="11"/>
  <c r="AB275" i="11"/>
  <c r="AA275" i="11"/>
  <c r="AG274" i="11"/>
  <c r="AE274" i="11"/>
  <c r="AD274" i="11"/>
  <c r="AC274" i="11"/>
  <c r="AB274" i="11"/>
  <c r="AA274" i="11"/>
  <c r="AG273" i="11"/>
  <c r="AE273" i="11"/>
  <c r="AD273" i="11"/>
  <c r="AC273" i="11"/>
  <c r="AB273" i="11"/>
  <c r="AA273" i="11"/>
  <c r="AG272" i="11"/>
  <c r="AE272" i="11"/>
  <c r="AD272" i="11"/>
  <c r="AC272" i="11"/>
  <c r="AB272" i="11"/>
  <c r="AA272" i="11"/>
  <c r="AG271" i="11"/>
  <c r="AE271" i="11"/>
  <c r="AD271" i="11"/>
  <c r="AC271" i="11"/>
  <c r="AB271" i="11"/>
  <c r="AA271" i="11"/>
  <c r="AG270" i="11"/>
  <c r="AE270" i="11"/>
  <c r="AD270" i="11"/>
  <c r="AC270" i="11"/>
  <c r="AB270" i="11"/>
  <c r="AA270" i="11"/>
  <c r="AG269" i="11"/>
  <c r="AE269" i="11"/>
  <c r="AD269" i="11"/>
  <c r="AC269" i="11"/>
  <c r="AB269" i="11"/>
  <c r="AA269" i="11"/>
  <c r="AG268" i="11"/>
  <c r="AE268" i="11"/>
  <c r="AD268" i="11"/>
  <c r="AC268" i="11"/>
  <c r="AB268" i="11"/>
  <c r="AA268" i="11"/>
  <c r="AG267" i="11"/>
  <c r="AF267" i="11"/>
  <c r="AE267" i="11"/>
  <c r="AD267" i="11"/>
  <c r="AC267" i="11"/>
  <c r="AB267" i="11"/>
  <c r="AA267" i="11"/>
  <c r="AG266" i="11"/>
  <c r="AE266" i="11"/>
  <c r="AD266" i="11"/>
  <c r="AC266" i="11"/>
  <c r="AB266" i="11"/>
  <c r="AA266" i="11"/>
  <c r="AG265" i="11"/>
  <c r="AE265" i="11"/>
  <c r="AD265" i="11"/>
  <c r="AC265" i="11"/>
  <c r="AB265" i="11"/>
  <c r="AA265" i="11"/>
  <c r="AG264" i="11"/>
  <c r="AE264" i="11"/>
  <c r="AD264" i="11"/>
  <c r="AC264" i="11"/>
  <c r="AB264" i="11"/>
  <c r="AA264" i="11"/>
  <c r="AG263" i="11"/>
  <c r="AE263" i="11"/>
  <c r="AD263" i="11"/>
  <c r="AC263" i="11"/>
  <c r="AB263" i="11"/>
  <c r="AA263" i="11"/>
  <c r="AG262" i="11"/>
  <c r="AF262" i="11"/>
  <c r="AE262" i="11"/>
  <c r="AD262" i="11"/>
  <c r="AC262" i="11"/>
  <c r="AB262" i="11"/>
  <c r="AA262" i="11"/>
  <c r="AG261" i="11"/>
  <c r="AE261" i="11"/>
  <c r="AD261" i="11"/>
  <c r="AC261" i="11"/>
  <c r="AB261" i="11"/>
  <c r="AA261" i="11"/>
  <c r="AG260" i="11"/>
  <c r="AE260" i="11"/>
  <c r="AD260" i="11"/>
  <c r="AC260" i="11"/>
  <c r="AB260" i="11"/>
  <c r="AA260" i="11"/>
  <c r="AG259" i="11"/>
  <c r="AE259" i="11"/>
  <c r="AD259" i="11"/>
  <c r="AC259" i="11"/>
  <c r="AB259" i="11"/>
  <c r="AA259" i="11"/>
  <c r="AG258" i="11"/>
  <c r="AE258" i="11"/>
  <c r="AD258" i="11"/>
  <c r="AC258" i="11"/>
  <c r="AB258" i="11"/>
  <c r="AA258" i="11"/>
  <c r="AG257" i="11"/>
  <c r="AE257" i="11"/>
  <c r="AD257" i="11"/>
  <c r="AC257" i="11"/>
  <c r="AB257" i="11"/>
  <c r="AA257" i="11"/>
  <c r="AG256" i="11"/>
  <c r="AE256" i="11"/>
  <c r="AD256" i="11"/>
  <c r="AC256" i="11"/>
  <c r="AB256" i="11"/>
  <c r="AA256" i="11"/>
  <c r="AG255" i="11"/>
  <c r="AE255" i="11"/>
  <c r="AD255" i="11"/>
  <c r="AC255" i="11"/>
  <c r="AB255" i="11"/>
  <c r="AA255" i="11"/>
  <c r="AG254" i="11"/>
  <c r="AE254" i="11"/>
  <c r="AD254" i="11"/>
  <c r="AC254" i="11"/>
  <c r="AB254" i="11"/>
  <c r="AA254" i="11"/>
  <c r="AG253" i="11"/>
  <c r="AF253" i="11"/>
  <c r="AE253" i="11"/>
  <c r="AD253" i="11"/>
  <c r="AC253" i="11"/>
  <c r="AB253" i="11"/>
  <c r="AA253" i="11"/>
  <c r="AG252" i="11"/>
  <c r="AE252" i="11"/>
  <c r="AD252" i="11"/>
  <c r="AC252" i="11"/>
  <c r="AB252" i="11"/>
  <c r="AA252" i="11"/>
  <c r="AG251" i="11"/>
  <c r="AE251" i="11"/>
  <c r="AD251" i="11"/>
  <c r="AC251" i="11"/>
  <c r="AB251" i="11"/>
  <c r="AA251" i="11"/>
  <c r="AG250" i="11"/>
  <c r="AE250" i="11"/>
  <c r="AD250" i="11"/>
  <c r="AC250" i="11"/>
  <c r="AB250" i="11"/>
  <c r="AA250" i="11"/>
  <c r="AG249" i="11"/>
  <c r="AE249" i="11"/>
  <c r="AD249" i="11"/>
  <c r="AC249" i="11"/>
  <c r="AB249" i="11"/>
  <c r="AA249" i="11"/>
  <c r="AG248" i="11"/>
  <c r="AE248" i="11"/>
  <c r="AD248" i="11"/>
  <c r="AC248" i="11"/>
  <c r="AB248" i="11"/>
  <c r="AA248" i="11"/>
  <c r="AG247" i="11"/>
  <c r="AE247" i="11"/>
  <c r="AD247" i="11"/>
  <c r="AC247" i="11"/>
  <c r="AB247" i="11"/>
  <c r="AA247" i="11"/>
  <c r="AG246" i="11"/>
  <c r="AF246" i="11"/>
  <c r="AE246" i="11"/>
  <c r="AD246" i="11"/>
  <c r="AC246" i="11"/>
  <c r="AB246" i="11"/>
  <c r="AA246" i="11"/>
  <c r="AG245" i="11"/>
  <c r="AE245" i="11"/>
  <c r="AD245" i="11"/>
  <c r="AC245" i="11"/>
  <c r="AB245" i="11"/>
  <c r="AA245" i="11"/>
  <c r="AG244" i="11"/>
  <c r="AE244" i="11"/>
  <c r="AD244" i="11"/>
  <c r="AC244" i="11"/>
  <c r="AB244" i="11"/>
  <c r="AA244" i="11"/>
  <c r="AG243" i="11"/>
  <c r="AE243" i="11"/>
  <c r="AD243" i="11"/>
  <c r="AC243" i="11"/>
  <c r="AB243" i="11"/>
  <c r="AA243" i="11"/>
  <c r="AG242" i="11"/>
  <c r="AE242" i="11"/>
  <c r="AD242" i="11"/>
  <c r="AC242" i="11"/>
  <c r="AB242" i="11"/>
  <c r="AA242" i="11"/>
  <c r="AG241" i="11"/>
  <c r="AE241" i="11"/>
  <c r="AD241" i="11"/>
  <c r="AC241" i="11"/>
  <c r="AB241" i="11"/>
  <c r="AA241" i="11"/>
  <c r="AG240" i="11"/>
  <c r="AE240" i="11"/>
  <c r="AD240" i="11"/>
  <c r="AC240" i="11"/>
  <c r="AB240" i="11"/>
  <c r="AA240" i="11"/>
  <c r="AG239" i="11"/>
  <c r="AE239" i="11"/>
  <c r="AD239" i="11"/>
  <c r="AC239" i="11"/>
  <c r="AB239" i="11"/>
  <c r="AA239" i="11"/>
  <c r="AG238" i="11"/>
  <c r="AE238" i="11"/>
  <c r="AD238" i="11"/>
  <c r="AC238" i="11"/>
  <c r="AB238" i="11"/>
  <c r="AA238" i="11"/>
  <c r="AG237" i="11"/>
  <c r="AE237" i="11"/>
  <c r="AD237" i="11"/>
  <c r="AC237" i="11"/>
  <c r="AB237" i="11"/>
  <c r="AA237" i="11"/>
  <c r="AG236" i="11"/>
  <c r="AE236" i="11"/>
  <c r="AD236" i="11"/>
  <c r="AC236" i="11"/>
  <c r="AB236" i="11"/>
  <c r="AA236" i="11"/>
  <c r="AG235" i="11"/>
  <c r="AF235" i="11"/>
  <c r="AE235" i="11"/>
  <c r="AD235" i="11"/>
  <c r="AC235" i="11"/>
  <c r="AB235" i="11"/>
  <c r="AA235" i="11"/>
  <c r="AG234" i="11"/>
  <c r="AE234" i="11"/>
  <c r="AD234" i="11"/>
  <c r="AC234" i="11"/>
  <c r="AB234" i="11"/>
  <c r="AA234" i="11"/>
  <c r="AG233" i="11"/>
  <c r="AE233" i="11"/>
  <c r="AD233" i="11"/>
  <c r="AC233" i="11"/>
  <c r="AB233" i="11"/>
  <c r="AA233" i="11"/>
  <c r="AG232" i="11"/>
  <c r="AF232" i="11"/>
  <c r="AE232" i="11"/>
  <c r="AD232" i="11"/>
  <c r="AC232" i="11"/>
  <c r="AB232" i="11"/>
  <c r="AA232" i="11"/>
  <c r="AG231" i="11"/>
  <c r="AF231" i="11"/>
  <c r="AE231" i="11"/>
  <c r="AD231" i="11"/>
  <c r="AC231" i="11"/>
  <c r="AB231" i="11"/>
  <c r="AA231" i="11"/>
  <c r="AG230" i="11"/>
  <c r="AE230" i="11"/>
  <c r="AD230" i="11"/>
  <c r="AC230" i="11"/>
  <c r="AB230" i="11"/>
  <c r="AA230" i="11"/>
  <c r="AG229" i="11"/>
  <c r="AF229" i="11"/>
  <c r="AE229" i="11"/>
  <c r="AD229" i="11"/>
  <c r="AC229" i="11"/>
  <c r="AB229" i="11"/>
  <c r="AA229" i="11"/>
  <c r="AG228" i="11"/>
  <c r="AE228" i="11"/>
  <c r="AD228" i="11"/>
  <c r="AC228" i="11"/>
  <c r="AB228" i="11"/>
  <c r="AA228" i="11"/>
  <c r="AG227" i="11"/>
  <c r="AE227" i="11"/>
  <c r="AD227" i="11"/>
  <c r="AC227" i="11"/>
  <c r="AB227" i="11"/>
  <c r="AA227" i="11"/>
  <c r="AG226" i="11"/>
  <c r="AF226" i="11"/>
  <c r="AE226" i="11"/>
  <c r="AD226" i="11"/>
  <c r="AC226" i="11"/>
  <c r="AB226" i="11"/>
  <c r="AA226" i="11"/>
  <c r="AG225" i="11"/>
  <c r="AF225" i="11"/>
  <c r="AE225" i="11"/>
  <c r="AD225" i="11"/>
  <c r="AC225" i="11"/>
  <c r="AB225" i="11"/>
  <c r="AA225" i="11"/>
  <c r="AG224" i="11"/>
  <c r="AE224" i="11"/>
  <c r="AD224" i="11"/>
  <c r="AC224" i="11"/>
  <c r="AB224" i="11"/>
  <c r="AA224" i="11"/>
  <c r="AG223" i="11"/>
  <c r="AF223" i="11"/>
  <c r="AE223" i="11"/>
  <c r="AD223" i="11"/>
  <c r="AC223" i="11"/>
  <c r="AB223" i="11"/>
  <c r="AA223" i="11"/>
  <c r="AG222" i="11"/>
  <c r="AE222" i="11"/>
  <c r="AD222" i="11"/>
  <c r="AC222" i="11"/>
  <c r="AB222" i="11"/>
  <c r="AA222" i="11"/>
  <c r="AG221" i="11"/>
  <c r="AE221" i="11"/>
  <c r="AD221" i="11"/>
  <c r="AC221" i="11"/>
  <c r="AB221" i="11"/>
  <c r="AA221" i="11"/>
  <c r="AG220" i="11"/>
  <c r="AE220" i="11"/>
  <c r="AD220" i="11"/>
  <c r="AC220" i="11"/>
  <c r="AB220" i="11"/>
  <c r="AA220" i="11"/>
  <c r="AG219" i="11"/>
  <c r="AE219" i="11"/>
  <c r="AD219" i="11"/>
  <c r="AC219" i="11"/>
  <c r="AB219" i="11"/>
  <c r="AA219" i="11"/>
  <c r="AG218" i="11"/>
  <c r="AE218" i="11"/>
  <c r="AD218" i="11"/>
  <c r="AC218" i="11"/>
  <c r="AB218" i="11"/>
  <c r="AA218" i="11"/>
  <c r="AG217" i="11"/>
  <c r="AF217" i="11"/>
  <c r="AE217" i="11"/>
  <c r="AD217" i="11"/>
  <c r="AC217" i="11"/>
  <c r="AB217" i="11"/>
  <c r="AA217" i="11"/>
  <c r="AG216" i="11"/>
  <c r="AE216" i="11"/>
  <c r="AD216" i="11"/>
  <c r="AC216" i="11"/>
  <c r="AB216" i="11"/>
  <c r="AA216" i="11"/>
  <c r="AG215" i="11"/>
  <c r="AE215" i="11"/>
  <c r="AD215" i="11"/>
  <c r="AC215" i="11"/>
  <c r="AB215" i="11"/>
  <c r="AA215" i="11"/>
  <c r="AG214" i="11"/>
  <c r="AF214" i="11"/>
  <c r="AE214" i="11"/>
  <c r="AD214" i="11"/>
  <c r="AC214" i="11"/>
  <c r="AB214" i="11"/>
  <c r="AA214" i="11"/>
  <c r="AG213" i="11"/>
  <c r="AE213" i="11"/>
  <c r="AD213" i="11"/>
  <c r="AC213" i="11"/>
  <c r="AB213" i="11"/>
  <c r="AA213" i="11"/>
  <c r="AG212" i="11"/>
  <c r="AF212" i="11"/>
  <c r="AE212" i="11"/>
  <c r="AD212" i="11"/>
  <c r="AC212" i="11"/>
  <c r="AB212" i="11"/>
  <c r="AA212" i="11"/>
  <c r="AG211" i="11"/>
  <c r="AF211" i="11"/>
  <c r="AE211" i="11"/>
  <c r="AD211" i="11"/>
  <c r="AC211" i="11"/>
  <c r="AB211" i="11"/>
  <c r="AA211" i="11"/>
  <c r="AG210" i="11"/>
  <c r="AE210" i="11"/>
  <c r="AD210" i="11"/>
  <c r="AC210" i="11"/>
  <c r="AB210" i="11"/>
  <c r="AA210" i="11"/>
  <c r="AG209" i="11"/>
  <c r="AE209" i="11"/>
  <c r="AD209" i="11"/>
  <c r="AC209" i="11"/>
  <c r="AB209" i="11"/>
  <c r="AA209" i="11"/>
  <c r="AG208" i="11"/>
  <c r="AF208" i="11"/>
  <c r="AE208" i="11"/>
  <c r="AD208" i="11"/>
  <c r="AC208" i="11"/>
  <c r="AB208" i="11"/>
  <c r="AA208" i="11"/>
  <c r="AG207" i="11"/>
  <c r="AF207" i="11"/>
  <c r="AE207" i="11"/>
  <c r="AD207" i="11"/>
  <c r="AC207" i="11"/>
  <c r="AB207" i="11"/>
  <c r="AA207" i="11"/>
  <c r="AG206" i="11"/>
  <c r="AE206" i="11"/>
  <c r="AD206" i="11"/>
  <c r="AC206" i="11"/>
  <c r="AB206" i="11"/>
  <c r="AA206" i="11"/>
  <c r="AG205" i="11"/>
  <c r="AE205" i="11"/>
  <c r="AD205" i="11"/>
  <c r="AC205" i="11"/>
  <c r="AB205" i="11"/>
  <c r="AA205" i="11"/>
  <c r="AG204" i="11"/>
  <c r="AE204" i="11"/>
  <c r="AD204" i="11"/>
  <c r="AC204" i="11"/>
  <c r="AB204" i="11"/>
  <c r="AA204" i="11"/>
  <c r="AG203" i="11"/>
  <c r="AE203" i="11"/>
  <c r="AD203" i="11"/>
  <c r="AC203" i="11"/>
  <c r="AB203" i="11"/>
  <c r="AA203" i="11"/>
  <c r="AG202" i="11"/>
  <c r="AE202" i="11"/>
  <c r="AD202" i="11"/>
  <c r="AC202" i="11"/>
  <c r="AB202" i="11"/>
  <c r="AA202" i="11"/>
  <c r="AG201" i="11"/>
  <c r="AE201" i="11"/>
  <c r="AD201" i="11"/>
  <c r="AC201" i="11"/>
  <c r="AB201" i="11"/>
  <c r="AA201" i="11"/>
  <c r="AG200" i="11"/>
  <c r="AE200" i="11"/>
  <c r="AD200" i="11"/>
  <c r="AC200" i="11"/>
  <c r="AB200" i="11"/>
  <c r="AA200" i="11"/>
  <c r="AG199" i="11"/>
  <c r="AE199" i="11"/>
  <c r="AD199" i="11"/>
  <c r="AC199" i="11"/>
  <c r="AB199" i="11"/>
  <c r="AA199" i="11"/>
  <c r="AG198" i="11"/>
  <c r="AF198" i="11"/>
  <c r="AE198" i="11"/>
  <c r="AD198" i="11"/>
  <c r="AC198" i="11"/>
  <c r="AB198" i="11"/>
  <c r="AA198" i="11"/>
  <c r="AG197" i="11"/>
  <c r="AF197" i="11"/>
  <c r="AE197" i="11"/>
  <c r="AD197" i="11"/>
  <c r="AC197" i="11"/>
  <c r="AB197" i="11"/>
  <c r="AA197" i="11"/>
  <c r="AG196" i="11"/>
  <c r="AE196" i="11"/>
  <c r="AD196" i="11"/>
  <c r="AC196" i="11"/>
  <c r="AB196" i="11"/>
  <c r="AA196" i="11"/>
  <c r="AG195" i="11"/>
  <c r="AF195" i="11"/>
  <c r="AE195" i="11"/>
  <c r="AD195" i="11"/>
  <c r="AC195" i="11"/>
  <c r="AB195" i="11"/>
  <c r="AA195" i="11"/>
  <c r="AG194" i="11"/>
  <c r="AE194" i="11"/>
  <c r="AD194" i="11"/>
  <c r="AC194" i="11"/>
  <c r="AB194" i="11"/>
  <c r="AA194" i="11"/>
  <c r="AG193" i="11"/>
  <c r="AE193" i="11"/>
  <c r="AD193" i="11"/>
  <c r="AC193" i="11"/>
  <c r="AB193" i="11"/>
  <c r="AA193" i="11"/>
  <c r="AG192" i="11"/>
  <c r="AE192" i="11"/>
  <c r="AD192" i="11"/>
  <c r="AC192" i="11"/>
  <c r="AB192" i="11"/>
  <c r="AA192" i="11"/>
  <c r="AG191" i="11"/>
  <c r="AE191" i="11"/>
  <c r="AD191" i="11"/>
  <c r="AC191" i="11"/>
  <c r="AB191" i="11"/>
  <c r="AA191" i="11"/>
  <c r="AG190" i="11"/>
  <c r="AE190" i="11"/>
  <c r="AD190" i="11"/>
  <c r="AC190" i="11"/>
  <c r="AB190" i="11"/>
  <c r="AA190" i="11"/>
  <c r="AG189" i="11"/>
  <c r="AE189" i="11"/>
  <c r="AD189" i="11"/>
  <c r="AC189" i="11"/>
  <c r="AB189" i="11"/>
  <c r="AA189" i="11"/>
  <c r="AG188" i="11"/>
  <c r="AE188" i="11"/>
  <c r="AD188" i="11"/>
  <c r="AC188" i="11"/>
  <c r="AB188" i="11"/>
  <c r="AA188" i="11"/>
  <c r="AG187" i="11"/>
  <c r="AE187" i="11"/>
  <c r="AD187" i="11"/>
  <c r="AC187" i="11"/>
  <c r="AB187" i="11"/>
  <c r="AA187" i="11"/>
  <c r="AG186" i="11"/>
  <c r="AE186" i="11"/>
  <c r="AD186" i="11"/>
  <c r="AC186" i="11"/>
  <c r="AB186" i="11"/>
  <c r="AA186" i="11"/>
  <c r="AG185" i="11"/>
  <c r="AE185" i="11"/>
  <c r="AD185" i="11"/>
  <c r="AC185" i="11"/>
  <c r="AB185" i="11"/>
  <c r="AA185" i="11"/>
  <c r="AG184" i="11"/>
  <c r="AE184" i="11"/>
  <c r="AD184" i="11"/>
  <c r="AC184" i="11"/>
  <c r="AB184" i="11"/>
  <c r="AA184" i="11"/>
  <c r="AG183" i="11"/>
  <c r="AF183" i="11"/>
  <c r="AE183" i="11"/>
  <c r="AD183" i="11"/>
  <c r="AC183" i="11"/>
  <c r="AB183" i="11"/>
  <c r="AA183" i="11"/>
  <c r="AG182" i="11"/>
  <c r="AE182" i="11"/>
  <c r="AD182" i="11"/>
  <c r="AC182" i="11"/>
  <c r="AB182" i="11"/>
  <c r="AA182" i="11"/>
  <c r="AG181" i="11"/>
  <c r="AE181" i="11"/>
  <c r="AD181" i="11"/>
  <c r="AC181" i="11"/>
  <c r="AB181" i="11"/>
  <c r="AA181" i="11"/>
  <c r="AG180" i="11"/>
  <c r="AE180" i="11"/>
  <c r="AD180" i="11"/>
  <c r="AC180" i="11"/>
  <c r="AB180" i="11"/>
  <c r="AA180" i="11"/>
  <c r="AG179" i="11"/>
  <c r="AE179" i="11"/>
  <c r="AD179" i="11"/>
  <c r="AC179" i="11"/>
  <c r="AB179" i="11"/>
  <c r="AA179" i="11"/>
  <c r="AG178" i="11"/>
  <c r="AE178" i="11"/>
  <c r="AD178" i="11"/>
  <c r="AC178" i="11"/>
  <c r="AB178" i="11"/>
  <c r="AA178" i="11"/>
  <c r="AG177" i="11"/>
  <c r="AF177" i="11"/>
  <c r="AE177" i="11"/>
  <c r="AD177" i="11"/>
  <c r="AC177" i="11"/>
  <c r="AB177" i="11"/>
  <c r="AA177" i="11"/>
  <c r="AG176" i="11"/>
  <c r="AE176" i="11"/>
  <c r="AD176" i="11"/>
  <c r="AC176" i="11"/>
  <c r="AB176" i="11"/>
  <c r="AA176" i="11"/>
  <c r="AG175" i="11"/>
  <c r="AE175" i="11"/>
  <c r="AD175" i="11"/>
  <c r="AC175" i="11"/>
  <c r="AB175" i="11"/>
  <c r="AA175" i="11"/>
  <c r="AG174" i="11"/>
  <c r="AE174" i="11"/>
  <c r="AD174" i="11"/>
  <c r="AC174" i="11"/>
  <c r="AB174" i="11"/>
  <c r="AA174" i="11"/>
  <c r="AG173" i="11"/>
  <c r="AE173" i="11"/>
  <c r="AD173" i="11"/>
  <c r="AC173" i="11"/>
  <c r="AB173" i="11"/>
  <c r="AA173" i="11"/>
  <c r="AG172" i="11"/>
  <c r="AE172" i="11"/>
  <c r="AD172" i="11"/>
  <c r="AC172" i="11"/>
  <c r="AB172" i="11"/>
  <c r="AA172" i="11"/>
  <c r="AG171" i="11"/>
  <c r="AE171" i="11"/>
  <c r="AD171" i="11"/>
  <c r="AC171" i="11"/>
  <c r="AB171" i="11"/>
  <c r="AA171" i="11"/>
  <c r="AG170" i="11"/>
  <c r="AE170" i="11"/>
  <c r="AD170" i="11"/>
  <c r="AC170" i="11"/>
  <c r="AB170" i="11"/>
  <c r="AA170" i="11"/>
  <c r="AG169" i="11"/>
  <c r="AF169" i="11"/>
  <c r="AE169" i="11"/>
  <c r="AD169" i="11"/>
  <c r="AC169" i="11"/>
  <c r="AB169" i="11"/>
  <c r="AA169" i="11"/>
  <c r="AG168" i="11"/>
  <c r="AF168" i="11"/>
  <c r="AE168" i="11"/>
  <c r="AD168" i="11"/>
  <c r="AC168" i="11"/>
  <c r="AB168" i="11"/>
  <c r="AA168" i="11"/>
  <c r="AG167" i="11"/>
  <c r="AE167" i="11"/>
  <c r="AD167" i="11"/>
  <c r="AC167" i="11"/>
  <c r="AB167" i="11"/>
  <c r="AA167" i="11"/>
  <c r="AG166" i="11"/>
  <c r="AE166" i="11"/>
  <c r="AD166" i="11"/>
  <c r="AC166" i="11"/>
  <c r="AB166" i="11"/>
  <c r="AA166" i="11"/>
  <c r="AG165" i="11"/>
  <c r="AE165" i="11"/>
  <c r="AD165" i="11"/>
  <c r="AC165" i="11"/>
  <c r="AB165" i="11"/>
  <c r="AA165" i="11"/>
  <c r="AG164" i="11"/>
  <c r="AE164" i="11"/>
  <c r="AD164" i="11"/>
  <c r="AC164" i="11"/>
  <c r="AB164" i="11"/>
  <c r="AA164" i="11"/>
  <c r="AG163" i="11"/>
  <c r="AE163" i="11"/>
  <c r="AD163" i="11"/>
  <c r="AC163" i="11"/>
  <c r="AB163" i="11"/>
  <c r="AA163" i="11"/>
  <c r="AG162" i="11"/>
  <c r="AE162" i="11"/>
  <c r="AD162" i="11"/>
  <c r="AC162" i="11"/>
  <c r="AB162" i="11"/>
  <c r="AA162" i="11"/>
  <c r="AG161" i="11"/>
  <c r="AE161" i="11"/>
  <c r="AD161" i="11"/>
  <c r="AC161" i="11"/>
  <c r="AB161" i="11"/>
  <c r="AA161" i="11"/>
  <c r="AG160" i="11"/>
  <c r="AF160" i="11"/>
  <c r="AE160" i="11"/>
  <c r="AD160" i="11"/>
  <c r="AC160" i="11"/>
  <c r="AB160" i="11"/>
  <c r="AA160" i="11"/>
  <c r="AG159" i="11"/>
  <c r="AF159" i="11"/>
  <c r="AE159" i="11"/>
  <c r="AD159" i="11"/>
  <c r="AC159" i="11"/>
  <c r="AB159" i="11"/>
  <c r="AA159" i="11"/>
  <c r="AG158" i="11"/>
  <c r="AE158" i="11"/>
  <c r="AD158" i="11"/>
  <c r="AC158" i="11"/>
  <c r="AB158" i="11"/>
  <c r="AA158" i="11"/>
  <c r="AG157" i="11"/>
  <c r="AE157" i="11"/>
  <c r="AD157" i="11"/>
  <c r="AC157" i="11"/>
  <c r="AB157" i="11"/>
  <c r="AA157" i="11"/>
  <c r="AG156" i="11"/>
  <c r="AF156" i="11"/>
  <c r="AE156" i="11"/>
  <c r="AD156" i="11"/>
  <c r="AC156" i="11"/>
  <c r="AB156" i="11"/>
  <c r="AA156" i="11"/>
  <c r="AG155" i="11"/>
  <c r="AF155" i="11"/>
  <c r="AE155" i="11"/>
  <c r="AD155" i="11"/>
  <c r="AC155" i="11"/>
  <c r="AB155" i="11"/>
  <c r="AA155" i="11"/>
  <c r="AG154" i="11"/>
  <c r="AE154" i="11"/>
  <c r="AD154" i="11"/>
  <c r="AC154" i="11"/>
  <c r="AB154" i="11"/>
  <c r="AA154" i="11"/>
  <c r="AG153" i="11"/>
  <c r="AE153" i="11"/>
  <c r="AD153" i="11"/>
  <c r="AC153" i="11"/>
  <c r="AB153" i="11"/>
  <c r="AA153" i="11"/>
  <c r="AG152" i="11"/>
  <c r="AE152" i="11"/>
  <c r="AD152" i="11"/>
  <c r="AC152" i="11"/>
  <c r="AB152" i="11"/>
  <c r="AA152" i="11"/>
  <c r="AG151" i="11"/>
  <c r="AE151" i="11"/>
  <c r="AD151" i="11"/>
  <c r="AC151" i="11"/>
  <c r="AB151" i="11"/>
  <c r="AA151" i="11"/>
  <c r="AG150" i="11"/>
  <c r="AF150" i="11"/>
  <c r="AE150" i="11"/>
  <c r="AD150" i="11"/>
  <c r="AC150" i="11"/>
  <c r="AB150" i="11"/>
  <c r="AA150" i="11"/>
  <c r="AG149" i="11"/>
  <c r="AF149" i="11"/>
  <c r="AE149" i="11"/>
  <c r="AD149" i="11"/>
  <c r="AC149" i="11"/>
  <c r="AB149" i="11"/>
  <c r="AA149" i="11"/>
  <c r="AG148" i="11"/>
  <c r="AF148" i="11"/>
  <c r="AE148" i="11"/>
  <c r="AD148" i="11"/>
  <c r="AC148" i="11"/>
  <c r="AB148" i="11"/>
  <c r="AA148" i="11"/>
  <c r="AG147" i="11"/>
  <c r="AF147" i="11"/>
  <c r="AE147" i="11"/>
  <c r="AD147" i="11"/>
  <c r="AC147" i="11"/>
  <c r="AB147" i="11"/>
  <c r="AA147" i="11"/>
  <c r="AG146" i="11"/>
  <c r="AE146" i="11"/>
  <c r="AD146" i="11"/>
  <c r="AC146" i="11"/>
  <c r="AB146" i="11"/>
  <c r="AA146" i="11"/>
  <c r="AG145" i="11"/>
  <c r="AE145" i="11"/>
  <c r="AD145" i="11"/>
  <c r="AC145" i="11"/>
  <c r="AB145" i="11"/>
  <c r="AA145" i="11"/>
  <c r="AG144" i="11"/>
  <c r="AE144" i="11"/>
  <c r="AD144" i="11"/>
  <c r="AC144" i="11"/>
  <c r="AB144" i="11"/>
  <c r="AA144" i="11"/>
  <c r="AG143" i="11"/>
  <c r="AF143" i="11"/>
  <c r="AE143" i="11"/>
  <c r="AD143" i="11"/>
  <c r="AC143" i="11"/>
  <c r="AB143" i="11"/>
  <c r="AA143" i="11"/>
  <c r="AG142" i="11"/>
  <c r="AF142" i="11"/>
  <c r="AE142" i="11"/>
  <c r="AD142" i="11"/>
  <c r="AC142" i="11"/>
  <c r="AB142" i="11"/>
  <c r="AA142" i="11"/>
  <c r="AG141" i="11"/>
  <c r="AE141" i="11"/>
  <c r="AD141" i="11"/>
  <c r="AC141" i="11"/>
  <c r="AB141" i="11"/>
  <c r="AA141" i="11"/>
  <c r="AG140" i="11"/>
  <c r="AF140" i="11"/>
  <c r="AE140" i="11"/>
  <c r="AD140" i="11"/>
  <c r="AC140" i="11"/>
  <c r="AB140" i="11"/>
  <c r="AA140" i="11"/>
  <c r="AG139" i="11"/>
  <c r="AE139" i="11"/>
  <c r="AD139" i="11"/>
  <c r="AC139" i="11"/>
  <c r="AB139" i="11"/>
  <c r="AA139" i="11"/>
  <c r="AG138" i="11"/>
  <c r="AE138" i="11"/>
  <c r="AD138" i="11"/>
  <c r="AC138" i="11"/>
  <c r="AB138" i="11"/>
  <c r="AA138" i="11"/>
  <c r="AG137" i="11"/>
  <c r="AF137" i="11"/>
  <c r="AE137" i="11"/>
  <c r="AD137" i="11"/>
  <c r="AC137" i="11"/>
  <c r="AB137" i="11"/>
  <c r="AA137" i="11"/>
  <c r="AG136" i="11"/>
  <c r="AE136" i="11"/>
  <c r="AD136" i="11"/>
  <c r="AC136" i="11"/>
  <c r="AB136" i="11"/>
  <c r="AA136" i="11"/>
  <c r="AG135" i="11"/>
  <c r="AF135" i="11"/>
  <c r="AE135" i="11"/>
  <c r="AD135" i="11"/>
  <c r="AC135" i="11"/>
  <c r="AB135" i="11"/>
  <c r="AA135" i="11"/>
  <c r="AG134" i="11"/>
  <c r="AF134" i="11"/>
  <c r="AE134" i="11"/>
  <c r="AD134" i="11"/>
  <c r="AC134" i="11"/>
  <c r="AB134" i="11"/>
  <c r="AA134" i="11"/>
  <c r="AG133" i="11"/>
  <c r="AF133" i="11"/>
  <c r="AE133" i="11"/>
  <c r="AD133" i="11"/>
  <c r="AC133" i="11"/>
  <c r="AB133" i="11"/>
  <c r="AA133" i="11"/>
  <c r="AG132" i="11"/>
  <c r="AF132" i="11"/>
  <c r="AE132" i="11"/>
  <c r="AD132" i="11"/>
  <c r="AC132" i="11"/>
  <c r="AB132" i="11"/>
  <c r="AA132" i="11"/>
  <c r="AG131" i="11"/>
  <c r="AE131" i="11"/>
  <c r="AD131" i="11"/>
  <c r="AC131" i="11"/>
  <c r="AB131" i="11"/>
  <c r="AA131" i="11"/>
  <c r="AG130" i="11"/>
  <c r="AF130" i="11"/>
  <c r="AE130" i="11"/>
  <c r="AD130" i="11"/>
  <c r="AC130" i="11"/>
  <c r="AB130" i="11"/>
  <c r="AA130" i="11"/>
  <c r="AG129" i="11"/>
  <c r="AE129" i="11"/>
  <c r="AD129" i="11"/>
  <c r="AC129" i="11"/>
  <c r="AB129" i="11"/>
  <c r="AA129" i="11"/>
  <c r="AG128" i="11"/>
  <c r="AE128" i="11"/>
  <c r="AD128" i="11"/>
  <c r="AC128" i="11"/>
  <c r="AB128" i="11"/>
  <c r="AA128" i="11"/>
  <c r="AG127" i="11"/>
  <c r="AE127" i="11"/>
  <c r="AD127" i="11"/>
  <c r="AC127" i="11"/>
  <c r="AB127" i="11"/>
  <c r="AA127" i="11"/>
  <c r="AG126" i="11"/>
  <c r="AE126" i="11"/>
  <c r="AD126" i="11"/>
  <c r="AC126" i="11"/>
  <c r="AB126" i="11"/>
  <c r="AA126" i="11"/>
  <c r="AG125" i="11"/>
  <c r="AF125" i="11"/>
  <c r="AE125" i="11"/>
  <c r="AD125" i="11"/>
  <c r="AC125" i="11"/>
  <c r="AB125" i="11"/>
  <c r="AA125" i="11"/>
  <c r="AG124" i="11"/>
  <c r="AF124" i="11"/>
  <c r="AE124" i="11"/>
  <c r="AD124" i="11"/>
  <c r="AC124" i="11"/>
  <c r="AB124" i="11"/>
  <c r="AA124" i="11"/>
  <c r="AG123" i="11"/>
  <c r="AF123" i="11"/>
  <c r="AE123" i="11"/>
  <c r="AD123" i="11"/>
  <c r="AC123" i="11"/>
  <c r="AB123" i="11"/>
  <c r="AA123" i="11"/>
  <c r="AG122" i="11"/>
  <c r="AE122" i="11"/>
  <c r="AD122" i="11"/>
  <c r="AC122" i="11"/>
  <c r="AB122" i="11"/>
  <c r="AA122" i="11"/>
  <c r="AG121" i="11"/>
  <c r="AF121" i="11"/>
  <c r="AE121" i="11"/>
  <c r="AD121" i="11"/>
  <c r="AC121" i="11"/>
  <c r="AB121" i="11"/>
  <c r="AA121" i="11"/>
  <c r="AG120" i="11"/>
  <c r="AE120" i="11"/>
  <c r="AD120" i="11"/>
  <c r="AC120" i="11"/>
  <c r="AB120" i="11"/>
  <c r="AA120" i="11"/>
  <c r="AG119" i="11"/>
  <c r="AE119" i="11"/>
  <c r="AD119" i="11"/>
  <c r="AC119" i="11"/>
  <c r="AB119" i="11"/>
  <c r="AA119" i="11"/>
  <c r="AG118" i="11"/>
  <c r="AE118" i="11"/>
  <c r="AD118" i="11"/>
  <c r="AC118" i="11"/>
  <c r="AB118" i="11"/>
  <c r="AA118" i="11"/>
  <c r="AG117" i="11"/>
  <c r="AE117" i="11"/>
  <c r="AD117" i="11"/>
  <c r="AC117" i="11"/>
  <c r="AB117" i="11"/>
  <c r="AA117" i="11"/>
  <c r="AG116" i="11"/>
  <c r="AE116" i="11"/>
  <c r="AD116" i="11"/>
  <c r="AC116" i="11"/>
  <c r="AB116" i="11"/>
  <c r="AA116" i="11"/>
  <c r="AG115" i="11"/>
  <c r="AE115" i="11"/>
  <c r="AD115" i="11"/>
  <c r="AC115" i="11"/>
  <c r="AB115" i="11"/>
  <c r="AA115" i="11"/>
  <c r="AG114" i="11"/>
  <c r="AE114" i="11"/>
  <c r="AD114" i="11"/>
  <c r="AC114" i="11"/>
  <c r="AB114" i="11"/>
  <c r="AA114" i="11"/>
  <c r="AG113" i="11"/>
  <c r="AE113" i="11"/>
  <c r="AD113" i="11"/>
  <c r="AC113" i="11"/>
  <c r="AB113" i="11"/>
  <c r="AA113" i="11"/>
  <c r="AG112" i="11"/>
  <c r="AE112" i="11"/>
  <c r="AD112" i="11"/>
  <c r="AC112" i="11"/>
  <c r="AB112" i="11"/>
  <c r="AA112" i="11"/>
  <c r="AG111" i="11"/>
  <c r="AF111" i="11"/>
  <c r="AE111" i="11"/>
  <c r="AD111" i="11"/>
  <c r="AC111" i="11"/>
  <c r="AB111" i="11"/>
  <c r="AA111" i="11"/>
  <c r="AG110" i="11"/>
  <c r="AE110" i="11"/>
  <c r="AD110" i="11"/>
  <c r="AC110" i="11"/>
  <c r="AB110" i="11"/>
  <c r="AA110" i="11"/>
  <c r="AG109" i="11"/>
  <c r="AE109" i="11"/>
  <c r="AD109" i="11"/>
  <c r="AC109" i="11"/>
  <c r="AB109" i="11"/>
  <c r="AA109" i="11"/>
  <c r="AG108" i="11"/>
  <c r="AE108" i="11"/>
  <c r="AD108" i="11"/>
  <c r="AC108" i="11"/>
  <c r="AB108" i="11"/>
  <c r="AA108" i="11"/>
  <c r="AG107" i="11"/>
  <c r="AE107" i="11"/>
  <c r="AD107" i="11"/>
  <c r="AC107" i="11"/>
  <c r="AB107" i="11"/>
  <c r="AA107" i="11"/>
  <c r="AG106" i="11"/>
  <c r="AF106" i="11"/>
  <c r="AE106" i="11"/>
  <c r="AD106" i="11"/>
  <c r="AC106" i="11"/>
  <c r="AB106" i="11"/>
  <c r="AA106" i="11"/>
  <c r="AG105" i="11"/>
  <c r="AE105" i="11"/>
  <c r="AD105" i="11"/>
  <c r="AC105" i="11"/>
  <c r="AB105" i="11"/>
  <c r="AA105" i="11"/>
  <c r="AG104" i="11"/>
  <c r="AE104" i="11"/>
  <c r="AD104" i="11"/>
  <c r="AC104" i="11"/>
  <c r="AB104" i="11"/>
  <c r="AA104" i="11"/>
  <c r="AG103" i="11"/>
  <c r="AE103" i="11"/>
  <c r="AD103" i="11"/>
  <c r="AC103" i="11"/>
  <c r="AB103" i="11"/>
  <c r="AA103" i="11"/>
  <c r="AG102" i="11"/>
  <c r="AE102" i="11"/>
  <c r="AD102" i="11"/>
  <c r="AC102" i="11"/>
  <c r="AB102" i="11"/>
  <c r="AA102" i="11"/>
  <c r="AG101" i="11"/>
  <c r="AE101" i="11"/>
  <c r="AD101" i="11"/>
  <c r="AC101" i="11"/>
  <c r="AB101" i="11"/>
  <c r="AA101" i="11"/>
  <c r="AG100" i="11"/>
  <c r="AE100" i="11"/>
  <c r="AD100" i="11"/>
  <c r="AC100" i="11"/>
  <c r="AB100" i="11"/>
  <c r="AA100" i="11"/>
  <c r="AG99" i="11"/>
  <c r="AF99" i="11"/>
  <c r="AE99" i="11"/>
  <c r="AD99" i="11"/>
  <c r="AC99" i="11"/>
  <c r="AB99" i="11"/>
  <c r="AA99" i="11"/>
  <c r="AG98" i="11"/>
  <c r="AE98" i="11"/>
  <c r="AD98" i="11"/>
  <c r="AC98" i="11"/>
  <c r="AB98" i="11"/>
  <c r="AA98" i="11"/>
  <c r="AG97" i="11"/>
  <c r="AE97" i="11"/>
  <c r="AD97" i="11"/>
  <c r="AC97" i="11"/>
  <c r="AB97" i="11"/>
  <c r="AA97" i="11"/>
  <c r="AG96" i="11"/>
  <c r="AE96" i="11"/>
  <c r="AD96" i="11"/>
  <c r="AC96" i="11"/>
  <c r="AB96" i="11"/>
  <c r="AA96" i="11"/>
  <c r="AG95" i="11"/>
  <c r="AF95" i="11"/>
  <c r="AE95" i="11"/>
  <c r="AD95" i="11"/>
  <c r="AC95" i="11"/>
  <c r="AB95" i="11"/>
  <c r="AA95" i="11"/>
  <c r="AG94" i="11"/>
  <c r="AF94" i="11"/>
  <c r="AE94" i="11"/>
  <c r="AD94" i="11"/>
  <c r="AC94" i="11"/>
  <c r="AB94" i="11"/>
  <c r="AA94" i="11"/>
  <c r="AG93" i="11"/>
  <c r="AF93" i="11"/>
  <c r="AE93" i="11"/>
  <c r="AD93" i="11"/>
  <c r="AC93" i="11"/>
  <c r="AB93" i="11"/>
  <c r="AA93" i="11"/>
  <c r="AG92" i="11"/>
  <c r="AE92" i="11"/>
  <c r="AD92" i="11"/>
  <c r="AC92" i="11"/>
  <c r="AB92" i="11"/>
  <c r="AA92" i="11"/>
  <c r="AG91" i="11"/>
  <c r="AF91" i="11"/>
  <c r="AE91" i="11"/>
  <c r="AD91" i="11"/>
  <c r="AC91" i="11"/>
  <c r="AB91" i="11"/>
  <c r="AA91" i="11"/>
  <c r="AG90" i="11"/>
  <c r="AF90" i="11"/>
  <c r="AE90" i="11"/>
  <c r="AD90" i="11"/>
  <c r="AC90" i="11"/>
  <c r="AB90" i="11"/>
  <c r="AA90" i="11"/>
  <c r="AG89" i="11"/>
  <c r="AE89" i="11"/>
  <c r="AD89" i="11"/>
  <c r="AC89" i="11"/>
  <c r="AB89" i="11"/>
  <c r="AA89" i="11"/>
  <c r="AG88" i="11"/>
  <c r="AE88" i="11"/>
  <c r="AD88" i="11"/>
  <c r="AC88" i="11"/>
  <c r="AB88" i="11"/>
  <c r="AA88" i="11"/>
  <c r="AG87" i="11"/>
  <c r="AF87" i="11"/>
  <c r="AE87" i="11"/>
  <c r="AD87" i="11"/>
  <c r="AC87" i="11"/>
  <c r="AB87" i="11"/>
  <c r="AA87" i="11"/>
  <c r="AG86" i="11"/>
  <c r="AF86" i="11"/>
  <c r="AE86" i="11"/>
  <c r="AD86" i="11"/>
  <c r="AC86" i="11"/>
  <c r="AB86" i="11"/>
  <c r="AA86" i="11"/>
  <c r="AG85" i="11"/>
  <c r="AE85" i="11"/>
  <c r="AD85" i="11"/>
  <c r="AC85" i="11"/>
  <c r="AB85" i="11"/>
  <c r="AA85" i="11"/>
  <c r="AG84" i="11"/>
  <c r="AE84" i="11"/>
  <c r="AD84" i="11"/>
  <c r="AC84" i="11"/>
  <c r="AB84" i="11"/>
  <c r="AA84" i="11"/>
  <c r="AG83" i="11"/>
  <c r="AF83" i="11"/>
  <c r="AE83" i="11"/>
  <c r="AD83" i="11"/>
  <c r="AC83" i="11"/>
  <c r="AB83" i="11"/>
  <c r="AA83" i="11"/>
  <c r="AG82" i="11"/>
  <c r="AE82" i="11"/>
  <c r="AD82" i="11"/>
  <c r="AC82" i="11"/>
  <c r="AB82" i="11"/>
  <c r="AA82" i="11"/>
  <c r="AG81" i="11"/>
  <c r="AF81" i="11"/>
  <c r="AE81" i="11"/>
  <c r="AD81" i="11"/>
  <c r="AC81" i="11"/>
  <c r="AB81" i="11"/>
  <c r="AA81" i="11"/>
  <c r="AG80" i="11"/>
  <c r="AF80" i="11"/>
  <c r="AE80" i="11"/>
  <c r="AD80" i="11"/>
  <c r="AC80" i="11"/>
  <c r="AB80" i="11"/>
  <c r="AA80" i="11"/>
  <c r="AG79" i="11"/>
  <c r="AE79" i="11"/>
  <c r="AD79" i="11"/>
  <c r="AC79" i="11"/>
  <c r="AB79" i="11"/>
  <c r="AA79" i="11"/>
  <c r="AG78" i="11"/>
  <c r="AE78" i="11"/>
  <c r="AD78" i="11"/>
  <c r="AC78" i="11"/>
  <c r="AB78" i="11"/>
  <c r="AA78" i="11"/>
  <c r="AG77" i="11"/>
  <c r="AE77" i="11"/>
  <c r="AD77" i="11"/>
  <c r="AC77" i="11"/>
  <c r="AB77" i="11"/>
  <c r="AA77" i="11"/>
  <c r="AG76" i="11"/>
  <c r="AE76" i="11"/>
  <c r="AD76" i="11"/>
  <c r="AC76" i="11"/>
  <c r="AB76" i="11"/>
  <c r="AA76" i="11"/>
  <c r="AG75" i="11"/>
  <c r="AF75" i="11"/>
  <c r="AE75" i="11"/>
  <c r="AD75" i="11"/>
  <c r="AC75" i="11"/>
  <c r="AB75" i="11"/>
  <c r="AA75" i="11"/>
  <c r="AG74" i="11"/>
  <c r="AE74" i="11"/>
  <c r="AD74" i="11"/>
  <c r="AC74" i="11"/>
  <c r="AB74" i="11"/>
  <c r="AA74" i="11"/>
  <c r="AG73" i="11"/>
  <c r="AE73" i="11"/>
  <c r="AD73" i="11"/>
  <c r="AC73" i="11"/>
  <c r="AB73" i="11"/>
  <c r="AA73" i="11"/>
  <c r="AG72" i="11"/>
  <c r="AF72" i="11"/>
  <c r="AE72" i="11"/>
  <c r="AD72" i="11"/>
  <c r="AC72" i="11"/>
  <c r="AB72" i="11"/>
  <c r="AA72" i="11"/>
  <c r="AG71" i="11"/>
  <c r="AF71" i="11"/>
  <c r="AE71" i="11"/>
  <c r="AD71" i="11"/>
  <c r="AC71" i="11"/>
  <c r="AB71" i="11"/>
  <c r="AA71" i="11"/>
  <c r="AG70" i="11"/>
  <c r="AE70" i="11"/>
  <c r="AD70" i="11"/>
  <c r="AC70" i="11"/>
  <c r="AB70" i="11"/>
  <c r="AA70" i="11"/>
  <c r="AG69" i="11"/>
  <c r="AE69" i="11"/>
  <c r="AD69" i="11"/>
  <c r="AC69" i="11"/>
  <c r="AB69" i="11"/>
  <c r="AA69" i="11"/>
  <c r="AG68" i="11"/>
  <c r="AE68" i="11"/>
  <c r="AD68" i="11"/>
  <c r="AC68" i="11"/>
  <c r="AB68" i="11"/>
  <c r="AA68" i="11"/>
  <c r="AG67" i="11"/>
  <c r="AF67" i="11"/>
  <c r="AE67" i="11"/>
  <c r="AD67" i="11"/>
  <c r="AC67" i="11"/>
  <c r="AB67" i="11"/>
  <c r="AA67" i="11"/>
  <c r="AG66" i="11"/>
  <c r="AF66" i="11"/>
  <c r="AE66" i="11"/>
  <c r="AD66" i="11"/>
  <c r="AC66" i="11"/>
  <c r="AB66" i="11"/>
  <c r="AA66" i="11"/>
  <c r="AG65" i="11"/>
  <c r="AF65" i="11"/>
  <c r="AE65" i="11"/>
  <c r="AD65" i="11"/>
  <c r="AC65" i="11"/>
  <c r="AB65" i="11"/>
  <c r="AA65" i="11"/>
  <c r="AG64" i="11"/>
  <c r="AE64" i="11"/>
  <c r="AD64" i="11"/>
  <c r="AC64" i="11"/>
  <c r="AB64" i="11"/>
  <c r="AA64" i="11"/>
  <c r="AG63" i="11"/>
  <c r="AF63" i="11"/>
  <c r="AE63" i="11"/>
  <c r="AD63" i="11"/>
  <c r="AC63" i="11"/>
  <c r="AB63" i="11"/>
  <c r="AA63" i="11"/>
  <c r="AG62" i="11"/>
  <c r="AF62" i="11"/>
  <c r="AE62" i="11"/>
  <c r="AD62" i="11"/>
  <c r="AC62" i="11"/>
  <c r="AB62" i="11"/>
  <c r="AA62" i="11"/>
  <c r="AG61" i="11"/>
  <c r="AE61" i="11"/>
  <c r="AD61" i="11"/>
  <c r="AC61" i="11"/>
  <c r="AB61" i="11"/>
  <c r="AA61" i="11"/>
  <c r="AG60" i="11"/>
  <c r="AE60" i="11"/>
  <c r="AD60" i="11"/>
  <c r="AC60" i="11"/>
  <c r="AB60" i="11"/>
  <c r="AA60" i="11"/>
  <c r="AG59" i="11"/>
  <c r="AE59" i="11"/>
  <c r="AD59" i="11"/>
  <c r="AC59" i="11"/>
  <c r="AB59" i="11"/>
  <c r="AA59" i="11"/>
  <c r="AG58" i="11"/>
  <c r="AE58" i="11"/>
  <c r="AD58" i="11"/>
  <c r="AC58" i="11"/>
  <c r="AB58" i="11"/>
  <c r="AA58" i="11"/>
  <c r="AG57" i="11"/>
  <c r="AE57" i="11"/>
  <c r="AD57" i="11"/>
  <c r="AC57" i="11"/>
  <c r="AB57" i="11"/>
  <c r="AA57" i="11"/>
  <c r="AG56" i="11"/>
  <c r="AF56" i="11"/>
  <c r="AE56" i="11"/>
  <c r="AD56" i="11"/>
  <c r="AC56" i="11"/>
  <c r="AB56" i="11"/>
  <c r="AA56" i="11"/>
  <c r="AG55" i="11"/>
  <c r="AE55" i="11"/>
  <c r="AD55" i="11"/>
  <c r="AC55" i="11"/>
  <c r="AB55" i="11"/>
  <c r="AA55" i="11"/>
  <c r="AG54" i="11"/>
  <c r="AE54" i="11"/>
  <c r="AD54" i="11"/>
  <c r="AC54" i="11"/>
  <c r="AB54" i="11"/>
  <c r="AA54" i="11"/>
  <c r="AG53" i="11"/>
  <c r="AE53" i="11"/>
  <c r="AD53" i="11"/>
  <c r="AC53" i="11"/>
  <c r="AB53" i="11"/>
  <c r="AA53" i="11"/>
  <c r="AG52" i="11"/>
  <c r="AE52" i="11"/>
  <c r="AD52" i="11"/>
  <c r="AC52" i="11"/>
  <c r="AB52" i="11"/>
  <c r="AA52" i="11"/>
  <c r="AG51" i="11"/>
  <c r="AE51" i="11"/>
  <c r="AD51" i="11"/>
  <c r="AC51" i="11"/>
  <c r="AB51" i="11"/>
  <c r="AA51" i="11"/>
  <c r="AG50" i="11"/>
  <c r="AF50" i="11"/>
  <c r="AE50" i="11"/>
  <c r="AD50" i="11"/>
  <c r="AC50" i="11"/>
  <c r="AB50" i="11"/>
  <c r="AA50" i="11"/>
  <c r="AG49" i="11"/>
  <c r="AE49" i="11"/>
  <c r="AD49" i="11"/>
  <c r="AC49" i="11"/>
  <c r="AB49" i="11"/>
  <c r="AA49" i="11"/>
  <c r="AG48" i="11"/>
  <c r="AF48" i="11"/>
  <c r="AE48" i="11"/>
  <c r="AD48" i="11"/>
  <c r="AC48" i="11"/>
  <c r="AB48" i="11"/>
  <c r="AA48" i="11"/>
  <c r="AG47" i="11"/>
  <c r="AE47" i="11"/>
  <c r="AD47" i="11"/>
  <c r="AC47" i="11"/>
  <c r="AB47" i="11"/>
  <c r="AA47" i="11"/>
  <c r="AG46" i="11"/>
  <c r="AE46" i="11"/>
  <c r="AD46" i="11"/>
  <c r="AC46" i="11"/>
  <c r="AB46" i="11"/>
  <c r="AA46" i="11"/>
  <c r="AG45" i="11"/>
  <c r="AF45" i="11"/>
  <c r="AE45" i="11"/>
  <c r="AD45" i="11"/>
  <c r="AC45" i="11"/>
  <c r="AB45" i="11"/>
  <c r="AA45" i="11"/>
  <c r="AG44" i="11"/>
  <c r="AF44" i="11"/>
  <c r="AE44" i="11"/>
  <c r="AD44" i="11"/>
  <c r="AC44" i="11"/>
  <c r="AB44" i="11"/>
  <c r="AA44" i="11"/>
  <c r="AG43" i="11"/>
  <c r="AF43" i="11"/>
  <c r="AE43" i="11"/>
  <c r="AD43" i="11"/>
  <c r="AC43" i="11"/>
  <c r="AB43" i="11"/>
  <c r="AA43" i="11"/>
  <c r="AG42" i="11"/>
  <c r="AF42" i="11"/>
  <c r="AE42" i="11"/>
  <c r="AD42" i="11"/>
  <c r="AC42" i="11"/>
  <c r="AB42" i="11"/>
  <c r="AA42" i="11"/>
  <c r="AG41" i="11"/>
  <c r="AE41" i="11"/>
  <c r="AD41" i="11"/>
  <c r="AC41" i="11"/>
  <c r="AB41" i="11"/>
  <c r="AA41" i="11"/>
  <c r="AG40" i="11"/>
  <c r="AE40" i="11"/>
  <c r="AD40" i="11"/>
  <c r="AC40" i="11"/>
  <c r="AB40" i="11"/>
  <c r="AA40" i="11"/>
  <c r="AG39" i="11"/>
  <c r="AF39" i="11"/>
  <c r="AE39" i="11"/>
  <c r="AD39" i="11"/>
  <c r="AC39" i="11"/>
  <c r="AB39" i="11"/>
  <c r="AA39" i="11"/>
  <c r="AG38" i="11"/>
  <c r="AE38" i="11"/>
  <c r="AD38" i="11"/>
  <c r="AC38" i="11"/>
  <c r="AB38" i="11"/>
  <c r="AA38" i="11"/>
  <c r="AG37" i="11"/>
  <c r="AF37" i="11"/>
  <c r="AE37" i="11"/>
  <c r="AD37" i="11"/>
  <c r="AC37" i="11"/>
  <c r="AB37" i="11"/>
  <c r="AA37" i="11"/>
  <c r="AG36" i="11"/>
  <c r="AE36" i="11"/>
  <c r="AD36" i="11"/>
  <c r="AC36" i="11"/>
  <c r="AB36" i="11"/>
  <c r="AA36" i="11"/>
  <c r="AG35" i="11"/>
  <c r="AE35" i="11"/>
  <c r="AD35" i="11"/>
  <c r="AC35" i="11"/>
  <c r="AB35" i="11"/>
  <c r="AA35" i="11"/>
  <c r="AG34" i="11"/>
  <c r="AF34" i="11"/>
  <c r="AE34" i="11"/>
  <c r="AD34" i="11"/>
  <c r="AC34" i="11"/>
  <c r="AB34" i="11"/>
  <c r="AA34" i="11"/>
  <c r="AG33" i="11"/>
  <c r="AE33" i="11"/>
  <c r="AD33" i="11"/>
  <c r="AC33" i="11"/>
  <c r="AB33" i="11"/>
  <c r="AA33" i="11"/>
  <c r="AG32" i="11"/>
  <c r="AE32" i="11"/>
  <c r="AD32" i="11"/>
  <c r="AC32" i="11"/>
  <c r="AB32" i="11"/>
  <c r="AA32" i="11"/>
  <c r="AG31" i="11"/>
  <c r="AE31" i="11"/>
  <c r="AD31" i="11"/>
  <c r="AC31" i="11"/>
  <c r="AB31" i="11"/>
  <c r="AA31" i="11"/>
  <c r="AG30" i="11"/>
  <c r="AE30" i="11"/>
  <c r="AD30" i="11"/>
  <c r="AC30" i="11"/>
  <c r="AB30" i="11"/>
  <c r="AA30" i="11"/>
  <c r="AG29" i="11"/>
  <c r="AE29" i="11"/>
  <c r="AD29" i="11"/>
  <c r="AC29" i="11"/>
  <c r="AB29" i="11"/>
  <c r="AA29" i="11"/>
  <c r="AG28" i="11"/>
  <c r="AE28" i="11"/>
  <c r="AD28" i="11"/>
  <c r="AC28" i="11"/>
  <c r="AB28" i="11"/>
  <c r="AA28" i="11"/>
  <c r="AG27" i="11"/>
  <c r="AE27" i="11"/>
  <c r="AD27" i="11"/>
  <c r="AC27" i="11"/>
  <c r="AB27" i="11"/>
  <c r="AA27" i="11"/>
  <c r="AG26" i="11"/>
  <c r="AE26" i="11"/>
  <c r="AD26" i="11"/>
  <c r="AC26" i="11"/>
  <c r="AB26" i="11"/>
  <c r="AA26" i="11"/>
  <c r="AG25" i="11"/>
  <c r="AF25" i="11"/>
  <c r="AE25" i="11"/>
  <c r="AD25" i="11"/>
  <c r="AC25" i="11"/>
  <c r="AB25" i="11"/>
  <c r="AA25" i="11"/>
  <c r="AG24" i="11"/>
  <c r="AE24" i="11"/>
  <c r="AD24" i="11"/>
  <c r="AC24" i="11"/>
  <c r="AB24" i="11"/>
  <c r="AA24" i="11"/>
  <c r="AG23" i="11"/>
  <c r="AF23" i="11"/>
  <c r="AE23" i="11"/>
  <c r="AD23" i="11"/>
  <c r="AC23" i="11"/>
  <c r="AB23" i="11"/>
  <c r="AA23" i="11"/>
  <c r="AG22" i="11"/>
  <c r="AF22" i="11"/>
  <c r="AE22" i="11"/>
  <c r="AD22" i="11"/>
  <c r="AC22" i="11"/>
  <c r="AB22" i="11"/>
  <c r="AA22" i="11"/>
  <c r="AG21" i="11"/>
  <c r="AF21" i="11"/>
  <c r="AE21" i="11"/>
  <c r="AD21" i="11"/>
  <c r="AC21" i="11"/>
  <c r="AB21" i="11"/>
  <c r="AA21" i="11"/>
  <c r="AG20" i="11"/>
  <c r="AF20" i="11"/>
  <c r="AE20" i="11"/>
  <c r="AD20" i="11"/>
  <c r="AC20" i="11"/>
  <c r="AB20" i="11"/>
  <c r="AA20" i="11"/>
  <c r="AG19" i="11"/>
  <c r="AE19" i="11"/>
  <c r="AD19" i="11"/>
  <c r="AC19" i="11"/>
  <c r="AB19" i="11"/>
  <c r="AA19" i="11"/>
  <c r="AG18" i="11"/>
  <c r="AF18" i="11"/>
  <c r="AE18" i="11"/>
  <c r="AD18" i="11"/>
  <c r="AC18" i="11"/>
  <c r="AB18" i="11"/>
  <c r="AA18" i="11"/>
  <c r="AG17" i="11"/>
  <c r="AF17" i="11"/>
  <c r="AE17" i="11"/>
  <c r="AD17" i="11"/>
  <c r="AC17" i="11"/>
  <c r="AB17" i="11"/>
  <c r="AA17" i="11"/>
  <c r="AG16" i="11"/>
  <c r="AF16" i="11"/>
  <c r="AE16" i="11"/>
  <c r="AD16" i="11"/>
  <c r="AC16" i="11"/>
  <c r="AB16" i="11"/>
  <c r="AA16" i="11"/>
  <c r="AG15" i="11"/>
  <c r="AF15" i="11"/>
  <c r="AE15" i="11"/>
  <c r="AD15" i="11"/>
  <c r="AC15" i="11"/>
  <c r="AB15" i="11"/>
  <c r="AA15" i="11"/>
  <c r="AG14" i="11"/>
  <c r="AE14" i="11"/>
  <c r="AD14" i="11"/>
  <c r="AC14" i="11"/>
  <c r="AB14" i="11"/>
  <c r="AA14" i="11"/>
  <c r="AG13" i="11"/>
  <c r="AF13" i="11"/>
  <c r="AE13" i="11"/>
  <c r="AD13" i="11"/>
  <c r="AC13" i="11"/>
  <c r="AB13" i="11"/>
  <c r="AA13" i="11"/>
  <c r="AG12" i="11"/>
  <c r="AE12" i="11"/>
  <c r="AD12" i="11"/>
  <c r="AC12" i="11"/>
  <c r="AB12" i="11"/>
  <c r="AA12" i="11"/>
  <c r="AG11" i="11"/>
  <c r="AF11" i="11"/>
  <c r="AE11" i="11"/>
  <c r="AD11" i="11"/>
  <c r="AC11" i="11"/>
  <c r="AB11" i="11"/>
  <c r="AA11" i="11"/>
  <c r="AG10" i="11"/>
  <c r="AE10" i="11"/>
  <c r="AD10" i="11"/>
  <c r="AC10" i="11"/>
  <c r="AB10" i="11"/>
  <c r="AA10" i="11"/>
  <c r="AG9" i="11"/>
  <c r="AE9" i="11"/>
  <c r="AD9" i="11"/>
  <c r="AC9" i="11"/>
  <c r="AB9" i="11"/>
  <c r="AA9" i="11"/>
  <c r="AG8" i="11"/>
  <c r="AE8" i="11"/>
  <c r="AD8" i="11"/>
  <c r="AC8" i="11"/>
  <c r="AB8" i="11"/>
  <c r="AA8" i="11"/>
  <c r="AG7" i="11"/>
  <c r="AF7" i="11"/>
  <c r="AE7" i="11"/>
  <c r="AD7" i="11"/>
  <c r="AC7" i="11"/>
  <c r="AB7" i="11"/>
  <c r="AA7" i="11"/>
  <c r="AG6" i="11"/>
  <c r="AF6" i="11"/>
  <c r="AE6" i="11"/>
  <c r="AD6" i="11"/>
  <c r="AC6" i="11"/>
  <c r="AB6" i="11"/>
  <c r="AA6" i="11"/>
  <c r="AG5" i="11"/>
  <c r="AE5" i="11"/>
  <c r="AD5" i="11"/>
  <c r="AC5" i="11"/>
  <c r="AB5" i="11"/>
  <c r="AA5" i="11"/>
  <c r="AG4" i="11"/>
  <c r="AE4" i="11"/>
  <c r="AD4" i="11"/>
  <c r="AC4" i="11"/>
  <c r="AB4" i="11"/>
  <c r="AA4" i="11"/>
  <c r="AG3" i="11"/>
  <c r="AF3" i="11"/>
  <c r="AE3" i="11"/>
  <c r="AD3" i="11"/>
  <c r="AC3" i="11"/>
  <c r="AB3" i="11"/>
  <c r="AA3" i="11"/>
  <c r="AG2" i="11"/>
  <c r="AF2" i="11"/>
  <c r="AE2" i="11"/>
  <c r="AD2" i="11"/>
  <c r="AC2" i="11"/>
  <c r="AB2" i="11"/>
  <c r="AA2" i="11"/>
  <c r="AF1301" i="11" l="1"/>
  <c r="AF1300" i="11"/>
  <c r="AF1299" i="11"/>
  <c r="AF1297" i="11"/>
  <c r="AF1296" i="11"/>
  <c r="AF1293" i="11"/>
  <c r="AF1292" i="11"/>
  <c r="AF1291" i="11"/>
  <c r="AF1290" i="11"/>
  <c r="AF1289" i="11"/>
  <c r="AF1288" i="11"/>
  <c r="AF1287" i="11"/>
  <c r="AF1285" i="11"/>
  <c r="AF1284" i="11"/>
  <c r="AF1281" i="11"/>
  <c r="AF1279" i="11"/>
  <c r="AF1278" i="11"/>
  <c r="AF1271" i="11"/>
  <c r="AF1268" i="11"/>
  <c r="AF1267" i="11"/>
  <c r="AF1263" i="11"/>
  <c r="AF1250" i="11"/>
  <c r="AF1248" i="11"/>
  <c r="AF1244" i="11"/>
  <c r="AF1243" i="11"/>
  <c r="AF1242" i="11"/>
  <c r="AF1237" i="11"/>
  <c r="AF1229" i="11"/>
  <c r="AF1224" i="11"/>
  <c r="AF1216" i="11"/>
  <c r="AF1214" i="11"/>
  <c r="AF1204" i="11"/>
  <c r="AF1201" i="11"/>
  <c r="AF1199" i="11"/>
  <c r="AF1197" i="11"/>
  <c r="AF1195" i="11"/>
  <c r="AF1180" i="11"/>
  <c r="AF1179" i="11"/>
  <c r="AF1178" i="11"/>
  <c r="AF1176" i="11"/>
  <c r="AF1172" i="11"/>
  <c r="AF1169" i="11"/>
  <c r="AF1115" i="11"/>
  <c r="AF1103" i="11"/>
  <c r="AF1094" i="11"/>
  <c r="AF1092" i="11"/>
  <c r="AF1090" i="11"/>
  <c r="AF1089" i="11"/>
  <c r="AF1077" i="11"/>
  <c r="AF1070" i="11"/>
  <c r="AF1065" i="11"/>
  <c r="AF1055" i="11"/>
  <c r="AF1051" i="11"/>
  <c r="AF1046" i="11"/>
  <c r="AF1024" i="11"/>
  <c r="AF1023" i="11"/>
  <c r="AF1021" i="11"/>
  <c r="AF1015" i="11"/>
  <c r="AF1013" i="11"/>
  <c r="AF1007" i="11"/>
  <c r="AF1006" i="11"/>
  <c r="AF1003" i="11"/>
  <c r="AF1001" i="11"/>
  <c r="AF993" i="11"/>
  <c r="AF992" i="11"/>
  <c r="AF982" i="11"/>
  <c r="AF978" i="11"/>
  <c r="AF975" i="11"/>
  <c r="AF971" i="11"/>
  <c r="AF965" i="11"/>
  <c r="AF962" i="11"/>
  <c r="AF956" i="11"/>
  <c r="AF955" i="11"/>
  <c r="AF953" i="11"/>
  <c r="AF952" i="11"/>
  <c r="AF946" i="11"/>
  <c r="AF945" i="11"/>
  <c r="AF937" i="11"/>
  <c r="AF575" i="11"/>
  <c r="AF544" i="11"/>
  <c r="AF536" i="11"/>
  <c r="AF526" i="11"/>
  <c r="AF513" i="11"/>
  <c r="AF492" i="11"/>
  <c r="AF475" i="11"/>
  <c r="AF145" i="11"/>
  <c r="AF119" i="11"/>
  <c r="AF113" i="11"/>
  <c r="AF101" i="11"/>
  <c r="AF61" i="11"/>
  <c r="AF57" i="11"/>
  <c r="AF41" i="11"/>
  <c r="AF27" i="11"/>
  <c r="AF19" i="11"/>
  <c r="AF5" i="11"/>
  <c r="AF1167" i="11"/>
  <c r="AF1166" i="11"/>
  <c r="AF1165" i="11"/>
  <c r="AF1164" i="11"/>
  <c r="AF1163" i="11"/>
  <c r="AF1160" i="11"/>
  <c r="AF1159" i="11"/>
  <c r="AF1158" i="11"/>
  <c r="AF1157" i="11"/>
  <c r="AF1156" i="11"/>
  <c r="AF1154" i="11"/>
  <c r="AF1153" i="11"/>
  <c r="AF1152" i="11"/>
  <c r="AF1151" i="11"/>
  <c r="AF1149" i="11"/>
  <c r="AF1148" i="11"/>
  <c r="AF1147" i="11"/>
  <c r="AF1146" i="11"/>
  <c r="AF1145" i="11"/>
  <c r="AF1144" i="11"/>
  <c r="AF1143" i="11"/>
  <c r="AF1142" i="11"/>
  <c r="AF1140" i="11"/>
  <c r="AF1139" i="11"/>
  <c r="AF1134" i="11"/>
  <c r="AF1132" i="11"/>
  <c r="AF1131" i="11"/>
  <c r="AF1130" i="11"/>
  <c r="AF1129" i="11"/>
  <c r="AF1128" i="11"/>
  <c r="AF1126" i="11"/>
  <c r="AF1121" i="11"/>
  <c r="AF1120" i="11"/>
  <c r="AF1118" i="11"/>
  <c r="AF1112" i="11"/>
  <c r="AF1107" i="11"/>
  <c r="AF1106" i="11"/>
  <c r="AF1098" i="11"/>
  <c r="AF1097" i="11"/>
  <c r="AF1093" i="11"/>
  <c r="AF1091" i="11"/>
  <c r="AF1087" i="11"/>
  <c r="AF1081" i="11"/>
  <c r="AF1073" i="11"/>
  <c r="AF1068" i="11"/>
  <c r="AF1058" i="11"/>
  <c r="AF1057" i="11"/>
  <c r="AF1049" i="11"/>
  <c r="AF1048" i="11"/>
  <c r="AF1045" i="11"/>
  <c r="AF1030" i="11"/>
  <c r="AF1028" i="11"/>
  <c r="AF1027" i="11"/>
  <c r="AF1026" i="11"/>
  <c r="AF1011" i="11"/>
  <c r="AF1000" i="11"/>
  <c r="AF998" i="11"/>
  <c r="AF997" i="11"/>
  <c r="AF990" i="11"/>
  <c r="AF979" i="11"/>
  <c r="AF970" i="11"/>
  <c r="AF963" i="11"/>
  <c r="AF958" i="11"/>
  <c r="AF957" i="11"/>
  <c r="AF944" i="11"/>
  <c r="AF939" i="11"/>
  <c r="AF935" i="11"/>
  <c r="AF566" i="11"/>
  <c r="AF556" i="11"/>
  <c r="AF532" i="11"/>
  <c r="AF528" i="11"/>
  <c r="AF517" i="11"/>
  <c r="AF514" i="11"/>
  <c r="AF509" i="11"/>
  <c r="AF490" i="11"/>
  <c r="AF144" i="11"/>
  <c r="AF126" i="11"/>
  <c r="AF116" i="11"/>
  <c r="AF74" i="11"/>
  <c r="AF68" i="11"/>
  <c r="AF32" i="11"/>
  <c r="AF934" i="11"/>
  <c r="AF933" i="11"/>
  <c r="AF932" i="11"/>
  <c r="AF931" i="11"/>
  <c r="AF929" i="11"/>
  <c r="AF928" i="11"/>
  <c r="AF927" i="11"/>
  <c r="AF926" i="11"/>
  <c r="AF925" i="11"/>
  <c r="AF924" i="11"/>
  <c r="AF922" i="11"/>
  <c r="AF921" i="11"/>
  <c r="AF918" i="11"/>
  <c r="AF917" i="11"/>
  <c r="AF915" i="11"/>
  <c r="AF914" i="11"/>
  <c r="AF913" i="11"/>
  <c r="AF912" i="11"/>
  <c r="AF911" i="11"/>
  <c r="AF908" i="11"/>
  <c r="AF905" i="11"/>
  <c r="AF902" i="11"/>
  <c r="AF901" i="11"/>
  <c r="AF900" i="11"/>
  <c r="AF899" i="11"/>
  <c r="AF898" i="11"/>
  <c r="AF897" i="11"/>
  <c r="AF896" i="11"/>
  <c r="AF895" i="11"/>
  <c r="AF894" i="11"/>
  <c r="AF892" i="11"/>
  <c r="AF891" i="11"/>
  <c r="AF890" i="11"/>
  <c r="AF889" i="11"/>
  <c r="AF888" i="11"/>
  <c r="AF886" i="11"/>
  <c r="AF885" i="11"/>
  <c r="AF884" i="11"/>
  <c r="AF882" i="11"/>
  <c r="AF881" i="11"/>
  <c r="AF880" i="11"/>
  <c r="AF879" i="11"/>
  <c r="AF877" i="11"/>
  <c r="AF876" i="11"/>
  <c r="AF875" i="11"/>
  <c r="AF874" i="11"/>
  <c r="AF873" i="11"/>
  <c r="AF872" i="11"/>
  <c r="AF871" i="11"/>
  <c r="AF870" i="11"/>
  <c r="AF867" i="11"/>
  <c r="AF866" i="11"/>
  <c r="AF865" i="11"/>
  <c r="AF864" i="11"/>
  <c r="AF863" i="11"/>
  <c r="AF862" i="11"/>
  <c r="AF861" i="11"/>
  <c r="AF859" i="11"/>
  <c r="AF856" i="11"/>
  <c r="AF854" i="11"/>
  <c r="AF852" i="11"/>
  <c r="AF851" i="11"/>
  <c r="AF850" i="11"/>
  <c r="AF849" i="11"/>
  <c r="AF848" i="11"/>
  <c r="AF847" i="11"/>
  <c r="AF846" i="11"/>
  <c r="AF845" i="11"/>
  <c r="AF844" i="11"/>
  <c r="AF843" i="11"/>
  <c r="AF842" i="11"/>
  <c r="AF841" i="11"/>
  <c r="AF840" i="11"/>
  <c r="AF839" i="11"/>
  <c r="AF837" i="11"/>
  <c r="AF836" i="11"/>
  <c r="AF835" i="11"/>
  <c r="AF834" i="11"/>
  <c r="AF833" i="11"/>
  <c r="AF832" i="11"/>
  <c r="AF831" i="11"/>
  <c r="AF830" i="11"/>
  <c r="AF828" i="11"/>
  <c r="AF825" i="11"/>
  <c r="AF824" i="11"/>
  <c r="AF823" i="11"/>
  <c r="AF822" i="11"/>
  <c r="AF821" i="11"/>
  <c r="AF820" i="11"/>
  <c r="AF819" i="11"/>
  <c r="AF818" i="11"/>
  <c r="AF816" i="11"/>
  <c r="AF815" i="11"/>
  <c r="AF814" i="11"/>
  <c r="AF813" i="11"/>
  <c r="AF812" i="11"/>
  <c r="AF811" i="11"/>
  <c r="AF810" i="11"/>
  <c r="AF809" i="11"/>
  <c r="AF808" i="11"/>
  <c r="AF807" i="11"/>
  <c r="AF805" i="11"/>
  <c r="AF804" i="11"/>
  <c r="AF803" i="11"/>
  <c r="AF800" i="11"/>
  <c r="AF799" i="11"/>
  <c r="AF798" i="11"/>
  <c r="AF797" i="11"/>
  <c r="AF796" i="11"/>
  <c r="AF795" i="11"/>
  <c r="AF794" i="11"/>
  <c r="AF792" i="11"/>
  <c r="AF791" i="11"/>
  <c r="AF790" i="11"/>
  <c r="AF789" i="11"/>
  <c r="AF788" i="11"/>
  <c r="AF787" i="11"/>
  <c r="AF786" i="11"/>
  <c r="AF785" i="11"/>
  <c r="AF784" i="11"/>
  <c r="AF783" i="11"/>
  <c r="AF782" i="11"/>
  <c r="AF781" i="11"/>
  <c r="AF780" i="11"/>
  <c r="AF779" i="11"/>
  <c r="AF778" i="11"/>
  <c r="AF777" i="11"/>
  <c r="AF775" i="11"/>
  <c r="AF774" i="11"/>
  <c r="AF773" i="11"/>
  <c r="AF772" i="11"/>
  <c r="AF771" i="11"/>
  <c r="AF770" i="11"/>
  <c r="AF769" i="11"/>
  <c r="AF768" i="11"/>
  <c r="AF766" i="11"/>
  <c r="AF764" i="11"/>
  <c r="AF763" i="11"/>
  <c r="AF762" i="11"/>
  <c r="AF761" i="11"/>
  <c r="AF759" i="11"/>
  <c r="AF758" i="11"/>
  <c r="AF757" i="11"/>
  <c r="AF753" i="11"/>
  <c r="AF752" i="11"/>
  <c r="AF751" i="11"/>
  <c r="AF749" i="11"/>
  <c r="AF748" i="11"/>
  <c r="AF747" i="11"/>
  <c r="AF746" i="11"/>
  <c r="AF745" i="11"/>
  <c r="AF744" i="11"/>
  <c r="AF743" i="11"/>
  <c r="AF742" i="11"/>
  <c r="AF741" i="11"/>
  <c r="AF740" i="11"/>
  <c r="AF739" i="11"/>
  <c r="AF738" i="11"/>
  <c r="AF737" i="11"/>
  <c r="AF734" i="11"/>
  <c r="AF730" i="11"/>
  <c r="AF729" i="11"/>
  <c r="AF727" i="11"/>
  <c r="AF726" i="11"/>
  <c r="AF725" i="11"/>
  <c r="AF724" i="11"/>
  <c r="AF723" i="11"/>
  <c r="AF722" i="11"/>
  <c r="AF721" i="11"/>
  <c r="AF720" i="11"/>
  <c r="AF719" i="11"/>
  <c r="AF717" i="11"/>
  <c r="AF716" i="11"/>
  <c r="AF712" i="11"/>
  <c r="AF710" i="11"/>
  <c r="AF709" i="11"/>
  <c r="AF708" i="11"/>
  <c r="AF707" i="11"/>
  <c r="AF705" i="11"/>
  <c r="AF704" i="11"/>
  <c r="AF703" i="11"/>
  <c r="AF702" i="11"/>
  <c r="AF588" i="11"/>
  <c r="AF587" i="11"/>
  <c r="AF586" i="11"/>
  <c r="AF585" i="11"/>
  <c r="AF584" i="11"/>
  <c r="AF583" i="11"/>
  <c r="AF582" i="11"/>
  <c r="AF581" i="11"/>
  <c r="AF580" i="11"/>
  <c r="AF579" i="11"/>
  <c r="AF578" i="11"/>
  <c r="AF576" i="11"/>
  <c r="AF572" i="11"/>
  <c r="AF571" i="11"/>
  <c r="AF569" i="11"/>
  <c r="AF568" i="11"/>
  <c r="AF567" i="11"/>
  <c r="AF563" i="11"/>
  <c r="AF562" i="11"/>
  <c r="AF561" i="11"/>
  <c r="AF559" i="11"/>
  <c r="AF554" i="11"/>
  <c r="AF553" i="11"/>
  <c r="AF552" i="11"/>
  <c r="AF549" i="11"/>
  <c r="AF548" i="11"/>
  <c r="AF545" i="11"/>
  <c r="AF543" i="11"/>
  <c r="AF542" i="11"/>
  <c r="AF541" i="11"/>
  <c r="AF531" i="11"/>
  <c r="AF530" i="11"/>
  <c r="AF527" i="11"/>
  <c r="AF525" i="11"/>
  <c r="AF524" i="11"/>
  <c r="AF523" i="11"/>
  <c r="AF518" i="11"/>
  <c r="AF516" i="11"/>
  <c r="AF515" i="11"/>
  <c r="AF511" i="11"/>
  <c r="AF510" i="11"/>
  <c r="AF507" i="11"/>
  <c r="AF506" i="11"/>
  <c r="AF505" i="11"/>
  <c r="AF500" i="11"/>
  <c r="AF499" i="11"/>
  <c r="AF498" i="11"/>
  <c r="AF496" i="11"/>
  <c r="AF495" i="11"/>
  <c r="AF494" i="11"/>
  <c r="AF493" i="11"/>
  <c r="AF491" i="11"/>
  <c r="AF484" i="11"/>
  <c r="AF480" i="11"/>
  <c r="AF479" i="11"/>
  <c r="AF477" i="11"/>
  <c r="AF474" i="11"/>
  <c r="AF473" i="11"/>
  <c r="AF472" i="11"/>
  <c r="AF470" i="11"/>
  <c r="AF151" i="11"/>
  <c r="AF141" i="11"/>
  <c r="AF139" i="11"/>
  <c r="AF108" i="11"/>
  <c r="AF105" i="11"/>
  <c r="AF104" i="11"/>
  <c r="AF102" i="11"/>
  <c r="AF98" i="11"/>
  <c r="AF96" i="11"/>
  <c r="AF88" i="11"/>
  <c r="AF85" i="11"/>
  <c r="AF79" i="11"/>
  <c r="AF78" i="11"/>
  <c r="AF69" i="11"/>
  <c r="AF54" i="11"/>
  <c r="AF53" i="11"/>
  <c r="AF51" i="11"/>
  <c r="AF49" i="11"/>
  <c r="AF40" i="11"/>
  <c r="AF35" i="11"/>
  <c r="AF31" i="11"/>
  <c r="AF24" i="11"/>
  <c r="AF10" i="11"/>
  <c r="AF9" i="11"/>
  <c r="AF8" i="11"/>
  <c r="AF701" i="11"/>
  <c r="AF700" i="11"/>
  <c r="AF698" i="11"/>
  <c r="AF697" i="11"/>
  <c r="AF696" i="11"/>
  <c r="AF695" i="11"/>
  <c r="AF694" i="11"/>
  <c r="AF693" i="11"/>
  <c r="AF692" i="11"/>
  <c r="AF691" i="11"/>
  <c r="AF690" i="11"/>
  <c r="AF688" i="11"/>
  <c r="AF687" i="11"/>
  <c r="AF686" i="11"/>
  <c r="AF685" i="11"/>
  <c r="AF683" i="11"/>
  <c r="AF682" i="11"/>
  <c r="AF681" i="11"/>
  <c r="AF680" i="11"/>
  <c r="AF679" i="11"/>
  <c r="AF678" i="11"/>
  <c r="AF677" i="11"/>
  <c r="AF676" i="11"/>
  <c r="AF675" i="11"/>
  <c r="AF674" i="11"/>
  <c r="AF673" i="11"/>
  <c r="AF672" i="11"/>
  <c r="AF671" i="11"/>
  <c r="AF670" i="11"/>
  <c r="AF669" i="11"/>
  <c r="AF668" i="11"/>
  <c r="AF667" i="11"/>
  <c r="AF665" i="11"/>
  <c r="AF664" i="11"/>
  <c r="AF663" i="11"/>
  <c r="AF662" i="11"/>
  <c r="AF661" i="11"/>
  <c r="AF660" i="11"/>
  <c r="AF659" i="11"/>
  <c r="AF658" i="11"/>
  <c r="AF657" i="11"/>
  <c r="AF652" i="11"/>
  <c r="AF650" i="11"/>
  <c r="AF649" i="11"/>
  <c r="AF648" i="11"/>
  <c r="AF647" i="11"/>
  <c r="AF646" i="11"/>
  <c r="AF645" i="11"/>
  <c r="AF644" i="11"/>
  <c r="AF642" i="11"/>
  <c r="AF641" i="11"/>
  <c r="AF639" i="11"/>
  <c r="AF638" i="11"/>
  <c r="AF637" i="11"/>
  <c r="AF636" i="11"/>
  <c r="AF635" i="11"/>
  <c r="AF632" i="11"/>
  <c r="AF631" i="11"/>
  <c r="AF630" i="11"/>
  <c r="AF629" i="11"/>
  <c r="AF628" i="11"/>
  <c r="AF625" i="11"/>
  <c r="AF623" i="11"/>
  <c r="AF621" i="11"/>
  <c r="AF620" i="11"/>
  <c r="AF619" i="11"/>
  <c r="AF617" i="11"/>
  <c r="AF616" i="11"/>
  <c r="AF615" i="11"/>
  <c r="AF614" i="11"/>
  <c r="AF613" i="11"/>
  <c r="AF612" i="11"/>
  <c r="AF611" i="11"/>
  <c r="AF609" i="11"/>
  <c r="AF608" i="11"/>
  <c r="AF607" i="11"/>
  <c r="AF606" i="11"/>
  <c r="AF605" i="11"/>
  <c r="AF602" i="11"/>
  <c r="AF601" i="11"/>
  <c r="AF599" i="11"/>
  <c r="AF598" i="11"/>
  <c r="AF597" i="11"/>
  <c r="AF595" i="11"/>
  <c r="AF594" i="11"/>
  <c r="AF592" i="11"/>
  <c r="AF591" i="11"/>
  <c r="AF590" i="11"/>
  <c r="AF589" i="11"/>
  <c r="AF467" i="11"/>
  <c r="AF466" i="11"/>
  <c r="AF465" i="11"/>
  <c r="AF464" i="11"/>
  <c r="AF463" i="11"/>
  <c r="AF462" i="11"/>
  <c r="AF461" i="11"/>
  <c r="AF460" i="11"/>
  <c r="AF458" i="11"/>
  <c r="AF456" i="11"/>
  <c r="AF454" i="11"/>
  <c r="AF452" i="11"/>
  <c r="AF451" i="11"/>
  <c r="AF450" i="11"/>
  <c r="AF449" i="11"/>
  <c r="AF448" i="11"/>
  <c r="AF447" i="11"/>
  <c r="AF446" i="11"/>
  <c r="AF445" i="11"/>
  <c r="AF444" i="11"/>
  <c r="AF443" i="11"/>
  <c r="AF442" i="11"/>
  <c r="AF441" i="11"/>
  <c r="AF440" i="11"/>
  <c r="AF439" i="11"/>
  <c r="AF438" i="11"/>
  <c r="AF437" i="11"/>
  <c r="AF436" i="11"/>
  <c r="AF434" i="11"/>
  <c r="AF433" i="11"/>
  <c r="AF432" i="11"/>
  <c r="AF429" i="11"/>
  <c r="AF428" i="11"/>
  <c r="AF425" i="11"/>
  <c r="AF424" i="11"/>
  <c r="AF423" i="11"/>
  <c r="AF421" i="11"/>
  <c r="AF420" i="11"/>
  <c r="AF419" i="11"/>
  <c r="AF418" i="11"/>
  <c r="AF416" i="11"/>
  <c r="AF415" i="11"/>
  <c r="AF413" i="11"/>
  <c r="AF411" i="11"/>
  <c r="AF410" i="11"/>
  <c r="AF409" i="11"/>
  <c r="AF407" i="11"/>
  <c r="AF406" i="11"/>
  <c r="AF405" i="11"/>
  <c r="AF404" i="11"/>
  <c r="AF403" i="11"/>
  <c r="AF402" i="11"/>
  <c r="AF401" i="11"/>
  <c r="AF399" i="11"/>
  <c r="AF398" i="11"/>
  <c r="AF396" i="11"/>
  <c r="AF395" i="11"/>
  <c r="AF394" i="11"/>
  <c r="AF393" i="11"/>
  <c r="AF392" i="11"/>
  <c r="AF390" i="11"/>
  <c r="AF389" i="11"/>
  <c r="AF388" i="11"/>
  <c r="AF387" i="11"/>
  <c r="AF386" i="11"/>
  <c r="AF385" i="11"/>
  <c r="AF384" i="11"/>
  <c r="AF383" i="11"/>
  <c r="AF382" i="11"/>
  <c r="AF381" i="11"/>
  <c r="AF379" i="11"/>
  <c r="AF378" i="11"/>
  <c r="AF377" i="11"/>
  <c r="AF376" i="11"/>
  <c r="AF375" i="11"/>
  <c r="AF374" i="11"/>
  <c r="AF373" i="11"/>
  <c r="AF372" i="11"/>
  <c r="AF370" i="11"/>
  <c r="AF369" i="11"/>
  <c r="AF368" i="11"/>
  <c r="AF367" i="11"/>
  <c r="AF366" i="11"/>
  <c r="AF365" i="11"/>
  <c r="AF364" i="11"/>
  <c r="AF363" i="11"/>
  <c r="AF362" i="11"/>
  <c r="AF361" i="11"/>
  <c r="AF360" i="11"/>
  <c r="AF359" i="11"/>
  <c r="AF358" i="11"/>
  <c r="AF357" i="11"/>
  <c r="AF356" i="11"/>
  <c r="AF355" i="11"/>
  <c r="AF354" i="11"/>
  <c r="AF353" i="11"/>
  <c r="AF352" i="11"/>
  <c r="AF351" i="11"/>
  <c r="AF350" i="11"/>
  <c r="AF349" i="11"/>
  <c r="AF348" i="11"/>
  <c r="AF347" i="11"/>
  <c r="AF346" i="11"/>
  <c r="AF345" i="11"/>
  <c r="AF343" i="11"/>
  <c r="AF342" i="11"/>
  <c r="AF341" i="11"/>
  <c r="AF340" i="11"/>
  <c r="AF339" i="11"/>
  <c r="AF338" i="11"/>
  <c r="AF337" i="11"/>
  <c r="AF336" i="11"/>
  <c r="AF335" i="11"/>
  <c r="AF334" i="11"/>
  <c r="AF332" i="11"/>
  <c r="AF330" i="11"/>
  <c r="AF327" i="11"/>
  <c r="AF326" i="11"/>
  <c r="AF325" i="11"/>
  <c r="AF324" i="11"/>
  <c r="AF323" i="11"/>
  <c r="AF322" i="11"/>
  <c r="AF321" i="11"/>
  <c r="AF320" i="11"/>
  <c r="AF319" i="11"/>
  <c r="AF318" i="11"/>
  <c r="AF317" i="11"/>
  <c r="AF316" i="11"/>
  <c r="AF315" i="11"/>
  <c r="AF314" i="11"/>
  <c r="AF313" i="11"/>
  <c r="AF312" i="11"/>
  <c r="AF311" i="11"/>
  <c r="AF310" i="11"/>
  <c r="AF309" i="11"/>
  <c r="AF307" i="11"/>
  <c r="AF304" i="11"/>
  <c r="AF303" i="11"/>
  <c r="AF302" i="11"/>
  <c r="AF301" i="11"/>
  <c r="AF299" i="11"/>
  <c r="AF297" i="11"/>
  <c r="AF296" i="11"/>
  <c r="AF295" i="11"/>
  <c r="AF293" i="11"/>
  <c r="AF292" i="11"/>
  <c r="AF291" i="11"/>
  <c r="AF290" i="11"/>
  <c r="AF289" i="11"/>
  <c r="AF288" i="11"/>
  <c r="AF287" i="11"/>
  <c r="AF286" i="11"/>
  <c r="AF284" i="11"/>
  <c r="AF282" i="11"/>
  <c r="AF280" i="11"/>
  <c r="AF279" i="11"/>
  <c r="AF278" i="11"/>
  <c r="AF277" i="11"/>
  <c r="AF276" i="11"/>
  <c r="AF275" i="11"/>
  <c r="AF274" i="11"/>
  <c r="AF273" i="11"/>
  <c r="AF272" i="11"/>
  <c r="AF271" i="11"/>
  <c r="AF270" i="11"/>
  <c r="AF269" i="11"/>
  <c r="AF268" i="11"/>
  <c r="AF266" i="11"/>
  <c r="AF265" i="11"/>
  <c r="AF264" i="11"/>
  <c r="AF263" i="11"/>
  <c r="AF261" i="11"/>
  <c r="AF260" i="11"/>
  <c r="AF259" i="11"/>
  <c r="AF258" i="11"/>
  <c r="AF257" i="11"/>
  <c r="AF256" i="11"/>
  <c r="AF255" i="11"/>
  <c r="AF254" i="11"/>
  <c r="AF252" i="11"/>
  <c r="AF251" i="11"/>
  <c r="AF250" i="11"/>
  <c r="AF249" i="11"/>
  <c r="AF248" i="11"/>
  <c r="AF247" i="11"/>
  <c r="AF245" i="11"/>
  <c r="AF244" i="11"/>
  <c r="AF243" i="11"/>
  <c r="AF242" i="11"/>
  <c r="AF241" i="11"/>
  <c r="AF240" i="11"/>
  <c r="AF239" i="11"/>
  <c r="AF238" i="11"/>
  <c r="AF237" i="11"/>
  <c r="AF236" i="11"/>
  <c r="AF206" i="11"/>
  <c r="AF205" i="11"/>
  <c r="AF204" i="11"/>
  <c r="AF203" i="11"/>
  <c r="AF202" i="11"/>
  <c r="AF201" i="11"/>
  <c r="AF200" i="11"/>
  <c r="AF199" i="11"/>
  <c r="AF196" i="11"/>
  <c r="AF194" i="11"/>
  <c r="AF193" i="11"/>
  <c r="AF192" i="11"/>
  <c r="AF191" i="11"/>
  <c r="AF190" i="11"/>
  <c r="AF189" i="11"/>
  <c r="AF188" i="11"/>
  <c r="AF187" i="11"/>
  <c r="AF186" i="11"/>
  <c r="AF185" i="11"/>
  <c r="AF184" i="11"/>
  <c r="AF182" i="11"/>
  <c r="AF181" i="11"/>
  <c r="AF180" i="11"/>
  <c r="AF179" i="11"/>
  <c r="AF178" i="11"/>
  <c r="AF176" i="11"/>
  <c r="AF175" i="11"/>
  <c r="AF174" i="11"/>
  <c r="AF173" i="11"/>
  <c r="AF172" i="11"/>
  <c r="AF171" i="11"/>
  <c r="AF170" i="11"/>
  <c r="AF167" i="11"/>
  <c r="AF166" i="11"/>
  <c r="AF165" i="11"/>
  <c r="AF164" i="11"/>
  <c r="AF163" i="11"/>
  <c r="AF162" i="11"/>
  <c r="AF161" i="11"/>
  <c r="AF158" i="11"/>
  <c r="AF157" i="11"/>
  <c r="AF154" i="11"/>
  <c r="AF153" i="11"/>
  <c r="AF136" i="11"/>
  <c r="AF131" i="11"/>
  <c r="AF129" i="11"/>
  <c r="AF128" i="11"/>
  <c r="AF122" i="11"/>
  <c r="AF112" i="11"/>
  <c r="AF110" i="11"/>
  <c r="AF103" i="11"/>
  <c r="AF100" i="11"/>
  <c r="AF97" i="11"/>
  <c r="AF92" i="11"/>
  <c r="AF84" i="11"/>
  <c r="AF73" i="11"/>
  <c r="AF64" i="11"/>
  <c r="AF59" i="11"/>
  <c r="AF55" i="11"/>
  <c r="AF47" i="11"/>
  <c r="AF46" i="11"/>
  <c r="AF36" i="11"/>
  <c r="AF33" i="11"/>
  <c r="AF29" i="11"/>
  <c r="AF26" i="11"/>
  <c r="AF14" i="11"/>
  <c r="AF12" i="11"/>
  <c r="AF4" i="11"/>
  <c r="AF234" i="11"/>
  <c r="AF233" i="11"/>
  <c r="AF230" i="11"/>
  <c r="AF228" i="11"/>
  <c r="AF227" i="11"/>
  <c r="AF224" i="11"/>
  <c r="AF222" i="11"/>
  <c r="AF221" i="11"/>
  <c r="AF220" i="11"/>
  <c r="AF219" i="11"/>
  <c r="AF218" i="11"/>
  <c r="AF216" i="11"/>
  <c r="AF215" i="11"/>
  <c r="AF213" i="11"/>
  <c r="AF210" i="11"/>
  <c r="AF209" i="11"/>
  <c r="AF1399" i="11"/>
  <c r="AF938" i="11"/>
  <c r="AF1398" i="11"/>
  <c r="AF1388" i="11"/>
  <c r="AF1383" i="11"/>
  <c r="AF1401" i="11"/>
  <c r="AF1397" i="11"/>
  <c r="AF1395" i="11"/>
  <c r="AF1387" i="11"/>
  <c r="AF1376" i="11"/>
  <c r="AF1373" i="11"/>
  <c r="AF1372" i="11"/>
  <c r="AF1369" i="11"/>
  <c r="AF1368" i="11"/>
  <c r="AF1361" i="11"/>
  <c r="AF1360" i="11"/>
  <c r="AF1359" i="11"/>
  <c r="AF1358" i="11"/>
  <c r="AF1355" i="11"/>
  <c r="AF1354" i="11"/>
  <c r="AF1351" i="11"/>
  <c r="AF1349" i="11"/>
  <c r="AF1348" i="11"/>
  <c r="AF1347" i="11"/>
  <c r="AF1316" i="11"/>
  <c r="AF1314" i="11"/>
  <c r="AF1307" i="11"/>
  <c r="AF1306" i="11"/>
  <c r="AF1305" i="11"/>
  <c r="AF1303" i="11"/>
  <c r="AF1302" i="11"/>
  <c r="AF1298" i="11"/>
  <c r="AF1280" i="11"/>
  <c r="AF1276" i="11"/>
  <c r="AF1275" i="11"/>
  <c r="AF1269" i="11"/>
  <c r="AF1265" i="11"/>
  <c r="AF1264" i="11"/>
  <c r="AF1262" i="11"/>
  <c r="AF1256" i="11"/>
  <c r="AF1255" i="11"/>
  <c r="AF1252" i="11"/>
  <c r="AF1249" i="11"/>
  <c r="AF1246" i="11"/>
  <c r="AF1234" i="11"/>
  <c r="AF1222" i="11"/>
  <c r="AF1220" i="11"/>
  <c r="AF1213" i="11"/>
  <c r="AF1210" i="11"/>
  <c r="AF1208" i="11"/>
  <c r="AF1206" i="11"/>
  <c r="AF1202" i="11"/>
  <c r="AF1194" i="11"/>
  <c r="AF1193" i="11"/>
  <c r="AF1191" i="11"/>
  <c r="AF1189" i="11"/>
  <c r="AF1187" i="11"/>
  <c r="AF1186" i="11"/>
  <c r="AF1185" i="11"/>
  <c r="AF1184" i="11"/>
  <c r="AF1183" i="11"/>
  <c r="AF1175" i="11"/>
  <c r="AF1173" i="11"/>
  <c r="AF1171" i="11"/>
  <c r="AF1170" i="11"/>
  <c r="AF1117" i="11"/>
  <c r="AF1109" i="11"/>
  <c r="AF1105" i="11"/>
  <c r="AF1102" i="11"/>
  <c r="AF1096" i="11"/>
  <c r="AF1095" i="11"/>
  <c r="AF1085" i="11"/>
  <c r="AF1083" i="11"/>
  <c r="AF1075" i="11"/>
  <c r="AF1074" i="11"/>
  <c r="AF1072" i="11"/>
  <c r="AF1067" i="11"/>
  <c r="AF1066" i="11"/>
  <c r="AF1062" i="11"/>
  <c r="AF1053" i="11"/>
  <c r="AF1052" i="11"/>
  <c r="AF1047" i="11"/>
  <c r="AF1044" i="11"/>
  <c r="AF1042" i="11"/>
  <c r="AF1041" i="11"/>
  <c r="AF1038" i="11"/>
  <c r="AF1035" i="11"/>
  <c r="AF1034" i="11"/>
  <c r="AF1032" i="11"/>
  <c r="AF1020" i="11"/>
  <c r="AF1016" i="11"/>
  <c r="AF1004" i="11"/>
  <c r="AF995" i="11"/>
  <c r="AF987" i="11"/>
  <c r="AF984" i="11"/>
  <c r="AF977" i="11"/>
  <c r="AF973" i="11"/>
  <c r="AF972" i="11"/>
  <c r="AF961" i="11"/>
  <c r="AF954" i="11"/>
  <c r="AF949" i="11"/>
  <c r="AF943" i="11"/>
  <c r="AF941" i="11"/>
  <c r="AF573" i="11"/>
  <c r="AF570" i="11"/>
  <c r="AF564" i="11"/>
  <c r="AF551" i="11"/>
  <c r="AF546" i="11"/>
  <c r="AF533" i="11"/>
  <c r="AF504" i="11"/>
  <c r="AF487" i="11"/>
  <c r="AF482" i="11"/>
  <c r="AF138" i="11"/>
  <c r="AF127" i="11"/>
  <c r="AF117" i="11"/>
  <c r="AF115" i="11"/>
  <c r="AF109" i="11"/>
  <c r="AF107" i="11"/>
  <c r="AF89" i="11"/>
  <c r="AF77" i="11"/>
  <c r="AF58" i="11"/>
  <c r="AF52" i="11"/>
  <c r="AF1392" i="11"/>
  <c r="AF1390" i="11"/>
  <c r="AF1389" i="11"/>
  <c r="AF1385" i="11"/>
  <c r="AF1384" i="11"/>
  <c r="AF1380" i="11"/>
  <c r="AF1378" i="11"/>
  <c r="AF1377" i="11"/>
  <c r="AF1374" i="11"/>
  <c r="AF1367" i="11"/>
  <c r="AF1366" i="11"/>
  <c r="AF1365" i="11"/>
  <c r="AF1364" i="11"/>
  <c r="AF1363" i="11"/>
  <c r="AF1356" i="11"/>
  <c r="AF1353" i="11"/>
  <c r="AF1350" i="11"/>
  <c r="AF1336" i="11"/>
  <c r="AF1319" i="11"/>
  <c r="AF1318" i="11"/>
  <c r="AF1317" i="11"/>
  <c r="AF1315" i="11"/>
  <c r="AF1400" i="11"/>
  <c r="AF1310" i="11"/>
  <c r="AF1309" i="11"/>
  <c r="AF1308" i="11"/>
  <c r="AF1260" i="11"/>
  <c r="AF1257" i="11"/>
  <c r="AF1254" i="11"/>
  <c r="AF1253" i="11"/>
  <c r="AF1251" i="11"/>
  <c r="AF1247" i="11"/>
  <c r="AF1245" i="11"/>
  <c r="AF1241" i="11"/>
  <c r="AF1239" i="11"/>
  <c r="AF1238" i="11"/>
  <c r="AF1235" i="11"/>
  <c r="AF1233" i="11"/>
  <c r="AF1228" i="11"/>
  <c r="AF1221" i="11"/>
  <c r="AF1218" i="11"/>
  <c r="AF1211" i="11"/>
  <c r="AF1209" i="11"/>
  <c r="AF1207" i="11"/>
  <c r="AF1198" i="11"/>
  <c r="AF1192" i="11"/>
  <c r="AF1190" i="11"/>
  <c r="AF1188" i="11"/>
  <c r="AF1182" i="11"/>
  <c r="AF1174" i="11"/>
  <c r="AF1119" i="11"/>
  <c r="AF1116" i="11"/>
  <c r="AF1113" i="11"/>
  <c r="AF1110" i="11"/>
  <c r="AF1108" i="11"/>
  <c r="AF1104" i="11"/>
  <c r="AF1088" i="11"/>
  <c r="AF1079" i="11"/>
  <c r="AF1071" i="11"/>
  <c r="AF1069" i="11"/>
  <c r="AF1064" i="11"/>
  <c r="AF1061" i="11"/>
  <c r="AF1060" i="11"/>
  <c r="AF1056" i="11"/>
  <c r="AF1054" i="11"/>
  <c r="AF1050" i="11"/>
  <c r="AF1040" i="11"/>
  <c r="AF1039" i="11"/>
  <c r="AF1036" i="11"/>
  <c r="AF1019" i="11"/>
  <c r="AF1012" i="11"/>
  <c r="AF1010" i="11"/>
  <c r="AF1009" i="11"/>
  <c r="AF1008" i="11"/>
  <c r="AF999" i="11"/>
  <c r="AF985" i="11"/>
  <c r="AF980" i="11"/>
  <c r="AF969" i="11"/>
  <c r="AF968" i="11"/>
  <c r="AF964" i="11"/>
  <c r="AF960" i="11"/>
  <c r="AF951" i="11"/>
  <c r="AF947" i="11"/>
  <c r="AF942" i="11"/>
  <c r="AF940" i="11"/>
  <c r="AF936" i="11"/>
  <c r="AF558" i="11"/>
  <c r="AF547" i="11"/>
  <c r="AF540" i="11"/>
  <c r="AF534" i="11"/>
  <c r="AF521" i="11"/>
  <c r="AF508" i="11"/>
  <c r="AF486" i="11"/>
  <c r="AF152" i="11"/>
  <c r="AF146" i="11"/>
  <c r="AF120" i="11"/>
  <c r="AF118" i="11"/>
  <c r="AF114" i="11"/>
  <c r="AF82" i="11"/>
  <c r="AF76" i="11"/>
  <c r="AF70" i="11"/>
  <c r="AF60" i="11"/>
  <c r="AF38" i="11"/>
  <c r="AF30" i="11"/>
  <c r="AF28" i="11"/>
  <c r="AF1344" i="11"/>
  <c r="AF1342" i="11"/>
  <c r="AF1341" i="11"/>
  <c r="AF1340" i="11"/>
  <c r="AF1339" i="11"/>
  <c r="AF1338" i="11"/>
  <c r="AF1337" i="11"/>
  <c r="AF1332" i="11"/>
  <c r="AF1330" i="11"/>
  <c r="AF1329" i="11"/>
  <c r="AF1328" i="11"/>
  <c r="AF1325" i="11"/>
  <c r="AF1324" i="11"/>
  <c r="AF1323" i="11"/>
  <c r="AF1321" i="11"/>
  <c r="AF1320" i="11"/>
</calcChain>
</file>

<file path=xl/sharedStrings.xml><?xml version="1.0" encoding="utf-8"?>
<sst xmlns="http://schemas.openxmlformats.org/spreadsheetml/2006/main" count="48027" uniqueCount="2878">
  <si>
    <t>Dataset purpose</t>
  </si>
  <si>
    <t>Synthetic health operations dataset for a moderate-to-hard Week 10 final exam using Excel, Access, and Power BI.</t>
  </si>
  <si>
    <t>Real-life story</t>
  </si>
  <si>
    <t>A hospital network wants to reduce no-shows, long stays, cost overruns, missed follow-ups, and 30-day readmissions.</t>
  </si>
  <si>
    <t>Important note</t>
  </si>
  <si>
    <t>All patient and doctor names are fictional. This dataset does not contain real patient information.</t>
  </si>
  <si>
    <t>Suggested student role</t>
  </si>
  <si>
    <t>Healthcare Data Analyst for hospital management.</t>
  </si>
  <si>
    <t>Main analytical question</t>
  </si>
  <si>
    <t>Which departments, doctors, diagnoses, insurance groups, and patient risk groups are linked with higher cost, longer stays, missed follow-ups, and readmission?</t>
  </si>
  <si>
    <t>Data quality challenges intentionally included</t>
  </si>
  <si>
    <t>Some inconsistent appointment status labels, inconsistent gender case, area trailing spaces, and limited missing values in doctor, treatment cost, satisfaction, and follow-up fields.</t>
  </si>
  <si>
    <t>Sheet</t>
  </si>
  <si>
    <t>Rows</t>
  </si>
  <si>
    <t>Description</t>
  </si>
  <si>
    <t>Patient_Visits</t>
  </si>
  <si>
    <t>Main transaction table of appointments, admissions, costs, follow-up, satisfaction, and readmission.</t>
  </si>
  <si>
    <t>Patients</t>
  </si>
  <si>
    <t>Patient demographics, area, chronic condition, smoking status, and risk group.</t>
  </si>
  <si>
    <t>Doctors</t>
  </si>
  <si>
    <t>Doctor lookup table with department, specialization, fee, experience, and capacity.</t>
  </si>
  <si>
    <t>Departments</t>
  </si>
  <si>
    <t>Hospital department lookup table with budgets and performance targets.</t>
  </si>
  <si>
    <t>Diagnosis_Guide</t>
  </si>
  <si>
    <t>Reference table for diagnosis, disease category, severity, standard cost, expected stay, and department.</t>
  </si>
  <si>
    <t>Insurance_Plans</t>
  </si>
  <si>
    <t>Insurance lookup table with coverage, claim processing days, and co-pay.</t>
  </si>
  <si>
    <t>Visit ID</t>
  </si>
  <si>
    <t>Patient ID</t>
  </si>
  <si>
    <t>Appointment Date</t>
  </si>
  <si>
    <t>Appointment Time</t>
  </si>
  <si>
    <t>Appointment Status</t>
  </si>
  <si>
    <t>Admission Date</t>
  </si>
  <si>
    <t>Discharge Date</t>
  </si>
  <si>
    <t>Department ID</t>
  </si>
  <si>
    <t>Doctor ID</t>
  </si>
  <si>
    <t>Diagnosis Code</t>
  </si>
  <si>
    <t>Visit Type</t>
  </si>
  <si>
    <t>Admission Source</t>
  </si>
  <si>
    <t>Treatment Cost</t>
  </si>
  <si>
    <t>Lab Cost</t>
  </si>
  <si>
    <t>Medicine Cost</t>
  </si>
  <si>
    <t>Room Cost</t>
  </si>
  <si>
    <t>Total Bill</t>
  </si>
  <si>
    <t>Insurance Plan ID</t>
  </si>
  <si>
    <t>Claim Status</t>
  </si>
  <si>
    <t>Patient Payable</t>
  </si>
  <si>
    <t>Patient Satisfaction</t>
  </si>
  <si>
    <t>Follow Up Required</t>
  </si>
  <si>
    <t>Follow Up Date</t>
  </si>
  <si>
    <t>Follow Up Completed</t>
  </si>
  <si>
    <t>Readmitted Within 30 Days</t>
  </si>
  <si>
    <t>Discharge Outcome</t>
  </si>
  <si>
    <t>V10001</t>
  </si>
  <si>
    <t>P2181</t>
  </si>
  <si>
    <t>12:45</t>
  </si>
  <si>
    <t>Cancelled</t>
  </si>
  <si>
    <t>D09</t>
  </si>
  <si>
    <t>DR152</t>
  </si>
  <si>
    <t>DG22</t>
  </si>
  <si>
    <t>Outpatient</t>
  </si>
  <si>
    <t>Doctor Referral</t>
  </si>
  <si>
    <t>IP06</t>
  </si>
  <si>
    <t>Not Applicable</t>
  </si>
  <si>
    <t>No</t>
  </si>
  <si>
    <t>Not Required</t>
  </si>
  <si>
    <t>Not Treated</t>
  </si>
  <si>
    <t>V10002</t>
  </si>
  <si>
    <t>P2449</t>
  </si>
  <si>
    <t>11:00</t>
  </si>
  <si>
    <t>Attended</t>
  </si>
  <si>
    <t>DR150</t>
  </si>
  <si>
    <t>DG24</t>
  </si>
  <si>
    <t>Inpatient</t>
  </si>
  <si>
    <t>Emergency Walk-in</t>
  </si>
  <si>
    <t>IP01</t>
  </si>
  <si>
    <t>Approved</t>
  </si>
  <si>
    <t>Yes</t>
  </si>
  <si>
    <t>Improved</t>
  </si>
  <si>
    <t>V10003</t>
  </si>
  <si>
    <t>P2550</t>
  </si>
  <si>
    <t>09:00</t>
  </si>
  <si>
    <t>D04</t>
  </si>
  <si>
    <t>DR123</t>
  </si>
  <si>
    <t>DG08</t>
  </si>
  <si>
    <t>IP04</t>
  </si>
  <si>
    <t>Pending</t>
  </si>
  <si>
    <t>V10004</t>
  </si>
  <si>
    <t>P2226</t>
  </si>
  <si>
    <t>13:45</t>
  </si>
  <si>
    <t>D02</t>
  </si>
  <si>
    <t>DR108</t>
  </si>
  <si>
    <t>DG02</t>
  </si>
  <si>
    <t>Surgery</t>
  </si>
  <si>
    <t>Scheduled Appointment</t>
  </si>
  <si>
    <t>IP05</t>
  </si>
  <si>
    <t>Recovered</t>
  </si>
  <si>
    <t>V10005</t>
  </si>
  <si>
    <t>P2017</t>
  </si>
  <si>
    <t>08:15</t>
  </si>
  <si>
    <t>DR149</t>
  </si>
  <si>
    <t>V10006</t>
  </si>
  <si>
    <t>P2488</t>
  </si>
  <si>
    <t>D08</t>
  </si>
  <si>
    <t>DR144</t>
  </si>
  <si>
    <t>DG21</t>
  </si>
  <si>
    <t>IP02</t>
  </si>
  <si>
    <t>Stable</t>
  </si>
  <si>
    <t>V10007</t>
  </si>
  <si>
    <t>P2214</t>
  </si>
  <si>
    <t>10:45</t>
  </si>
  <si>
    <t>D05</t>
  </si>
  <si>
    <t>DR126</t>
  </si>
  <si>
    <t>DG11</t>
  </si>
  <si>
    <t>V10008</t>
  </si>
  <si>
    <t>P2334</t>
  </si>
  <si>
    <t>DR130</t>
  </si>
  <si>
    <t>DG10</t>
  </si>
  <si>
    <t>V10009</t>
  </si>
  <si>
    <t>P2344</t>
  </si>
  <si>
    <t>08:30</t>
  </si>
  <si>
    <t>D03</t>
  </si>
  <si>
    <t>DR118</t>
  </si>
  <si>
    <t>DG06</t>
  </si>
  <si>
    <t>Emergency</t>
  </si>
  <si>
    <t>V10010</t>
  </si>
  <si>
    <t>P2253</t>
  </si>
  <si>
    <t>11:15</t>
  </si>
  <si>
    <t>DR110</t>
  </si>
  <si>
    <t>DG03</t>
  </si>
  <si>
    <t>V10011</t>
  </si>
  <si>
    <t>P2517</t>
  </si>
  <si>
    <t>15:00</t>
  </si>
  <si>
    <t>DR111</t>
  </si>
  <si>
    <t>IP07</t>
  </si>
  <si>
    <t>V10012</t>
  </si>
  <si>
    <t>P2380</t>
  </si>
  <si>
    <t>09:45</t>
  </si>
  <si>
    <t>D07</t>
  </si>
  <si>
    <t>DR142</t>
  </si>
  <si>
    <t>DG16</t>
  </si>
  <si>
    <t>IP03</t>
  </si>
  <si>
    <t>V10013</t>
  </si>
  <si>
    <t>P2556</t>
  </si>
  <si>
    <t>17:30</t>
  </si>
  <si>
    <t>DG19</t>
  </si>
  <si>
    <t>Transfer from Clinic</t>
  </si>
  <si>
    <t>V10014</t>
  </si>
  <si>
    <t>P2215</t>
  </si>
  <si>
    <t>13:30</t>
  </si>
  <si>
    <t>D10</t>
  </si>
  <si>
    <t>DR156</t>
  </si>
  <si>
    <t>DG25</t>
  </si>
  <si>
    <t>V10015</t>
  </si>
  <si>
    <t>P2068</t>
  </si>
  <si>
    <t>DR122</t>
  </si>
  <si>
    <t>DG09</t>
  </si>
  <si>
    <t>V10016</t>
  </si>
  <si>
    <t>P2115</t>
  </si>
  <si>
    <t>V10017</t>
  </si>
  <si>
    <t>P2581</t>
  </si>
  <si>
    <t>12:15</t>
  </si>
  <si>
    <t>DR109</t>
  </si>
  <si>
    <t>Rejected</t>
  </si>
  <si>
    <t>V10018</t>
  </si>
  <si>
    <t>P2379</t>
  </si>
  <si>
    <t>V10019</t>
  </si>
  <si>
    <t>P2151</t>
  </si>
  <si>
    <t>13:00</t>
  </si>
  <si>
    <t>DR154</t>
  </si>
  <si>
    <t>DG23</t>
  </si>
  <si>
    <t>V10020</t>
  </si>
  <si>
    <t>P2525</t>
  </si>
  <si>
    <t>17:00</t>
  </si>
  <si>
    <t>DR116</t>
  </si>
  <si>
    <t>V10021</t>
  </si>
  <si>
    <t>P2396</t>
  </si>
  <si>
    <t>Rescheduled</t>
  </si>
  <si>
    <t>D06</t>
  </si>
  <si>
    <t>DR133</t>
  </si>
  <si>
    <t>DG13</t>
  </si>
  <si>
    <t>V10022</t>
  </si>
  <si>
    <t>P2426</t>
  </si>
  <si>
    <t>14:45</t>
  </si>
  <si>
    <t>DR151</t>
  </si>
  <si>
    <t>V10023</t>
  </si>
  <si>
    <t>P2044</t>
  </si>
  <si>
    <t>DR157</t>
  </si>
  <si>
    <t>DG27</t>
  </si>
  <si>
    <t>V10024</t>
  </si>
  <si>
    <t>P2265</t>
  </si>
  <si>
    <t>No-show</t>
  </si>
  <si>
    <t>V10025</t>
  </si>
  <si>
    <t>P2139</t>
  </si>
  <si>
    <t>DR119</t>
  </si>
  <si>
    <t>V10026</t>
  </si>
  <si>
    <t>P2148</t>
  </si>
  <si>
    <t>DG01</t>
  </si>
  <si>
    <t>V10027</t>
  </si>
  <si>
    <t>P2135</t>
  </si>
  <si>
    <t>12:30</t>
  </si>
  <si>
    <t>D01</t>
  </si>
  <si>
    <t>DR104</t>
  </si>
  <si>
    <t>DG28</t>
  </si>
  <si>
    <t>V10028</t>
  </si>
  <si>
    <t>P2526</t>
  </si>
  <si>
    <t>12:00</t>
  </si>
  <si>
    <t>DR146</t>
  </si>
  <si>
    <t>V10029</t>
  </si>
  <si>
    <t>P2593</t>
  </si>
  <si>
    <t>11:30</t>
  </si>
  <si>
    <t>DR153</t>
  </si>
  <si>
    <t>V10030</t>
  </si>
  <si>
    <t>P2571</t>
  </si>
  <si>
    <t>DR143</t>
  </si>
  <si>
    <t>V10031</t>
  </si>
  <si>
    <t>P2405</t>
  </si>
  <si>
    <t>10:00</t>
  </si>
  <si>
    <t>DR135</t>
  </si>
  <si>
    <t>Against Medical Advice</t>
  </si>
  <si>
    <t>V10032</t>
  </si>
  <si>
    <t>P2126</t>
  </si>
  <si>
    <t>DR128</t>
  </si>
  <si>
    <t>V10033</t>
  </si>
  <si>
    <t>P2352</t>
  </si>
  <si>
    <t>08:00</t>
  </si>
  <si>
    <t>V10034</t>
  </si>
  <si>
    <t>P2323</t>
  </si>
  <si>
    <t>DR158</t>
  </si>
  <si>
    <t>DG26</t>
  </si>
  <si>
    <t>V10035</t>
  </si>
  <si>
    <t>P2362</t>
  </si>
  <si>
    <t>V10036</t>
  </si>
  <si>
    <t>P2433</t>
  </si>
  <si>
    <t>08:45</t>
  </si>
  <si>
    <t>DR140</t>
  </si>
  <si>
    <t>DG18</t>
  </si>
  <si>
    <t>V10037</t>
  </si>
  <si>
    <t>P2095</t>
  </si>
  <si>
    <t>DR159</t>
  </si>
  <si>
    <t>V10038</t>
  </si>
  <si>
    <t>P2020</t>
  </si>
  <si>
    <t>17:45</t>
  </si>
  <si>
    <t>DR147</t>
  </si>
  <si>
    <t>DG20</t>
  </si>
  <si>
    <t>V10039</t>
  </si>
  <si>
    <t>P2274</t>
  </si>
  <si>
    <t>DR160</t>
  </si>
  <si>
    <t>V10040</t>
  </si>
  <si>
    <t>P2086</t>
  </si>
  <si>
    <t>14:30</t>
  </si>
  <si>
    <t>DR115</t>
  </si>
  <si>
    <t>DG04</t>
  </si>
  <si>
    <t>V10041</t>
  </si>
  <si>
    <t>P2110</t>
  </si>
  <si>
    <t>Missed</t>
  </si>
  <si>
    <t>DG05</t>
  </si>
  <si>
    <t>V10042</t>
  </si>
  <si>
    <t>P2434</t>
  </si>
  <si>
    <t>10:30</t>
  </si>
  <si>
    <t>DR138</t>
  </si>
  <si>
    <t>DG17</t>
  </si>
  <si>
    <t>V10043</t>
  </si>
  <si>
    <t>P2262</t>
  </si>
  <si>
    <t>V10044</t>
  </si>
  <si>
    <t>P2035</t>
  </si>
  <si>
    <t>15:45</t>
  </si>
  <si>
    <t>DR125</t>
  </si>
  <si>
    <t>V10045</t>
  </si>
  <si>
    <t>P2165</t>
  </si>
  <si>
    <t>V10046</t>
  </si>
  <si>
    <t>P2137</t>
  </si>
  <si>
    <t>DR124</t>
  </si>
  <si>
    <t>V10047</t>
  </si>
  <si>
    <t>P2121</t>
  </si>
  <si>
    <t>V10048</t>
  </si>
  <si>
    <t>P2470</t>
  </si>
  <si>
    <t>V10049</t>
  </si>
  <si>
    <t>P2136</t>
  </si>
  <si>
    <t>17:15</t>
  </si>
  <si>
    <t>DR105</t>
  </si>
  <si>
    <t>DG30</t>
  </si>
  <si>
    <t>V10050</t>
  </si>
  <si>
    <t>P2324</t>
  </si>
  <si>
    <t>16:45</t>
  </si>
  <si>
    <t>V10051</t>
  </si>
  <si>
    <t>P2185</t>
  </si>
  <si>
    <t>V10052</t>
  </si>
  <si>
    <t>P2276</t>
  </si>
  <si>
    <t>V10053</t>
  </si>
  <si>
    <t>P2158</t>
  </si>
  <si>
    <t>DG07</t>
  </si>
  <si>
    <t>V10054</t>
  </si>
  <si>
    <t>P2159</t>
  </si>
  <si>
    <t>09:30</t>
  </si>
  <si>
    <t>DG29</t>
  </si>
  <si>
    <t>V10055</t>
  </si>
  <si>
    <t>P2516</t>
  </si>
  <si>
    <t>10:15</t>
  </si>
  <si>
    <t>DR112</t>
  </si>
  <si>
    <t>V10056</t>
  </si>
  <si>
    <t>P2466</t>
  </si>
  <si>
    <t>13:15</t>
  </si>
  <si>
    <t>V10057</t>
  </si>
  <si>
    <t>DR155</t>
  </si>
  <si>
    <t>V10058</t>
  </si>
  <si>
    <t>P2456</t>
  </si>
  <si>
    <t>15:15</t>
  </si>
  <si>
    <t>V10059</t>
  </si>
  <si>
    <t>P2275</t>
  </si>
  <si>
    <t>V10060</t>
  </si>
  <si>
    <t>P2369</t>
  </si>
  <si>
    <t>V10061</t>
  </si>
  <si>
    <t>P2349</t>
  </si>
  <si>
    <t>No Show</t>
  </si>
  <si>
    <t>V10062</t>
  </si>
  <si>
    <t>V10063</t>
  </si>
  <si>
    <t>P2371</t>
  </si>
  <si>
    <t>V10064</t>
  </si>
  <si>
    <t>P2543</t>
  </si>
  <si>
    <t>V10065</t>
  </si>
  <si>
    <t>V10066</t>
  </si>
  <si>
    <t>P2541</t>
  </si>
  <si>
    <t>V10067</t>
  </si>
  <si>
    <t>P2415</t>
  </si>
  <si>
    <t>V10068</t>
  </si>
  <si>
    <t>P2062</t>
  </si>
  <si>
    <t>DR103</t>
  </si>
  <si>
    <t>V10069</t>
  </si>
  <si>
    <t>P2597</t>
  </si>
  <si>
    <t>09:15</t>
  </si>
  <si>
    <t>DR121</t>
  </si>
  <si>
    <t>V10070</t>
  </si>
  <si>
    <t>P2167</t>
  </si>
  <si>
    <t>DR114</t>
  </si>
  <si>
    <t>V10071</t>
  </si>
  <si>
    <t>P2218</t>
  </si>
  <si>
    <t>16:30</t>
  </si>
  <si>
    <t>Canceled</t>
  </si>
  <si>
    <t>DR131</t>
  </si>
  <si>
    <t>DG15</t>
  </si>
  <si>
    <t>V10072</t>
  </si>
  <si>
    <t>P2042</t>
  </si>
  <si>
    <t>DR137</t>
  </si>
  <si>
    <t>V10073</t>
  </si>
  <si>
    <t>P2346</t>
  </si>
  <si>
    <t>V10074</t>
  </si>
  <si>
    <t>P2317</t>
  </si>
  <si>
    <t>V10075</t>
  </si>
  <si>
    <t>P2535</t>
  </si>
  <si>
    <t>V10076</t>
  </si>
  <si>
    <t>P2102</t>
  </si>
  <si>
    <t>DR139</t>
  </si>
  <si>
    <t>V10077</t>
  </si>
  <si>
    <t>P2118</t>
  </si>
  <si>
    <t>DR127</t>
  </si>
  <si>
    <t>V10078</t>
  </si>
  <si>
    <t>P2569</t>
  </si>
  <si>
    <t>DG14</t>
  </si>
  <si>
    <t>V10079</t>
  </si>
  <si>
    <t>P2570</t>
  </si>
  <si>
    <t>V10080</t>
  </si>
  <si>
    <t>P2252</t>
  </si>
  <si>
    <t>11:45</t>
  </si>
  <si>
    <t>DR145</t>
  </si>
  <si>
    <t>V10081</t>
  </si>
  <si>
    <t>P2003</t>
  </si>
  <si>
    <t>V10082</t>
  </si>
  <si>
    <t>P2198</t>
  </si>
  <si>
    <t>DR120</t>
  </si>
  <si>
    <t>V10083</t>
  </si>
  <si>
    <t>P2580</t>
  </si>
  <si>
    <t>V10084</t>
  </si>
  <si>
    <t>P2531</t>
  </si>
  <si>
    <t>V10085</t>
  </si>
  <si>
    <t>P2100</t>
  </si>
  <si>
    <t>V10086</t>
  </si>
  <si>
    <t>P2342</t>
  </si>
  <si>
    <t>V10087</t>
  </si>
  <si>
    <t>P2239</t>
  </si>
  <si>
    <t>V10088</t>
  </si>
  <si>
    <t>V10089</t>
  </si>
  <si>
    <t>P2071</t>
  </si>
  <si>
    <t>15:30</t>
  </si>
  <si>
    <t>DG12</t>
  </si>
  <si>
    <t>V10090</t>
  </si>
  <si>
    <t>DR113</t>
  </si>
  <si>
    <t>V10091</t>
  </si>
  <si>
    <t>DR107</t>
  </si>
  <si>
    <t>V10092</t>
  </si>
  <si>
    <t>P2445</t>
  </si>
  <si>
    <t>V10093</t>
  </si>
  <si>
    <t>P2251</t>
  </si>
  <si>
    <t>V10094</t>
  </si>
  <si>
    <t>P2521</t>
  </si>
  <si>
    <t>V10095</t>
  </si>
  <si>
    <t>P2522</t>
  </si>
  <si>
    <t>DR129</t>
  </si>
  <si>
    <t>V10096</t>
  </si>
  <si>
    <t>P2564</t>
  </si>
  <si>
    <t>V10097</t>
  </si>
  <si>
    <t>P2202</t>
  </si>
  <si>
    <t>V10098</t>
  </si>
  <si>
    <t>P2566</t>
  </si>
  <si>
    <t>V10099</t>
  </si>
  <si>
    <t>P2307</t>
  </si>
  <si>
    <t>V10100</t>
  </si>
  <si>
    <t>P2192</t>
  </si>
  <si>
    <t>V10101</t>
  </si>
  <si>
    <t>P2318</t>
  </si>
  <si>
    <t>V10102</t>
  </si>
  <si>
    <t>P2443</t>
  </si>
  <si>
    <t>DR148</t>
  </si>
  <si>
    <t>V10103</t>
  </si>
  <si>
    <t>P2473</t>
  </si>
  <si>
    <t>DR136</t>
  </si>
  <si>
    <t>V10104</t>
  </si>
  <si>
    <t>V10105</t>
  </si>
  <si>
    <t>P2172</t>
  </si>
  <si>
    <t>16:00</t>
  </si>
  <si>
    <t>V10106</t>
  </si>
  <si>
    <t>DR101</t>
  </si>
  <si>
    <t>V10107</t>
  </si>
  <si>
    <t>P2098</t>
  </si>
  <si>
    <t>V10108</t>
  </si>
  <si>
    <t>P2511</t>
  </si>
  <si>
    <t>V10109</t>
  </si>
  <si>
    <t>P2255</t>
  </si>
  <si>
    <t>V10110</t>
  </si>
  <si>
    <t>P2435</t>
  </si>
  <si>
    <t>V10111</t>
  </si>
  <si>
    <t>P2082</t>
  </si>
  <si>
    <t>14:15</t>
  </si>
  <si>
    <t>V10112</t>
  </si>
  <si>
    <t>P2385</t>
  </si>
  <si>
    <t>V10113</t>
  </si>
  <si>
    <t>Transferred</t>
  </si>
  <si>
    <t>V10114</t>
  </si>
  <si>
    <t>P2166</t>
  </si>
  <si>
    <t>14:00</t>
  </si>
  <si>
    <t>V10115</t>
  </si>
  <si>
    <t>P2408</t>
  </si>
  <si>
    <t>V10116</t>
  </si>
  <si>
    <t>P2419</t>
  </si>
  <si>
    <t>DR141</t>
  </si>
  <si>
    <t>V10117</t>
  </si>
  <si>
    <t>P2498</t>
  </si>
  <si>
    <t>V10118</t>
  </si>
  <si>
    <t>P2287</t>
  </si>
  <si>
    <t>DR102</t>
  </si>
  <si>
    <t>V10119</t>
  </si>
  <si>
    <t>P2103</t>
  </si>
  <si>
    <t>V10120</t>
  </si>
  <si>
    <t>P2264</t>
  </si>
  <si>
    <t>V10121</t>
  </si>
  <si>
    <t>P2131</t>
  </si>
  <si>
    <t>V10122</t>
  </si>
  <si>
    <t>P2036</t>
  </si>
  <si>
    <t>V10123</t>
  </si>
  <si>
    <t>P2221</t>
  </si>
  <si>
    <t>V10124</t>
  </si>
  <si>
    <t>P2562</t>
  </si>
  <si>
    <t>DR132</t>
  </si>
  <si>
    <t>V10125</t>
  </si>
  <si>
    <t>P2495</t>
  </si>
  <si>
    <t>V10126</t>
  </si>
  <si>
    <t>P2247</t>
  </si>
  <si>
    <t>V10127</t>
  </si>
  <si>
    <t>P2586</t>
  </si>
  <si>
    <t>16:15</t>
  </si>
  <si>
    <t>V10128</t>
  </si>
  <si>
    <t>P2576</t>
  </si>
  <si>
    <t>V10129</t>
  </si>
  <si>
    <t>V10130</t>
  </si>
  <si>
    <t>P2382</t>
  </si>
  <si>
    <t>V10131</t>
  </si>
  <si>
    <t>P2127</t>
  </si>
  <si>
    <t>V10132</t>
  </si>
  <si>
    <t>V10133</t>
  </si>
  <si>
    <t>P2090</t>
  </si>
  <si>
    <t>V10134</t>
  </si>
  <si>
    <t>P2546</t>
  </si>
  <si>
    <t>V10135</t>
  </si>
  <si>
    <t>P2354</t>
  </si>
  <si>
    <t>V10136</t>
  </si>
  <si>
    <t>P2404</t>
  </si>
  <si>
    <t>V10137</t>
  </si>
  <si>
    <t>P2337</t>
  </si>
  <si>
    <t>V10138</t>
  </si>
  <si>
    <t>P2450</t>
  </si>
  <si>
    <t>V10139</t>
  </si>
  <si>
    <t>P2399</t>
  </si>
  <si>
    <t>V10140</t>
  </si>
  <si>
    <t>P2270</t>
  </si>
  <si>
    <t>V10141</t>
  </si>
  <si>
    <t>P2237</t>
  </si>
  <si>
    <t>V10142</t>
  </si>
  <si>
    <t>P2014</t>
  </si>
  <si>
    <t>V10143</t>
  </si>
  <si>
    <t>P2207</t>
  </si>
  <si>
    <t>V10144</t>
  </si>
  <si>
    <t>P2195</t>
  </si>
  <si>
    <t>V10145</t>
  </si>
  <si>
    <t>V10146</t>
  </si>
  <si>
    <t>P2011</t>
  </si>
  <si>
    <t>V10147</t>
  </si>
  <si>
    <t>P2598</t>
  </si>
  <si>
    <t>V10148</t>
  </si>
  <si>
    <t>V10149</t>
  </si>
  <si>
    <t>V10150</t>
  </si>
  <si>
    <t>P2010</t>
  </si>
  <si>
    <t>V10151</t>
  </si>
  <si>
    <t>P2230</t>
  </si>
  <si>
    <t>V10152</t>
  </si>
  <si>
    <t>P2154</t>
  </si>
  <si>
    <t>DR106</t>
  </si>
  <si>
    <t>V10153</t>
  </si>
  <si>
    <t>P2331</t>
  </si>
  <si>
    <t>V10154</t>
  </si>
  <si>
    <t>V10155</t>
  </si>
  <si>
    <t>P2370</t>
  </si>
  <si>
    <t>V10156</t>
  </si>
  <si>
    <t>V10157</t>
  </si>
  <si>
    <t>V10158</t>
  </si>
  <si>
    <t>P2217</t>
  </si>
  <si>
    <t>V10159</t>
  </si>
  <si>
    <t>P2321</t>
  </si>
  <si>
    <t>V10160</t>
  </si>
  <si>
    <t>P2372</t>
  </si>
  <si>
    <t>V10161</t>
  </si>
  <si>
    <t>P2366</t>
  </si>
  <si>
    <t>V10162</t>
  </si>
  <si>
    <t>P2238</t>
  </si>
  <si>
    <t>V10163</t>
  </si>
  <si>
    <t>V10164</t>
  </si>
  <si>
    <t>P2133</t>
  </si>
  <si>
    <t>V10165</t>
  </si>
  <si>
    <t>P2477</t>
  </si>
  <si>
    <t>V10166</t>
  </si>
  <si>
    <t>V10167</t>
  </si>
  <si>
    <t>P2549</t>
  </si>
  <si>
    <t>V10168</t>
  </si>
  <si>
    <t>V10169</t>
  </si>
  <si>
    <t>P2417</t>
  </si>
  <si>
    <t>V10170</t>
  </si>
  <si>
    <t>P2467</t>
  </si>
  <si>
    <t>V10171</t>
  </si>
  <si>
    <t>P2422</t>
  </si>
  <si>
    <t>V10172</t>
  </si>
  <si>
    <t>P2271</t>
  </si>
  <si>
    <t>V10173</t>
  </si>
  <si>
    <t>P2326</t>
  </si>
  <si>
    <t>V10174</t>
  </si>
  <si>
    <t>P2367</t>
  </si>
  <si>
    <t>V10175</t>
  </si>
  <si>
    <t>P2213</t>
  </si>
  <si>
    <t>V10176</t>
  </si>
  <si>
    <t>P2031</t>
  </si>
  <si>
    <t>V10177</t>
  </si>
  <si>
    <t>P2130</t>
  </si>
  <si>
    <t>V10178</t>
  </si>
  <si>
    <t>V10179</t>
  </si>
  <si>
    <t>P2381</t>
  </si>
  <si>
    <t>V10180</t>
  </si>
  <si>
    <t>V10181</t>
  </si>
  <si>
    <t>P2282</t>
  </si>
  <si>
    <t>V10182</t>
  </si>
  <si>
    <t>P2378</t>
  </si>
  <si>
    <t>V10183</t>
  </si>
  <si>
    <t>P2338</t>
  </si>
  <si>
    <t>V10184</t>
  </si>
  <si>
    <t>P2211</t>
  </si>
  <si>
    <t>V10185</t>
  </si>
  <si>
    <t>P2464</t>
  </si>
  <si>
    <t>V10186</t>
  </si>
  <si>
    <t>V10187</t>
  </si>
  <si>
    <t>P2402</t>
  </si>
  <si>
    <t>V10188</t>
  </si>
  <si>
    <t>P2175</t>
  </si>
  <si>
    <t>V10189</t>
  </si>
  <si>
    <t>V10190</t>
  </si>
  <si>
    <t>P2358</t>
  </si>
  <si>
    <t>V10191</t>
  </si>
  <si>
    <t>P2465</t>
  </si>
  <si>
    <t>V10192</t>
  </si>
  <si>
    <t>V10193</t>
  </si>
  <si>
    <t>V10194</t>
  </si>
  <si>
    <t>P2056</t>
  </si>
  <si>
    <t>V10195</t>
  </si>
  <si>
    <t>P2599</t>
  </si>
  <si>
    <t>V10196</t>
  </si>
  <si>
    <t>P2057</t>
  </si>
  <si>
    <t>V10197</t>
  </si>
  <si>
    <t>V10198</t>
  </si>
  <si>
    <t>P2492</t>
  </si>
  <si>
    <t>V10199</t>
  </si>
  <si>
    <t>P2284</t>
  </si>
  <si>
    <t>V10200</t>
  </si>
  <si>
    <t>P2590</t>
  </si>
  <si>
    <t>V10201</t>
  </si>
  <si>
    <t>P2257</t>
  </si>
  <si>
    <t>V10202</t>
  </si>
  <si>
    <t>P2209</t>
  </si>
  <si>
    <t>V10203</t>
  </si>
  <si>
    <t>P2554</t>
  </si>
  <si>
    <t>V10204</t>
  </si>
  <si>
    <t>P2061</t>
  </si>
  <si>
    <t>V10205</t>
  </si>
  <si>
    <t>V10206</t>
  </si>
  <si>
    <t>P2423</t>
  </si>
  <si>
    <t>V10207</t>
  </si>
  <si>
    <t>V10208</t>
  </si>
  <si>
    <t>V10209</t>
  </si>
  <si>
    <t>P2313</t>
  </si>
  <si>
    <t>V10210</t>
  </si>
  <si>
    <t>P2054</t>
  </si>
  <si>
    <t>V10211</t>
  </si>
  <si>
    <t>P2222</t>
  </si>
  <si>
    <t>V10212</t>
  </si>
  <si>
    <t>P2548</t>
  </si>
  <si>
    <t>V10213</t>
  </si>
  <si>
    <t>P2455</t>
  </si>
  <si>
    <t>DR134</t>
  </si>
  <si>
    <t>V10214</t>
  </si>
  <si>
    <t>P2594</t>
  </si>
  <si>
    <t>V10215</t>
  </si>
  <si>
    <t>V10216</t>
  </si>
  <si>
    <t>P2027</t>
  </si>
  <si>
    <t>V10217</t>
  </si>
  <si>
    <t>P2391</t>
  </si>
  <si>
    <t>V10218</t>
  </si>
  <si>
    <t>P2119</t>
  </si>
  <si>
    <t>V10219</t>
  </si>
  <si>
    <t>P2507</t>
  </si>
  <si>
    <t>V10220</t>
  </si>
  <si>
    <t>P2345</t>
  </si>
  <si>
    <t>V10221</t>
  </si>
  <si>
    <t>V10222</t>
  </si>
  <si>
    <t>P2170</t>
  </si>
  <si>
    <t>V10223</t>
  </si>
  <si>
    <t>P2109</t>
  </si>
  <si>
    <t>V10224</t>
  </si>
  <si>
    <t>P2506</t>
  </si>
  <si>
    <t>V10225</t>
  </si>
  <si>
    <t>P2520</t>
  </si>
  <si>
    <t>V10226</t>
  </si>
  <si>
    <t>V10227</t>
  </si>
  <si>
    <t>P2429</t>
  </si>
  <si>
    <t>V10228</t>
  </si>
  <si>
    <t>P2327</t>
  </si>
  <si>
    <t>V10229</t>
  </si>
  <si>
    <t>P2298</t>
  </si>
  <si>
    <t>V10230</t>
  </si>
  <si>
    <t>P2553</t>
  </si>
  <si>
    <t>V10231</t>
  </si>
  <si>
    <t>P2051</t>
  </si>
  <si>
    <t>V10232</t>
  </si>
  <si>
    <t>P2383</t>
  </si>
  <si>
    <t>V10233</t>
  </si>
  <si>
    <t>P2021</t>
  </si>
  <si>
    <t>V10234</t>
  </si>
  <si>
    <t>P2547</t>
  </si>
  <si>
    <t>V10235</t>
  </si>
  <si>
    <t>V10236</t>
  </si>
  <si>
    <t>P2038</t>
  </si>
  <si>
    <t>DR117</t>
  </si>
  <si>
    <t>V10237</t>
  </si>
  <si>
    <t>P2117</t>
  </si>
  <si>
    <t>V10238</t>
  </si>
  <si>
    <t>P2258</t>
  </si>
  <si>
    <t>V10239</t>
  </si>
  <si>
    <t>P2015</t>
  </si>
  <si>
    <t>V10240</t>
  </si>
  <si>
    <t>P2094</t>
  </si>
  <si>
    <t>V10241</t>
  </si>
  <si>
    <t>P2220</t>
  </si>
  <si>
    <t>V10242</t>
  </si>
  <si>
    <t>V10243</t>
  </si>
  <si>
    <t>P2040</t>
  </si>
  <si>
    <t>V10244</t>
  </si>
  <si>
    <t>P2063</t>
  </si>
  <si>
    <t>V10245</t>
  </si>
  <si>
    <t>P2174</t>
  </si>
  <si>
    <t>V10246</t>
  </si>
  <si>
    <t>P2196</t>
  </si>
  <si>
    <t>V10247</t>
  </si>
  <si>
    <t>P2395</t>
  </si>
  <si>
    <t>V10248</t>
  </si>
  <si>
    <t>V10249</t>
  </si>
  <si>
    <t>V10250</t>
  </si>
  <si>
    <t>P2177</t>
  </si>
  <si>
    <t>V10251</t>
  </si>
  <si>
    <t>P2290</t>
  </si>
  <si>
    <t>V10252</t>
  </si>
  <si>
    <t>P2155</t>
  </si>
  <si>
    <t>V10253</t>
  </si>
  <si>
    <t>P2530</t>
  </si>
  <si>
    <t>V10254</t>
  </si>
  <si>
    <t>V10255</t>
  </si>
  <si>
    <t>V10256</t>
  </si>
  <si>
    <t>P2104</t>
  </si>
  <si>
    <t>V10257</t>
  </si>
  <si>
    <t>P2047</t>
  </si>
  <si>
    <t>V10258</t>
  </si>
  <si>
    <t>P2355</t>
  </si>
  <si>
    <t>V10259</t>
  </si>
  <si>
    <t>P2024</t>
  </si>
  <si>
    <t>V10260</t>
  </si>
  <si>
    <t>V10261</t>
  </si>
  <si>
    <t>P2142</t>
  </si>
  <si>
    <t>V10262</t>
  </si>
  <si>
    <t>P2484</t>
  </si>
  <si>
    <t>V10263</t>
  </si>
  <si>
    <t>P2340</t>
  </si>
  <si>
    <t>V10264</t>
  </si>
  <si>
    <t>P2524</t>
  </si>
  <si>
    <t>V10265</t>
  </si>
  <si>
    <t>V10266</t>
  </si>
  <si>
    <t>V10267</t>
  </si>
  <si>
    <t>P2322</t>
  </si>
  <si>
    <t>V10268</t>
  </si>
  <si>
    <t>P2208</t>
  </si>
  <si>
    <t>V10269</t>
  </si>
  <si>
    <t>P2066</t>
  </si>
  <si>
    <t>V10270</t>
  </si>
  <si>
    <t>P2468</t>
  </si>
  <si>
    <t>V10271</t>
  </si>
  <si>
    <t>P2312</t>
  </si>
  <si>
    <t>V10272</t>
  </si>
  <si>
    <t>V10273</t>
  </si>
  <si>
    <t>V10274</t>
  </si>
  <si>
    <t>V10275</t>
  </si>
  <si>
    <t>V10276</t>
  </si>
  <si>
    <t>V10277</t>
  </si>
  <si>
    <t>P2339</t>
  </si>
  <si>
    <t>V10278</t>
  </si>
  <si>
    <t>P2157</t>
  </si>
  <si>
    <t>V10279</t>
  </si>
  <si>
    <t>V10280</t>
  </si>
  <si>
    <t>V10281</t>
  </si>
  <si>
    <t>P2067</t>
  </si>
  <si>
    <t>V10282</t>
  </si>
  <si>
    <t>V10283</t>
  </si>
  <si>
    <t>P2414</t>
  </si>
  <si>
    <t>V10284</t>
  </si>
  <si>
    <t>P2319</t>
  </si>
  <si>
    <t>V10285</t>
  </si>
  <si>
    <t>P2585</t>
  </si>
  <si>
    <t>V10286</t>
  </si>
  <si>
    <t>V10287</t>
  </si>
  <si>
    <t>P2191</t>
  </si>
  <si>
    <t>V10288</t>
  </si>
  <si>
    <t>P2187</t>
  </si>
  <si>
    <t>V10289</t>
  </si>
  <si>
    <t>P2411</t>
  </si>
  <si>
    <t>V10290</t>
  </si>
  <si>
    <t>P2359</t>
  </si>
  <si>
    <t>V10291</t>
  </si>
  <si>
    <t>P2350</t>
  </si>
  <si>
    <t>V10292</t>
  </si>
  <si>
    <t>P2283</t>
  </si>
  <si>
    <t>V10293</t>
  </si>
  <si>
    <t>P2101</t>
  </si>
  <si>
    <t>V10294</t>
  </si>
  <si>
    <t>P2472</t>
  </si>
  <si>
    <t>V10295</t>
  </si>
  <si>
    <t>V10296</t>
  </si>
  <si>
    <t>V10297</t>
  </si>
  <si>
    <t>P2301</t>
  </si>
  <si>
    <t>V10298</t>
  </si>
  <si>
    <t>V10299</t>
  </si>
  <si>
    <t>P2241</t>
  </si>
  <si>
    <t>V10300</t>
  </si>
  <si>
    <t>P2099</t>
  </si>
  <si>
    <t>V10301</t>
  </si>
  <si>
    <t>V10302</t>
  </si>
  <si>
    <t>P2123</t>
  </si>
  <si>
    <t>V10303</t>
  </si>
  <si>
    <t>V10304</t>
  </si>
  <si>
    <t>P2194</t>
  </si>
  <si>
    <t>V10305</t>
  </si>
  <si>
    <t>P2384</t>
  </si>
  <si>
    <t>V10306</t>
  </si>
  <si>
    <t>P2124</t>
  </si>
  <si>
    <t>V10307</t>
  </si>
  <si>
    <t>V10308</t>
  </si>
  <si>
    <t>P2545</t>
  </si>
  <si>
    <t>V10309</t>
  </si>
  <si>
    <t>V10310</t>
  </si>
  <si>
    <t>P2016</t>
  </si>
  <si>
    <t>V10311</t>
  </si>
  <si>
    <t>V10312</t>
  </si>
  <si>
    <t>V10313</t>
  </si>
  <si>
    <t>V10314</t>
  </si>
  <si>
    <t>P2542</t>
  </si>
  <si>
    <t>V10315</t>
  </si>
  <si>
    <t>V10316</t>
  </si>
  <si>
    <t>V10317</t>
  </si>
  <si>
    <t>V10318</t>
  </si>
  <si>
    <t>P2577</t>
  </si>
  <si>
    <t>V10319</t>
  </si>
  <si>
    <t>P2219</t>
  </si>
  <si>
    <t>V10320</t>
  </si>
  <si>
    <t>V10321</t>
  </si>
  <si>
    <t>V10322</t>
  </si>
  <si>
    <t>P2444</t>
  </si>
  <si>
    <t>V10323</t>
  </si>
  <si>
    <t>V10324</t>
  </si>
  <si>
    <t>V10325</t>
  </si>
  <si>
    <t>P2203</t>
  </si>
  <si>
    <t>V10326</t>
  </si>
  <si>
    <t>P2064</t>
  </si>
  <si>
    <t>V10327</t>
  </si>
  <si>
    <t>V10328</t>
  </si>
  <si>
    <t>V10329</t>
  </si>
  <si>
    <t>P2410</t>
  </si>
  <si>
    <t>V10330</t>
  </si>
  <si>
    <t>P2489</t>
  </si>
  <si>
    <t>V10331</t>
  </si>
  <si>
    <t>P2347</t>
  </si>
  <si>
    <t>V10332</t>
  </si>
  <si>
    <t>V10333</t>
  </si>
  <si>
    <t>P2152</t>
  </si>
  <si>
    <t>V10334</t>
  </si>
  <si>
    <t>V10335</t>
  </si>
  <si>
    <t>V10336</t>
  </si>
  <si>
    <t>P2583</t>
  </si>
  <si>
    <t>V10337</t>
  </si>
  <si>
    <t>P2268</t>
  </si>
  <si>
    <t>V10338</t>
  </si>
  <si>
    <t>P2070</t>
  </si>
  <si>
    <t>V10339</t>
  </si>
  <si>
    <t>P2457</t>
  </si>
  <si>
    <t>V10340</t>
  </si>
  <si>
    <t>V10341</t>
  </si>
  <si>
    <t>P2055</t>
  </si>
  <si>
    <t>V10342</t>
  </si>
  <si>
    <t>V10343</t>
  </si>
  <si>
    <t>P2002</t>
  </si>
  <si>
    <t>V10344</t>
  </si>
  <si>
    <t>V10345</t>
  </si>
  <si>
    <t>P2462</t>
  </si>
  <si>
    <t>V10346</t>
  </si>
  <si>
    <t>P2343</t>
  </si>
  <si>
    <t>V10347</t>
  </si>
  <si>
    <t>P2416</t>
  </si>
  <si>
    <t>V10348</t>
  </si>
  <si>
    <t>P2043</t>
  </si>
  <si>
    <t>V10349</t>
  </si>
  <si>
    <t>P2097</t>
  </si>
  <si>
    <t>V10350</t>
  </si>
  <si>
    <t>P2463</t>
  </si>
  <si>
    <t>V10351</t>
  </si>
  <si>
    <t>V10352</t>
  </si>
  <si>
    <t>P2560</t>
  </si>
  <si>
    <t>V10353</t>
  </si>
  <si>
    <t>P2490</t>
  </si>
  <si>
    <t>V10354</t>
  </si>
  <si>
    <t>P2231</t>
  </si>
  <si>
    <t>V10355</t>
  </si>
  <si>
    <t>P2311</t>
  </si>
  <si>
    <t>V10356</t>
  </si>
  <si>
    <t>V10357</t>
  </si>
  <si>
    <t>P2509</t>
  </si>
  <si>
    <t>V10358</t>
  </si>
  <si>
    <t>V10359</t>
  </si>
  <si>
    <t>P2243</t>
  </si>
  <si>
    <t>V10360</t>
  </si>
  <si>
    <t>V10361</t>
  </si>
  <si>
    <t>V10362</t>
  </si>
  <si>
    <t>P2448</t>
  </si>
  <si>
    <t>V10363</t>
  </si>
  <si>
    <t>P2447</t>
  </si>
  <si>
    <t>V10364</t>
  </si>
  <si>
    <t>P2474</t>
  </si>
  <si>
    <t>V10365</t>
  </si>
  <si>
    <t>V10366</t>
  </si>
  <si>
    <t>V10367</t>
  </si>
  <si>
    <t>P2409</t>
  </si>
  <si>
    <t>V10368</t>
  </si>
  <si>
    <t>V10369</t>
  </si>
  <si>
    <t>P2069</t>
  </si>
  <si>
    <t>V10370</t>
  </si>
  <si>
    <t>P2272</t>
  </si>
  <si>
    <t>V10371</t>
  </si>
  <si>
    <t>V10372</t>
  </si>
  <si>
    <t>P2225</t>
  </si>
  <si>
    <t>V10373</t>
  </si>
  <si>
    <t>V10374</t>
  </si>
  <si>
    <t>V10375</t>
  </si>
  <si>
    <t>P2033</t>
  </si>
  <si>
    <t>V10376</t>
  </si>
  <si>
    <t>P2153</t>
  </si>
  <si>
    <t>V10377</t>
  </si>
  <si>
    <t>P2335</t>
  </si>
  <si>
    <t>V10378</t>
  </si>
  <si>
    <t>P2514</t>
  </si>
  <si>
    <t>V10379</t>
  </si>
  <si>
    <t>P2475</t>
  </si>
  <si>
    <t>V10380</t>
  </si>
  <si>
    <t>V10381</t>
  </si>
  <si>
    <t>V10382</t>
  </si>
  <si>
    <t>V10383</t>
  </si>
  <si>
    <t>P2089</t>
  </si>
  <si>
    <t>V10384</t>
  </si>
  <si>
    <t>P2330</t>
  </si>
  <si>
    <t>V10385</t>
  </si>
  <si>
    <t>P2034</t>
  </si>
  <si>
    <t>V10386</t>
  </si>
  <si>
    <t>P2096</t>
  </si>
  <si>
    <t>V10387</t>
  </si>
  <si>
    <t>V10388</t>
  </si>
  <si>
    <t>V10389</t>
  </si>
  <si>
    <t>P2510</t>
  </si>
  <si>
    <t>V10390</t>
  </si>
  <si>
    <t>V10391</t>
  </si>
  <si>
    <t>V10392</t>
  </si>
  <si>
    <t>V10393</t>
  </si>
  <si>
    <t>V10394</t>
  </si>
  <si>
    <t>P2279</t>
  </si>
  <si>
    <t>V10395</t>
  </si>
  <si>
    <t>P2106</t>
  </si>
  <si>
    <t>V10396</t>
  </si>
  <si>
    <t>V10397</t>
  </si>
  <si>
    <t>V10398</t>
  </si>
  <si>
    <t>V10399</t>
  </si>
  <si>
    <t>P2600</t>
  </si>
  <si>
    <t>V10400</t>
  </si>
  <si>
    <t>V10401</t>
  </si>
  <si>
    <t>P2052</t>
  </si>
  <si>
    <t>V10402</t>
  </si>
  <si>
    <t>V10403</t>
  </si>
  <si>
    <t>V10404</t>
  </si>
  <si>
    <t>V10405</t>
  </si>
  <si>
    <t>P2572</t>
  </si>
  <si>
    <t>V10406</t>
  </si>
  <si>
    <t>P2193</t>
  </si>
  <si>
    <t>V10407</t>
  </si>
  <si>
    <t>V10408</t>
  </si>
  <si>
    <t>V10409</t>
  </si>
  <si>
    <t>V10410</t>
  </si>
  <si>
    <t>P2228</t>
  </si>
  <si>
    <t>V10411</t>
  </si>
  <si>
    <t>P2518</t>
  </si>
  <si>
    <t>V10412</t>
  </si>
  <si>
    <t>P2009</t>
  </si>
  <si>
    <t>V10413</t>
  </si>
  <si>
    <t>V10414</t>
  </si>
  <si>
    <t>V10415</t>
  </si>
  <si>
    <t>V10416</t>
  </si>
  <si>
    <t>P2028</t>
  </si>
  <si>
    <t>V10417</t>
  </si>
  <si>
    <t>V10418</t>
  </si>
  <si>
    <t>V10419</t>
  </si>
  <si>
    <t>P2431</t>
  </si>
  <si>
    <t>V10420</t>
  </si>
  <si>
    <t>P2229</t>
  </si>
  <si>
    <t>V10421</t>
  </si>
  <si>
    <t>V10422</t>
  </si>
  <si>
    <t>V10423</t>
  </si>
  <si>
    <t>V10424</t>
  </si>
  <si>
    <t>V10425</t>
  </si>
  <si>
    <t>P2454</t>
  </si>
  <si>
    <t>V10426</t>
  </si>
  <si>
    <t>P2141</t>
  </si>
  <si>
    <t>V10427</t>
  </si>
  <si>
    <t>V10428</t>
  </si>
  <si>
    <t>V10429</t>
  </si>
  <si>
    <t>P2292</t>
  </si>
  <si>
    <t>V10430</t>
  </si>
  <si>
    <t>P2512</t>
  </si>
  <si>
    <t>V10431</t>
  </si>
  <si>
    <t>V10432</t>
  </si>
  <si>
    <t>P2461</t>
  </si>
  <si>
    <t>V10433</t>
  </si>
  <si>
    <t>V10434</t>
  </si>
  <si>
    <t>P2555</t>
  </si>
  <si>
    <t>V10435</t>
  </si>
  <si>
    <t>P2236</t>
  </si>
  <si>
    <t>V10436</t>
  </si>
  <si>
    <t>P2412</t>
  </si>
  <si>
    <t>V10437</t>
  </si>
  <si>
    <t>P2591</t>
  </si>
  <si>
    <t>V10438</t>
  </si>
  <si>
    <t>P2351</t>
  </si>
  <si>
    <t>V10439</t>
  </si>
  <si>
    <t>P2336</t>
  </si>
  <si>
    <t>V10440</t>
  </si>
  <si>
    <t>P2329</t>
  </si>
  <si>
    <t>V10441</t>
  </si>
  <si>
    <t>P2178</t>
  </si>
  <si>
    <t>V10442</t>
  </si>
  <si>
    <t>P2125</t>
  </si>
  <si>
    <t>V10443</t>
  </si>
  <si>
    <t>P2552</t>
  </si>
  <si>
    <t>V10444</t>
  </si>
  <si>
    <t>P2439</t>
  </si>
  <si>
    <t>V10445</t>
  </si>
  <si>
    <t>V10446</t>
  </si>
  <si>
    <t>P2295</t>
  </si>
  <si>
    <t>V10447</t>
  </si>
  <si>
    <t>V10448</t>
  </si>
  <si>
    <t>V10449</t>
  </si>
  <si>
    <t>V10450</t>
  </si>
  <si>
    <t>V10451</t>
  </si>
  <si>
    <t>V10452</t>
  </si>
  <si>
    <t>V10453</t>
  </si>
  <si>
    <t>V10454</t>
  </si>
  <si>
    <t>V10455</t>
  </si>
  <si>
    <t>V10456</t>
  </si>
  <si>
    <t>V10457</t>
  </si>
  <si>
    <t>P2442</t>
  </si>
  <si>
    <t>V10458</t>
  </si>
  <si>
    <t>P2376</t>
  </si>
  <si>
    <t>V10459</t>
  </si>
  <si>
    <t>V10460</t>
  </si>
  <si>
    <t>V10461</t>
  </si>
  <si>
    <t>V10462</t>
  </si>
  <si>
    <t>V10463</t>
  </si>
  <si>
    <t>V10464</t>
  </si>
  <si>
    <t>P2210</t>
  </si>
  <si>
    <t>V10465</t>
  </si>
  <si>
    <t>P2026</t>
  </si>
  <si>
    <t>V10466</t>
  </si>
  <si>
    <t>V10467</t>
  </si>
  <si>
    <t>V10468</t>
  </si>
  <si>
    <t>P2528</t>
  </si>
  <si>
    <t>V10469</t>
  </si>
  <si>
    <t>V10470</t>
  </si>
  <si>
    <t>V10471</t>
  </si>
  <si>
    <t>V10472</t>
  </si>
  <si>
    <t>V10473</t>
  </si>
  <si>
    <t>V10474</t>
  </si>
  <si>
    <t>V10475</t>
  </si>
  <si>
    <t>V10476</t>
  </si>
  <si>
    <t>V10477</t>
  </si>
  <si>
    <t>V10478</t>
  </si>
  <si>
    <t>V10479</t>
  </si>
  <si>
    <t>V10480</t>
  </si>
  <si>
    <t>V10481</t>
  </si>
  <si>
    <t>P2432</t>
  </si>
  <si>
    <t>V10482</t>
  </si>
  <si>
    <t>V10483</t>
  </si>
  <si>
    <t>V10484</t>
  </si>
  <si>
    <t>P2356</t>
  </si>
  <si>
    <t>V10485</t>
  </si>
  <si>
    <t>V10486</t>
  </si>
  <si>
    <t>P2573</t>
  </si>
  <si>
    <t>V10487</t>
  </si>
  <si>
    <t>V10488</t>
  </si>
  <si>
    <t>P2180</t>
  </si>
  <si>
    <t>V10489</t>
  </si>
  <si>
    <t>V10490</t>
  </si>
  <si>
    <t>V10491</t>
  </si>
  <si>
    <t>V10492</t>
  </si>
  <si>
    <t>V10493</t>
  </si>
  <si>
    <t>V10494</t>
  </si>
  <si>
    <t>V10495</t>
  </si>
  <si>
    <t>P2389</t>
  </si>
  <si>
    <t>V10496</t>
  </si>
  <si>
    <t>V10497</t>
  </si>
  <si>
    <t>V10498</t>
  </si>
  <si>
    <t>V10499</t>
  </si>
  <si>
    <t>V10500</t>
  </si>
  <si>
    <t>P2390</t>
  </si>
  <si>
    <t>V10501</t>
  </si>
  <si>
    <t>V10502</t>
  </si>
  <si>
    <t>P2077</t>
  </si>
  <si>
    <t>V10503</t>
  </si>
  <si>
    <t>V10504</t>
  </si>
  <si>
    <t>V10505</t>
  </si>
  <si>
    <t>V10506</t>
  </si>
  <si>
    <t>P2233</t>
  </si>
  <si>
    <t>V10507</t>
  </si>
  <si>
    <t>P2073</t>
  </si>
  <si>
    <t>V10508</t>
  </si>
  <si>
    <t>P2199</t>
  </si>
  <si>
    <t>V10509</t>
  </si>
  <si>
    <t>V10510</t>
  </si>
  <si>
    <t>V10511</t>
  </si>
  <si>
    <t>V10512</t>
  </si>
  <si>
    <t>P2266</t>
  </si>
  <si>
    <t>V10513</t>
  </si>
  <si>
    <t>P2013</t>
  </si>
  <si>
    <t>V10514</t>
  </si>
  <si>
    <t>P2250</t>
  </si>
  <si>
    <t>V10515</t>
  </si>
  <si>
    <t>P2129</t>
  </si>
  <si>
    <t>V10516</t>
  </si>
  <si>
    <t>P2293</t>
  </si>
  <si>
    <t>V10517</t>
  </si>
  <si>
    <t>P2249</t>
  </si>
  <si>
    <t>V10518</t>
  </si>
  <si>
    <t>P2048</t>
  </si>
  <si>
    <t>V10519</t>
  </si>
  <si>
    <t>V10520</t>
  </si>
  <si>
    <t>V10521</t>
  </si>
  <si>
    <t>V10522</t>
  </si>
  <si>
    <t>V10523</t>
  </si>
  <si>
    <t>V10524</t>
  </si>
  <si>
    <t>P2049</t>
  </si>
  <si>
    <t>V10525</t>
  </si>
  <si>
    <t>P2306</t>
  </si>
  <si>
    <t>V10526</t>
  </si>
  <si>
    <t>P2393</t>
  </si>
  <si>
    <t>V10527</t>
  </si>
  <si>
    <t>V10528</t>
  </si>
  <si>
    <t>P2246</t>
  </si>
  <si>
    <t>V10529</t>
  </si>
  <si>
    <t>V10530</t>
  </si>
  <si>
    <t>P2278</t>
  </si>
  <si>
    <t>V10531</t>
  </si>
  <si>
    <t>V10532</t>
  </si>
  <si>
    <t>V10533</t>
  </si>
  <si>
    <t>V10534</t>
  </si>
  <si>
    <t>V10535</t>
  </si>
  <si>
    <t>V10536</t>
  </si>
  <si>
    <t>V10537</t>
  </si>
  <si>
    <t>P2497</t>
  </si>
  <si>
    <t>V10538</t>
  </si>
  <si>
    <t>V10539</t>
  </si>
  <si>
    <t>P2486</t>
  </si>
  <si>
    <t>V10540</t>
  </si>
  <si>
    <t>P2406</t>
  </si>
  <si>
    <t>V10541</t>
  </si>
  <si>
    <t>P2018</t>
  </si>
  <si>
    <t>V10542</t>
  </si>
  <si>
    <t>P2491</t>
  </si>
  <si>
    <t>V10543</t>
  </si>
  <si>
    <t>V10544</t>
  </si>
  <si>
    <t>P2584</t>
  </si>
  <si>
    <t>V10545</t>
  </si>
  <si>
    <t>V10546</t>
  </si>
  <si>
    <t>V10547</t>
  </si>
  <si>
    <t>P2291</t>
  </si>
  <si>
    <t>V10548</t>
  </si>
  <si>
    <t>P2482</t>
  </si>
  <si>
    <t>V10549</t>
  </si>
  <si>
    <t>V10550</t>
  </si>
  <si>
    <t>P2403</t>
  </si>
  <si>
    <t>V10551</t>
  </si>
  <si>
    <t>P2589</t>
  </si>
  <si>
    <t>V10552</t>
  </si>
  <si>
    <t>V10553</t>
  </si>
  <si>
    <t>V10554</t>
  </si>
  <si>
    <t>P2075</t>
  </si>
  <si>
    <t>V10555</t>
  </si>
  <si>
    <t>V10556</t>
  </si>
  <si>
    <t>P2145</t>
  </si>
  <si>
    <t>V10557</t>
  </si>
  <si>
    <t>V10558</t>
  </si>
  <si>
    <t>V10559</t>
  </si>
  <si>
    <t>V10560</t>
  </si>
  <si>
    <t>V10561</t>
  </si>
  <si>
    <t>V10562</t>
  </si>
  <si>
    <t>V10563</t>
  </si>
  <si>
    <t>P2183</t>
  </si>
  <si>
    <t>V10564</t>
  </si>
  <si>
    <t>P2200</t>
  </si>
  <si>
    <t>V10565</t>
  </si>
  <si>
    <t>P2019</t>
  </si>
  <si>
    <t>V10566</t>
  </si>
  <si>
    <t>P2325</t>
  </si>
  <si>
    <t>V10567</t>
  </si>
  <si>
    <t>P2421</t>
  </si>
  <si>
    <t>V10568</t>
  </si>
  <si>
    <t>V10569</t>
  </si>
  <si>
    <t>V10570</t>
  </si>
  <si>
    <t>V10571</t>
  </si>
  <si>
    <t>V10572</t>
  </si>
  <si>
    <t>P2004</t>
  </si>
  <si>
    <t>V10573</t>
  </si>
  <si>
    <t>P2469</t>
  </si>
  <si>
    <t>V10574</t>
  </si>
  <si>
    <t>V10575</t>
  </si>
  <si>
    <t>V10576</t>
  </si>
  <si>
    <t>V10577</t>
  </si>
  <si>
    <t>V10578</t>
  </si>
  <si>
    <t>V10579</t>
  </si>
  <si>
    <t>P2078</t>
  </si>
  <si>
    <t>V10580</t>
  </si>
  <si>
    <t>V10581</t>
  </si>
  <si>
    <t>V10582</t>
  </si>
  <si>
    <t>V10583</t>
  </si>
  <si>
    <t>V10584</t>
  </si>
  <si>
    <t>P2128</t>
  </si>
  <si>
    <t>V10585</t>
  </si>
  <si>
    <t>P2357</t>
  </si>
  <si>
    <t>V10586</t>
  </si>
  <si>
    <t>V10587</t>
  </si>
  <si>
    <t>V10588</t>
  </si>
  <si>
    <t>P2039</t>
  </si>
  <si>
    <t>V10589</t>
  </si>
  <si>
    <t>V10590</t>
  </si>
  <si>
    <t>V10591</t>
  </si>
  <si>
    <t>P2305</t>
  </si>
  <si>
    <t>V10592</t>
  </si>
  <si>
    <t>V10593</t>
  </si>
  <si>
    <t>P2436</t>
  </si>
  <si>
    <t>V10594</t>
  </si>
  <si>
    <t>P2587</t>
  </si>
  <si>
    <t>V10595</t>
  </si>
  <si>
    <t>V10596</t>
  </si>
  <si>
    <t>V10597</t>
  </si>
  <si>
    <t>V10598</t>
  </si>
  <si>
    <t>V10599</t>
  </si>
  <si>
    <t>V10600</t>
  </si>
  <si>
    <t>V10601</t>
  </si>
  <si>
    <t>V10602</t>
  </si>
  <si>
    <t>P2503</t>
  </si>
  <si>
    <t>V10603</t>
  </si>
  <si>
    <t>V10604</t>
  </si>
  <si>
    <t>V10605</t>
  </si>
  <si>
    <t>P2041</t>
  </si>
  <si>
    <t>V10606</t>
  </si>
  <si>
    <t>V10607</t>
  </si>
  <si>
    <t>V10608</t>
  </si>
  <si>
    <t>P2348</t>
  </si>
  <si>
    <t>V10609</t>
  </si>
  <si>
    <t>P2260</t>
  </si>
  <si>
    <t>V10610</t>
  </si>
  <si>
    <t>V10611</t>
  </si>
  <si>
    <t>V10612</t>
  </si>
  <si>
    <t>P2392</t>
  </si>
  <si>
    <t>V10613</t>
  </si>
  <si>
    <t>V10614</t>
  </si>
  <si>
    <t>V10615</t>
  </si>
  <si>
    <t>P2368</t>
  </si>
  <si>
    <t>V10616</t>
  </si>
  <si>
    <t>V10617</t>
  </si>
  <si>
    <t>V10618</t>
  </si>
  <si>
    <t>P2536</t>
  </si>
  <si>
    <t>V10619</t>
  </si>
  <si>
    <t>V10620</t>
  </si>
  <si>
    <t>P2072</t>
  </si>
  <si>
    <t>V10621</t>
  </si>
  <si>
    <t>V10622</t>
  </si>
  <si>
    <t>P2437</t>
  </si>
  <si>
    <t>V10623</t>
  </si>
  <si>
    <t>V10624</t>
  </si>
  <si>
    <t>P2308</t>
  </si>
  <si>
    <t>V10625</t>
  </si>
  <si>
    <t>V10626</t>
  </si>
  <si>
    <t>P2453</t>
  </si>
  <si>
    <t>V10627</t>
  </si>
  <si>
    <t>V10628</t>
  </si>
  <si>
    <t>P2259</t>
  </si>
  <si>
    <t>V10629</t>
  </si>
  <si>
    <t>P2184</t>
  </si>
  <si>
    <t>V10630</t>
  </si>
  <si>
    <t>V10631</t>
  </si>
  <si>
    <t>P2487</t>
  </si>
  <si>
    <t>V10632</t>
  </si>
  <si>
    <t>V10633</t>
  </si>
  <si>
    <t>V10634</t>
  </si>
  <si>
    <t>V10635</t>
  </si>
  <si>
    <t>V10636</t>
  </si>
  <si>
    <t>V10637</t>
  </si>
  <si>
    <t>V10638</t>
  </si>
  <si>
    <t>V10639</t>
  </si>
  <si>
    <t>V10640</t>
  </si>
  <si>
    <t>V10641</t>
  </si>
  <si>
    <t>V10642</t>
  </si>
  <si>
    <t>V10643</t>
  </si>
  <si>
    <t>V10644</t>
  </si>
  <si>
    <t>V10645</t>
  </si>
  <si>
    <t>V10646</t>
  </si>
  <si>
    <t>V10647</t>
  </si>
  <si>
    <t>V10648</t>
  </si>
  <si>
    <t>V10649</t>
  </si>
  <si>
    <t>P2161</t>
  </si>
  <si>
    <t>V10650</t>
  </si>
  <si>
    <t>P2176</t>
  </si>
  <si>
    <t>V10651</t>
  </si>
  <si>
    <t>V10652</t>
  </si>
  <si>
    <t>V10653</t>
  </si>
  <si>
    <t>V10654</t>
  </si>
  <si>
    <t>P2232</t>
  </si>
  <si>
    <t>V10655</t>
  </si>
  <si>
    <t>V10656</t>
  </si>
  <si>
    <t>P2551</t>
  </si>
  <si>
    <t>V10657</t>
  </si>
  <si>
    <t>V10658</t>
  </si>
  <si>
    <t>V10659</t>
  </si>
  <si>
    <t>V10660</t>
  </si>
  <si>
    <t>V10661</t>
  </si>
  <si>
    <t>V10662</t>
  </si>
  <si>
    <t>V10663</t>
  </si>
  <si>
    <t>V10664</t>
  </si>
  <si>
    <t>V10665</t>
  </si>
  <si>
    <t>V10666</t>
  </si>
  <si>
    <t>P2539</t>
  </si>
  <si>
    <t>V10667</t>
  </si>
  <si>
    <t>V10668</t>
  </si>
  <si>
    <t>V10669</t>
  </si>
  <si>
    <t>V10670</t>
  </si>
  <si>
    <t>V10671</t>
  </si>
  <si>
    <t>P2398</t>
  </si>
  <si>
    <t>V10672</t>
  </si>
  <si>
    <t>V10673</t>
  </si>
  <si>
    <t>V10674</t>
  </si>
  <si>
    <t>V10675</t>
  </si>
  <si>
    <t>P2083</t>
  </si>
  <si>
    <t>V10676</t>
  </si>
  <si>
    <t>V10677</t>
  </si>
  <si>
    <t>V10678</t>
  </si>
  <si>
    <t>P2146</t>
  </si>
  <si>
    <t>V10679</t>
  </si>
  <si>
    <t>P2304</t>
  </si>
  <si>
    <t>V10680</t>
  </si>
  <si>
    <t>V10681</t>
  </si>
  <si>
    <t>P2147</t>
  </si>
  <si>
    <t>V10682</t>
  </si>
  <si>
    <t>V10683</t>
  </si>
  <si>
    <t>V10684</t>
  </si>
  <si>
    <t>V10685</t>
  </si>
  <si>
    <t>P2182</t>
  </si>
  <si>
    <t>V10686</t>
  </si>
  <si>
    <t>V10687</t>
  </si>
  <si>
    <t>V10688</t>
  </si>
  <si>
    <t>P2532</t>
  </si>
  <si>
    <t>V10689</t>
  </si>
  <si>
    <t>V10690</t>
  </si>
  <si>
    <t>V10691</t>
  </si>
  <si>
    <t>V10692</t>
  </si>
  <si>
    <t>P2006</t>
  </si>
  <si>
    <t>V10693</t>
  </si>
  <si>
    <t>V10694</t>
  </si>
  <si>
    <t>V10695</t>
  </si>
  <si>
    <t>V10696</t>
  </si>
  <si>
    <t>P2173</t>
  </si>
  <si>
    <t>V10697</t>
  </si>
  <si>
    <t>P2163</t>
  </si>
  <si>
    <t>V10698</t>
  </si>
  <si>
    <t>V10699</t>
  </si>
  <si>
    <t>P2418</t>
  </si>
  <si>
    <t>V10700</t>
  </si>
  <si>
    <t>P2544</t>
  </si>
  <si>
    <t>V10701</t>
  </si>
  <si>
    <t>V10702</t>
  </si>
  <si>
    <t>V10703</t>
  </si>
  <si>
    <t>V10704</t>
  </si>
  <si>
    <t>V10705</t>
  </si>
  <si>
    <t>P2538</t>
  </si>
  <si>
    <t>V10706</t>
  </si>
  <si>
    <t>P2568</t>
  </si>
  <si>
    <t>V10707</t>
  </si>
  <si>
    <t>V10708</t>
  </si>
  <si>
    <t>V10709</t>
  </si>
  <si>
    <t>V10710</t>
  </si>
  <si>
    <t>P2132</t>
  </si>
  <si>
    <t>V10711</t>
  </si>
  <si>
    <t>V10712</t>
  </si>
  <si>
    <t>V10713</t>
  </si>
  <si>
    <t>V10714</t>
  </si>
  <si>
    <t>V10715</t>
  </si>
  <si>
    <t>V10716</t>
  </si>
  <si>
    <t>V10717</t>
  </si>
  <si>
    <t>V10718</t>
  </si>
  <si>
    <t>V10719</t>
  </si>
  <si>
    <t>P2333</t>
  </si>
  <si>
    <t>V10720</t>
  </si>
  <si>
    <t>P2519</t>
  </si>
  <si>
    <t>V10721</t>
  </si>
  <si>
    <t>V10722</t>
  </si>
  <si>
    <t>V10723</t>
  </si>
  <si>
    <t>V10724</t>
  </si>
  <si>
    <t>V10725</t>
  </si>
  <si>
    <t>V10726</t>
  </si>
  <si>
    <t>P2440</t>
  </si>
  <si>
    <t>V10727</t>
  </si>
  <si>
    <t>P2480</t>
  </si>
  <si>
    <t>V10728</t>
  </si>
  <si>
    <t>V10729</t>
  </si>
  <si>
    <t>V10730</t>
  </si>
  <si>
    <t>V10731</t>
  </si>
  <si>
    <t>P2244</t>
  </si>
  <si>
    <t>V10732</t>
  </si>
  <si>
    <t>P2091</t>
  </si>
  <si>
    <t>V10733</t>
  </si>
  <si>
    <t>V10734</t>
  </si>
  <si>
    <t>V10735</t>
  </si>
  <si>
    <t>V10736</t>
  </si>
  <si>
    <t>V10737</t>
  </si>
  <si>
    <t>V10738</t>
  </si>
  <si>
    <t>V10739</t>
  </si>
  <si>
    <t>V10740</t>
  </si>
  <si>
    <t>V10741</t>
  </si>
  <si>
    <t>V10742</t>
  </si>
  <si>
    <t>V10743</t>
  </si>
  <si>
    <t>V10744</t>
  </si>
  <si>
    <t>P2144</t>
  </si>
  <si>
    <t>V10745</t>
  </si>
  <si>
    <t>V10746</t>
  </si>
  <si>
    <t>V10747</t>
  </si>
  <si>
    <t>V10748</t>
  </si>
  <si>
    <t>P2328</t>
  </si>
  <si>
    <t>V10749</t>
  </si>
  <si>
    <t>V10750</t>
  </si>
  <si>
    <t>V10751</t>
  </si>
  <si>
    <t>V10752</t>
  </si>
  <si>
    <t>V10753</t>
  </si>
  <si>
    <t>V10754</t>
  </si>
  <si>
    <t>V10755</t>
  </si>
  <si>
    <t>P2108</t>
  </si>
  <si>
    <t>V10756</t>
  </si>
  <si>
    <t>V10757</t>
  </si>
  <si>
    <t>V10758</t>
  </si>
  <si>
    <t>V10759</t>
  </si>
  <si>
    <t>V10760</t>
  </si>
  <si>
    <t>V10761</t>
  </si>
  <si>
    <t>V10762</t>
  </si>
  <si>
    <t>P2430</t>
  </si>
  <si>
    <t>V10763</t>
  </si>
  <si>
    <t>V10764</t>
  </si>
  <si>
    <t>V10765</t>
  </si>
  <si>
    <t>V10766</t>
  </si>
  <si>
    <t>V10767</t>
  </si>
  <si>
    <t>P2074</t>
  </si>
  <si>
    <t>V10768</t>
  </si>
  <si>
    <t>V10769</t>
  </si>
  <si>
    <t>V10770</t>
  </si>
  <si>
    <t>V10771</t>
  </si>
  <si>
    <t>V10772</t>
  </si>
  <si>
    <t>V10773</t>
  </si>
  <si>
    <t>P2502</t>
  </si>
  <si>
    <t>V10774</t>
  </si>
  <si>
    <t>P2481</t>
  </si>
  <si>
    <t>V10775</t>
  </si>
  <si>
    <t>P2413</t>
  </si>
  <si>
    <t>V10776</t>
  </si>
  <si>
    <t>V10777</t>
  </si>
  <si>
    <t>P2045</t>
  </si>
  <si>
    <t>V10778</t>
  </si>
  <si>
    <t>V10779</t>
  </si>
  <si>
    <t>P2179</t>
  </si>
  <si>
    <t>V10780</t>
  </si>
  <si>
    <t>P2189</t>
  </si>
  <si>
    <t>V10781</t>
  </si>
  <si>
    <t>V10782</t>
  </si>
  <si>
    <t>V10783</t>
  </si>
  <si>
    <t>V10784</t>
  </si>
  <si>
    <t>V10785</t>
  </si>
  <si>
    <t>V10786</t>
  </si>
  <si>
    <t>P2515</t>
  </si>
  <si>
    <t>V10787</t>
  </si>
  <si>
    <t>V10788</t>
  </si>
  <si>
    <t>P2377</t>
  </si>
  <si>
    <t>V10789</t>
  </si>
  <si>
    <t>V10790</t>
  </si>
  <si>
    <t>P2299</t>
  </si>
  <si>
    <t>V10791</t>
  </si>
  <si>
    <t>P2500</t>
  </si>
  <si>
    <t>V10792</t>
  </si>
  <si>
    <t>V10793</t>
  </si>
  <si>
    <t>P2088</t>
  </si>
  <si>
    <t>V10794</t>
  </si>
  <si>
    <t>V10795</t>
  </si>
  <si>
    <t>V10796</t>
  </si>
  <si>
    <t>V10797</t>
  </si>
  <si>
    <t>V10798</t>
  </si>
  <si>
    <t>P2005</t>
  </si>
  <si>
    <t>V10799</t>
  </si>
  <si>
    <t>V10800</t>
  </si>
  <si>
    <t>V10801</t>
  </si>
  <si>
    <t>V10802</t>
  </si>
  <si>
    <t>P2438</t>
  </si>
  <si>
    <t>V10803</t>
  </si>
  <si>
    <t>V10804</t>
  </si>
  <si>
    <t>P2156</t>
  </si>
  <si>
    <t>V10805</t>
  </si>
  <si>
    <t>V10806</t>
  </si>
  <si>
    <t>V10807</t>
  </si>
  <si>
    <t>V10808</t>
  </si>
  <si>
    <t>P2060</t>
  </si>
  <si>
    <t>V10809</t>
  </si>
  <si>
    <t>V10810</t>
  </si>
  <si>
    <t>V10811</t>
  </si>
  <si>
    <t>V10812</t>
  </si>
  <si>
    <t>V10813</t>
  </si>
  <si>
    <t>V10814</t>
  </si>
  <si>
    <t>P2361</t>
  </si>
  <si>
    <t>V10815</t>
  </si>
  <si>
    <t>V10816</t>
  </si>
  <si>
    <t>V10817</t>
  </si>
  <si>
    <t>P2143</t>
  </si>
  <si>
    <t>V10818</t>
  </si>
  <si>
    <t>V10819</t>
  </si>
  <si>
    <t>V10820</t>
  </si>
  <si>
    <t>V10821</t>
  </si>
  <si>
    <t>V10822</t>
  </si>
  <si>
    <t>P2081</t>
  </si>
  <si>
    <t>V10823</t>
  </si>
  <si>
    <t>V10824</t>
  </si>
  <si>
    <t>V10825</t>
  </si>
  <si>
    <t>V10826</t>
  </si>
  <si>
    <t>P2234</t>
  </si>
  <si>
    <t>V10827</t>
  </si>
  <si>
    <t>P2316</t>
  </si>
  <si>
    <t>V10828</t>
  </si>
  <si>
    <t>P2300</t>
  </si>
  <si>
    <t>V10829</t>
  </si>
  <si>
    <t>V10830</t>
  </si>
  <si>
    <t>V10831</t>
  </si>
  <si>
    <t>V10832</t>
  </si>
  <si>
    <t>V10833</t>
  </si>
  <si>
    <t>V10834</t>
  </si>
  <si>
    <t>V10835</t>
  </si>
  <si>
    <t>V10836</t>
  </si>
  <si>
    <t>V10837</t>
  </si>
  <si>
    <t>P2296</t>
  </si>
  <si>
    <t>V10838</t>
  </si>
  <si>
    <t>V10839</t>
  </si>
  <si>
    <t>V10840</t>
  </si>
  <si>
    <t>V10841</t>
  </si>
  <si>
    <t>P2059</t>
  </si>
  <si>
    <t>V10842</t>
  </si>
  <si>
    <t>V10843</t>
  </si>
  <si>
    <t>V10844</t>
  </si>
  <si>
    <t>V10845</t>
  </si>
  <si>
    <t>V10846</t>
  </si>
  <si>
    <t>V10847</t>
  </si>
  <si>
    <t>V10848</t>
  </si>
  <si>
    <t>V10849</t>
  </si>
  <si>
    <t>P2032</t>
  </si>
  <si>
    <t>V10850</t>
  </si>
  <si>
    <t>P2138</t>
  </si>
  <si>
    <t>V10851</t>
  </si>
  <si>
    <t>V10852</t>
  </si>
  <si>
    <t>V10853</t>
  </si>
  <si>
    <t>P2540</t>
  </si>
  <si>
    <t>V10854</t>
  </si>
  <si>
    <t>V10855</t>
  </si>
  <si>
    <t>V10856</t>
  </si>
  <si>
    <t>V10857</t>
  </si>
  <si>
    <t>V10858</t>
  </si>
  <si>
    <t>V10859</t>
  </si>
  <si>
    <t>P2285</t>
  </si>
  <si>
    <t>V10860</t>
  </si>
  <si>
    <t>V10861</t>
  </si>
  <si>
    <t>P2309</t>
  </si>
  <si>
    <t>V10862</t>
  </si>
  <si>
    <t>P2302</t>
  </si>
  <si>
    <t>V10863</t>
  </si>
  <si>
    <t>V10864</t>
  </si>
  <si>
    <t>P2501</t>
  </si>
  <si>
    <t>V10865</t>
  </si>
  <si>
    <t>V10866</t>
  </si>
  <si>
    <t>V10867</t>
  </si>
  <si>
    <t>V10868</t>
  </si>
  <si>
    <t>P2561</t>
  </si>
  <si>
    <t>V10869</t>
  </si>
  <si>
    <t>V10870</t>
  </si>
  <si>
    <t>V10871</t>
  </si>
  <si>
    <t>P2093</t>
  </si>
  <si>
    <t>V10872</t>
  </si>
  <si>
    <t>P2424</t>
  </si>
  <si>
    <t>V10873</t>
  </si>
  <si>
    <t>V10874</t>
  </si>
  <si>
    <t>V10875</t>
  </si>
  <si>
    <t>V10876</t>
  </si>
  <si>
    <t>V10877</t>
  </si>
  <si>
    <t>P2085</t>
  </si>
  <si>
    <t>V10878</t>
  </si>
  <si>
    <t>V10879</t>
  </si>
  <si>
    <t>V10880</t>
  </si>
  <si>
    <t>V10881</t>
  </si>
  <si>
    <t>V10882</t>
  </si>
  <si>
    <t>V10883</t>
  </si>
  <si>
    <t>V10884</t>
  </si>
  <si>
    <t>V10885</t>
  </si>
  <si>
    <t>V10886</t>
  </si>
  <si>
    <t>P2508</t>
  </si>
  <si>
    <t>V10887</t>
  </si>
  <si>
    <t>V10888</t>
  </si>
  <si>
    <t>V10889</t>
  </si>
  <si>
    <t>V10890</t>
  </si>
  <si>
    <t>V10891</t>
  </si>
  <si>
    <t>V10892</t>
  </si>
  <si>
    <t>V10893</t>
  </si>
  <si>
    <t>V10894</t>
  </si>
  <si>
    <t>P2315</t>
  </si>
  <si>
    <t>V10895</t>
  </si>
  <si>
    <t>P2314</t>
  </si>
  <si>
    <t>V10896</t>
  </si>
  <si>
    <t>V10897</t>
  </si>
  <si>
    <t>V10898</t>
  </si>
  <si>
    <t>P2310</t>
  </si>
  <si>
    <t>V10899</t>
  </si>
  <si>
    <t>V10900</t>
  </si>
  <si>
    <t>V10901</t>
  </si>
  <si>
    <t>V10902</t>
  </si>
  <si>
    <t>P2012</t>
  </si>
  <si>
    <t>V10903</t>
  </si>
  <si>
    <t>V10904</t>
  </si>
  <si>
    <t>V10905</t>
  </si>
  <si>
    <t>V10906</t>
  </si>
  <si>
    <t>V10907</t>
  </si>
  <si>
    <t>V10908</t>
  </si>
  <si>
    <t>V10909</t>
  </si>
  <si>
    <t>V10910</t>
  </si>
  <si>
    <t>V10911</t>
  </si>
  <si>
    <t>V10912</t>
  </si>
  <si>
    <t>V10913</t>
  </si>
  <si>
    <t>V10914</t>
  </si>
  <si>
    <t>V10915</t>
  </si>
  <si>
    <t>P2197</t>
  </si>
  <si>
    <t>V10916</t>
  </si>
  <si>
    <t>V10917</t>
  </si>
  <si>
    <t>V10918</t>
  </si>
  <si>
    <t>V10919</t>
  </si>
  <si>
    <t>P2297</t>
  </si>
  <si>
    <t>V10920</t>
  </si>
  <si>
    <t>V10921</t>
  </si>
  <si>
    <t>V10922</t>
  </si>
  <si>
    <t>V10923</t>
  </si>
  <si>
    <t>V10924</t>
  </si>
  <si>
    <t>P2029</t>
  </si>
  <si>
    <t>V10925</t>
  </si>
  <si>
    <t>V10926</t>
  </si>
  <si>
    <t>V10927</t>
  </si>
  <si>
    <t>V10928</t>
  </si>
  <si>
    <t>V10929</t>
  </si>
  <si>
    <t>V10930</t>
  </si>
  <si>
    <t>V10931</t>
  </si>
  <si>
    <t>V10932</t>
  </si>
  <si>
    <t>V10933</t>
  </si>
  <si>
    <t>P2169</t>
  </si>
  <si>
    <t>V10934</t>
  </si>
  <si>
    <t>V10935</t>
  </si>
  <si>
    <t>V10936</t>
  </si>
  <si>
    <t>V10937</t>
  </si>
  <si>
    <t>V10938</t>
  </si>
  <si>
    <t>V10939</t>
  </si>
  <si>
    <t>V10940</t>
  </si>
  <si>
    <t>V10941</t>
  </si>
  <si>
    <t>V10942</t>
  </si>
  <si>
    <t>V10943</t>
  </si>
  <si>
    <t>P2261</t>
  </si>
  <si>
    <t>V10944</t>
  </si>
  <si>
    <t>P2374</t>
  </si>
  <si>
    <t>V10945</t>
  </si>
  <si>
    <t>P2046</t>
  </si>
  <si>
    <t>V10946</t>
  </si>
  <si>
    <t>V10947</t>
  </si>
  <si>
    <t>P2030</t>
  </si>
  <si>
    <t>V10948</t>
  </si>
  <si>
    <t>V10949</t>
  </si>
  <si>
    <t>V10950</t>
  </si>
  <si>
    <t>V10951</t>
  </si>
  <si>
    <t>V10952</t>
  </si>
  <si>
    <t>P2289</t>
  </si>
  <si>
    <t>V10953</t>
  </si>
  <si>
    <t>V10954</t>
  </si>
  <si>
    <t>V10955</t>
  </si>
  <si>
    <t>V10956</t>
  </si>
  <si>
    <t>V10957</t>
  </si>
  <si>
    <t>V10958</t>
  </si>
  <si>
    <t>V10959</t>
  </si>
  <si>
    <t>V10960</t>
  </si>
  <si>
    <t>V10961</t>
  </si>
  <si>
    <t>V10962</t>
  </si>
  <si>
    <t>V10963</t>
  </si>
  <si>
    <t>V10964</t>
  </si>
  <si>
    <t>P2240</t>
  </si>
  <si>
    <t>V10965</t>
  </si>
  <si>
    <t>V10966</t>
  </si>
  <si>
    <t>V10967</t>
  </si>
  <si>
    <t>V10968</t>
  </si>
  <si>
    <t>P2459</t>
  </si>
  <si>
    <t>V10969</t>
  </si>
  <si>
    <t>V10970</t>
  </si>
  <si>
    <t>V10971</t>
  </si>
  <si>
    <t>V10972</t>
  </si>
  <si>
    <t>V10973</t>
  </si>
  <si>
    <t>V10974</t>
  </si>
  <si>
    <t>V10975</t>
  </si>
  <si>
    <t>P2058</t>
  </si>
  <si>
    <t>V10976</t>
  </si>
  <si>
    <t>V10977</t>
  </si>
  <si>
    <t>V10978</t>
  </si>
  <si>
    <t>V10979</t>
  </si>
  <si>
    <t>P2452</t>
  </si>
  <si>
    <t>V10980</t>
  </si>
  <si>
    <t>V10981</t>
  </si>
  <si>
    <t>P2263</t>
  </si>
  <si>
    <t>V10982</t>
  </si>
  <si>
    <t>V10983</t>
  </si>
  <si>
    <t>V10984</t>
  </si>
  <si>
    <t>V10985</t>
  </si>
  <si>
    <t>V10986</t>
  </si>
  <si>
    <t>V10987</t>
  </si>
  <si>
    <t>V10988</t>
  </si>
  <si>
    <t>P2483</t>
  </si>
  <si>
    <t>V10989</t>
  </si>
  <si>
    <t>P2303</t>
  </si>
  <si>
    <t>V10990</t>
  </si>
  <si>
    <t>P2107</t>
  </si>
  <si>
    <t>V10991</t>
  </si>
  <si>
    <t>P2112</t>
  </si>
  <si>
    <t>V10992</t>
  </si>
  <si>
    <t>V10993</t>
  </si>
  <si>
    <t>P2407</t>
  </si>
  <si>
    <t>V10994</t>
  </si>
  <si>
    <t>V10995</t>
  </si>
  <si>
    <t>V10996</t>
  </si>
  <si>
    <t>V10997</t>
  </si>
  <si>
    <t>V10998</t>
  </si>
  <si>
    <t>V10999</t>
  </si>
  <si>
    <t>V11000</t>
  </si>
  <si>
    <t>V11001</t>
  </si>
  <si>
    <t>P2341</t>
  </si>
  <si>
    <t>V11002</t>
  </si>
  <si>
    <t>V11003</t>
  </si>
  <si>
    <t>V11004</t>
  </si>
  <si>
    <t>P2387</t>
  </si>
  <si>
    <t>V11005</t>
  </si>
  <si>
    <t>V11006</t>
  </si>
  <si>
    <t>V11007</t>
  </si>
  <si>
    <t>V11008</t>
  </si>
  <si>
    <t>V11009</t>
  </si>
  <si>
    <t>P2478</t>
  </si>
  <si>
    <t>V11010</t>
  </si>
  <si>
    <t>V11011</t>
  </si>
  <si>
    <t>V11012</t>
  </si>
  <si>
    <t>P2485</t>
  </si>
  <si>
    <t>V11013</t>
  </si>
  <si>
    <t>V11014</t>
  </si>
  <si>
    <t>V11015</t>
  </si>
  <si>
    <t>P2579</t>
  </si>
  <si>
    <t>V11016</t>
  </si>
  <si>
    <t>V11017</t>
  </si>
  <si>
    <t>V11018</t>
  </si>
  <si>
    <t>V11019</t>
  </si>
  <si>
    <t>P2254</t>
  </si>
  <si>
    <t>V11020</t>
  </si>
  <si>
    <t>V11021</t>
  </si>
  <si>
    <t>V11022</t>
  </si>
  <si>
    <t>P2294</t>
  </si>
  <si>
    <t>V11023</t>
  </si>
  <si>
    <t>V11024</t>
  </si>
  <si>
    <t>P2504</t>
  </si>
  <si>
    <t>V11025</t>
  </si>
  <si>
    <t>P2523</t>
  </si>
  <si>
    <t>V11026</t>
  </si>
  <si>
    <t>V11027</t>
  </si>
  <si>
    <t>V11028</t>
  </si>
  <si>
    <t>V11029</t>
  </si>
  <si>
    <t>V11030</t>
  </si>
  <si>
    <t>V11031</t>
  </si>
  <si>
    <t>V11032</t>
  </si>
  <si>
    <t>V11033</t>
  </si>
  <si>
    <t>V11034</t>
  </si>
  <si>
    <t>V11035</t>
  </si>
  <si>
    <t>V11036</t>
  </si>
  <si>
    <t>V11037</t>
  </si>
  <si>
    <t>V11038</t>
  </si>
  <si>
    <t>V11039</t>
  </si>
  <si>
    <t>V11040</t>
  </si>
  <si>
    <t>V11041</t>
  </si>
  <si>
    <t>P2574</t>
  </si>
  <si>
    <t>V11042</t>
  </si>
  <si>
    <t>V11043</t>
  </si>
  <si>
    <t>V11044</t>
  </si>
  <si>
    <t>V11045</t>
  </si>
  <si>
    <t>V11046</t>
  </si>
  <si>
    <t>V11047</t>
  </si>
  <si>
    <t>V11048</t>
  </si>
  <si>
    <t>V11049</t>
  </si>
  <si>
    <t>V11050</t>
  </si>
  <si>
    <t>P2277</t>
  </si>
  <si>
    <t>V11051</t>
  </si>
  <si>
    <t>V11052</t>
  </si>
  <si>
    <t>V11053</t>
  </si>
  <si>
    <t>V11054</t>
  </si>
  <si>
    <t>V11055</t>
  </si>
  <si>
    <t>V11056</t>
  </si>
  <si>
    <t>V11057</t>
  </si>
  <si>
    <t>V11058</t>
  </si>
  <si>
    <t>P2529</t>
  </si>
  <si>
    <t>V11059</t>
  </si>
  <si>
    <t>V11060</t>
  </si>
  <si>
    <t>P2022</t>
  </si>
  <si>
    <t>V11061</t>
  </si>
  <si>
    <t>V11062</t>
  </si>
  <si>
    <t>V11063</t>
  </si>
  <si>
    <t>V11064</t>
  </si>
  <si>
    <t>V11065</t>
  </si>
  <si>
    <t>P2533</t>
  </si>
  <si>
    <t>V11066</t>
  </si>
  <si>
    <t>V11067</t>
  </si>
  <si>
    <t>V11068</t>
  </si>
  <si>
    <t>V11069</t>
  </si>
  <si>
    <t>V11070</t>
  </si>
  <si>
    <t>V11071</t>
  </si>
  <si>
    <t>V11072</t>
  </si>
  <si>
    <t>V11073</t>
  </si>
  <si>
    <t>V11074</t>
  </si>
  <si>
    <t>P2111</t>
  </si>
  <si>
    <t>V11075</t>
  </si>
  <si>
    <t>V11076</t>
  </si>
  <si>
    <t>P2400</t>
  </si>
  <si>
    <t>V11077</t>
  </si>
  <si>
    <t>P2001</t>
  </si>
  <si>
    <t>V11078</t>
  </si>
  <si>
    <t>V11079</t>
  </si>
  <si>
    <t>V11080</t>
  </si>
  <si>
    <t>V11081</t>
  </si>
  <si>
    <t>V11082</t>
  </si>
  <si>
    <t>V11083</t>
  </si>
  <si>
    <t>P2425</t>
  </si>
  <si>
    <t>V11084</t>
  </si>
  <si>
    <t>V11085</t>
  </si>
  <si>
    <t>V11086</t>
  </si>
  <si>
    <t>V11087</t>
  </si>
  <si>
    <t>V11088</t>
  </si>
  <si>
    <t>V11089</t>
  </si>
  <si>
    <t>V11090</t>
  </si>
  <si>
    <t>V11091</t>
  </si>
  <si>
    <t>V11092</t>
  </si>
  <si>
    <t>V11093</t>
  </si>
  <si>
    <t>V11094</t>
  </si>
  <si>
    <t>V11095</t>
  </si>
  <si>
    <t>V11096</t>
  </si>
  <si>
    <t>P2388</t>
  </si>
  <si>
    <t>V11097</t>
  </si>
  <si>
    <t>V11098</t>
  </si>
  <si>
    <t>V11099</t>
  </si>
  <si>
    <t>V11100</t>
  </si>
  <si>
    <t>V11101</t>
  </si>
  <si>
    <t>V11102</t>
  </si>
  <si>
    <t>P2320</t>
  </si>
  <si>
    <t>V11103</t>
  </si>
  <si>
    <t>P2563</t>
  </si>
  <si>
    <t>V11104</t>
  </si>
  <si>
    <t>V11105</t>
  </si>
  <si>
    <t>V11106</t>
  </si>
  <si>
    <t>V11107</t>
  </si>
  <si>
    <t>P2558</t>
  </si>
  <si>
    <t>V11108</t>
  </si>
  <si>
    <t>V11109</t>
  </si>
  <si>
    <t>V11110</t>
  </si>
  <si>
    <t>P2479</t>
  </si>
  <si>
    <t>V11111</t>
  </si>
  <si>
    <t>V11112</t>
  </si>
  <si>
    <t>V11113</t>
  </si>
  <si>
    <t>V11114</t>
  </si>
  <si>
    <t>V11115</t>
  </si>
  <si>
    <t>V11116</t>
  </si>
  <si>
    <t>V11117</t>
  </si>
  <si>
    <t>V11118</t>
  </si>
  <si>
    <t>V11119</t>
  </si>
  <si>
    <t>P2493</t>
  </si>
  <si>
    <t>V11120</t>
  </si>
  <si>
    <t>V11121</t>
  </si>
  <si>
    <t>V11122</t>
  </si>
  <si>
    <t>V11123</t>
  </si>
  <si>
    <t>V11124</t>
  </si>
  <si>
    <t>V11125</t>
  </si>
  <si>
    <t>V11126</t>
  </si>
  <si>
    <t>V11127</t>
  </si>
  <si>
    <t>P2168</t>
  </si>
  <si>
    <t>V11128</t>
  </si>
  <si>
    <t>P2460</t>
  </si>
  <si>
    <t>V11129</t>
  </si>
  <si>
    <t>V11130</t>
  </si>
  <si>
    <t>V11131</t>
  </si>
  <si>
    <t>V11132</t>
  </si>
  <si>
    <t>V11133</t>
  </si>
  <si>
    <t>V11134</t>
  </si>
  <si>
    <t>P2116</t>
  </si>
  <si>
    <t>V11135</t>
  </si>
  <si>
    <t>V11136</t>
  </si>
  <si>
    <t>V11137</t>
  </si>
  <si>
    <t>V11138</t>
  </si>
  <si>
    <t>P2428</t>
  </si>
  <si>
    <t>V11139</t>
  </si>
  <si>
    <t>V11140</t>
  </si>
  <si>
    <t>P2242</t>
  </si>
  <si>
    <t>V11141</t>
  </si>
  <si>
    <t>V11142</t>
  </si>
  <si>
    <t>V11143</t>
  </si>
  <si>
    <t>V11144</t>
  </si>
  <si>
    <t>V11145</t>
  </si>
  <si>
    <t>V11146</t>
  </si>
  <si>
    <t>V11147</t>
  </si>
  <si>
    <t>V11148</t>
  </si>
  <si>
    <t>V11149</t>
  </si>
  <si>
    <t>V11150</t>
  </si>
  <si>
    <t>P2496</t>
  </si>
  <si>
    <t>V11151</t>
  </si>
  <si>
    <t>V11152</t>
  </si>
  <si>
    <t>V11153</t>
  </si>
  <si>
    <t>V11154</t>
  </si>
  <si>
    <t>P2114</t>
  </si>
  <si>
    <t>V11155</t>
  </si>
  <si>
    <t>V11156</t>
  </si>
  <si>
    <t>V11157</t>
  </si>
  <si>
    <t>V11158</t>
  </si>
  <si>
    <t>V11159</t>
  </si>
  <si>
    <t>V11160</t>
  </si>
  <si>
    <t>V11161</t>
  </si>
  <si>
    <t>V11162</t>
  </si>
  <si>
    <t>P2476</t>
  </si>
  <si>
    <t>V11163</t>
  </si>
  <si>
    <t>V11164</t>
  </si>
  <si>
    <t>P2245</t>
  </si>
  <si>
    <t>V11165</t>
  </si>
  <si>
    <t>V11166</t>
  </si>
  <si>
    <t>V11167</t>
  </si>
  <si>
    <t>V11168</t>
  </si>
  <si>
    <t>V11169</t>
  </si>
  <si>
    <t>V11170</t>
  </si>
  <si>
    <t>V11171</t>
  </si>
  <si>
    <t>V11172</t>
  </si>
  <si>
    <t>P2053</t>
  </si>
  <si>
    <t>V11173</t>
  </si>
  <si>
    <t>V11174</t>
  </si>
  <si>
    <t>V11175</t>
  </si>
  <si>
    <t>V11176</t>
  </si>
  <si>
    <t>V11177</t>
  </si>
  <si>
    <t>P2223</t>
  </si>
  <si>
    <t>V11178</t>
  </si>
  <si>
    <t>V11179</t>
  </si>
  <si>
    <t>V11180</t>
  </si>
  <si>
    <t>V11181</t>
  </si>
  <si>
    <t>P2171</t>
  </si>
  <si>
    <t>V11182</t>
  </si>
  <si>
    <t>V11183</t>
  </si>
  <si>
    <t>V11184</t>
  </si>
  <si>
    <t>V11185</t>
  </si>
  <si>
    <t>V11186</t>
  </si>
  <si>
    <t>V11187</t>
  </si>
  <si>
    <t>V11188</t>
  </si>
  <si>
    <t>V11189</t>
  </si>
  <si>
    <t>V11190</t>
  </si>
  <si>
    <t>V11191</t>
  </si>
  <si>
    <t>V11192</t>
  </si>
  <si>
    <t>V11193</t>
  </si>
  <si>
    <t>V11194</t>
  </si>
  <si>
    <t>V11195</t>
  </si>
  <si>
    <t>V11196</t>
  </si>
  <si>
    <t>P2386</t>
  </si>
  <si>
    <t>V11197</t>
  </si>
  <si>
    <t>V11198</t>
  </si>
  <si>
    <t>V11199</t>
  </si>
  <si>
    <t>V11200</t>
  </si>
  <si>
    <t>P2205</t>
  </si>
  <si>
    <t>V11201</t>
  </si>
  <si>
    <t>V11202</t>
  </si>
  <si>
    <t>V11203</t>
  </si>
  <si>
    <t>V11204</t>
  </si>
  <si>
    <t>V11205</t>
  </si>
  <si>
    <t>V11206</t>
  </si>
  <si>
    <t>V11207</t>
  </si>
  <si>
    <t>V11208</t>
  </si>
  <si>
    <t>V11209</t>
  </si>
  <si>
    <t>V11210</t>
  </si>
  <si>
    <t>V11211</t>
  </si>
  <si>
    <t>V11212</t>
  </si>
  <si>
    <t>V11213</t>
  </si>
  <si>
    <t>P2286</t>
  </si>
  <si>
    <t>V11214</t>
  </si>
  <si>
    <t>V11215</t>
  </si>
  <si>
    <t>V11216</t>
  </si>
  <si>
    <t>V11217</t>
  </si>
  <si>
    <t>P2332</t>
  </si>
  <si>
    <t>V11218</t>
  </si>
  <si>
    <t>V11219</t>
  </si>
  <si>
    <t>V11220</t>
  </si>
  <si>
    <t>V11221</t>
  </si>
  <si>
    <t>V11222</t>
  </si>
  <si>
    <t>V11223</t>
  </si>
  <si>
    <t>V11224</t>
  </si>
  <si>
    <t>V11225</t>
  </si>
  <si>
    <t>V11226</t>
  </si>
  <si>
    <t>V11227</t>
  </si>
  <si>
    <t>V11228</t>
  </si>
  <si>
    <t>P2164</t>
  </si>
  <si>
    <t>V11229</t>
  </si>
  <si>
    <t>V11230</t>
  </si>
  <si>
    <t>V11231</t>
  </si>
  <si>
    <t>V11232</t>
  </si>
  <si>
    <t>V11233</t>
  </si>
  <si>
    <t>V11234</t>
  </si>
  <si>
    <t>V11235</t>
  </si>
  <si>
    <t>V11236</t>
  </si>
  <si>
    <t>V11237</t>
  </si>
  <si>
    <t>V11238</t>
  </si>
  <si>
    <t>V11239</t>
  </si>
  <si>
    <t>V11240</t>
  </si>
  <si>
    <t>V11241</t>
  </si>
  <si>
    <t>V11242</t>
  </si>
  <si>
    <t>V11243</t>
  </si>
  <si>
    <t>V11244</t>
  </si>
  <si>
    <t>V11245</t>
  </si>
  <si>
    <t>V11246</t>
  </si>
  <si>
    <t>P2559</t>
  </si>
  <si>
    <t>V11247</t>
  </si>
  <si>
    <t>V11248</t>
  </si>
  <si>
    <t>V11249</t>
  </si>
  <si>
    <t>V11250</t>
  </si>
  <si>
    <t>P2499</t>
  </si>
  <si>
    <t>V11251</t>
  </si>
  <si>
    <t>V11252</t>
  </si>
  <si>
    <t>P2365</t>
  </si>
  <si>
    <t>V11253</t>
  </si>
  <si>
    <t>V11254</t>
  </si>
  <si>
    <t>V11255</t>
  </si>
  <si>
    <t>V11256</t>
  </si>
  <si>
    <t>V11257</t>
  </si>
  <si>
    <t>V11258</t>
  </si>
  <si>
    <t>V11259</t>
  </si>
  <si>
    <t>V11260</t>
  </si>
  <si>
    <t>V11261</t>
  </si>
  <si>
    <t>V11262</t>
  </si>
  <si>
    <t>V11263</t>
  </si>
  <si>
    <t>V11264</t>
  </si>
  <si>
    <t>V11265</t>
  </si>
  <si>
    <t>V11266</t>
  </si>
  <si>
    <t>V11267</t>
  </si>
  <si>
    <t>P2557</t>
  </si>
  <si>
    <t>V11268</t>
  </si>
  <si>
    <t>V11269</t>
  </si>
  <si>
    <t>V11270</t>
  </si>
  <si>
    <t>V11271</t>
  </si>
  <si>
    <t>P2567</t>
  </si>
  <si>
    <t>V11272</t>
  </si>
  <si>
    <t>V11273</t>
  </si>
  <si>
    <t>V11274</t>
  </si>
  <si>
    <t>V11275</t>
  </si>
  <si>
    <t>V11276</t>
  </si>
  <si>
    <t>V11277</t>
  </si>
  <si>
    <t>V11278</t>
  </si>
  <si>
    <t>V11279</t>
  </si>
  <si>
    <t>V11280</t>
  </si>
  <si>
    <t>V11281</t>
  </si>
  <si>
    <t>V11282</t>
  </si>
  <si>
    <t>P2565</t>
  </si>
  <si>
    <t>V11283</t>
  </si>
  <si>
    <t>V11284</t>
  </si>
  <si>
    <t>V11285</t>
  </si>
  <si>
    <t>V11286</t>
  </si>
  <si>
    <t>V11287</t>
  </si>
  <si>
    <t>V11288</t>
  </si>
  <si>
    <t>P2534</t>
  </si>
  <si>
    <t>V11289</t>
  </si>
  <si>
    <t>P2256</t>
  </si>
  <si>
    <t>V11290</t>
  </si>
  <si>
    <t>V11291</t>
  </si>
  <si>
    <t>V11292</t>
  </si>
  <si>
    <t>V11293</t>
  </si>
  <si>
    <t>V11294</t>
  </si>
  <si>
    <t>V11295</t>
  </si>
  <si>
    <t>V11296</t>
  </si>
  <si>
    <t>V11297</t>
  </si>
  <si>
    <t>V11298</t>
  </si>
  <si>
    <t>V11299</t>
  </si>
  <si>
    <t>V11300</t>
  </si>
  <si>
    <t>V11301</t>
  </si>
  <si>
    <t>V11302</t>
  </si>
  <si>
    <t>V11303</t>
  </si>
  <si>
    <t>V11304</t>
  </si>
  <si>
    <t>V11305</t>
  </si>
  <si>
    <t>V11306</t>
  </si>
  <si>
    <t>V11307</t>
  </si>
  <si>
    <t>V11308</t>
  </si>
  <si>
    <t>V11309</t>
  </si>
  <si>
    <t>V11310</t>
  </si>
  <si>
    <t>V11311</t>
  </si>
  <si>
    <t>V11312</t>
  </si>
  <si>
    <t>V11313</t>
  </si>
  <si>
    <t>V11314</t>
  </si>
  <si>
    <t>V11315</t>
  </si>
  <si>
    <t>V11316</t>
  </si>
  <si>
    <t>P2588</t>
  </si>
  <si>
    <t>V11317</t>
  </si>
  <si>
    <t>V11318</t>
  </si>
  <si>
    <t>V11319</t>
  </si>
  <si>
    <t>V11320</t>
  </si>
  <si>
    <t>V11321</t>
  </si>
  <si>
    <t>V11322</t>
  </si>
  <si>
    <t>V11323</t>
  </si>
  <si>
    <t>V11324</t>
  </si>
  <si>
    <t>V11325</t>
  </si>
  <si>
    <t>V11326</t>
  </si>
  <si>
    <t>V11327</t>
  </si>
  <si>
    <t>V11328</t>
  </si>
  <si>
    <t>V11329</t>
  </si>
  <si>
    <t>V11330</t>
  </si>
  <si>
    <t>V11331</t>
  </si>
  <si>
    <t>V11332</t>
  </si>
  <si>
    <t>V11333</t>
  </si>
  <si>
    <t>P2269</t>
  </si>
  <si>
    <t>V11334</t>
  </si>
  <si>
    <t>V11335</t>
  </si>
  <si>
    <t>V11336</t>
  </si>
  <si>
    <t>V11337</t>
  </si>
  <si>
    <t>V11338</t>
  </si>
  <si>
    <t>V11339</t>
  </si>
  <si>
    <t>V11340</t>
  </si>
  <si>
    <t>V11341</t>
  </si>
  <si>
    <t>P2216</t>
  </si>
  <si>
    <t>V11342</t>
  </si>
  <si>
    <t>V11343</t>
  </si>
  <si>
    <t>V11344</t>
  </si>
  <si>
    <t>V11345</t>
  </si>
  <si>
    <t>V11346</t>
  </si>
  <si>
    <t>V11347</t>
  </si>
  <si>
    <t>V11348</t>
  </si>
  <si>
    <t>V11349</t>
  </si>
  <si>
    <t>V11350</t>
  </si>
  <si>
    <t>V11351</t>
  </si>
  <si>
    <t>V11352</t>
  </si>
  <si>
    <t>V11353</t>
  </si>
  <si>
    <t>V11354</t>
  </si>
  <si>
    <t>V11355</t>
  </si>
  <si>
    <t>V11356</t>
  </si>
  <si>
    <t>V11357</t>
  </si>
  <si>
    <t>V11358</t>
  </si>
  <si>
    <t>V11359</t>
  </si>
  <si>
    <t>V11360</t>
  </si>
  <si>
    <t>V11361</t>
  </si>
  <si>
    <t>V11362</t>
  </si>
  <si>
    <t>V11363</t>
  </si>
  <si>
    <t>V11364</t>
  </si>
  <si>
    <t>P2227</t>
  </si>
  <si>
    <t>V11365</t>
  </si>
  <si>
    <t>V11366</t>
  </si>
  <si>
    <t>V11367</t>
  </si>
  <si>
    <t>V11368</t>
  </si>
  <si>
    <t>V11369</t>
  </si>
  <si>
    <t>V11370</t>
  </si>
  <si>
    <t>V11371</t>
  </si>
  <si>
    <t>P2578</t>
  </si>
  <si>
    <t>V11372</t>
  </si>
  <si>
    <t>V11373</t>
  </si>
  <si>
    <t>V11374</t>
  </si>
  <si>
    <t>V11375</t>
  </si>
  <si>
    <t>V11376</t>
  </si>
  <si>
    <t>P2248</t>
  </si>
  <si>
    <t>V11377</t>
  </si>
  <si>
    <t>V11378</t>
  </si>
  <si>
    <t>V11379</t>
  </si>
  <si>
    <t>V11380</t>
  </si>
  <si>
    <t>V11381</t>
  </si>
  <si>
    <t>V11382</t>
  </si>
  <si>
    <t>V11383</t>
  </si>
  <si>
    <t>V11384</t>
  </si>
  <si>
    <t>V11385</t>
  </si>
  <si>
    <t>V11386</t>
  </si>
  <si>
    <t>V11387</t>
  </si>
  <si>
    <t>V11388</t>
  </si>
  <si>
    <t>V11389</t>
  </si>
  <si>
    <t>V11390</t>
  </si>
  <si>
    <t>V11391</t>
  </si>
  <si>
    <t>V11392</t>
  </si>
  <si>
    <t>V11393</t>
  </si>
  <si>
    <t>V11394</t>
  </si>
  <si>
    <t>V11395</t>
  </si>
  <si>
    <t>V11396</t>
  </si>
  <si>
    <t>P2441</t>
  </si>
  <si>
    <t>V11397</t>
  </si>
  <si>
    <t>P2364</t>
  </si>
  <si>
    <t>V11398</t>
  </si>
  <si>
    <t>P2120</t>
  </si>
  <si>
    <t>V11399</t>
  </si>
  <si>
    <t>P2084</t>
  </si>
  <si>
    <t>V11400</t>
  </si>
  <si>
    <t>P2190</t>
  </si>
  <si>
    <t>Patient Name</t>
  </si>
  <si>
    <t>Age</t>
  </si>
  <si>
    <t>Gender</t>
  </si>
  <si>
    <t>Area</t>
  </si>
  <si>
    <t>Zone</t>
  </si>
  <si>
    <t>Blood Type</t>
  </si>
  <si>
    <t>Chronic Condition</t>
  </si>
  <si>
    <t>Smoking Status</t>
  </si>
  <si>
    <t>Risk Group</t>
  </si>
  <si>
    <t>Registration Date</t>
  </si>
  <si>
    <t>Emergency Contact Available</t>
  </si>
  <si>
    <t>Mithila Barua</t>
  </si>
  <si>
    <t>Female</t>
  </si>
  <si>
    <t>Savar</t>
  </si>
  <si>
    <t>Outer Dhaka</t>
  </si>
  <si>
    <t>AB+</t>
  </si>
  <si>
    <t>None</t>
  </si>
  <si>
    <t>Never</t>
  </si>
  <si>
    <t>Low</t>
  </si>
  <si>
    <t>Lubna Chowdhury</t>
  </si>
  <si>
    <t>Farmgate</t>
  </si>
  <si>
    <t>Central Dhaka</t>
  </si>
  <si>
    <t>Current Smoker</t>
  </si>
  <si>
    <t>High</t>
  </si>
  <si>
    <t>Lubna Karim</t>
  </si>
  <si>
    <t>Male</t>
  </si>
  <si>
    <t>Keraniganj</t>
  </si>
  <si>
    <t>Diabetes</t>
  </si>
  <si>
    <t>Former Smoker</t>
  </si>
  <si>
    <t>Mehedi Hasan</t>
  </si>
  <si>
    <t>B-</t>
  </si>
  <si>
    <t>Mahmud Barua</t>
  </si>
  <si>
    <t>O-</t>
  </si>
  <si>
    <t>Medium</t>
  </si>
  <si>
    <t>Sabrina Ahmed</t>
  </si>
  <si>
    <t>Uttara</t>
  </si>
  <si>
    <t>North Dhaka</t>
  </si>
  <si>
    <t>A-</t>
  </si>
  <si>
    <t>Asthma</t>
  </si>
  <si>
    <t>P2007</t>
  </si>
  <si>
    <t>Farhan Sultana</t>
  </si>
  <si>
    <t>Badda</t>
  </si>
  <si>
    <t>East Dhaka</t>
  </si>
  <si>
    <t>A+</t>
  </si>
  <si>
    <t>P2008</t>
  </si>
  <si>
    <t>Tanvir Khan</t>
  </si>
  <si>
    <t>Mirpur</t>
  </si>
  <si>
    <t>Ayesha Islam</t>
  </si>
  <si>
    <t>Motijheel</t>
  </si>
  <si>
    <t>South Dhaka</t>
  </si>
  <si>
    <t>Hasan Uddin</t>
  </si>
  <si>
    <t>Jatrabari</t>
  </si>
  <si>
    <t>B+</t>
  </si>
  <si>
    <t>Asif Hasan</t>
  </si>
  <si>
    <t>Gulshan</t>
  </si>
  <si>
    <t>O+</t>
  </si>
  <si>
    <t>Arif Roy</t>
  </si>
  <si>
    <t>Mohammadpur</t>
  </si>
  <si>
    <t>COPD</t>
  </si>
  <si>
    <t>Faria Karim</t>
  </si>
  <si>
    <t>Lubna Ali</t>
  </si>
  <si>
    <t>Khilgaon</t>
  </si>
  <si>
    <t>Momena Barua</t>
  </si>
  <si>
    <t>AB-</t>
  </si>
  <si>
    <t>Ayesha Hossain</t>
  </si>
  <si>
    <t>Hypertension</t>
  </si>
  <si>
    <t>Nusrat Akter</t>
  </si>
  <si>
    <t>Aarif Das</t>
  </si>
  <si>
    <t>Bashundhara</t>
  </si>
  <si>
    <t>Sharmin Hasan</t>
  </si>
  <si>
    <t>Mehedi Ali</t>
  </si>
  <si>
    <t>P2023</t>
  </si>
  <si>
    <t>Tareq Chowdhury</t>
  </si>
  <si>
    <t>Mehedi Begum</t>
  </si>
  <si>
    <t>Banani</t>
  </si>
  <si>
    <t>P2025</t>
  </si>
  <si>
    <t>Imran Ahmed</t>
  </si>
  <si>
    <t>Samira Karim</t>
  </si>
  <si>
    <t>Rakib Jahan</t>
  </si>
  <si>
    <t>Khalid Akter</t>
  </si>
  <si>
    <t>Lubna Roy</t>
  </si>
  <si>
    <t>Jannat Uddin</t>
  </si>
  <si>
    <t>Sabrina Biswas</t>
  </si>
  <si>
    <t>Tanvir Sultana</t>
  </si>
  <si>
    <t>Farhan Das</t>
  </si>
  <si>
    <t>Farhan Hossain</t>
  </si>
  <si>
    <t>Tanvir Jahan</t>
  </si>
  <si>
    <t>Mithila Begum</t>
  </si>
  <si>
    <t>P2037</t>
  </si>
  <si>
    <t>Asif Chowdhury</t>
  </si>
  <si>
    <t>Maliha Akter</t>
  </si>
  <si>
    <t>Khalid Islam</t>
  </si>
  <si>
    <t>Nusrat Sultana</t>
  </si>
  <si>
    <t>Shuvo Hossain</t>
  </si>
  <si>
    <t>Hasan Mia</t>
  </si>
  <si>
    <t>Jannat Ali</t>
  </si>
  <si>
    <t>Tanvir Ahmed</t>
  </si>
  <si>
    <t>Sabrina Sarker</t>
  </si>
  <si>
    <t>Aarif Hossain</t>
  </si>
  <si>
    <t>female</t>
  </si>
  <si>
    <t>P2050</t>
  </si>
  <si>
    <t>Mehedi Uddin</t>
  </si>
  <si>
    <t>Kidney Disease</t>
  </si>
  <si>
    <t>Mehedi Rahman</t>
  </si>
  <si>
    <t>Khalid Chowdhury</t>
  </si>
  <si>
    <t>Sadia Uddin</t>
  </si>
  <si>
    <t>Lubna Sarker</t>
  </si>
  <si>
    <t>Dhanmondi</t>
  </si>
  <si>
    <t>Sharmin Islam</t>
  </si>
  <si>
    <t>Nadia Roy</t>
  </si>
  <si>
    <t>Lubna Mia</t>
  </si>
  <si>
    <t>Rafi Karim</t>
  </si>
  <si>
    <t>Sadia Hossain</t>
  </si>
  <si>
    <t>Rafi Uddin</t>
  </si>
  <si>
    <t>Jannat Karim</t>
  </si>
  <si>
    <t>P2065</t>
  </si>
  <si>
    <t>Sadia Hasan</t>
  </si>
  <si>
    <t>Priya Hasan</t>
  </si>
  <si>
    <t>Samira Barua</t>
  </si>
  <si>
    <t>Tareq Jahan</t>
  </si>
  <si>
    <t>Mehedi Mia</t>
  </si>
  <si>
    <t>Rumana Uddin</t>
  </si>
  <si>
    <t>Arif Ahmed</t>
  </si>
  <si>
    <t>Rafi Begum</t>
  </si>
  <si>
    <t>Nadia Mia</t>
  </si>
  <si>
    <t>Mehedi Das</t>
  </si>
  <si>
    <t>P2076</t>
  </si>
  <si>
    <t>Sharmin Karim</t>
  </si>
  <si>
    <t>Wari</t>
  </si>
  <si>
    <t>Rumana Islam</t>
  </si>
  <si>
    <t>P2079</t>
  </si>
  <si>
    <t>Nadia Das</t>
  </si>
  <si>
    <t>P2080</t>
  </si>
  <si>
    <t>Sabrina Akter</t>
  </si>
  <si>
    <t>Rafi Hasan</t>
  </si>
  <si>
    <t>Aarif Chowdhury</t>
  </si>
  <si>
    <t>Maliha Ali</t>
  </si>
  <si>
    <t>Imran Rahman</t>
  </si>
  <si>
    <t>P2087</t>
  </si>
  <si>
    <t>Rafi Biswas</t>
  </si>
  <si>
    <t>Priya Sarker</t>
  </si>
  <si>
    <t>Farhan Begum</t>
  </si>
  <si>
    <t>Maliha Das</t>
  </si>
  <si>
    <t>P2092</t>
  </si>
  <si>
    <t>Faria Begum</t>
  </si>
  <si>
    <t>Heart Disease</t>
  </si>
  <si>
    <t>Mehedi Biswas</t>
  </si>
  <si>
    <t>Mithila Rahman</t>
  </si>
  <si>
    <t>Hasan Akter</t>
  </si>
  <si>
    <t>Nusrat Islam</t>
  </si>
  <si>
    <t>Tareq Begum</t>
  </si>
  <si>
    <t>Shuvo Ahmed</t>
  </si>
  <si>
    <t>Asif Sultana</t>
  </si>
  <si>
    <t>Saiful Begum</t>
  </si>
  <si>
    <t>Khalid Das</t>
  </si>
  <si>
    <t>Faria Jahan</t>
  </si>
  <si>
    <t>P2105</t>
  </si>
  <si>
    <t>Mehedi Islam</t>
  </si>
  <si>
    <t>Asif Uddin</t>
  </si>
  <si>
    <t>Imran Khan</t>
  </si>
  <si>
    <t>Mithila Sarker</t>
  </si>
  <si>
    <t>Rakib Ahmed</t>
  </si>
  <si>
    <t>Shuvo Mia</t>
  </si>
  <si>
    <t>P2113</t>
  </si>
  <si>
    <t>Mahmud Jahan</t>
  </si>
  <si>
    <t>Saiful Islam</t>
  </si>
  <si>
    <t>Samira Begum</t>
  </si>
  <si>
    <t>Nusrat Begum</t>
  </si>
  <si>
    <t>Nadia Jahan</t>
  </si>
  <si>
    <t>Hasan Sarker</t>
  </si>
  <si>
    <t>P2122</t>
  </si>
  <si>
    <t>Sharmin Das</t>
  </si>
  <si>
    <t>Jannat Hossain</t>
  </si>
  <si>
    <t>Mithila Hasan</t>
  </si>
  <si>
    <t>Sadia Ahmed</t>
  </si>
  <si>
    <t>Maliha Ahmed</t>
  </si>
  <si>
    <t>Aarif Sarker</t>
  </si>
  <si>
    <t>Mithila Hossain</t>
  </si>
  <si>
    <t>Ayesha Khan</t>
  </si>
  <si>
    <t>Tanvir Ali</t>
  </si>
  <si>
    <t>Ayesha Uddin</t>
  </si>
  <si>
    <t>P2134</t>
  </si>
  <si>
    <t>Rafi Sultana</t>
  </si>
  <si>
    <t>Rumana Das</t>
  </si>
  <si>
    <t>Saiful Ahmed</t>
  </si>
  <si>
    <t>P2140</t>
  </si>
  <si>
    <t>Mithila Mia</t>
  </si>
  <si>
    <t>Khalid Hossain</t>
  </si>
  <si>
    <t>Other</t>
  </si>
  <si>
    <t>Hasan Hasan</t>
  </si>
  <si>
    <t>Jannat Roy</t>
  </si>
  <si>
    <t>Rakib Islam</t>
  </si>
  <si>
    <t>Rakib Khan</t>
  </si>
  <si>
    <t>P2149</t>
  </si>
  <si>
    <t>Imran Jahan</t>
  </si>
  <si>
    <t>P2150</t>
  </si>
  <si>
    <t>Rumana Biswas</t>
  </si>
  <si>
    <t>Farhan Roy</t>
  </si>
  <si>
    <t>Shuvo Uddin</t>
  </si>
  <si>
    <t>Farhan Khan</t>
  </si>
  <si>
    <t>Sadia Das</t>
  </si>
  <si>
    <t>Jannat Hasan</t>
  </si>
  <si>
    <t>Hasan Ali</t>
  </si>
  <si>
    <t>Nusrat Ahmed</t>
  </si>
  <si>
    <t>P2160</t>
  </si>
  <si>
    <t>Maliha Islam</t>
  </si>
  <si>
    <t>P2162</t>
  </si>
  <si>
    <t>Hasan Islam</t>
  </si>
  <si>
    <t>Hasan Barua</t>
  </si>
  <si>
    <t>Rumana Ahmed</t>
  </si>
  <si>
    <t>Samira Hasan</t>
  </si>
  <si>
    <t>Asif Biswas</t>
  </si>
  <si>
    <t>Farhan Hasan</t>
  </si>
  <si>
    <t>Khalid Uddin</t>
  </si>
  <si>
    <t>Mahmud Das</t>
  </si>
  <si>
    <t>Nusrat Sarker</t>
  </si>
  <si>
    <t>Asif Islam</t>
  </si>
  <si>
    <t>Asif Jahan</t>
  </si>
  <si>
    <t>Rumana Jahan</t>
  </si>
  <si>
    <t>Imran Barua</t>
  </si>
  <si>
    <t>Imran Sultana</t>
  </si>
  <si>
    <t>Faria Mia</t>
  </si>
  <si>
    <t>Mahmud Hasan</t>
  </si>
  <si>
    <t>Priya Das</t>
  </si>
  <si>
    <t>Priya Hossain</t>
  </si>
  <si>
    <t>P2186</t>
  </si>
  <si>
    <t>Arif Sarker</t>
  </si>
  <si>
    <t>P2188</t>
  </si>
  <si>
    <t>Nusrat Hossain</t>
  </si>
  <si>
    <t>Arif Mia</t>
  </si>
  <si>
    <t>Mithila Karim</t>
  </si>
  <si>
    <t>Asif Rahman</t>
  </si>
  <si>
    <t>Farhan Karim</t>
  </si>
  <si>
    <t>Tanvir Karim</t>
  </si>
  <si>
    <t>Asif Ahmed</t>
  </si>
  <si>
    <t>Priya Khan</t>
  </si>
  <si>
    <t>Arif Chowdhury</t>
  </si>
  <si>
    <t>Momena Ahmed</t>
  </si>
  <si>
    <t>Imran Hossain</t>
  </si>
  <si>
    <t>P2201</t>
  </si>
  <si>
    <t>Faria Hossain</t>
  </si>
  <si>
    <t>Momena Khan</t>
  </si>
  <si>
    <t>Khalid Biswas</t>
  </si>
  <si>
    <t>P2204</t>
  </si>
  <si>
    <t>Imran Das</t>
  </si>
  <si>
    <t>Mithila Khan</t>
  </si>
  <si>
    <t>P2206</t>
  </si>
  <si>
    <t>Saiful Roy</t>
  </si>
  <si>
    <t>Imran Hasan</t>
  </si>
  <si>
    <t>Samira Biswas</t>
  </si>
  <si>
    <t>Shuvo Rahman</t>
  </si>
  <si>
    <t>P2212</t>
  </si>
  <si>
    <t>Farhan Biswas</t>
  </si>
  <si>
    <t>Maliha Sarker</t>
  </si>
  <si>
    <t>Momena Hossain</t>
  </si>
  <si>
    <t>Asif Mia</t>
  </si>
  <si>
    <t>Sabrina Ali</t>
  </si>
  <si>
    <t>Shuvo Hasan</t>
  </si>
  <si>
    <t>Rafi Das</t>
  </si>
  <si>
    <t>Ayesha Barua</t>
  </si>
  <si>
    <t>P2224</t>
  </si>
  <si>
    <t>Rakib Mia</t>
  </si>
  <si>
    <t>Jannat Jahan</t>
  </si>
  <si>
    <t>Sadia Jahan</t>
  </si>
  <si>
    <t>Jannat Biswas</t>
  </si>
  <si>
    <t>Tanvir Begum</t>
  </si>
  <si>
    <t>Lubna Barua</t>
  </si>
  <si>
    <t>Imran Mia</t>
  </si>
  <si>
    <t>P2235</t>
  </si>
  <si>
    <t>Saiful Hasan</t>
  </si>
  <si>
    <t>Aarif Uddin</t>
  </si>
  <si>
    <t>Lubna Akter</t>
  </si>
  <si>
    <t>Nusrat Karim</t>
  </si>
  <si>
    <t>Jannat Mia</t>
  </si>
  <si>
    <t>Samira Uddin</t>
  </si>
  <si>
    <t>Khalid Jahan</t>
  </si>
  <si>
    <t>Sadia Sarker</t>
  </si>
  <si>
    <t>Sharmin Jahan</t>
  </si>
  <si>
    <t>Tanvir Roy</t>
  </si>
  <si>
    <t>Asif Ali</t>
  </si>
  <si>
    <t>Nusrat Ali</t>
  </si>
  <si>
    <t>Faria Biswas</t>
  </si>
  <si>
    <t>Ayesha Sultana</t>
  </si>
  <si>
    <t>Asif Begum</t>
  </si>
  <si>
    <t>Khalid Khan</t>
  </si>
  <si>
    <t>other</t>
  </si>
  <si>
    <t>Rafi Roy</t>
  </si>
  <si>
    <t>Mahmud Akter</t>
  </si>
  <si>
    <t>Sadia Roy</t>
  </si>
  <si>
    <t>Momena Chowdhury</t>
  </si>
  <si>
    <t>Shuvo Chowdhury</t>
  </si>
  <si>
    <t>Rumana Hasan</t>
  </si>
  <si>
    <t>Nadia Sarker</t>
  </si>
  <si>
    <t>Samira Islam</t>
  </si>
  <si>
    <t>Priya Ali</t>
  </si>
  <si>
    <t>Jannat Khan</t>
  </si>
  <si>
    <t>P2267</t>
  </si>
  <si>
    <t>Samira Jahan</t>
  </si>
  <si>
    <t>Lubna Hasan</t>
  </si>
  <si>
    <t>Sadia Mia</t>
  </si>
  <si>
    <t>Tanvir Rahman</t>
  </si>
  <si>
    <t>Momena Akter</t>
  </si>
  <si>
    <t>P2273</t>
  </si>
  <si>
    <t>Samira Chowdhury</t>
  </si>
  <si>
    <t>Sadia Sultana</t>
  </si>
  <si>
    <t>Khalid Roy</t>
  </si>
  <si>
    <t>Nadia Begum</t>
  </si>
  <si>
    <t>P2280</t>
  </si>
  <si>
    <t>P2281</t>
  </si>
  <si>
    <t>Sharmin Akter</t>
  </si>
  <si>
    <t>Aarif Mia</t>
  </si>
  <si>
    <t>Sabrina Khan</t>
  </si>
  <si>
    <t>Saiful Karim</t>
  </si>
  <si>
    <t>P2288</t>
  </si>
  <si>
    <t>Asif Akter</t>
  </si>
  <si>
    <t>Mehedi Khan</t>
  </si>
  <si>
    <t>Sabrina Chowdhury</t>
  </si>
  <si>
    <t>Nusrat Hasan</t>
  </si>
  <si>
    <t>Sabrina Hossain</t>
  </si>
  <si>
    <t>Tareq Ahmed</t>
  </si>
  <si>
    <t>Jannat Chowdhury</t>
  </si>
  <si>
    <t>Imran Sarker</t>
  </si>
  <si>
    <t>Mithila Roy</t>
  </si>
  <si>
    <t>Nadia Sultana</t>
  </si>
  <si>
    <t>Mehedi Chowdhury</t>
  </si>
  <si>
    <t>Faria Das</t>
  </si>
  <si>
    <t>Saiful Chowdhury</t>
  </si>
  <si>
    <t>Asif Roy</t>
  </si>
  <si>
    <t>Maliha Uddin</t>
  </si>
  <si>
    <t>Samira Khan</t>
  </si>
  <si>
    <t>Rumana Rahman</t>
  </si>
  <si>
    <t>Maliha Hossain</t>
  </si>
  <si>
    <t>Priya Uddin</t>
  </si>
  <si>
    <t>Rafi Akter</t>
  </si>
  <si>
    <t>Mahmud Roy</t>
  </si>
  <si>
    <t>Maliha Rahman</t>
  </si>
  <si>
    <t>Samira Sultana</t>
  </si>
  <si>
    <t>Jannat Barua</t>
  </si>
  <si>
    <t>Hasan Roy</t>
  </si>
  <si>
    <t>Faria Rahman</t>
  </si>
  <si>
    <t>Maliha Jahan</t>
  </si>
  <si>
    <t>Rakib Sultana</t>
  </si>
  <si>
    <t>Sharmin Sultana</t>
  </si>
  <si>
    <t>Farhan Ali</t>
  </si>
  <si>
    <t>Hasan Chowdhury</t>
  </si>
  <si>
    <t>Mehedi Akter</t>
  </si>
  <si>
    <t>Mithila Das</t>
  </si>
  <si>
    <t>Nusrat Chowdhury</t>
  </si>
  <si>
    <t>Sadia Chowdhury</t>
  </si>
  <si>
    <t>Samira Das</t>
  </si>
  <si>
    <t>Faria Sultana</t>
  </si>
  <si>
    <t>Lubna Biswas</t>
  </si>
  <si>
    <t>Sabrina Begum</t>
  </si>
  <si>
    <t>Imran Uddin</t>
  </si>
  <si>
    <t>Shuvo Ali</t>
  </si>
  <si>
    <t>Samira Mia</t>
  </si>
  <si>
    <t>Saiful Ali</t>
  </si>
  <si>
    <t>Aarif Ali</t>
  </si>
  <si>
    <t>Asif Hossain</t>
  </si>
  <si>
    <t>Aarif Khan</t>
  </si>
  <si>
    <t>Maliha Mia</t>
  </si>
  <si>
    <t>Arif Islam</t>
  </si>
  <si>
    <t>Nadia Islam</t>
  </si>
  <si>
    <t>P2353</t>
  </si>
  <si>
    <t>Sabrina Barua</t>
  </si>
  <si>
    <t>Maliha Begum</t>
  </si>
  <si>
    <t>Priya Karim</t>
  </si>
  <si>
    <t>Aarif Rahman</t>
  </si>
  <si>
    <t>Maliha Sultana</t>
  </si>
  <si>
    <t>P2360</t>
  </si>
  <si>
    <t>Rafi Chowdhury</t>
  </si>
  <si>
    <t>P2363</t>
  </si>
  <si>
    <t>Momena Roy</t>
  </si>
  <si>
    <t>Nadia Uddin</t>
  </si>
  <si>
    <t>Priya Ahmed</t>
  </si>
  <si>
    <t>Tareq Roy</t>
  </si>
  <si>
    <t>Ayesha Akter</t>
  </si>
  <si>
    <t>P2373</t>
  </si>
  <si>
    <t>Lubna Jahan</t>
  </si>
  <si>
    <t>P2375</t>
  </si>
  <si>
    <t>Priya Akter</t>
  </si>
  <si>
    <t>Tareq Karim</t>
  </si>
  <si>
    <t>Nusrat Mia</t>
  </si>
  <si>
    <t>Jannat Sultana</t>
  </si>
  <si>
    <t>Ayesha Das</t>
  </si>
  <si>
    <t>P2394</t>
  </si>
  <si>
    <t>Tareq Hasan</t>
  </si>
  <si>
    <t>P2397</t>
  </si>
  <si>
    <t>Tanvir Islam</t>
  </si>
  <si>
    <t>Ayesha Rahman</t>
  </si>
  <si>
    <t>P2401</t>
  </si>
  <si>
    <t>Shuvo Biswas</t>
  </si>
  <si>
    <t>Ayesha Hasan</t>
  </si>
  <si>
    <t>Aarif Barua</t>
  </si>
  <si>
    <t>Shuvo Akter</t>
  </si>
  <si>
    <t>Rakib Roy</t>
  </si>
  <si>
    <t>Samira Hossain</t>
  </si>
  <si>
    <t>Saiful Das</t>
  </si>
  <si>
    <t>Mithila Islam</t>
  </si>
  <si>
    <t>Rakib Biswas</t>
  </si>
  <si>
    <t>Arif Rahman</t>
  </si>
  <si>
    <t>Asif Sarker</t>
  </si>
  <si>
    <t>Lubna Das</t>
  </si>
  <si>
    <t>Sabrina Sultana</t>
  </si>
  <si>
    <t>Nadia Hossain</t>
  </si>
  <si>
    <t>P2420</t>
  </si>
  <si>
    <t>Aarif Akter</t>
  </si>
  <si>
    <t>Arif Barua</t>
  </si>
  <si>
    <t>P2427</t>
  </si>
  <si>
    <t>Mithila Ahmed</t>
  </si>
  <si>
    <t>Rumana Roy</t>
  </si>
  <si>
    <t>Farhan Rahman</t>
  </si>
  <si>
    <t>Sabrina Jahan</t>
  </si>
  <si>
    <t>Rakib Karim</t>
  </si>
  <si>
    <t>Rumana Mia</t>
  </si>
  <si>
    <t>Khalid Hasan</t>
  </si>
  <si>
    <t>Sabrina Mia</t>
  </si>
  <si>
    <t>Rumana Barua</t>
  </si>
  <si>
    <t>Tareq Ali</t>
  </si>
  <si>
    <t>Jannat Das</t>
  </si>
  <si>
    <t>P2446</t>
  </si>
  <si>
    <t>Asif Karim</t>
  </si>
  <si>
    <t>Mithila Biswas</t>
  </si>
  <si>
    <t>Farhan Mia</t>
  </si>
  <si>
    <t>P2451</t>
  </si>
  <si>
    <t>Rakib Uddin</t>
  </si>
  <si>
    <t>Farhan Islam</t>
  </si>
  <si>
    <t>Imran Karim</t>
  </si>
  <si>
    <t>Samira Sarker</t>
  </si>
  <si>
    <t>P2458</t>
  </si>
  <si>
    <t>Mahmud Karim</t>
  </si>
  <si>
    <t>Sadia Islam</t>
  </si>
  <si>
    <t>Faria Barua</t>
  </si>
  <si>
    <t>Momena Uddin</t>
  </si>
  <si>
    <t>P2471</t>
  </si>
  <si>
    <t>Shuvo Sultana</t>
  </si>
  <si>
    <t>Lubna Uddin</t>
  </si>
  <si>
    <t>Sabrina Uddin</t>
  </si>
  <si>
    <t>male</t>
  </si>
  <si>
    <t>Sharmin Biswas</t>
  </si>
  <si>
    <t>Asif Das</t>
  </si>
  <si>
    <t>Nusrat Uddin</t>
  </si>
  <si>
    <t>Ayesha Mia</t>
  </si>
  <si>
    <t>Rumana Begum</t>
  </si>
  <si>
    <t>Mehedi Jahan</t>
  </si>
  <si>
    <t>P2494</t>
  </si>
  <si>
    <t>Saiful Barua</t>
  </si>
  <si>
    <t>Nusrat Jahan</t>
  </si>
  <si>
    <t>Rafi Rahman</t>
  </si>
  <si>
    <t>Sabrina Das</t>
  </si>
  <si>
    <t>Rumana Hossain</t>
  </si>
  <si>
    <t>Rafi Barua</t>
  </si>
  <si>
    <t>Sharmin Mia</t>
  </si>
  <si>
    <t>P2505</t>
  </si>
  <si>
    <t>Saiful Hossain</t>
  </si>
  <si>
    <t>Aarif Jahan</t>
  </si>
  <si>
    <t>Ayesha Sarker</t>
  </si>
  <si>
    <t>Mahmud Sarker</t>
  </si>
  <si>
    <t>P2513</t>
  </si>
  <si>
    <t>Khalid Rahman</t>
  </si>
  <si>
    <t>Hasan Biswas</t>
  </si>
  <si>
    <t>Imran Islam</t>
  </si>
  <si>
    <t>Momena Islam</t>
  </si>
  <si>
    <t>Asif Khan</t>
  </si>
  <si>
    <t>Samira Rahman</t>
  </si>
  <si>
    <t>Sharmin Khan</t>
  </si>
  <si>
    <t>Mahmud Ahmed</t>
  </si>
  <si>
    <t>P2527</t>
  </si>
  <si>
    <t>Hasan Karim</t>
  </si>
  <si>
    <t>Saiful Akter</t>
  </si>
  <si>
    <t>Aarif Biswas</t>
  </si>
  <si>
    <t>Samira Roy</t>
  </si>
  <si>
    <t>P2537</t>
  </si>
  <si>
    <t>Ayesha Chowdhury</t>
  </si>
  <si>
    <t>Jannat Sarker</t>
  </si>
  <si>
    <t>Sharmin Sarker</t>
  </si>
  <si>
    <t>Aarif Karim</t>
  </si>
  <si>
    <t>Imran Ali</t>
  </si>
  <si>
    <t>Rafi Ahmed</t>
  </si>
  <si>
    <t>Sadia Akter</t>
  </si>
  <si>
    <t>Sabrina Karim</t>
  </si>
  <si>
    <t>Sabrina Islam</t>
  </si>
  <si>
    <t>Mehedi Roy</t>
  </si>
  <si>
    <t>Mahmud Hossain</t>
  </si>
  <si>
    <t>Tareq Akter</t>
  </si>
  <si>
    <t>Momena Das</t>
  </si>
  <si>
    <t>Nusrat Das</t>
  </si>
  <si>
    <t>Saiful Mia</t>
  </si>
  <si>
    <t>Farhan Barua</t>
  </si>
  <si>
    <t>Imran Begum</t>
  </si>
  <si>
    <t>P2575</t>
  </si>
  <si>
    <t>Rumana Sarker</t>
  </si>
  <si>
    <t>P2582</t>
  </si>
  <si>
    <t>Samira Ahmed</t>
  </si>
  <si>
    <t>Aarif Begum</t>
  </si>
  <si>
    <t>Nusrat Biswas</t>
  </si>
  <si>
    <t>P2592</t>
  </si>
  <si>
    <t>P2595</t>
  </si>
  <si>
    <t>Ayesha Begum</t>
  </si>
  <si>
    <t>P2596</t>
  </si>
  <si>
    <t>Doctor Name</t>
  </si>
  <si>
    <t>Specialization</t>
  </si>
  <si>
    <t>Experience Years</t>
  </si>
  <si>
    <t>Employment Type</t>
  </si>
  <si>
    <t>Consultation Fee</t>
  </si>
  <si>
    <t>Weekly Patient Capacity</t>
  </si>
  <si>
    <t>Dr. Imran Karim</t>
  </si>
  <si>
    <t>Emergency Medicine</t>
  </si>
  <si>
    <t>Full-Time</t>
  </si>
  <si>
    <t>Dr. Samira Barua</t>
  </si>
  <si>
    <t>Dr. Farhan Hasan</t>
  </si>
  <si>
    <t>Critical Response</t>
  </si>
  <si>
    <t>Dr. Jannat Hasan</t>
  </si>
  <si>
    <t>Trauma Care</t>
  </si>
  <si>
    <t>Dr. Asif Chowdhury</t>
  </si>
  <si>
    <t>Dr. Asif Khan</t>
  </si>
  <si>
    <t>Dr. Priya Sultana</t>
  </si>
  <si>
    <t>Cardiology</t>
  </si>
  <si>
    <t>Dr. Ayesha Jahan</t>
  </si>
  <si>
    <t>Heart Failure</t>
  </si>
  <si>
    <t>Part-Time</t>
  </si>
  <si>
    <t>Dr. Farhan Hossain</t>
  </si>
  <si>
    <t>Dr. Faria Hasan</t>
  </si>
  <si>
    <t>Dr. Rakib Das</t>
  </si>
  <si>
    <t>Cardiac Imaging</t>
  </si>
  <si>
    <t>Dr. Priya Chowdhury</t>
  </si>
  <si>
    <t>Dr. Momena Barua</t>
  </si>
  <si>
    <t>Neurology</t>
  </si>
  <si>
    <t>Dr. Nadia Ahmed</t>
  </si>
  <si>
    <t>Stroke Medicine</t>
  </si>
  <si>
    <t>Dr. Arif Khan</t>
  </si>
  <si>
    <t>Dr. Sadia Sultana</t>
  </si>
  <si>
    <t>Dr. Rumana Roy</t>
  </si>
  <si>
    <t>Dr. Hasan Uddin</t>
  </si>
  <si>
    <t>Dr. Lubna Begum</t>
  </si>
  <si>
    <t>Spine Care</t>
  </si>
  <si>
    <t>Dr. Hasan Sultana</t>
  </si>
  <si>
    <t>Dr. Asif Sultana</t>
  </si>
  <si>
    <t>Dr. Tareq Rahman</t>
  </si>
  <si>
    <t>Visiting Consultant</t>
  </si>
  <si>
    <t>Dr. Hasan Karim</t>
  </si>
  <si>
    <t>Dr. Sadia Das</t>
  </si>
  <si>
    <t>Orthopedics</t>
  </si>
  <si>
    <t>Dr. Priya Khan</t>
  </si>
  <si>
    <t>Endocrinology</t>
  </si>
  <si>
    <t>Internal Medicine</t>
  </si>
  <si>
    <t>Dr. Mehedi Hossain</t>
  </si>
  <si>
    <t>Infectious Disease</t>
  </si>
  <si>
    <t>Dr. Rakib Sultana</t>
  </si>
  <si>
    <t>Dr. Asif Akter</t>
  </si>
  <si>
    <t>Dr. Tareq Sarker</t>
  </si>
  <si>
    <t>Dr. Aarif Roy</t>
  </si>
  <si>
    <t>Post-Operative Care</t>
  </si>
  <si>
    <t>Dr. Khalid Ahmed</t>
  </si>
  <si>
    <t>General Surgery</t>
  </si>
  <si>
    <t>Dr. Tanvir Sarker</t>
  </si>
  <si>
    <t>Dr. Sadia Roy</t>
  </si>
  <si>
    <t>Dr. Farhan Karim</t>
  </si>
  <si>
    <t>Dr. Tareq Ahmed</t>
  </si>
  <si>
    <t>Dr. Mahmud Khan</t>
  </si>
  <si>
    <t>Pediatrics</t>
  </si>
  <si>
    <t>Dr. Sadia Begum</t>
  </si>
  <si>
    <t>Dr. Tareq Barua</t>
  </si>
  <si>
    <t>Dr. Tanvir Hasan</t>
  </si>
  <si>
    <t>Dr. Arif Ahmed</t>
  </si>
  <si>
    <t>Dr. Momena Ali</t>
  </si>
  <si>
    <t>Neonatology</t>
  </si>
  <si>
    <t>Dr. Samira Uddin</t>
  </si>
  <si>
    <t>Nephrology</t>
  </si>
  <si>
    <t>Dr. Rumana Barua</t>
  </si>
  <si>
    <t>Dr. Hasan Sarker</t>
  </si>
  <si>
    <t>Dr. Tanvir Biswas</t>
  </si>
  <si>
    <t>Dr. Arif Roy</t>
  </si>
  <si>
    <t>Dr. Jannat Roy</t>
  </si>
  <si>
    <t>Renal Medicine</t>
  </si>
  <si>
    <t>Dr. Samira Khan</t>
  </si>
  <si>
    <t>Pulmonology</t>
  </si>
  <si>
    <t>Dr. Tareq Khan</t>
  </si>
  <si>
    <t>Dr. Tanvir Barua</t>
  </si>
  <si>
    <t>Dr. Arif Hasan</t>
  </si>
  <si>
    <t>Respiratory Medicine</t>
  </si>
  <si>
    <t>Dr. Khalid Jahan</t>
  </si>
  <si>
    <t>Sleep Medicine</t>
  </si>
  <si>
    <t>Dr. Shuvo Karim</t>
  </si>
  <si>
    <t>Maternal Medicine</t>
  </si>
  <si>
    <t>Dr. Samira Sultana</t>
  </si>
  <si>
    <t>Gynecology</t>
  </si>
  <si>
    <t>Dr. Tanvir Begum</t>
  </si>
  <si>
    <t>Dr. Imran Sultana</t>
  </si>
  <si>
    <t>Obstetrics</t>
  </si>
  <si>
    <t>Dr. Aarif Karim</t>
  </si>
  <si>
    <t>Dr. Mehedi Das</t>
  </si>
  <si>
    <t>Department Name</t>
  </si>
  <si>
    <t>Floor</t>
  </si>
  <si>
    <t>Department Head</t>
  </si>
  <si>
    <t>Monthly Budget</t>
  </si>
  <si>
    <t>Target Satisfaction Score</t>
  </si>
  <si>
    <t>Target Readmission Rate</t>
  </si>
  <si>
    <t>Target Average Stay Days</t>
  </si>
  <si>
    <t>Dr. Ayesha Karim</t>
  </si>
  <si>
    <t>Dr. Farhan Ahmed</t>
  </si>
  <si>
    <t>Dr. Nadia Rahman</t>
  </si>
  <si>
    <t>Dr. Saiful Islam</t>
  </si>
  <si>
    <t>General Medicine</t>
  </si>
  <si>
    <t>Dr. Nusrat Jahan</t>
  </si>
  <si>
    <t>Dr. Mahmud Hasan</t>
  </si>
  <si>
    <t>Dr. Sabrina Chowdhury</t>
  </si>
  <si>
    <t>Dr. Tanvir Rahman</t>
  </si>
  <si>
    <t>Dr. Sharmin Akter</t>
  </si>
  <si>
    <t>Dr. Maliha Sultana</t>
  </si>
  <si>
    <t>Diagnosis Name</t>
  </si>
  <si>
    <t>Disease Category</t>
  </si>
  <si>
    <t>Severity Level</t>
  </si>
  <si>
    <t>Standard Treatment Cost</t>
  </si>
  <si>
    <t>Expected Stay Days</t>
  </si>
  <si>
    <t>Criticality Score</t>
  </si>
  <si>
    <t>Default Department ID</t>
  </si>
  <si>
    <t>Chest Pain</t>
  </si>
  <si>
    <t>Cardiovascular</t>
  </si>
  <si>
    <t>Hypertension Crisis</t>
  </si>
  <si>
    <t>Stroke Assessment</t>
  </si>
  <si>
    <t>Neurological</t>
  </si>
  <si>
    <t>Migraine Complication</t>
  </si>
  <si>
    <t>Seizure Episode</t>
  </si>
  <si>
    <t>Fracture Repair</t>
  </si>
  <si>
    <t>Musculoskeletal</t>
  </si>
  <si>
    <t>Joint Pain</t>
  </si>
  <si>
    <t>Spinal Injury</t>
  </si>
  <si>
    <t>Fever Investigation</t>
  </si>
  <si>
    <t>Infectious/General</t>
  </si>
  <si>
    <t>Diabetes Complication</t>
  </si>
  <si>
    <t>Endocrine/General</t>
  </si>
  <si>
    <t>Severe Infection</t>
  </si>
  <si>
    <t>Appendicitis Surgery</t>
  </si>
  <si>
    <t>Surgical</t>
  </si>
  <si>
    <t>Gallbladder Surgery</t>
  </si>
  <si>
    <t>Post-Operative Infection</t>
  </si>
  <si>
    <t>Pediatric Asthma</t>
  </si>
  <si>
    <t>Pediatric</t>
  </si>
  <si>
    <t>Child Fever</t>
  </si>
  <si>
    <t>Neonatal Observation</t>
  </si>
  <si>
    <t>Kidney Stone</t>
  </si>
  <si>
    <t>Renal</t>
  </si>
  <si>
    <t>Chronic Kidney Disease</t>
  </si>
  <si>
    <t>Dialysis Complication</t>
  </si>
  <si>
    <t>Pneumonia</t>
  </si>
  <si>
    <t>Respiratory</t>
  </si>
  <si>
    <t>COPD Exacerbation</t>
  </si>
  <si>
    <t>Acute Bronchitis</t>
  </si>
  <si>
    <t>Antenatal Complication</t>
  </si>
  <si>
    <t>Maternal Health</t>
  </si>
  <si>
    <t>Delivery Care</t>
  </si>
  <si>
    <t>Emergency C-Section</t>
  </si>
  <si>
    <t>Trauma Observation</t>
  </si>
  <si>
    <t>Accident Injury</t>
  </si>
  <si>
    <t>Food Poisoning</t>
  </si>
  <si>
    <t>Insurance Provider</t>
  </si>
  <si>
    <t>Insurance Type</t>
  </si>
  <si>
    <t>Coverage Percent</t>
  </si>
  <si>
    <t>Claim Processing Days</t>
  </si>
  <si>
    <t>Co Pay Amount</t>
  </si>
  <si>
    <t>National Health Support</t>
  </si>
  <si>
    <t>Public</t>
  </si>
  <si>
    <t>CarePlus Basic</t>
  </si>
  <si>
    <t>Private</t>
  </si>
  <si>
    <t>CarePlus Premium</t>
  </si>
  <si>
    <t>Corporate Shield</t>
  </si>
  <si>
    <t>Employer</t>
  </si>
  <si>
    <t>Self Pay</t>
  </si>
  <si>
    <t>Self-Pay</t>
  </si>
  <si>
    <t>Senior Care Fund</t>
  </si>
  <si>
    <t>Micro Health Protect</t>
  </si>
  <si>
    <t>Community</t>
  </si>
  <si>
    <t>KPI / Derived Field</t>
  </si>
  <si>
    <t>Formula Idea</t>
  </si>
  <si>
    <t>Used For</t>
  </si>
  <si>
    <t>Actual Length of Stay</t>
  </si>
  <si>
    <t>Discharge Date - Admission Date</t>
  </si>
  <si>
    <t>Department efficiency and delay analysis</t>
  </si>
  <si>
    <t>Stay Variance</t>
  </si>
  <si>
    <t>Actual Length of Stay - Expected Stay Days</t>
  </si>
  <si>
    <t>Identify diagnoses causing longer stays</t>
  </si>
  <si>
    <t>Cost Variance</t>
  </si>
  <si>
    <t>Total Bill - Standard Treatment Cost</t>
  </si>
  <si>
    <t>Cost overrun analysis</t>
  </si>
  <si>
    <t>Cost Variance %</t>
  </si>
  <si>
    <t>Cost Variance / Standard Treatment Cost</t>
  </si>
  <si>
    <t>Compare cost overruns fairly</t>
  </si>
  <si>
    <t>No-Show Flag</t>
  </si>
  <si>
    <t>Appointment Status is No Show / No-show / Missed</t>
  </si>
  <si>
    <t>Appointment reliability analysis</t>
  </si>
  <si>
    <t>Follow-Up Compliance</t>
  </si>
  <si>
    <t>Follow Up Required = Yes and Follow Up Completed = Yes</t>
  </si>
  <si>
    <t>Post-discharge care quality</t>
  </si>
  <si>
    <t>Readmission Rate</t>
  </si>
  <si>
    <t>Readmitted Within 30 Days = Yes / attended visits</t>
  </si>
  <si>
    <t>Healthcare outcome quality</t>
  </si>
  <si>
    <t>Patient Risk Segment</t>
  </si>
  <si>
    <t>Use Risk Group + Chronic Condition + Age</t>
  </si>
  <si>
    <t>High-risk patient analysis</t>
  </si>
  <si>
    <t>Hospital Care Analytics Dataset</t>
  </si>
  <si>
    <t>DepartmentName</t>
  </si>
  <si>
    <t>DiagnosisName</t>
  </si>
  <si>
    <t xml:space="preserve"> DiseaseCategory</t>
  </si>
  <si>
    <t>InsuranceType</t>
  </si>
  <si>
    <t xml:space="preserve"> HospitalServiceFee</t>
  </si>
  <si>
    <t xml:space="preserve"> FinalBill</t>
  </si>
  <si>
    <t xml:space="preserve"> SatisfactionGroup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</si>
</sst>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0.0%"/>
    <numFmt numFmtId="167" formatCode="yyyy\-mm\-dd;@"/>
  </numFmts>
  <fonts count="4">
    <font>
      <sz val="11"/>
      <name val="Carlito"/>
    </font>
    <font>
      <b/>
      <sz val="14"/>
      <color rgb="FF1F4E79"/>
      <name val="Carlito"/>
    </font>
    <font>
      <b/>
      <sz val="11"/>
      <color rgb="FF1F4E79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67" fontId="3" fillId="4" borderId="0" xfId="0" applyNumberFormat="1" applyFont="1" applyFill="1" applyAlignment="1">
      <alignment horizontal="center" vertical="center" wrapText="1"/>
    </xf>
    <xf numFmtId="167" fontId="0" fillId="0" borderId="0" xfId="0" applyNumberFormat="1"/>
    <xf numFmtId="4" fontId="3" fillId="4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12"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numFmt numFmtId="0" formatCode="General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167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bookOverviewTable" displayName="WorkbookOverviewTable" ref="D2:F8">
  <tableColumns count="3">
    <tableColumn id="1" xr3:uid="{00000000-0010-0000-0000-000001000000}" name="Sheet"/>
    <tableColumn id="2" xr3:uid="{00000000-0010-0000-0000-000002000000}" name="Rows"/>
    <tableColumn id="3" xr3:uid="{00000000-0010-0000-0000-000003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tientVisitsTable" displayName="PatientVisitsTable" ref="A1:Z1401">
  <tableColumns count="26">
    <tableColumn id="1" xr3:uid="{00000000-0010-0000-0100-000001000000}" name="Visit ID"/>
    <tableColumn id="2" xr3:uid="{00000000-0010-0000-0100-000002000000}" name="Patient ID"/>
    <tableColumn id="3" xr3:uid="{00000000-0010-0000-0100-000003000000}" name="Appointment Date"/>
    <tableColumn id="4" xr3:uid="{00000000-0010-0000-0100-000004000000}" name="Appointment Time"/>
    <tableColumn id="5" xr3:uid="{00000000-0010-0000-0100-000005000000}" name="Appointment Status"/>
    <tableColumn id="6" xr3:uid="{00000000-0010-0000-0100-000006000000}" name="Admission Date"/>
    <tableColumn id="7" xr3:uid="{00000000-0010-0000-0100-000007000000}" name="Discharge Date"/>
    <tableColumn id="8" xr3:uid="{00000000-0010-0000-0100-000008000000}" name="Department ID"/>
    <tableColumn id="9" xr3:uid="{00000000-0010-0000-0100-000009000000}" name="Doctor ID"/>
    <tableColumn id="10" xr3:uid="{00000000-0010-0000-0100-00000A000000}" name="Diagnosis Code"/>
    <tableColumn id="11" xr3:uid="{00000000-0010-0000-0100-00000B000000}" name="Visit Type"/>
    <tableColumn id="12" xr3:uid="{00000000-0010-0000-0100-00000C000000}" name="Admission Source"/>
    <tableColumn id="13" xr3:uid="{00000000-0010-0000-0100-00000D000000}" name="Treatment Cost"/>
    <tableColumn id="14" xr3:uid="{00000000-0010-0000-0100-00000E000000}" name="Lab Cost"/>
    <tableColumn id="15" xr3:uid="{00000000-0010-0000-0100-00000F000000}" name="Medicine Cost"/>
    <tableColumn id="16" xr3:uid="{00000000-0010-0000-0100-000010000000}" name="Room Cost"/>
    <tableColumn id="17" xr3:uid="{00000000-0010-0000-0100-000011000000}" name="Total Bill"/>
    <tableColumn id="18" xr3:uid="{00000000-0010-0000-0100-000012000000}" name="Insurance Plan ID"/>
    <tableColumn id="19" xr3:uid="{00000000-0010-0000-0100-000013000000}" name="Claim Status"/>
    <tableColumn id="20" xr3:uid="{00000000-0010-0000-0100-000014000000}" name="Patient Payable"/>
    <tableColumn id="21" xr3:uid="{00000000-0010-0000-0100-000015000000}" name="Patient Satisfaction"/>
    <tableColumn id="22" xr3:uid="{00000000-0010-0000-0100-000016000000}" name="Follow Up Required"/>
    <tableColumn id="23" xr3:uid="{00000000-0010-0000-0100-000017000000}" name="Follow Up Date"/>
    <tableColumn id="24" xr3:uid="{00000000-0010-0000-0100-000018000000}" name="Follow Up Completed"/>
    <tableColumn id="25" xr3:uid="{00000000-0010-0000-0100-000019000000}" name="Readmitted Within 30 Days"/>
    <tableColumn id="26" xr3:uid="{00000000-0010-0000-0100-00001A000000}" name="Discharge Out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261CC5-B4AC-4F42-8242-DFF341C7DCCF}" name="PatientVisitsTable1112" displayName="PatientVisitsTable1112" ref="A1:AG1401">
  <autoFilter ref="A1:AG1401" xr:uid="{F6261CC5-B4AC-4F42-8242-DFF341C7DCCF}"/>
  <tableColumns count="33">
    <tableColumn id="1" xr3:uid="{F8BBB9FE-6A10-41FE-A68D-D8AFAFAAAFBF}" name="Visit ID"/>
    <tableColumn id="2" xr3:uid="{DA9C46EC-A33B-4177-97E3-AEEFB19B8388}" name="Patient ID"/>
    <tableColumn id="3" xr3:uid="{A00148E1-BFF3-4EDD-99B3-1F956349E3D6}" name="Appointment Date" dataDxfId="11"/>
    <tableColumn id="4" xr3:uid="{C049F4F5-C409-4673-8777-359158B777CE}" name="Appointment Time"/>
    <tableColumn id="5" xr3:uid="{BE259B01-2FEA-4DD3-BE34-10A7905E7724}" name="Appointment Status"/>
    <tableColumn id="6" xr3:uid="{BE1C2B69-60D2-48A6-A59B-447914E962B4}" name="Admission Date"/>
    <tableColumn id="7" xr3:uid="{13F0DC28-28E7-4277-A122-590E6A725A1F}" name="Discharge Date"/>
    <tableColumn id="8" xr3:uid="{67393FC1-24A1-4CDB-84D8-A67851789FAF}" name="Department ID"/>
    <tableColumn id="9" xr3:uid="{20E94331-03E2-4941-B05D-5019E99E0B59}" name="Doctor ID"/>
    <tableColumn id="10" xr3:uid="{8E81BEE8-CE98-42A0-85CD-22493D3B1D0C}" name="Diagnosis Code"/>
    <tableColumn id="11" xr3:uid="{5B354D2E-12DE-49B9-9D43-B7D44217C75D}" name="Visit Type"/>
    <tableColumn id="12" xr3:uid="{390E303E-AB02-4332-9926-85712D97004F}" name="Admission Source"/>
    <tableColumn id="13" xr3:uid="{2748AF55-94D0-403C-A109-E4678A919012}" name="Treatment Cost"/>
    <tableColumn id="14" xr3:uid="{D37DE4BE-780C-4677-853E-4BA38E9CC7F7}" name="Lab Cost"/>
    <tableColumn id="15" xr3:uid="{832221A2-60CD-4912-90B2-CBA1E1AC9F00}" name="Medicine Cost"/>
    <tableColumn id="16" xr3:uid="{81638991-8E2A-4924-B6A4-4E51C7546A0A}" name="Room Cost"/>
    <tableColumn id="17" xr3:uid="{94A3C95E-7300-462F-B170-38934F7923CF}" name="Total Bill" dataDxfId="10"/>
    <tableColumn id="18" xr3:uid="{9D51BBEB-DCDD-415C-B1DA-F80983AD5C38}" name="Insurance Plan ID"/>
    <tableColumn id="19" xr3:uid="{B49327C3-DCD0-43E8-86FC-536375955890}" name="Claim Status"/>
    <tableColumn id="20" xr3:uid="{38FFD425-2AB4-41D3-92F9-4ECBD0620D40}" name="Patient Payable"/>
    <tableColumn id="21" xr3:uid="{A174BCF9-38DB-4945-AED7-C4F1CF32CF00}" name="Patient Satisfaction"/>
    <tableColumn id="22" xr3:uid="{95EC4D63-2DD5-4F90-BAAA-3E7D475A1EF4}" name="Follow Up Required"/>
    <tableColumn id="23" xr3:uid="{88F1B002-2F4F-43C5-A498-D1C11D13BECB}" name="Follow Up Date"/>
    <tableColumn id="24" xr3:uid="{F81A5074-B3C4-4BC4-B1DB-691D3C78FD0A}" name="Follow Up Completed"/>
    <tableColumn id="25" xr3:uid="{D48D4783-BFA9-4D98-918C-B7821443C647}" name="Readmitted Within 30 Days"/>
    <tableColumn id="26" xr3:uid="{E9DA7D24-DCA0-4AEE-A027-0DEC27EED2C4}" name="Discharge Outcome"/>
    <tableColumn id="27" xr3:uid="{7119F114-3916-48AA-9385-5C46B23F7BEA}" name="DepartmentName" dataDxfId="9">
      <calculatedColumnFormula>VLOOKUP(H2,Departments!$A:$B,2,0)</calculatedColumnFormula>
    </tableColumn>
    <tableColumn id="28" xr3:uid="{156930DE-90FB-4D33-8F1B-20BC3F51C337}" name="DiagnosisName" dataDxfId="8">
      <calculatedColumnFormula>VLOOKUP(J2,Diagnosis_Guide!$A:$B,2,0)</calculatedColumnFormula>
    </tableColumn>
    <tableColumn id="29" xr3:uid="{1AAD8A9E-FB4D-43C6-9563-ECB0966BA7BA}" name=" DiseaseCategory" dataDxfId="7">
      <calculatedColumnFormula>VLOOKUP(J2,Diagnosis_Guide!$A:$C,3,0)</calculatedColumnFormula>
    </tableColumn>
    <tableColumn id="30" xr3:uid="{B465187C-AD8F-45A1-8DED-97AB26880CF8}" name="InsuranceType" dataDxfId="6">
      <calculatedColumnFormula>VLOOKUP(R2,Insurance_Plans!$A:$C,3,0)</calculatedColumnFormula>
    </tableColumn>
    <tableColumn id="31" xr3:uid="{FE6A21F9-886D-46F9-89B2-2A836FDEA60B}" name=" HospitalServiceFee" dataDxfId="5">
      <calculatedColumnFormula>IF(Q2="","",Q2*0.05)</calculatedColumnFormula>
    </tableColumn>
    <tableColumn id="32" xr3:uid="{A9C6A385-37E5-402E-99B6-7765C503A69F}" name=" FinalBill" dataDxfId="4">
      <calculatedColumnFormula>IF(Q2="","",Q2+AE2)</calculatedColumnFormula>
    </tableColumn>
    <tableColumn id="33" xr3:uid="{1EC17C62-9FCE-4425-B8A2-D63A9EC0375A}" name=" SatisfactionGroup" dataDxfId="3">
      <calculatedColumnFormula>IF(U2="","Not Available",IF(U2&gt;=4,"High",IF(U2=3,"Medium","Low")))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tientsTable" displayName="PatientsTable" ref="A1:L601">
  <tableColumns count="12">
    <tableColumn id="1" xr3:uid="{00000000-0010-0000-0200-000001000000}" name="Patient ID"/>
    <tableColumn id="2" xr3:uid="{00000000-0010-0000-0200-000002000000}" name="Patient Name"/>
    <tableColumn id="3" xr3:uid="{00000000-0010-0000-0200-000003000000}" name="Age"/>
    <tableColumn id="4" xr3:uid="{00000000-0010-0000-0200-000004000000}" name="Gender"/>
    <tableColumn id="5" xr3:uid="{00000000-0010-0000-0200-000005000000}" name="Area"/>
    <tableColumn id="6" xr3:uid="{00000000-0010-0000-0200-000006000000}" name="Zone"/>
    <tableColumn id="7" xr3:uid="{00000000-0010-0000-0200-000007000000}" name="Blood Type"/>
    <tableColumn id="8" xr3:uid="{00000000-0010-0000-0200-000008000000}" name="Chronic Condition"/>
    <tableColumn id="9" xr3:uid="{00000000-0010-0000-0200-000009000000}" name="Smoking Status"/>
    <tableColumn id="10" xr3:uid="{00000000-0010-0000-0200-00000A000000}" name="Risk Group"/>
    <tableColumn id="11" xr3:uid="{00000000-0010-0000-0200-00000B000000}" name="Registration Date"/>
    <tableColumn id="12" xr3:uid="{00000000-0010-0000-0200-00000C000000}" name="Emergency Contact Avail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octorsTable" displayName="DoctorsTable" ref="A1:H61">
  <tableColumns count="8">
    <tableColumn id="1" xr3:uid="{00000000-0010-0000-0300-000001000000}" name="Doctor ID"/>
    <tableColumn id="2" xr3:uid="{00000000-0010-0000-0300-000002000000}" name="Doctor Name"/>
    <tableColumn id="3" xr3:uid="{00000000-0010-0000-0300-000003000000}" name="Department ID"/>
    <tableColumn id="4" xr3:uid="{00000000-0010-0000-0300-000004000000}" name="Specialization"/>
    <tableColumn id="5" xr3:uid="{00000000-0010-0000-0300-000005000000}" name="Experience Years"/>
    <tableColumn id="6" xr3:uid="{00000000-0010-0000-0300-000006000000}" name="Employment Type"/>
    <tableColumn id="7" xr3:uid="{00000000-0010-0000-0300-000007000000}" name="Consultation Fee"/>
    <tableColumn id="8" xr3:uid="{00000000-0010-0000-0300-000008000000}" name="Weekly Patient Capac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partmentsTable" displayName="DepartmentsTable" ref="A1:H11">
  <tableColumns count="8">
    <tableColumn id="1" xr3:uid="{00000000-0010-0000-0400-000001000000}" name="Department ID"/>
    <tableColumn id="2" xr3:uid="{00000000-0010-0000-0400-000002000000}" name="Department Name"/>
    <tableColumn id="3" xr3:uid="{00000000-0010-0000-0400-000003000000}" name="Floor"/>
    <tableColumn id="4" xr3:uid="{00000000-0010-0000-0400-000004000000}" name="Department Head"/>
    <tableColumn id="5" xr3:uid="{00000000-0010-0000-0400-000005000000}" name="Monthly Budget"/>
    <tableColumn id="6" xr3:uid="{00000000-0010-0000-0400-000006000000}" name="Target Satisfaction Score"/>
    <tableColumn id="7" xr3:uid="{00000000-0010-0000-0400-000007000000}" name="Target Readmission Rate"/>
    <tableColumn id="8" xr3:uid="{00000000-0010-0000-0400-000008000000}" name="Target Average Stay Day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agnosisGuideTable" displayName="DiagnosisGuideTable" ref="A1:H31">
  <tableColumns count="8">
    <tableColumn id="1" xr3:uid="{00000000-0010-0000-0500-000001000000}" name="Diagnosis Code"/>
    <tableColumn id="2" xr3:uid="{00000000-0010-0000-0500-000002000000}" name="Diagnosis Name"/>
    <tableColumn id="3" xr3:uid="{00000000-0010-0000-0500-000003000000}" name="Disease Category"/>
    <tableColumn id="4" xr3:uid="{00000000-0010-0000-0500-000004000000}" name="Severity Level"/>
    <tableColumn id="5" xr3:uid="{00000000-0010-0000-0500-000005000000}" name="Standard Treatment Cost"/>
    <tableColumn id="6" xr3:uid="{00000000-0010-0000-0500-000006000000}" name="Expected Stay Days"/>
    <tableColumn id="7" xr3:uid="{00000000-0010-0000-0500-000007000000}" name="Criticality Score"/>
    <tableColumn id="8" xr3:uid="{00000000-0010-0000-0500-000008000000}" name="Default Department 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surancePlansTable" displayName="InsurancePlansTable" ref="A1:F8">
  <tableColumns count="6">
    <tableColumn id="1" xr3:uid="{00000000-0010-0000-0600-000001000000}" name="Insurance Plan ID"/>
    <tableColumn id="2" xr3:uid="{00000000-0010-0000-0600-000002000000}" name="Insurance Provider"/>
    <tableColumn id="3" xr3:uid="{00000000-0010-0000-0600-000003000000}" name="Insurance Type"/>
    <tableColumn id="4" xr3:uid="{00000000-0010-0000-0600-000004000000}" name="Coverage Percent"/>
    <tableColumn id="5" xr3:uid="{00000000-0010-0000-0600-000005000000}" name="Claim Processing Days"/>
    <tableColumn id="6" xr3:uid="{00000000-0010-0000-0600-000006000000}" name="Co Pay Am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uggestedKPIsTable" displayName="SuggestedKPIsTable" ref="A1:C9">
  <tableColumns count="3">
    <tableColumn id="1" xr3:uid="{00000000-0010-0000-0700-000001000000}" name="KPI / Derived Field"/>
    <tableColumn id="2" xr3:uid="{00000000-0010-0000-0700-000002000000}" name="Formula Idea"/>
    <tableColumn id="3" xr3:uid="{00000000-0010-0000-0700-000003000000}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E11" sqref="E11"/>
    </sheetView>
  </sheetViews>
  <sheetFormatPr defaultRowHeight="13.8"/>
  <cols>
    <col min="1" max="1" width="22.8984375" customWidth="1"/>
    <col min="2" max="2" width="47.5" customWidth="1"/>
    <col min="3" max="3" width="24.19921875" customWidth="1"/>
    <col min="4" max="4" width="22" customWidth="1"/>
    <col min="5" max="5" width="12.19921875" customWidth="1"/>
    <col min="6" max="6" width="42.3984375" customWidth="1"/>
    <col min="7" max="8" width="22" customWidth="1"/>
  </cols>
  <sheetData>
    <row r="1" spans="1:8" ht="24" customHeight="1">
      <c r="A1" s="14" t="s">
        <v>2870</v>
      </c>
      <c r="B1" s="15"/>
      <c r="C1" s="15"/>
      <c r="D1" s="15"/>
      <c r="E1" s="15"/>
      <c r="F1" s="15"/>
      <c r="G1" s="15"/>
      <c r="H1" s="15"/>
    </row>
    <row r="2" spans="1:8">
      <c r="D2" s="3" t="s">
        <v>12</v>
      </c>
      <c r="E2" s="3" t="s">
        <v>13</v>
      </c>
      <c r="F2" s="3" t="s">
        <v>14</v>
      </c>
    </row>
    <row r="3" spans="1:8" ht="41.4">
      <c r="A3" s="1" t="s">
        <v>0</v>
      </c>
      <c r="B3" s="2" t="s">
        <v>1</v>
      </c>
      <c r="C3" s="2"/>
      <c r="D3" s="2" t="s">
        <v>15</v>
      </c>
      <c r="E3" s="2">
        <v>1400</v>
      </c>
      <c r="F3" s="2" t="s">
        <v>16</v>
      </c>
      <c r="G3" s="2"/>
      <c r="H3" s="2"/>
    </row>
    <row r="4" spans="1:8" ht="41.4">
      <c r="A4" s="1" t="s">
        <v>2</v>
      </c>
      <c r="B4" s="2" t="s">
        <v>3</v>
      </c>
      <c r="C4" s="2"/>
      <c r="D4" s="2" t="s">
        <v>17</v>
      </c>
      <c r="E4" s="2">
        <v>600</v>
      </c>
      <c r="F4" s="2" t="s">
        <v>18</v>
      </c>
      <c r="G4" s="2"/>
      <c r="H4" s="2"/>
    </row>
    <row r="5" spans="1:8" ht="27.6">
      <c r="A5" s="1" t="s">
        <v>4</v>
      </c>
      <c r="B5" s="2" t="s">
        <v>5</v>
      </c>
      <c r="C5" s="2"/>
      <c r="D5" s="2" t="s">
        <v>19</v>
      </c>
      <c r="E5" s="2">
        <v>60</v>
      </c>
      <c r="F5" s="2" t="s">
        <v>20</v>
      </c>
      <c r="G5" s="2"/>
      <c r="H5" s="2"/>
    </row>
    <row r="6" spans="1:8" ht="27.6">
      <c r="A6" s="1" t="s">
        <v>6</v>
      </c>
      <c r="B6" s="2" t="s">
        <v>7</v>
      </c>
      <c r="C6" s="2"/>
      <c r="D6" s="2" t="s">
        <v>21</v>
      </c>
      <c r="E6" s="2">
        <v>10</v>
      </c>
      <c r="F6" s="2" t="s">
        <v>22</v>
      </c>
      <c r="G6" s="2"/>
      <c r="H6" s="2"/>
    </row>
    <row r="7" spans="1:8" ht="41.4">
      <c r="A7" s="1" t="s">
        <v>8</v>
      </c>
      <c r="B7" s="2" t="s">
        <v>9</v>
      </c>
      <c r="C7" s="2"/>
      <c r="D7" s="2" t="s">
        <v>23</v>
      </c>
      <c r="E7" s="2">
        <v>30</v>
      </c>
      <c r="F7" s="2" t="s">
        <v>24</v>
      </c>
      <c r="G7" s="2"/>
      <c r="H7" s="2"/>
    </row>
    <row r="8" spans="1:8" ht="55.2">
      <c r="A8" s="1" t="s">
        <v>10</v>
      </c>
      <c r="B8" s="2" t="s">
        <v>11</v>
      </c>
      <c r="C8" s="2"/>
      <c r="D8" s="2" t="s">
        <v>25</v>
      </c>
      <c r="E8" s="2">
        <v>7</v>
      </c>
      <c r="F8" s="2" t="s">
        <v>26</v>
      </c>
      <c r="G8" s="2"/>
      <c r="H8" s="2"/>
    </row>
    <row r="9" spans="1:8" ht="34.200000000000003" customHeight="1"/>
    <row r="10" spans="1:8" ht="42" customHeight="1"/>
    <row r="11" spans="1:8" ht="36.6" customHeight="1"/>
    <row r="12" spans="1:8" ht="46.2" customHeight="1"/>
    <row r="13" spans="1:8" ht="42.15" customHeight="1"/>
    <row r="14" spans="1:8" ht="42.15" customHeight="1"/>
    <row r="15" spans="1:8" ht="31.65" customHeight="1"/>
    <row r="16" spans="1:8" ht="52.8" customHeight="1"/>
    <row r="17" ht="42.15" customHeight="1"/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01"/>
  <sheetViews>
    <sheetView topLeftCell="A1263" workbookViewId="0">
      <selection sqref="A1:Z1401"/>
    </sheetView>
  </sheetViews>
  <sheetFormatPr defaultRowHeight="13.8"/>
  <cols>
    <col min="1" max="2" width="14" customWidth="1"/>
    <col min="3" max="3" width="15" customWidth="1"/>
    <col min="4" max="4" width="16" customWidth="1"/>
    <col min="5" max="5" width="18" customWidth="1"/>
    <col min="6" max="7" width="15" customWidth="1"/>
    <col min="8" max="10" width="14" customWidth="1"/>
    <col min="11" max="11" width="16" customWidth="1"/>
    <col min="12" max="12" width="24" customWidth="1"/>
    <col min="13" max="17" width="16" customWidth="1"/>
    <col min="18" max="18" width="14" customWidth="1"/>
    <col min="19" max="22" width="16" customWidth="1"/>
    <col min="23" max="23" width="15" customWidth="1"/>
    <col min="24" max="25" width="16" customWidth="1"/>
    <col min="26" max="26" width="24" customWidth="1"/>
  </cols>
  <sheetData>
    <row r="1" spans="1:26" ht="24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</row>
    <row r="2" spans="1:26">
      <c r="A2" t="s">
        <v>53</v>
      </c>
      <c r="B2" t="s">
        <v>54</v>
      </c>
      <c r="C2" s="4">
        <v>46071</v>
      </c>
      <c r="D2" t="s">
        <v>55</v>
      </c>
      <c r="E2" t="s">
        <v>56</v>
      </c>
      <c r="F2" s="4"/>
      <c r="G2" s="4"/>
      <c r="H2" t="s">
        <v>57</v>
      </c>
      <c r="I2" t="s">
        <v>58</v>
      </c>
      <c r="J2" t="s">
        <v>59</v>
      </c>
      <c r="K2" t="s">
        <v>60</v>
      </c>
      <c r="L2" t="s">
        <v>61</v>
      </c>
      <c r="M2" s="5"/>
      <c r="N2" s="5"/>
      <c r="O2" s="5"/>
      <c r="P2" s="5"/>
      <c r="Q2" s="5"/>
      <c r="R2" t="s">
        <v>62</v>
      </c>
      <c r="S2" t="s">
        <v>63</v>
      </c>
      <c r="T2" s="5"/>
      <c r="U2" s="6"/>
      <c r="V2" t="s">
        <v>64</v>
      </c>
      <c r="W2" s="4"/>
      <c r="X2" t="s">
        <v>65</v>
      </c>
      <c r="Z2" t="s">
        <v>66</v>
      </c>
    </row>
    <row r="3" spans="1:26">
      <c r="A3" t="s">
        <v>67</v>
      </c>
      <c r="B3" t="s">
        <v>68</v>
      </c>
      <c r="C3" s="4">
        <v>46032</v>
      </c>
      <c r="D3" t="s">
        <v>69</v>
      </c>
      <c r="E3" t="s">
        <v>70</v>
      </c>
      <c r="F3" s="4">
        <v>46032</v>
      </c>
      <c r="G3" s="4">
        <v>46034</v>
      </c>
      <c r="H3" t="s">
        <v>57</v>
      </c>
      <c r="I3" t="s">
        <v>71</v>
      </c>
      <c r="J3" t="s">
        <v>72</v>
      </c>
      <c r="K3" t="s">
        <v>73</v>
      </c>
      <c r="L3" t="s">
        <v>74</v>
      </c>
      <c r="M3" s="5">
        <v>7600</v>
      </c>
      <c r="N3" s="5">
        <v>1350</v>
      </c>
      <c r="O3" s="5">
        <v>1700</v>
      </c>
      <c r="P3" s="5">
        <v>5000</v>
      </c>
      <c r="Q3" s="5">
        <v>17450</v>
      </c>
      <c r="R3" t="s">
        <v>75</v>
      </c>
      <c r="S3" t="s">
        <v>76</v>
      </c>
      <c r="T3" s="5">
        <v>8150</v>
      </c>
      <c r="U3" s="6">
        <v>2</v>
      </c>
      <c r="V3" t="s">
        <v>64</v>
      </c>
      <c r="W3" s="4"/>
      <c r="X3" t="s">
        <v>65</v>
      </c>
      <c r="Y3" t="s">
        <v>77</v>
      </c>
      <c r="Z3" t="s">
        <v>78</v>
      </c>
    </row>
    <row r="4" spans="1:26">
      <c r="A4" t="s">
        <v>79</v>
      </c>
      <c r="B4" t="s">
        <v>80</v>
      </c>
      <c r="C4" s="4">
        <v>46082</v>
      </c>
      <c r="D4" t="s">
        <v>81</v>
      </c>
      <c r="E4" t="s">
        <v>70</v>
      </c>
      <c r="F4" s="4">
        <v>46082</v>
      </c>
      <c r="G4" s="4">
        <v>46082</v>
      </c>
      <c r="H4" t="s">
        <v>82</v>
      </c>
      <c r="I4" t="s">
        <v>83</v>
      </c>
      <c r="J4" t="s">
        <v>84</v>
      </c>
      <c r="K4" t="s">
        <v>73</v>
      </c>
      <c r="L4" t="s">
        <v>61</v>
      </c>
      <c r="M4" s="5">
        <v>6300</v>
      </c>
      <c r="N4" s="5">
        <v>900</v>
      </c>
      <c r="O4" s="5">
        <v>650</v>
      </c>
      <c r="P4" s="5">
        <v>0</v>
      </c>
      <c r="Q4" s="5">
        <v>9650</v>
      </c>
      <c r="R4" t="s">
        <v>85</v>
      </c>
      <c r="S4" t="s">
        <v>86</v>
      </c>
      <c r="T4" s="5">
        <v>3310</v>
      </c>
      <c r="U4" s="6">
        <v>5</v>
      </c>
      <c r="V4" t="s">
        <v>64</v>
      </c>
      <c r="W4" s="4"/>
      <c r="X4" t="s">
        <v>65</v>
      </c>
      <c r="Y4" t="s">
        <v>64</v>
      </c>
      <c r="Z4" t="s">
        <v>78</v>
      </c>
    </row>
    <row r="5" spans="1:26">
      <c r="A5" t="s">
        <v>87</v>
      </c>
      <c r="B5" t="s">
        <v>88</v>
      </c>
      <c r="C5" s="4">
        <v>46132</v>
      </c>
      <c r="D5" t="s">
        <v>89</v>
      </c>
      <c r="E5" t="s">
        <v>70</v>
      </c>
      <c r="F5" s="4">
        <v>46132</v>
      </c>
      <c r="G5" s="4">
        <v>46137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s="5">
        <v>59900</v>
      </c>
      <c r="N5" s="5">
        <v>6800</v>
      </c>
      <c r="O5" s="5">
        <v>7050</v>
      </c>
      <c r="P5" s="5">
        <v>15000</v>
      </c>
      <c r="Q5" s="5">
        <v>89950</v>
      </c>
      <c r="R5" t="s">
        <v>95</v>
      </c>
      <c r="S5" t="s">
        <v>63</v>
      </c>
      <c r="T5" s="5">
        <v>89950</v>
      </c>
      <c r="U5" s="6">
        <v>5</v>
      </c>
      <c r="V5" t="s">
        <v>77</v>
      </c>
      <c r="W5" s="4">
        <v>46149</v>
      </c>
      <c r="X5" t="s">
        <v>77</v>
      </c>
      <c r="Y5" t="s">
        <v>64</v>
      </c>
      <c r="Z5" t="s">
        <v>96</v>
      </c>
    </row>
    <row r="6" spans="1:26">
      <c r="A6" t="s">
        <v>97</v>
      </c>
      <c r="B6" t="s">
        <v>98</v>
      </c>
      <c r="C6" s="4">
        <v>46024</v>
      </c>
      <c r="D6" t="s">
        <v>99</v>
      </c>
      <c r="E6" t="s">
        <v>56</v>
      </c>
      <c r="F6" s="4"/>
      <c r="G6" s="4"/>
      <c r="H6" t="s">
        <v>57</v>
      </c>
      <c r="I6" t="s">
        <v>100</v>
      </c>
      <c r="J6" t="s">
        <v>72</v>
      </c>
      <c r="K6" t="s">
        <v>73</v>
      </c>
      <c r="L6" t="s">
        <v>74</v>
      </c>
      <c r="M6" s="5"/>
      <c r="N6" s="5"/>
      <c r="O6" s="5"/>
      <c r="P6" s="5"/>
      <c r="Q6" s="5"/>
      <c r="R6" t="s">
        <v>62</v>
      </c>
      <c r="S6" t="s">
        <v>63</v>
      </c>
      <c r="T6" s="5"/>
      <c r="U6" s="6"/>
      <c r="V6" t="s">
        <v>64</v>
      </c>
      <c r="W6" s="4"/>
      <c r="X6" t="s">
        <v>65</v>
      </c>
      <c r="Z6" t="s">
        <v>66</v>
      </c>
    </row>
    <row r="7" spans="1:26">
      <c r="A7" t="s">
        <v>101</v>
      </c>
      <c r="B7" t="s">
        <v>102</v>
      </c>
      <c r="C7" s="4">
        <v>46059</v>
      </c>
      <c r="D7" t="s">
        <v>55</v>
      </c>
      <c r="E7" t="s">
        <v>70</v>
      </c>
      <c r="F7" s="4">
        <v>46059</v>
      </c>
      <c r="G7" s="4">
        <v>46067</v>
      </c>
      <c r="H7" t="s">
        <v>103</v>
      </c>
      <c r="I7" t="s">
        <v>104</v>
      </c>
      <c r="J7" t="s">
        <v>105</v>
      </c>
      <c r="K7" t="s">
        <v>93</v>
      </c>
      <c r="L7" t="s">
        <v>94</v>
      </c>
      <c r="M7" s="5">
        <v>63500</v>
      </c>
      <c r="N7" s="5">
        <v>8950</v>
      </c>
      <c r="O7" s="5">
        <v>7200</v>
      </c>
      <c r="P7" s="5">
        <v>28000</v>
      </c>
      <c r="Q7" s="5">
        <v>109450</v>
      </c>
      <c r="R7" t="s">
        <v>106</v>
      </c>
      <c r="S7" t="s">
        <v>76</v>
      </c>
      <c r="T7" s="5">
        <v>39010</v>
      </c>
      <c r="U7" s="6">
        <v>3</v>
      </c>
      <c r="V7" t="s">
        <v>77</v>
      </c>
      <c r="W7" s="4">
        <v>46075</v>
      </c>
      <c r="X7" t="s">
        <v>64</v>
      </c>
      <c r="Y7" t="s">
        <v>64</v>
      </c>
      <c r="Z7" t="s">
        <v>107</v>
      </c>
    </row>
    <row r="8" spans="1:26">
      <c r="A8" t="s">
        <v>108</v>
      </c>
      <c r="B8" t="s">
        <v>109</v>
      </c>
      <c r="C8" s="4">
        <v>46051</v>
      </c>
      <c r="D8" t="s">
        <v>110</v>
      </c>
      <c r="E8" t="s">
        <v>70</v>
      </c>
      <c r="F8" s="4">
        <v>46051</v>
      </c>
      <c r="G8" s="4">
        <v>46051</v>
      </c>
      <c r="H8" t="s">
        <v>111</v>
      </c>
      <c r="I8" t="s">
        <v>112</v>
      </c>
      <c r="J8" t="s">
        <v>113</v>
      </c>
      <c r="K8" t="s">
        <v>60</v>
      </c>
      <c r="L8" t="s">
        <v>94</v>
      </c>
      <c r="M8" s="5">
        <v>20100</v>
      </c>
      <c r="N8" s="5">
        <v>3250</v>
      </c>
      <c r="O8" s="5">
        <v>4300</v>
      </c>
      <c r="P8" s="5">
        <v>0</v>
      </c>
      <c r="Q8" s="5">
        <v>28450</v>
      </c>
      <c r="R8" t="s">
        <v>75</v>
      </c>
      <c r="S8" t="s">
        <v>76</v>
      </c>
      <c r="T8" s="5">
        <v>13100</v>
      </c>
      <c r="U8" s="6">
        <v>4</v>
      </c>
      <c r="V8" t="s">
        <v>64</v>
      </c>
      <c r="W8" s="4"/>
      <c r="X8" t="s">
        <v>65</v>
      </c>
      <c r="Y8" t="s">
        <v>64</v>
      </c>
      <c r="Z8" t="s">
        <v>96</v>
      </c>
    </row>
    <row r="9" spans="1:26">
      <c r="A9" t="s">
        <v>114</v>
      </c>
      <c r="B9" t="s">
        <v>115</v>
      </c>
      <c r="C9" s="4">
        <v>46106</v>
      </c>
      <c r="D9" t="s">
        <v>69</v>
      </c>
      <c r="E9" t="s">
        <v>70</v>
      </c>
      <c r="F9" s="4">
        <v>46106</v>
      </c>
      <c r="G9" s="4">
        <v>46106</v>
      </c>
      <c r="H9" t="s">
        <v>111</v>
      </c>
      <c r="I9" t="s">
        <v>116</v>
      </c>
      <c r="J9" t="s">
        <v>117</v>
      </c>
      <c r="K9" t="s">
        <v>60</v>
      </c>
      <c r="L9" t="s">
        <v>94</v>
      </c>
      <c r="M9" s="5">
        <v>5800</v>
      </c>
      <c r="N9" s="5">
        <v>750</v>
      </c>
      <c r="O9" s="5">
        <v>1000</v>
      </c>
      <c r="P9" s="5">
        <v>0</v>
      </c>
      <c r="Q9" s="5">
        <v>8350</v>
      </c>
      <c r="R9" t="s">
        <v>62</v>
      </c>
      <c r="S9" t="s">
        <v>76</v>
      </c>
      <c r="T9" s="5">
        <v>2910</v>
      </c>
      <c r="U9" s="6">
        <v>5</v>
      </c>
      <c r="V9" t="s">
        <v>64</v>
      </c>
      <c r="W9" s="4"/>
      <c r="X9" t="s">
        <v>65</v>
      </c>
      <c r="Y9" t="s">
        <v>64</v>
      </c>
      <c r="Z9" t="s">
        <v>78</v>
      </c>
    </row>
    <row r="10" spans="1:26">
      <c r="A10" t="s">
        <v>118</v>
      </c>
      <c r="B10" t="s">
        <v>119</v>
      </c>
      <c r="C10" s="4">
        <v>46168</v>
      </c>
      <c r="D10" t="s">
        <v>120</v>
      </c>
      <c r="E10" t="s">
        <v>70</v>
      </c>
      <c r="F10" s="4">
        <v>46168</v>
      </c>
      <c r="G10" s="4">
        <v>46172</v>
      </c>
      <c r="H10" t="s">
        <v>121</v>
      </c>
      <c r="I10" t="s">
        <v>122</v>
      </c>
      <c r="J10" t="s">
        <v>123</v>
      </c>
      <c r="K10" t="s">
        <v>124</v>
      </c>
      <c r="L10" t="s">
        <v>74</v>
      </c>
      <c r="M10" s="5">
        <v>42600</v>
      </c>
      <c r="N10" s="5">
        <v>6150</v>
      </c>
      <c r="O10" s="5">
        <v>8150</v>
      </c>
      <c r="P10" s="5">
        <v>12000</v>
      </c>
      <c r="Q10" s="5">
        <v>69900</v>
      </c>
      <c r="R10" t="s">
        <v>85</v>
      </c>
      <c r="S10" t="s">
        <v>76</v>
      </c>
      <c r="T10" s="5">
        <v>18380</v>
      </c>
      <c r="U10" s="6">
        <v>3</v>
      </c>
      <c r="V10" t="s">
        <v>77</v>
      </c>
      <c r="W10" s="4">
        <v>46185</v>
      </c>
      <c r="X10" t="s">
        <v>64</v>
      </c>
      <c r="Y10" t="s">
        <v>64</v>
      </c>
      <c r="Z10" t="s">
        <v>107</v>
      </c>
    </row>
    <row r="11" spans="1:26">
      <c r="A11" t="s">
        <v>125</v>
      </c>
      <c r="B11" t="s">
        <v>126</v>
      </c>
      <c r="C11" s="4">
        <v>46171</v>
      </c>
      <c r="D11" t="s">
        <v>127</v>
      </c>
      <c r="E11" t="s">
        <v>56</v>
      </c>
      <c r="F11" s="4"/>
      <c r="G11" s="4"/>
      <c r="H11" t="s">
        <v>90</v>
      </c>
      <c r="I11" t="s">
        <v>128</v>
      </c>
      <c r="J11" t="s">
        <v>129</v>
      </c>
      <c r="K11" t="s">
        <v>60</v>
      </c>
      <c r="L11" t="s">
        <v>61</v>
      </c>
      <c r="M11" s="5"/>
      <c r="N11" s="5"/>
      <c r="O11" s="5"/>
      <c r="P11" s="5"/>
      <c r="Q11" s="5"/>
      <c r="R11" t="s">
        <v>85</v>
      </c>
      <c r="S11" t="s">
        <v>63</v>
      </c>
      <c r="T11" s="5"/>
      <c r="U11" s="6"/>
      <c r="V11" t="s">
        <v>64</v>
      </c>
      <c r="W11" s="4"/>
      <c r="X11" t="s">
        <v>65</v>
      </c>
      <c r="Z11" t="s">
        <v>66</v>
      </c>
    </row>
    <row r="12" spans="1:26">
      <c r="A12" t="s">
        <v>130</v>
      </c>
      <c r="B12" t="s">
        <v>131</v>
      </c>
      <c r="C12" s="4">
        <v>46123</v>
      </c>
      <c r="D12" t="s">
        <v>132</v>
      </c>
      <c r="E12" t="s">
        <v>70</v>
      </c>
      <c r="F12" s="4">
        <v>46123</v>
      </c>
      <c r="G12" s="4">
        <v>46123</v>
      </c>
      <c r="H12" t="s">
        <v>90</v>
      </c>
      <c r="I12" t="s">
        <v>133</v>
      </c>
      <c r="J12" t="s">
        <v>92</v>
      </c>
      <c r="K12" t="s">
        <v>60</v>
      </c>
      <c r="L12" t="s">
        <v>94</v>
      </c>
      <c r="M12" s="5">
        <v>43000</v>
      </c>
      <c r="N12" s="5">
        <v>5000</v>
      </c>
      <c r="O12" s="5">
        <v>5850</v>
      </c>
      <c r="P12" s="5">
        <v>0</v>
      </c>
      <c r="Q12" s="5">
        <v>55850</v>
      </c>
      <c r="R12" t="s">
        <v>134</v>
      </c>
      <c r="S12" t="s">
        <v>76</v>
      </c>
      <c r="T12" s="5">
        <v>30920</v>
      </c>
      <c r="U12" s="6"/>
      <c r="V12" t="s">
        <v>77</v>
      </c>
      <c r="W12" s="4">
        <v>46132</v>
      </c>
      <c r="X12" t="s">
        <v>64</v>
      </c>
      <c r="Y12" t="s">
        <v>64</v>
      </c>
      <c r="Z12" t="s">
        <v>78</v>
      </c>
    </row>
    <row r="13" spans="1:26">
      <c r="A13" t="s">
        <v>135</v>
      </c>
      <c r="B13" t="s">
        <v>136</v>
      </c>
      <c r="C13" s="4">
        <v>46023</v>
      </c>
      <c r="D13" t="s">
        <v>137</v>
      </c>
      <c r="E13" t="s">
        <v>56</v>
      </c>
      <c r="F13" s="4"/>
      <c r="G13" s="4"/>
      <c r="H13" t="s">
        <v>138</v>
      </c>
      <c r="I13" t="s">
        <v>139</v>
      </c>
      <c r="J13" t="s">
        <v>140</v>
      </c>
      <c r="K13" t="s">
        <v>60</v>
      </c>
      <c r="L13" t="s">
        <v>74</v>
      </c>
      <c r="M13" s="5"/>
      <c r="N13" s="5"/>
      <c r="O13" s="5"/>
      <c r="P13" s="5"/>
      <c r="Q13" s="5"/>
      <c r="R13" t="s">
        <v>141</v>
      </c>
      <c r="S13" t="s">
        <v>63</v>
      </c>
      <c r="T13" s="5"/>
      <c r="U13" s="6"/>
      <c r="V13" t="s">
        <v>64</v>
      </c>
      <c r="W13" s="4"/>
      <c r="X13" t="s">
        <v>65</v>
      </c>
      <c r="Z13" t="s">
        <v>66</v>
      </c>
    </row>
    <row r="14" spans="1:26">
      <c r="A14" t="s">
        <v>142</v>
      </c>
      <c r="B14" t="s">
        <v>143</v>
      </c>
      <c r="C14" s="4">
        <v>46043</v>
      </c>
      <c r="D14" t="s">
        <v>144</v>
      </c>
      <c r="E14" t="s">
        <v>70</v>
      </c>
      <c r="F14" s="4">
        <v>46043</v>
      </c>
      <c r="G14" s="4">
        <v>46043</v>
      </c>
      <c r="H14" t="s">
        <v>103</v>
      </c>
      <c r="I14" t="s">
        <v>104</v>
      </c>
      <c r="J14" t="s">
        <v>145</v>
      </c>
      <c r="K14" t="s">
        <v>60</v>
      </c>
      <c r="L14" t="s">
        <v>146</v>
      </c>
      <c r="M14" s="5">
        <v>27500</v>
      </c>
      <c r="N14" s="5">
        <v>3200</v>
      </c>
      <c r="O14" s="5">
        <v>3450</v>
      </c>
      <c r="P14" s="5">
        <v>0</v>
      </c>
      <c r="Q14" s="5">
        <v>35950</v>
      </c>
      <c r="R14" t="s">
        <v>85</v>
      </c>
      <c r="S14" t="s">
        <v>76</v>
      </c>
      <c r="T14" s="5">
        <v>9890</v>
      </c>
      <c r="U14" s="6">
        <v>5</v>
      </c>
      <c r="V14" t="s">
        <v>64</v>
      </c>
      <c r="W14" s="4"/>
      <c r="X14" t="s">
        <v>65</v>
      </c>
      <c r="Y14" t="s">
        <v>64</v>
      </c>
      <c r="Z14" t="s">
        <v>96</v>
      </c>
    </row>
    <row r="15" spans="1:26">
      <c r="A15" t="s">
        <v>147</v>
      </c>
      <c r="B15" t="s">
        <v>148</v>
      </c>
      <c r="C15" s="4">
        <v>46105</v>
      </c>
      <c r="D15" t="s">
        <v>149</v>
      </c>
      <c r="E15" t="s">
        <v>70</v>
      </c>
      <c r="F15" s="4">
        <v>46105</v>
      </c>
      <c r="G15" s="4">
        <v>46107</v>
      </c>
      <c r="H15" t="s">
        <v>150</v>
      </c>
      <c r="I15" t="s">
        <v>151</v>
      </c>
      <c r="J15" t="s">
        <v>152</v>
      </c>
      <c r="K15" t="s">
        <v>73</v>
      </c>
      <c r="L15" t="s">
        <v>61</v>
      </c>
      <c r="M15" s="5">
        <v>22000</v>
      </c>
      <c r="N15" s="5">
        <v>2850</v>
      </c>
      <c r="O15" s="5">
        <v>3950</v>
      </c>
      <c r="P15" s="5">
        <v>5000</v>
      </c>
      <c r="Q15" s="5">
        <v>36300</v>
      </c>
      <c r="R15" t="s">
        <v>141</v>
      </c>
      <c r="S15" t="s">
        <v>76</v>
      </c>
      <c r="T15" s="5">
        <v>6650</v>
      </c>
      <c r="U15" s="6">
        <v>5</v>
      </c>
      <c r="V15" t="s">
        <v>64</v>
      </c>
      <c r="W15" s="4"/>
      <c r="X15" t="s">
        <v>65</v>
      </c>
      <c r="Y15" t="s">
        <v>64</v>
      </c>
      <c r="Z15" t="s">
        <v>107</v>
      </c>
    </row>
    <row r="16" spans="1:26">
      <c r="A16" t="s">
        <v>153</v>
      </c>
      <c r="B16" t="s">
        <v>154</v>
      </c>
      <c r="C16" s="4">
        <v>46045</v>
      </c>
      <c r="D16" t="s">
        <v>137</v>
      </c>
      <c r="E16" t="s">
        <v>56</v>
      </c>
      <c r="F16" s="4"/>
      <c r="G16" s="4"/>
      <c r="H16" t="s">
        <v>82</v>
      </c>
      <c r="I16" t="s">
        <v>155</v>
      </c>
      <c r="J16" t="s">
        <v>156</v>
      </c>
      <c r="K16" t="s">
        <v>93</v>
      </c>
      <c r="L16" t="s">
        <v>61</v>
      </c>
      <c r="M16" s="5"/>
      <c r="N16" s="5"/>
      <c r="O16" s="5"/>
      <c r="P16" s="5"/>
      <c r="Q16" s="5"/>
      <c r="R16" t="s">
        <v>141</v>
      </c>
      <c r="S16" t="s">
        <v>63</v>
      </c>
      <c r="T16" s="5"/>
      <c r="U16" s="6"/>
      <c r="V16" t="s">
        <v>64</v>
      </c>
      <c r="W16" s="4"/>
      <c r="X16" t="s">
        <v>65</v>
      </c>
      <c r="Z16" t="s">
        <v>66</v>
      </c>
    </row>
    <row r="17" spans="1:26">
      <c r="A17" t="s">
        <v>157</v>
      </c>
      <c r="B17" t="s">
        <v>158</v>
      </c>
      <c r="C17" s="4">
        <v>46061</v>
      </c>
      <c r="D17" t="s">
        <v>69</v>
      </c>
      <c r="E17" t="s">
        <v>70</v>
      </c>
      <c r="F17" s="4">
        <v>46061</v>
      </c>
      <c r="G17" s="4">
        <v>46064</v>
      </c>
      <c r="H17" t="s">
        <v>57</v>
      </c>
      <c r="I17" t="s">
        <v>58</v>
      </c>
      <c r="J17" t="s">
        <v>59</v>
      </c>
      <c r="K17" t="s">
        <v>93</v>
      </c>
      <c r="L17" t="s">
        <v>74</v>
      </c>
      <c r="M17" s="5">
        <v>39000</v>
      </c>
      <c r="N17" s="5">
        <v>3850</v>
      </c>
      <c r="O17" s="5">
        <v>4050</v>
      </c>
      <c r="P17" s="5">
        <v>9000</v>
      </c>
      <c r="Q17" s="5">
        <v>58400</v>
      </c>
      <c r="R17" t="s">
        <v>95</v>
      </c>
      <c r="S17" t="s">
        <v>63</v>
      </c>
      <c r="T17" s="5">
        <v>58400</v>
      </c>
      <c r="U17" s="6">
        <v>5</v>
      </c>
      <c r="V17" t="s">
        <v>77</v>
      </c>
      <c r="W17" s="4">
        <v>46076</v>
      </c>
      <c r="X17" t="s">
        <v>77</v>
      </c>
      <c r="Y17" t="s">
        <v>64</v>
      </c>
      <c r="Z17" t="s">
        <v>78</v>
      </c>
    </row>
    <row r="18" spans="1:26">
      <c r="A18" t="s">
        <v>159</v>
      </c>
      <c r="B18" t="s">
        <v>160</v>
      </c>
      <c r="C18" s="4">
        <v>46066</v>
      </c>
      <c r="D18" t="s">
        <v>161</v>
      </c>
      <c r="E18" t="s">
        <v>70</v>
      </c>
      <c r="F18" s="4">
        <v>46066</v>
      </c>
      <c r="G18" s="4">
        <v>46074</v>
      </c>
      <c r="H18" t="s">
        <v>90</v>
      </c>
      <c r="I18" t="s">
        <v>162</v>
      </c>
      <c r="J18" t="s">
        <v>92</v>
      </c>
      <c r="K18" t="s">
        <v>93</v>
      </c>
      <c r="L18" t="s">
        <v>94</v>
      </c>
      <c r="M18" s="5">
        <v>55900</v>
      </c>
      <c r="N18" s="5">
        <v>5400</v>
      </c>
      <c r="O18" s="5">
        <v>13350</v>
      </c>
      <c r="P18" s="5">
        <v>48000</v>
      </c>
      <c r="Q18" s="5">
        <v>123850</v>
      </c>
      <c r="R18" t="s">
        <v>106</v>
      </c>
      <c r="S18" t="s">
        <v>163</v>
      </c>
      <c r="T18" s="5">
        <v>44050</v>
      </c>
      <c r="U18" s="6">
        <v>3</v>
      </c>
      <c r="V18" t="s">
        <v>64</v>
      </c>
      <c r="W18" s="4"/>
      <c r="X18" t="s">
        <v>65</v>
      </c>
      <c r="Y18" t="s">
        <v>64</v>
      </c>
      <c r="Z18" t="s">
        <v>96</v>
      </c>
    </row>
    <row r="19" spans="1:26">
      <c r="A19" t="s">
        <v>164</v>
      </c>
      <c r="B19" t="s">
        <v>165</v>
      </c>
      <c r="C19" s="4">
        <v>46031</v>
      </c>
      <c r="D19" t="s">
        <v>149</v>
      </c>
      <c r="E19" t="s">
        <v>70</v>
      </c>
      <c r="F19" s="4">
        <v>46031</v>
      </c>
      <c r="G19" s="4">
        <v>46033</v>
      </c>
      <c r="H19" t="s">
        <v>82</v>
      </c>
      <c r="I19" t="s">
        <v>83</v>
      </c>
      <c r="J19" t="s">
        <v>84</v>
      </c>
      <c r="K19" t="s">
        <v>73</v>
      </c>
      <c r="L19" t="s">
        <v>146</v>
      </c>
      <c r="M19" s="5">
        <v>10000</v>
      </c>
      <c r="N19" s="5">
        <v>1550</v>
      </c>
      <c r="O19" s="5">
        <v>2400</v>
      </c>
      <c r="P19" s="5">
        <v>7000</v>
      </c>
      <c r="Q19" s="5">
        <v>22750</v>
      </c>
      <c r="R19" t="s">
        <v>75</v>
      </c>
      <c r="S19" t="s">
        <v>163</v>
      </c>
      <c r="T19" s="5">
        <v>10540</v>
      </c>
      <c r="U19" s="6">
        <v>4</v>
      </c>
      <c r="V19" t="s">
        <v>64</v>
      </c>
      <c r="W19" s="4"/>
      <c r="X19" t="s">
        <v>65</v>
      </c>
      <c r="Y19" t="s">
        <v>64</v>
      </c>
      <c r="Z19" t="s">
        <v>96</v>
      </c>
    </row>
    <row r="20" spans="1:26">
      <c r="A20" t="s">
        <v>166</v>
      </c>
      <c r="B20" t="s">
        <v>167</v>
      </c>
      <c r="C20" s="4">
        <v>46136</v>
      </c>
      <c r="D20" t="s">
        <v>168</v>
      </c>
      <c r="E20" t="s">
        <v>70</v>
      </c>
      <c r="F20" s="4">
        <v>46136</v>
      </c>
      <c r="G20" s="4">
        <v>46144</v>
      </c>
      <c r="H20" t="s">
        <v>57</v>
      </c>
      <c r="I20" t="s">
        <v>169</v>
      </c>
      <c r="J20" t="s">
        <v>170</v>
      </c>
      <c r="K20" t="s">
        <v>124</v>
      </c>
      <c r="L20" t="s">
        <v>61</v>
      </c>
      <c r="M20" s="5">
        <v>63500</v>
      </c>
      <c r="N20" s="5">
        <v>6500</v>
      </c>
      <c r="O20" s="5">
        <v>9750</v>
      </c>
      <c r="P20" s="5">
        <v>28000</v>
      </c>
      <c r="Q20" s="5">
        <v>108550</v>
      </c>
      <c r="R20" t="s">
        <v>75</v>
      </c>
      <c r="S20" t="s">
        <v>76</v>
      </c>
      <c r="T20" s="5">
        <v>49150</v>
      </c>
      <c r="U20" s="6"/>
      <c r="V20" t="s">
        <v>77</v>
      </c>
      <c r="W20" s="4">
        <v>46154</v>
      </c>
      <c r="X20" t="s">
        <v>64</v>
      </c>
      <c r="Y20" t="s">
        <v>64</v>
      </c>
      <c r="Z20" t="s">
        <v>78</v>
      </c>
    </row>
    <row r="21" spans="1:26">
      <c r="A21" t="s">
        <v>171</v>
      </c>
      <c r="B21" t="s">
        <v>172</v>
      </c>
      <c r="C21" s="4">
        <v>46104</v>
      </c>
      <c r="D21" t="s">
        <v>173</v>
      </c>
      <c r="E21" t="s">
        <v>56</v>
      </c>
      <c r="F21" s="4"/>
      <c r="G21" s="4"/>
      <c r="H21" t="s">
        <v>121</v>
      </c>
      <c r="I21" t="s">
        <v>174</v>
      </c>
      <c r="J21" t="s">
        <v>123</v>
      </c>
      <c r="K21" t="s">
        <v>60</v>
      </c>
      <c r="L21" t="s">
        <v>94</v>
      </c>
      <c r="M21" s="5"/>
      <c r="N21" s="5"/>
      <c r="O21" s="5"/>
      <c r="P21" s="5"/>
      <c r="Q21" s="5"/>
      <c r="R21" t="s">
        <v>141</v>
      </c>
      <c r="S21" t="s">
        <v>63</v>
      </c>
      <c r="T21" s="5"/>
      <c r="U21" s="6"/>
      <c r="V21" t="s">
        <v>64</v>
      </c>
      <c r="W21" s="4"/>
      <c r="X21" t="s">
        <v>65</v>
      </c>
      <c r="Z21" t="s">
        <v>66</v>
      </c>
    </row>
    <row r="22" spans="1:26">
      <c r="A22" t="s">
        <v>175</v>
      </c>
      <c r="B22" t="s">
        <v>176</v>
      </c>
      <c r="C22" s="4">
        <v>46111</v>
      </c>
      <c r="D22" t="s">
        <v>149</v>
      </c>
      <c r="E22" t="s">
        <v>177</v>
      </c>
      <c r="F22" s="4"/>
      <c r="G22" s="4"/>
      <c r="H22" t="s">
        <v>178</v>
      </c>
      <c r="I22" t="s">
        <v>179</v>
      </c>
      <c r="J22" t="s">
        <v>180</v>
      </c>
      <c r="K22" t="s">
        <v>93</v>
      </c>
      <c r="L22" t="s">
        <v>94</v>
      </c>
      <c r="M22" s="5"/>
      <c r="N22" s="5"/>
      <c r="O22" s="5"/>
      <c r="P22" s="5"/>
      <c r="Q22" s="5"/>
      <c r="R22" t="s">
        <v>85</v>
      </c>
      <c r="S22" t="s">
        <v>63</v>
      </c>
      <c r="T22" s="5"/>
      <c r="U22" s="6"/>
      <c r="V22" t="s">
        <v>64</v>
      </c>
      <c r="W22" s="4"/>
      <c r="X22" t="s">
        <v>65</v>
      </c>
      <c r="Z22" t="s">
        <v>66</v>
      </c>
    </row>
    <row r="23" spans="1:26">
      <c r="A23" t="s">
        <v>181</v>
      </c>
      <c r="B23" t="s">
        <v>182</v>
      </c>
      <c r="C23" s="4">
        <v>46064</v>
      </c>
      <c r="D23" t="s">
        <v>183</v>
      </c>
      <c r="E23" t="s">
        <v>70</v>
      </c>
      <c r="F23" s="4">
        <v>46064</v>
      </c>
      <c r="G23" s="4">
        <v>46068</v>
      </c>
      <c r="H23" t="s">
        <v>57</v>
      </c>
      <c r="I23" t="s">
        <v>184</v>
      </c>
      <c r="J23" t="s">
        <v>170</v>
      </c>
      <c r="K23" t="s">
        <v>73</v>
      </c>
      <c r="L23" t="s">
        <v>61</v>
      </c>
      <c r="M23" s="5">
        <v>54800</v>
      </c>
      <c r="N23" s="5">
        <v>9500</v>
      </c>
      <c r="O23" s="5">
        <v>10350</v>
      </c>
      <c r="P23" s="5">
        <v>18000</v>
      </c>
      <c r="Q23" s="5">
        <v>93850</v>
      </c>
      <c r="R23" t="s">
        <v>75</v>
      </c>
      <c r="S23" t="s">
        <v>76</v>
      </c>
      <c r="T23" s="5">
        <v>42530</v>
      </c>
      <c r="U23" s="6">
        <v>5</v>
      </c>
      <c r="V23" t="s">
        <v>64</v>
      </c>
      <c r="W23" s="4"/>
      <c r="X23" t="s">
        <v>65</v>
      </c>
      <c r="Y23" t="s">
        <v>64</v>
      </c>
      <c r="Z23" t="s">
        <v>96</v>
      </c>
    </row>
    <row r="24" spans="1:26">
      <c r="A24" t="s">
        <v>185</v>
      </c>
      <c r="B24" t="s">
        <v>186</v>
      </c>
      <c r="C24" s="4">
        <v>46172</v>
      </c>
      <c r="D24" t="s">
        <v>55</v>
      </c>
      <c r="E24" t="s">
        <v>70</v>
      </c>
      <c r="F24" s="4">
        <v>46172</v>
      </c>
      <c r="G24" s="4">
        <v>46184</v>
      </c>
      <c r="H24" t="s">
        <v>150</v>
      </c>
      <c r="I24" t="s">
        <v>187</v>
      </c>
      <c r="J24" t="s">
        <v>188</v>
      </c>
      <c r="K24" t="s">
        <v>73</v>
      </c>
      <c r="L24" t="s">
        <v>61</v>
      </c>
      <c r="M24" s="5">
        <v>103400</v>
      </c>
      <c r="N24" s="5">
        <v>16900</v>
      </c>
      <c r="O24" s="5">
        <v>17650</v>
      </c>
      <c r="P24" s="5">
        <v>42000</v>
      </c>
      <c r="Q24" s="5">
        <v>182450</v>
      </c>
      <c r="R24" t="s">
        <v>141</v>
      </c>
      <c r="S24" t="s">
        <v>76</v>
      </c>
      <c r="T24" s="5">
        <v>28570</v>
      </c>
      <c r="U24" s="6">
        <v>3</v>
      </c>
      <c r="V24" t="s">
        <v>77</v>
      </c>
      <c r="W24" s="4">
        <v>46194</v>
      </c>
      <c r="X24" t="s">
        <v>77</v>
      </c>
      <c r="Y24" t="s">
        <v>64</v>
      </c>
      <c r="Z24" t="s">
        <v>96</v>
      </c>
    </row>
    <row r="25" spans="1:26">
      <c r="A25" t="s">
        <v>189</v>
      </c>
      <c r="B25" t="s">
        <v>190</v>
      </c>
      <c r="C25" s="4">
        <v>46053</v>
      </c>
      <c r="D25" t="s">
        <v>168</v>
      </c>
      <c r="E25" t="s">
        <v>191</v>
      </c>
      <c r="F25" s="4"/>
      <c r="G25" s="4"/>
      <c r="H25" t="s">
        <v>57</v>
      </c>
      <c r="I25" t="s">
        <v>58</v>
      </c>
      <c r="J25" t="s">
        <v>59</v>
      </c>
      <c r="K25" t="s">
        <v>60</v>
      </c>
      <c r="L25" t="s">
        <v>74</v>
      </c>
      <c r="M25" s="5"/>
      <c r="N25" s="5"/>
      <c r="O25" s="5"/>
      <c r="P25" s="5"/>
      <c r="Q25" s="5"/>
      <c r="R25" t="s">
        <v>62</v>
      </c>
      <c r="S25" t="s">
        <v>63</v>
      </c>
      <c r="T25" s="5"/>
      <c r="U25" s="6"/>
      <c r="V25" t="s">
        <v>64</v>
      </c>
      <c r="W25" s="4"/>
      <c r="X25" t="s">
        <v>65</v>
      </c>
      <c r="Z25" t="s">
        <v>66</v>
      </c>
    </row>
    <row r="26" spans="1:26">
      <c r="A26" t="s">
        <v>192</v>
      </c>
      <c r="B26" t="s">
        <v>193</v>
      </c>
      <c r="C26" s="4">
        <v>46092</v>
      </c>
      <c r="D26" t="s">
        <v>89</v>
      </c>
      <c r="E26" t="s">
        <v>70</v>
      </c>
      <c r="F26" s="4">
        <v>46092</v>
      </c>
      <c r="G26" s="4">
        <v>46092</v>
      </c>
      <c r="H26" t="s">
        <v>82</v>
      </c>
      <c r="I26" t="s">
        <v>194</v>
      </c>
      <c r="J26" t="s">
        <v>84</v>
      </c>
      <c r="K26" t="s">
        <v>93</v>
      </c>
      <c r="L26" t="s">
        <v>61</v>
      </c>
      <c r="M26" s="5">
        <v>7300</v>
      </c>
      <c r="N26" s="5">
        <v>1150</v>
      </c>
      <c r="O26" s="5">
        <v>950</v>
      </c>
      <c r="P26" s="5">
        <v>0</v>
      </c>
      <c r="Q26" s="5">
        <v>11200</v>
      </c>
      <c r="R26" t="s">
        <v>75</v>
      </c>
      <c r="S26" t="s">
        <v>76</v>
      </c>
      <c r="T26" s="5">
        <v>5340</v>
      </c>
      <c r="U26" s="6">
        <v>5</v>
      </c>
      <c r="V26" t="s">
        <v>64</v>
      </c>
      <c r="W26" s="4"/>
      <c r="X26" t="s">
        <v>65</v>
      </c>
      <c r="Y26" t="s">
        <v>64</v>
      </c>
      <c r="Z26" t="s">
        <v>78</v>
      </c>
    </row>
    <row r="27" spans="1:26">
      <c r="A27" t="s">
        <v>195</v>
      </c>
      <c r="B27" t="s">
        <v>196</v>
      </c>
      <c r="C27" s="4">
        <v>46095</v>
      </c>
      <c r="D27" t="s">
        <v>89</v>
      </c>
      <c r="E27" t="s">
        <v>70</v>
      </c>
      <c r="F27" s="4">
        <v>46095</v>
      </c>
      <c r="G27" s="4">
        <v>46097</v>
      </c>
      <c r="H27" t="s">
        <v>90</v>
      </c>
      <c r="I27" t="s">
        <v>133</v>
      </c>
      <c r="J27" t="s">
        <v>197</v>
      </c>
      <c r="K27" t="s">
        <v>93</v>
      </c>
      <c r="L27" t="s">
        <v>61</v>
      </c>
      <c r="M27" s="5">
        <v>14800</v>
      </c>
      <c r="N27" s="5">
        <v>1500</v>
      </c>
      <c r="O27" s="5">
        <v>1900</v>
      </c>
      <c r="P27" s="5">
        <v>12000</v>
      </c>
      <c r="Q27" s="5">
        <v>32200</v>
      </c>
      <c r="R27" t="s">
        <v>85</v>
      </c>
      <c r="S27" t="s">
        <v>86</v>
      </c>
      <c r="T27" s="5">
        <v>8950</v>
      </c>
      <c r="U27" s="6">
        <v>5</v>
      </c>
      <c r="V27" t="s">
        <v>64</v>
      </c>
      <c r="W27" s="4"/>
      <c r="X27" t="s">
        <v>65</v>
      </c>
      <c r="Y27" t="s">
        <v>64</v>
      </c>
      <c r="Z27" t="s">
        <v>107</v>
      </c>
    </row>
    <row r="28" spans="1:26">
      <c r="A28" t="s">
        <v>198</v>
      </c>
      <c r="B28" t="s">
        <v>199</v>
      </c>
      <c r="C28" s="4">
        <v>46112</v>
      </c>
      <c r="D28" t="s">
        <v>200</v>
      </c>
      <c r="E28" t="s">
        <v>70</v>
      </c>
      <c r="F28" s="4">
        <v>46112</v>
      </c>
      <c r="G28" s="4">
        <v>46112</v>
      </c>
      <c r="H28" t="s">
        <v>201</v>
      </c>
      <c r="I28" t="s">
        <v>202</v>
      </c>
      <c r="J28" t="s">
        <v>203</v>
      </c>
      <c r="K28" t="s">
        <v>60</v>
      </c>
      <c r="L28" t="s">
        <v>74</v>
      </c>
      <c r="M28" s="5">
        <v>33000</v>
      </c>
      <c r="N28" s="5">
        <v>4950</v>
      </c>
      <c r="O28" s="5">
        <v>6700</v>
      </c>
      <c r="P28" s="5">
        <v>0</v>
      </c>
      <c r="Q28" s="5">
        <v>47150</v>
      </c>
      <c r="R28" t="s">
        <v>106</v>
      </c>
      <c r="S28" t="s">
        <v>76</v>
      </c>
      <c r="T28" s="5">
        <v>17200</v>
      </c>
      <c r="U28" s="6">
        <v>4</v>
      </c>
      <c r="V28" t="s">
        <v>64</v>
      </c>
      <c r="W28" s="4"/>
      <c r="X28" t="s">
        <v>65</v>
      </c>
      <c r="Y28" t="s">
        <v>64</v>
      </c>
      <c r="Z28" t="s">
        <v>107</v>
      </c>
    </row>
    <row r="29" spans="1:26">
      <c r="A29" t="s">
        <v>204</v>
      </c>
      <c r="B29" t="s">
        <v>205</v>
      </c>
      <c r="C29" s="4">
        <v>46053</v>
      </c>
      <c r="D29" t="s">
        <v>206</v>
      </c>
      <c r="E29" t="s">
        <v>70</v>
      </c>
      <c r="F29" s="4">
        <v>46053</v>
      </c>
      <c r="G29" s="4">
        <v>46058</v>
      </c>
      <c r="H29" t="s">
        <v>103</v>
      </c>
      <c r="I29" t="s">
        <v>207</v>
      </c>
      <c r="J29" t="s">
        <v>105</v>
      </c>
      <c r="K29" t="s">
        <v>73</v>
      </c>
      <c r="L29" t="s">
        <v>94</v>
      </c>
      <c r="M29" s="5">
        <v>42700</v>
      </c>
      <c r="N29" s="5">
        <v>7250</v>
      </c>
      <c r="O29" s="5">
        <v>5450</v>
      </c>
      <c r="P29" s="5">
        <v>17500</v>
      </c>
      <c r="Q29" s="5">
        <v>74400</v>
      </c>
      <c r="R29" t="s">
        <v>75</v>
      </c>
      <c r="S29" t="s">
        <v>76</v>
      </c>
      <c r="T29" s="5">
        <v>33780</v>
      </c>
      <c r="U29" s="6">
        <v>4</v>
      </c>
      <c r="V29" t="s">
        <v>77</v>
      </c>
      <c r="W29" s="4">
        <v>46069</v>
      </c>
      <c r="X29" t="s">
        <v>64</v>
      </c>
      <c r="Y29" t="s">
        <v>64</v>
      </c>
      <c r="Z29" t="s">
        <v>107</v>
      </c>
    </row>
    <row r="30" spans="1:26">
      <c r="A30" t="s">
        <v>208</v>
      </c>
      <c r="B30" t="s">
        <v>209</v>
      </c>
      <c r="C30" s="4">
        <v>46078</v>
      </c>
      <c r="D30" t="s">
        <v>210</v>
      </c>
      <c r="E30" t="s">
        <v>70</v>
      </c>
      <c r="F30" s="4">
        <v>46078</v>
      </c>
      <c r="G30" s="4">
        <v>46085</v>
      </c>
      <c r="H30" t="s">
        <v>57</v>
      </c>
      <c r="I30" t="s">
        <v>211</v>
      </c>
      <c r="J30" t="s">
        <v>59</v>
      </c>
      <c r="K30" t="s">
        <v>124</v>
      </c>
      <c r="L30" t="s">
        <v>61</v>
      </c>
      <c r="M30" s="5">
        <v>57700</v>
      </c>
      <c r="N30" s="5">
        <v>8650</v>
      </c>
      <c r="O30" s="5">
        <v>7350</v>
      </c>
      <c r="P30" s="5">
        <v>17500</v>
      </c>
      <c r="Q30" s="5">
        <v>93200</v>
      </c>
      <c r="R30" t="s">
        <v>75</v>
      </c>
      <c r="S30" t="s">
        <v>76</v>
      </c>
      <c r="T30" s="5">
        <v>42240</v>
      </c>
      <c r="U30" s="6">
        <v>3</v>
      </c>
      <c r="V30" t="s">
        <v>77</v>
      </c>
      <c r="W30" s="4">
        <v>46095</v>
      </c>
      <c r="X30" t="s">
        <v>77</v>
      </c>
      <c r="Y30" t="s">
        <v>64</v>
      </c>
      <c r="Z30" t="s">
        <v>96</v>
      </c>
    </row>
    <row r="31" spans="1:26">
      <c r="A31" t="s">
        <v>212</v>
      </c>
      <c r="B31" t="s">
        <v>213</v>
      </c>
      <c r="C31" s="4">
        <v>46106</v>
      </c>
      <c r="D31" t="s">
        <v>132</v>
      </c>
      <c r="E31" t="s">
        <v>70</v>
      </c>
      <c r="F31" s="4">
        <v>46107</v>
      </c>
      <c r="G31" s="4">
        <v>46112</v>
      </c>
      <c r="H31" t="s">
        <v>103</v>
      </c>
      <c r="I31" t="s">
        <v>214</v>
      </c>
      <c r="J31" t="s">
        <v>105</v>
      </c>
      <c r="K31" t="s">
        <v>73</v>
      </c>
      <c r="L31" t="s">
        <v>94</v>
      </c>
      <c r="M31" s="5">
        <v>57600</v>
      </c>
      <c r="N31" s="5">
        <v>9550</v>
      </c>
      <c r="O31" s="5">
        <v>7400</v>
      </c>
      <c r="P31" s="5">
        <v>12500</v>
      </c>
      <c r="Q31" s="5">
        <v>87850</v>
      </c>
      <c r="R31" t="s">
        <v>62</v>
      </c>
      <c r="S31" t="s">
        <v>86</v>
      </c>
      <c r="T31" s="5">
        <v>26760</v>
      </c>
      <c r="U31" s="6">
        <v>3</v>
      </c>
      <c r="V31" t="s">
        <v>64</v>
      </c>
      <c r="W31" s="4"/>
      <c r="X31" t="s">
        <v>65</v>
      </c>
      <c r="Y31" t="s">
        <v>77</v>
      </c>
      <c r="Z31" t="s">
        <v>96</v>
      </c>
    </row>
    <row r="32" spans="1:26">
      <c r="A32" t="s">
        <v>215</v>
      </c>
      <c r="B32" t="s">
        <v>216</v>
      </c>
      <c r="C32" s="4">
        <v>46049</v>
      </c>
      <c r="D32" t="s">
        <v>217</v>
      </c>
      <c r="E32" t="s">
        <v>70</v>
      </c>
      <c r="F32" s="4">
        <v>46050</v>
      </c>
      <c r="G32" s="4">
        <v>46056</v>
      </c>
      <c r="H32" t="s">
        <v>178</v>
      </c>
      <c r="I32" t="s">
        <v>218</v>
      </c>
      <c r="J32" t="s">
        <v>180</v>
      </c>
      <c r="K32" t="s">
        <v>93</v>
      </c>
      <c r="L32" t="s">
        <v>94</v>
      </c>
      <c r="M32" s="5">
        <v>58300</v>
      </c>
      <c r="N32" s="5">
        <v>8800</v>
      </c>
      <c r="O32" s="5">
        <v>10900</v>
      </c>
      <c r="P32" s="5">
        <v>21000</v>
      </c>
      <c r="Q32" s="5">
        <v>100500</v>
      </c>
      <c r="R32" t="s">
        <v>95</v>
      </c>
      <c r="S32" t="s">
        <v>63</v>
      </c>
      <c r="T32" s="5">
        <v>100500</v>
      </c>
      <c r="U32" s="6">
        <v>5</v>
      </c>
      <c r="V32" t="s">
        <v>64</v>
      </c>
      <c r="W32" s="4"/>
      <c r="X32" t="s">
        <v>65</v>
      </c>
      <c r="Y32" t="s">
        <v>64</v>
      </c>
      <c r="Z32" t="s">
        <v>219</v>
      </c>
    </row>
    <row r="33" spans="1:26">
      <c r="A33" t="s">
        <v>220</v>
      </c>
      <c r="B33" t="s">
        <v>221</v>
      </c>
      <c r="C33" s="4">
        <v>46082</v>
      </c>
      <c r="D33" t="s">
        <v>217</v>
      </c>
      <c r="E33" t="s">
        <v>70</v>
      </c>
      <c r="F33" s="4">
        <v>46082</v>
      </c>
      <c r="G33" s="4">
        <v>46083</v>
      </c>
      <c r="H33" t="s">
        <v>111</v>
      </c>
      <c r="I33" t="s">
        <v>222</v>
      </c>
      <c r="J33" t="s">
        <v>113</v>
      </c>
      <c r="K33" t="s">
        <v>60</v>
      </c>
      <c r="L33" t="s">
        <v>61</v>
      </c>
      <c r="M33" s="5">
        <v>23400</v>
      </c>
      <c r="N33" s="5">
        <v>3450</v>
      </c>
      <c r="O33" s="5">
        <v>2900</v>
      </c>
      <c r="P33" s="5">
        <v>6000</v>
      </c>
      <c r="Q33" s="5">
        <v>36750</v>
      </c>
      <c r="R33" t="s">
        <v>85</v>
      </c>
      <c r="S33" t="s">
        <v>76</v>
      </c>
      <c r="T33" s="5">
        <v>10090</v>
      </c>
      <c r="U33" s="6">
        <v>5</v>
      </c>
      <c r="V33" t="s">
        <v>64</v>
      </c>
      <c r="W33" s="4"/>
      <c r="X33" t="s">
        <v>65</v>
      </c>
      <c r="Y33" t="s">
        <v>64</v>
      </c>
      <c r="Z33" t="s">
        <v>96</v>
      </c>
    </row>
    <row r="34" spans="1:26">
      <c r="A34" t="s">
        <v>223</v>
      </c>
      <c r="B34" t="s">
        <v>224</v>
      </c>
      <c r="C34" s="4">
        <v>46162</v>
      </c>
      <c r="D34" t="s">
        <v>225</v>
      </c>
      <c r="E34" t="s">
        <v>177</v>
      </c>
      <c r="F34" s="4"/>
      <c r="G34" s="4"/>
      <c r="H34" t="s">
        <v>57</v>
      </c>
      <c r="I34" t="s">
        <v>211</v>
      </c>
      <c r="J34" t="s">
        <v>170</v>
      </c>
      <c r="K34" t="s">
        <v>124</v>
      </c>
      <c r="L34" t="s">
        <v>61</v>
      </c>
      <c r="M34" s="5"/>
      <c r="N34" s="5"/>
      <c r="O34" s="5"/>
      <c r="P34" s="5"/>
      <c r="Q34" s="5"/>
      <c r="R34" t="s">
        <v>85</v>
      </c>
      <c r="S34" t="s">
        <v>63</v>
      </c>
      <c r="T34" s="5"/>
      <c r="U34" s="6"/>
      <c r="V34" t="s">
        <v>64</v>
      </c>
      <c r="W34" s="4"/>
      <c r="X34" t="s">
        <v>65</v>
      </c>
      <c r="Z34" t="s">
        <v>66</v>
      </c>
    </row>
    <row r="35" spans="1:26">
      <c r="A35" t="s">
        <v>226</v>
      </c>
      <c r="B35" t="s">
        <v>227</v>
      </c>
      <c r="C35" s="4">
        <v>46140</v>
      </c>
      <c r="D35" t="s">
        <v>225</v>
      </c>
      <c r="E35" t="s">
        <v>70</v>
      </c>
      <c r="F35" s="4">
        <v>46140</v>
      </c>
      <c r="G35" s="4">
        <v>46142</v>
      </c>
      <c r="H35" t="s">
        <v>150</v>
      </c>
      <c r="I35" t="s">
        <v>228</v>
      </c>
      <c r="J35" t="s">
        <v>229</v>
      </c>
      <c r="K35" t="s">
        <v>73</v>
      </c>
      <c r="L35" t="s">
        <v>94</v>
      </c>
      <c r="M35" s="5">
        <v>47900</v>
      </c>
      <c r="N35" s="5">
        <v>6150</v>
      </c>
      <c r="O35" s="5">
        <v>5600</v>
      </c>
      <c r="P35" s="5">
        <v>9000</v>
      </c>
      <c r="Q35" s="5">
        <v>70150</v>
      </c>
      <c r="R35" t="s">
        <v>85</v>
      </c>
      <c r="S35" t="s">
        <v>76</v>
      </c>
      <c r="T35" s="5">
        <v>18440</v>
      </c>
      <c r="U35" s="6">
        <v>4</v>
      </c>
      <c r="V35" t="s">
        <v>64</v>
      </c>
      <c r="W35" s="4"/>
      <c r="X35" t="s">
        <v>65</v>
      </c>
      <c r="Y35" t="s">
        <v>64</v>
      </c>
      <c r="Z35" t="s">
        <v>96</v>
      </c>
    </row>
    <row r="36" spans="1:26">
      <c r="A36" t="s">
        <v>230</v>
      </c>
      <c r="B36" t="s">
        <v>231</v>
      </c>
      <c r="C36" s="4">
        <v>46105</v>
      </c>
      <c r="D36" t="s">
        <v>225</v>
      </c>
      <c r="E36" t="s">
        <v>70</v>
      </c>
      <c r="F36" s="4">
        <v>46105</v>
      </c>
      <c r="G36" s="4">
        <v>46105</v>
      </c>
      <c r="H36" t="s">
        <v>57</v>
      </c>
      <c r="I36" t="s">
        <v>184</v>
      </c>
      <c r="J36" t="s">
        <v>170</v>
      </c>
      <c r="K36" t="s">
        <v>60</v>
      </c>
      <c r="L36" t="s">
        <v>74</v>
      </c>
      <c r="M36" s="5">
        <v>49400</v>
      </c>
      <c r="N36" s="5">
        <v>6050</v>
      </c>
      <c r="O36" s="5">
        <v>12300</v>
      </c>
      <c r="P36" s="5">
        <v>0</v>
      </c>
      <c r="Q36" s="5">
        <v>68950</v>
      </c>
      <c r="R36" t="s">
        <v>141</v>
      </c>
      <c r="S36" t="s">
        <v>76</v>
      </c>
      <c r="T36" s="5">
        <v>11540</v>
      </c>
      <c r="U36" s="6">
        <v>4</v>
      </c>
      <c r="V36" t="s">
        <v>77</v>
      </c>
      <c r="W36" s="4">
        <v>46115</v>
      </c>
      <c r="X36" t="s">
        <v>77</v>
      </c>
      <c r="Y36" t="s">
        <v>64</v>
      </c>
      <c r="Z36" t="s">
        <v>96</v>
      </c>
    </row>
    <row r="37" spans="1:26">
      <c r="A37" t="s">
        <v>232</v>
      </c>
      <c r="B37" t="s">
        <v>233</v>
      </c>
      <c r="C37" s="4">
        <v>46091</v>
      </c>
      <c r="D37" t="s">
        <v>234</v>
      </c>
      <c r="E37" t="s">
        <v>70</v>
      </c>
      <c r="F37" s="4">
        <v>46092</v>
      </c>
      <c r="G37" s="4">
        <v>46096</v>
      </c>
      <c r="H37" t="s">
        <v>138</v>
      </c>
      <c r="I37" t="s">
        <v>235</v>
      </c>
      <c r="J37" t="s">
        <v>236</v>
      </c>
      <c r="K37" t="s">
        <v>93</v>
      </c>
      <c r="L37" t="s">
        <v>74</v>
      </c>
      <c r="M37" s="5">
        <v>41800</v>
      </c>
      <c r="N37" s="5">
        <v>4200</v>
      </c>
      <c r="O37" s="5">
        <v>7300</v>
      </c>
      <c r="P37" s="5">
        <v>14000</v>
      </c>
      <c r="Q37" s="5">
        <v>68300</v>
      </c>
      <c r="R37" t="s">
        <v>75</v>
      </c>
      <c r="S37" t="s">
        <v>76</v>
      </c>
      <c r="T37" s="5">
        <v>31030</v>
      </c>
      <c r="U37" s="6">
        <v>4</v>
      </c>
      <c r="V37" t="s">
        <v>77</v>
      </c>
      <c r="W37" s="4">
        <v>46113</v>
      </c>
      <c r="X37" t="s">
        <v>64</v>
      </c>
      <c r="Y37" t="s">
        <v>64</v>
      </c>
      <c r="Z37" t="s">
        <v>96</v>
      </c>
    </row>
    <row r="38" spans="1:26">
      <c r="A38" t="s">
        <v>237</v>
      </c>
      <c r="B38" t="s">
        <v>238</v>
      </c>
      <c r="C38" s="4">
        <v>46047</v>
      </c>
      <c r="D38" t="s">
        <v>144</v>
      </c>
      <c r="E38" t="s">
        <v>70</v>
      </c>
      <c r="F38" s="4">
        <v>46048</v>
      </c>
      <c r="G38" s="4">
        <v>46051</v>
      </c>
      <c r="H38" t="s">
        <v>150</v>
      </c>
      <c r="I38" t="s">
        <v>239</v>
      </c>
      <c r="J38" t="s">
        <v>152</v>
      </c>
      <c r="K38" t="s">
        <v>73</v>
      </c>
      <c r="L38" t="s">
        <v>74</v>
      </c>
      <c r="M38" s="5">
        <v>20400</v>
      </c>
      <c r="N38" s="5">
        <v>3250</v>
      </c>
      <c r="O38" s="5">
        <v>4050</v>
      </c>
      <c r="P38" s="5">
        <v>10500</v>
      </c>
      <c r="Q38" s="5">
        <v>40000</v>
      </c>
      <c r="R38" t="s">
        <v>141</v>
      </c>
      <c r="S38" t="s">
        <v>76</v>
      </c>
      <c r="T38" s="5">
        <v>7200</v>
      </c>
      <c r="U38" s="6">
        <v>5</v>
      </c>
      <c r="V38" t="s">
        <v>64</v>
      </c>
      <c r="W38" s="4"/>
      <c r="X38" t="s">
        <v>65</v>
      </c>
      <c r="Y38" t="s">
        <v>64</v>
      </c>
      <c r="Z38" t="s">
        <v>78</v>
      </c>
    </row>
    <row r="39" spans="1:26">
      <c r="A39" t="s">
        <v>240</v>
      </c>
      <c r="B39" t="s">
        <v>241</v>
      </c>
      <c r="C39" s="4">
        <v>46070</v>
      </c>
      <c r="D39" t="s">
        <v>242</v>
      </c>
      <c r="E39" t="s">
        <v>70</v>
      </c>
      <c r="F39" s="4">
        <v>46071</v>
      </c>
      <c r="G39" s="4">
        <v>46076</v>
      </c>
      <c r="H39" t="s">
        <v>103</v>
      </c>
      <c r="I39" t="s">
        <v>243</v>
      </c>
      <c r="J39" t="s">
        <v>244</v>
      </c>
      <c r="K39" t="s">
        <v>93</v>
      </c>
      <c r="L39" t="s">
        <v>94</v>
      </c>
      <c r="M39" s="5">
        <v>90800</v>
      </c>
      <c r="N39" s="5">
        <v>15500</v>
      </c>
      <c r="O39" s="5">
        <v>21800</v>
      </c>
      <c r="P39" s="5">
        <v>12500</v>
      </c>
      <c r="Q39" s="5">
        <v>142400</v>
      </c>
      <c r="R39" t="s">
        <v>141</v>
      </c>
      <c r="S39" t="s">
        <v>76</v>
      </c>
      <c r="T39" s="5">
        <v>22560</v>
      </c>
      <c r="U39" s="6">
        <v>3</v>
      </c>
      <c r="V39" t="s">
        <v>77</v>
      </c>
      <c r="W39" s="4">
        <v>46085</v>
      </c>
      <c r="X39" t="s">
        <v>64</v>
      </c>
      <c r="Y39" t="s">
        <v>64</v>
      </c>
      <c r="Z39" t="s">
        <v>107</v>
      </c>
    </row>
    <row r="40" spans="1:26">
      <c r="A40" t="s">
        <v>245</v>
      </c>
      <c r="B40" t="s">
        <v>246</v>
      </c>
      <c r="C40" s="4">
        <v>46064</v>
      </c>
      <c r="D40" t="s">
        <v>161</v>
      </c>
      <c r="E40" t="s">
        <v>70</v>
      </c>
      <c r="F40" s="4">
        <v>46064</v>
      </c>
      <c r="G40" s="4">
        <v>46064</v>
      </c>
      <c r="H40" t="s">
        <v>150</v>
      </c>
      <c r="I40" t="s">
        <v>247</v>
      </c>
      <c r="J40" t="s">
        <v>188</v>
      </c>
      <c r="K40" t="s">
        <v>60</v>
      </c>
      <c r="L40" t="s">
        <v>61</v>
      </c>
      <c r="M40" s="5">
        <v>83200</v>
      </c>
      <c r="N40" s="5">
        <v>14900</v>
      </c>
      <c r="O40" s="5">
        <v>13600</v>
      </c>
      <c r="P40" s="5">
        <v>0</v>
      </c>
      <c r="Q40" s="5">
        <v>112700</v>
      </c>
      <c r="R40" t="s">
        <v>62</v>
      </c>
      <c r="S40" t="s">
        <v>76</v>
      </c>
      <c r="T40" s="5">
        <v>34210</v>
      </c>
      <c r="U40" s="6">
        <v>5</v>
      </c>
      <c r="V40" t="s">
        <v>77</v>
      </c>
      <c r="W40" s="4">
        <v>46071</v>
      </c>
      <c r="X40" t="s">
        <v>77</v>
      </c>
      <c r="Y40" t="s">
        <v>64</v>
      </c>
      <c r="Z40" t="s">
        <v>107</v>
      </c>
    </row>
    <row r="41" spans="1:26">
      <c r="A41" t="s">
        <v>248</v>
      </c>
      <c r="B41" t="s">
        <v>249</v>
      </c>
      <c r="C41" s="4">
        <v>46039</v>
      </c>
      <c r="D41" t="s">
        <v>250</v>
      </c>
      <c r="E41" t="s">
        <v>70</v>
      </c>
      <c r="F41" s="4">
        <v>46039</v>
      </c>
      <c r="G41" s="4">
        <v>46045</v>
      </c>
      <c r="H41" t="s">
        <v>121</v>
      </c>
      <c r="I41" t="s">
        <v>251</v>
      </c>
      <c r="J41" t="s">
        <v>252</v>
      </c>
      <c r="K41" t="s">
        <v>124</v>
      </c>
      <c r="L41" t="s">
        <v>74</v>
      </c>
      <c r="M41" s="5">
        <v>64300</v>
      </c>
      <c r="N41" s="5">
        <v>9400</v>
      </c>
      <c r="O41" s="5">
        <v>12050</v>
      </c>
      <c r="P41" s="5">
        <v>36000</v>
      </c>
      <c r="Q41" s="5">
        <v>123750</v>
      </c>
      <c r="R41" t="s">
        <v>106</v>
      </c>
      <c r="S41" t="s">
        <v>86</v>
      </c>
      <c r="T41" s="5">
        <v>44010</v>
      </c>
      <c r="U41" s="6">
        <v>4</v>
      </c>
      <c r="V41" t="s">
        <v>77</v>
      </c>
      <c r="W41" s="4">
        <v>46053</v>
      </c>
      <c r="X41" t="s">
        <v>64</v>
      </c>
      <c r="Y41" t="s">
        <v>64</v>
      </c>
      <c r="Z41" t="s">
        <v>107</v>
      </c>
    </row>
    <row r="42" spans="1:26">
      <c r="A42" t="s">
        <v>253</v>
      </c>
      <c r="B42" t="s">
        <v>254</v>
      </c>
      <c r="C42" s="4">
        <v>46135</v>
      </c>
      <c r="D42" t="s">
        <v>250</v>
      </c>
      <c r="E42" t="s">
        <v>255</v>
      </c>
      <c r="F42" s="4"/>
      <c r="G42" s="4"/>
      <c r="H42" t="s">
        <v>121</v>
      </c>
      <c r="I42" t="s">
        <v>251</v>
      </c>
      <c r="J42" t="s">
        <v>256</v>
      </c>
      <c r="K42" t="s">
        <v>124</v>
      </c>
      <c r="L42" t="s">
        <v>61</v>
      </c>
      <c r="M42" s="5"/>
      <c r="N42" s="5"/>
      <c r="O42" s="5"/>
      <c r="P42" s="5"/>
      <c r="Q42" s="5"/>
      <c r="R42" t="s">
        <v>95</v>
      </c>
      <c r="S42" t="s">
        <v>63</v>
      </c>
      <c r="T42" s="5"/>
      <c r="U42" s="6"/>
      <c r="V42" t="s">
        <v>64</v>
      </c>
      <c r="W42" s="4"/>
      <c r="X42" t="s">
        <v>65</v>
      </c>
      <c r="Z42" t="s">
        <v>66</v>
      </c>
    </row>
    <row r="43" spans="1:26">
      <c r="A43" t="s">
        <v>257</v>
      </c>
      <c r="B43" t="s">
        <v>258</v>
      </c>
      <c r="C43" s="4">
        <v>46094</v>
      </c>
      <c r="D43" t="s">
        <v>259</v>
      </c>
      <c r="E43" t="s">
        <v>70</v>
      </c>
      <c r="F43" s="4">
        <v>46094</v>
      </c>
      <c r="G43" s="4">
        <v>46095</v>
      </c>
      <c r="H43" t="s">
        <v>138</v>
      </c>
      <c r="I43" t="s">
        <v>260</v>
      </c>
      <c r="J43" t="s">
        <v>261</v>
      </c>
      <c r="K43" t="s">
        <v>60</v>
      </c>
      <c r="L43" t="s">
        <v>74</v>
      </c>
      <c r="M43" s="5"/>
      <c r="N43" s="5">
        <v>1050</v>
      </c>
      <c r="O43" s="5">
        <v>1200</v>
      </c>
      <c r="P43" s="5">
        <v>3000</v>
      </c>
      <c r="Q43" s="5">
        <v>13750</v>
      </c>
      <c r="R43" t="s">
        <v>106</v>
      </c>
      <c r="S43" t="s">
        <v>76</v>
      </c>
      <c r="T43" s="5">
        <v>5510</v>
      </c>
      <c r="U43" s="6">
        <v>3</v>
      </c>
      <c r="V43" t="s">
        <v>64</v>
      </c>
      <c r="W43" s="4"/>
      <c r="X43" t="s">
        <v>65</v>
      </c>
      <c r="Y43" t="s">
        <v>64</v>
      </c>
      <c r="Z43" t="s">
        <v>96</v>
      </c>
    </row>
    <row r="44" spans="1:26">
      <c r="A44" t="s">
        <v>262</v>
      </c>
      <c r="B44" t="s">
        <v>263</v>
      </c>
      <c r="C44" s="4">
        <v>46099</v>
      </c>
      <c r="D44" t="s">
        <v>127</v>
      </c>
      <c r="E44" t="s">
        <v>56</v>
      </c>
      <c r="F44" s="4"/>
      <c r="G44" s="4"/>
      <c r="H44" t="s">
        <v>111</v>
      </c>
      <c r="I44" t="s">
        <v>112</v>
      </c>
      <c r="J44" t="s">
        <v>117</v>
      </c>
      <c r="K44" t="s">
        <v>124</v>
      </c>
      <c r="L44" t="s">
        <v>94</v>
      </c>
      <c r="M44" s="5"/>
      <c r="N44" s="5"/>
      <c r="O44" s="5"/>
      <c r="P44" s="5"/>
      <c r="Q44" s="5"/>
      <c r="R44" t="s">
        <v>85</v>
      </c>
      <c r="S44" t="s">
        <v>63</v>
      </c>
      <c r="T44" s="5"/>
      <c r="U44" s="6"/>
      <c r="V44" t="s">
        <v>64</v>
      </c>
      <c r="W44" s="4"/>
      <c r="X44" t="s">
        <v>65</v>
      </c>
      <c r="Z44" t="s">
        <v>66</v>
      </c>
    </row>
    <row r="45" spans="1:26">
      <c r="A45" t="s">
        <v>264</v>
      </c>
      <c r="B45" t="s">
        <v>265</v>
      </c>
      <c r="C45" s="4">
        <v>46148</v>
      </c>
      <c r="D45" t="s">
        <v>266</v>
      </c>
      <c r="E45" t="s">
        <v>56</v>
      </c>
      <c r="F45" s="4"/>
      <c r="G45" s="4"/>
      <c r="H45" t="s">
        <v>111</v>
      </c>
      <c r="I45" t="s">
        <v>267</v>
      </c>
      <c r="J45" t="s">
        <v>117</v>
      </c>
      <c r="K45" t="s">
        <v>73</v>
      </c>
      <c r="L45" t="s">
        <v>94</v>
      </c>
      <c r="M45" s="5"/>
      <c r="N45" s="5"/>
      <c r="O45" s="5"/>
      <c r="P45" s="5"/>
      <c r="Q45" s="5"/>
      <c r="R45" t="s">
        <v>75</v>
      </c>
      <c r="S45" t="s">
        <v>63</v>
      </c>
      <c r="T45" s="5"/>
      <c r="U45" s="6"/>
      <c r="V45" t="s">
        <v>64</v>
      </c>
      <c r="W45" s="4"/>
      <c r="X45" t="s">
        <v>65</v>
      </c>
      <c r="Z45" t="s">
        <v>66</v>
      </c>
    </row>
    <row r="46" spans="1:26">
      <c r="A46" t="s">
        <v>268</v>
      </c>
      <c r="B46" t="s">
        <v>269</v>
      </c>
      <c r="C46" s="4">
        <v>46039</v>
      </c>
      <c r="D46" t="s">
        <v>89</v>
      </c>
      <c r="E46" t="s">
        <v>70</v>
      </c>
      <c r="F46" s="4">
        <v>46040</v>
      </c>
      <c r="G46" s="4">
        <v>46044</v>
      </c>
      <c r="H46" t="s">
        <v>103</v>
      </c>
      <c r="I46" t="s">
        <v>243</v>
      </c>
      <c r="J46" t="s">
        <v>244</v>
      </c>
      <c r="K46" t="s">
        <v>124</v>
      </c>
      <c r="L46" t="s">
        <v>94</v>
      </c>
      <c r="M46" s="5">
        <v>57000</v>
      </c>
      <c r="N46" s="5">
        <v>7100</v>
      </c>
      <c r="O46" s="5">
        <v>11200</v>
      </c>
      <c r="P46" s="5">
        <v>10000</v>
      </c>
      <c r="Q46" s="5">
        <v>87100</v>
      </c>
      <c r="R46" t="s">
        <v>141</v>
      </c>
      <c r="S46" t="s">
        <v>76</v>
      </c>
      <c r="T46" s="5">
        <v>14270</v>
      </c>
      <c r="U46" s="6">
        <v>5</v>
      </c>
      <c r="V46" t="s">
        <v>77</v>
      </c>
      <c r="W46" s="4">
        <v>46052</v>
      </c>
      <c r="X46" t="s">
        <v>77</v>
      </c>
      <c r="Y46" t="s">
        <v>64</v>
      </c>
      <c r="Z46" t="s">
        <v>78</v>
      </c>
    </row>
    <row r="47" spans="1:26">
      <c r="A47" t="s">
        <v>270</v>
      </c>
      <c r="B47" t="s">
        <v>271</v>
      </c>
      <c r="C47" s="4">
        <v>46106</v>
      </c>
      <c r="D47" t="s">
        <v>161</v>
      </c>
      <c r="E47" t="s">
        <v>70</v>
      </c>
      <c r="F47" s="4">
        <v>46107</v>
      </c>
      <c r="G47" s="4">
        <v>46108</v>
      </c>
      <c r="H47" t="s">
        <v>82</v>
      </c>
      <c r="I47" t="s">
        <v>272</v>
      </c>
      <c r="J47" t="s">
        <v>156</v>
      </c>
      <c r="K47" t="s">
        <v>60</v>
      </c>
      <c r="L47" t="s">
        <v>74</v>
      </c>
      <c r="M47" s="5">
        <v>66800</v>
      </c>
      <c r="N47" s="5">
        <v>11700</v>
      </c>
      <c r="O47" s="5">
        <v>15950</v>
      </c>
      <c r="P47" s="5">
        <v>6000</v>
      </c>
      <c r="Q47" s="5">
        <v>102250</v>
      </c>
      <c r="R47" t="s">
        <v>85</v>
      </c>
      <c r="S47" t="s">
        <v>86</v>
      </c>
      <c r="T47" s="5">
        <v>26460</v>
      </c>
      <c r="U47" s="6">
        <v>4</v>
      </c>
      <c r="V47" t="s">
        <v>77</v>
      </c>
      <c r="W47" s="4">
        <v>46126</v>
      </c>
      <c r="X47" t="s">
        <v>64</v>
      </c>
      <c r="Y47" t="s">
        <v>77</v>
      </c>
      <c r="Z47" t="s">
        <v>96</v>
      </c>
    </row>
    <row r="48" spans="1:26">
      <c r="A48" t="s">
        <v>273</v>
      </c>
      <c r="B48" t="s">
        <v>274</v>
      </c>
      <c r="C48" s="4">
        <v>46134</v>
      </c>
      <c r="D48" t="s">
        <v>266</v>
      </c>
      <c r="E48" t="s">
        <v>70</v>
      </c>
      <c r="F48" s="4">
        <v>46134</v>
      </c>
      <c r="G48" s="4">
        <v>46136</v>
      </c>
      <c r="H48" t="s">
        <v>90</v>
      </c>
      <c r="I48" t="s">
        <v>133</v>
      </c>
      <c r="J48" t="s">
        <v>197</v>
      </c>
      <c r="K48" t="s">
        <v>124</v>
      </c>
      <c r="L48" t="s">
        <v>61</v>
      </c>
      <c r="M48" s="5">
        <v>16500</v>
      </c>
      <c r="N48" s="5">
        <v>2750</v>
      </c>
      <c r="O48" s="5">
        <v>3150</v>
      </c>
      <c r="P48" s="5">
        <v>7000</v>
      </c>
      <c r="Q48" s="5">
        <v>31400</v>
      </c>
      <c r="R48" t="s">
        <v>95</v>
      </c>
      <c r="S48" t="s">
        <v>63</v>
      </c>
      <c r="T48" s="5">
        <v>31400</v>
      </c>
      <c r="U48" s="6">
        <v>5</v>
      </c>
      <c r="V48" t="s">
        <v>77</v>
      </c>
      <c r="W48" s="4">
        <v>46145</v>
      </c>
      <c r="X48" t="s">
        <v>77</v>
      </c>
      <c r="Y48" t="s">
        <v>64</v>
      </c>
      <c r="Z48" t="s">
        <v>96</v>
      </c>
    </row>
    <row r="49" spans="1:26">
      <c r="A49" t="s">
        <v>275</v>
      </c>
      <c r="B49" t="s">
        <v>276</v>
      </c>
      <c r="C49" s="4">
        <v>46057</v>
      </c>
      <c r="D49" t="s">
        <v>89</v>
      </c>
      <c r="E49" t="s">
        <v>70</v>
      </c>
      <c r="F49" s="4">
        <v>46057</v>
      </c>
      <c r="G49" s="4">
        <v>46068</v>
      </c>
      <c r="H49" t="s">
        <v>121</v>
      </c>
      <c r="I49" t="s">
        <v>174</v>
      </c>
      <c r="J49" t="s">
        <v>252</v>
      </c>
      <c r="K49" t="s">
        <v>124</v>
      </c>
      <c r="L49" t="s">
        <v>94</v>
      </c>
      <c r="M49" s="5">
        <v>61800</v>
      </c>
      <c r="N49" s="5">
        <v>7000</v>
      </c>
      <c r="O49" s="5">
        <v>8350</v>
      </c>
      <c r="P49" s="5">
        <v>38500</v>
      </c>
      <c r="Q49" s="5">
        <v>117450</v>
      </c>
      <c r="R49" t="s">
        <v>134</v>
      </c>
      <c r="S49" t="s">
        <v>86</v>
      </c>
      <c r="T49" s="5">
        <v>64800</v>
      </c>
      <c r="U49" s="6"/>
      <c r="V49" t="s">
        <v>64</v>
      </c>
      <c r="W49" s="4"/>
      <c r="X49" t="s">
        <v>65</v>
      </c>
      <c r="Y49" t="s">
        <v>64</v>
      </c>
      <c r="Z49" t="s">
        <v>78</v>
      </c>
    </row>
    <row r="50" spans="1:26">
      <c r="A50" t="s">
        <v>277</v>
      </c>
      <c r="B50" t="s">
        <v>278</v>
      </c>
      <c r="C50" s="4">
        <v>46033</v>
      </c>
      <c r="D50" t="s">
        <v>279</v>
      </c>
      <c r="E50" t="s">
        <v>70</v>
      </c>
      <c r="F50" s="4">
        <v>46033</v>
      </c>
      <c r="G50" s="4">
        <v>46033</v>
      </c>
      <c r="H50" t="s">
        <v>201</v>
      </c>
      <c r="I50" t="s">
        <v>280</v>
      </c>
      <c r="J50" t="s">
        <v>281</v>
      </c>
      <c r="K50" t="s">
        <v>60</v>
      </c>
      <c r="L50" t="s">
        <v>94</v>
      </c>
      <c r="M50" s="5">
        <v>5900</v>
      </c>
      <c r="N50" s="5">
        <v>650</v>
      </c>
      <c r="O50" s="5">
        <v>1450</v>
      </c>
      <c r="P50" s="5">
        <v>0</v>
      </c>
      <c r="Q50" s="5">
        <v>9000</v>
      </c>
      <c r="R50" t="s">
        <v>141</v>
      </c>
      <c r="S50" t="s">
        <v>163</v>
      </c>
      <c r="T50" s="5">
        <v>2550</v>
      </c>
      <c r="U50" s="6">
        <v>4</v>
      </c>
      <c r="V50" t="s">
        <v>77</v>
      </c>
      <c r="W50" s="4">
        <v>46045</v>
      </c>
      <c r="X50" t="s">
        <v>64</v>
      </c>
      <c r="Y50" t="s">
        <v>64</v>
      </c>
      <c r="Z50" t="s">
        <v>107</v>
      </c>
    </row>
    <row r="51" spans="1:26">
      <c r="A51" t="s">
        <v>282</v>
      </c>
      <c r="B51" t="s">
        <v>283</v>
      </c>
      <c r="C51" s="4">
        <v>46061</v>
      </c>
      <c r="D51" t="s">
        <v>284</v>
      </c>
      <c r="E51" t="s">
        <v>70</v>
      </c>
      <c r="F51" s="4">
        <v>46061</v>
      </c>
      <c r="G51" s="4">
        <v>46061</v>
      </c>
      <c r="H51" t="s">
        <v>57</v>
      </c>
      <c r="I51" t="s">
        <v>58</v>
      </c>
      <c r="J51" t="s">
        <v>59</v>
      </c>
      <c r="K51" t="s">
        <v>60</v>
      </c>
      <c r="L51" t="s">
        <v>61</v>
      </c>
      <c r="M51" s="5">
        <v>50800</v>
      </c>
      <c r="N51" s="5">
        <v>4650</v>
      </c>
      <c r="O51" s="5">
        <v>11900</v>
      </c>
      <c r="P51" s="5">
        <v>0</v>
      </c>
      <c r="Q51" s="5">
        <v>69850</v>
      </c>
      <c r="R51" t="s">
        <v>141</v>
      </c>
      <c r="S51" t="s">
        <v>76</v>
      </c>
      <c r="T51" s="5">
        <v>11680</v>
      </c>
      <c r="U51" s="6">
        <v>3</v>
      </c>
      <c r="V51" t="s">
        <v>64</v>
      </c>
      <c r="W51" s="4"/>
      <c r="X51" t="s">
        <v>65</v>
      </c>
      <c r="Y51" t="s">
        <v>64</v>
      </c>
      <c r="Z51" t="s">
        <v>107</v>
      </c>
    </row>
    <row r="52" spans="1:26">
      <c r="A52" t="s">
        <v>285</v>
      </c>
      <c r="B52" t="s">
        <v>286</v>
      </c>
      <c r="C52" s="4">
        <v>46153</v>
      </c>
      <c r="D52" t="s">
        <v>161</v>
      </c>
      <c r="E52" t="s">
        <v>70</v>
      </c>
      <c r="F52" s="4">
        <v>46153</v>
      </c>
      <c r="G52" s="4">
        <v>46156</v>
      </c>
      <c r="H52" t="s">
        <v>150</v>
      </c>
      <c r="I52" t="s">
        <v>247</v>
      </c>
      <c r="J52" t="s">
        <v>229</v>
      </c>
      <c r="K52" t="s">
        <v>93</v>
      </c>
      <c r="L52" t="s">
        <v>74</v>
      </c>
      <c r="M52" s="5">
        <v>43100</v>
      </c>
      <c r="N52" s="5">
        <v>6350</v>
      </c>
      <c r="O52" s="5">
        <v>10050</v>
      </c>
      <c r="P52" s="5">
        <v>7500</v>
      </c>
      <c r="Q52" s="5">
        <v>68000</v>
      </c>
      <c r="R52" t="s">
        <v>106</v>
      </c>
      <c r="S52" t="s">
        <v>163</v>
      </c>
      <c r="T52" s="5">
        <v>24500</v>
      </c>
      <c r="U52" s="6">
        <v>5</v>
      </c>
      <c r="V52" t="s">
        <v>77</v>
      </c>
      <c r="W52" s="4">
        <v>46168</v>
      </c>
      <c r="X52" t="s">
        <v>77</v>
      </c>
      <c r="Y52" t="s">
        <v>64</v>
      </c>
      <c r="Z52" t="s">
        <v>96</v>
      </c>
    </row>
    <row r="53" spans="1:26">
      <c r="A53" t="s">
        <v>287</v>
      </c>
      <c r="B53" t="s">
        <v>288</v>
      </c>
      <c r="C53" s="4">
        <v>46107</v>
      </c>
      <c r="D53" t="s">
        <v>234</v>
      </c>
      <c r="E53" t="s">
        <v>70</v>
      </c>
      <c r="F53" s="4">
        <v>46107</v>
      </c>
      <c r="G53" s="4">
        <v>46113</v>
      </c>
      <c r="H53" t="s">
        <v>103</v>
      </c>
      <c r="I53" t="s">
        <v>214</v>
      </c>
      <c r="J53" t="s">
        <v>105</v>
      </c>
      <c r="K53" t="s">
        <v>124</v>
      </c>
      <c r="L53" t="s">
        <v>94</v>
      </c>
      <c r="M53" s="5">
        <v>58100</v>
      </c>
      <c r="N53" s="5">
        <v>6300</v>
      </c>
      <c r="O53" s="5">
        <v>12750</v>
      </c>
      <c r="P53" s="5">
        <v>15000</v>
      </c>
      <c r="Q53" s="5">
        <v>92950</v>
      </c>
      <c r="R53" t="s">
        <v>85</v>
      </c>
      <c r="S53" t="s">
        <v>76</v>
      </c>
      <c r="T53" s="5">
        <v>24140</v>
      </c>
      <c r="U53" s="6">
        <v>4</v>
      </c>
      <c r="V53" t="s">
        <v>77</v>
      </c>
      <c r="W53" s="4">
        <v>46124</v>
      </c>
      <c r="X53" t="s">
        <v>77</v>
      </c>
      <c r="Y53" t="s">
        <v>64</v>
      </c>
      <c r="Z53" t="s">
        <v>107</v>
      </c>
    </row>
    <row r="54" spans="1:26">
      <c r="A54" t="s">
        <v>289</v>
      </c>
      <c r="B54" t="s">
        <v>290</v>
      </c>
      <c r="C54" s="4">
        <v>46133</v>
      </c>
      <c r="D54" t="s">
        <v>161</v>
      </c>
      <c r="E54" t="s">
        <v>70</v>
      </c>
      <c r="F54" s="4">
        <v>46133</v>
      </c>
      <c r="G54" s="4">
        <v>46133</v>
      </c>
      <c r="H54" t="s">
        <v>82</v>
      </c>
      <c r="I54" t="s">
        <v>155</v>
      </c>
      <c r="J54" t="s">
        <v>291</v>
      </c>
      <c r="K54" t="s">
        <v>60</v>
      </c>
      <c r="L54" t="s">
        <v>74</v>
      </c>
      <c r="M54" s="5">
        <v>41000</v>
      </c>
      <c r="N54" s="5">
        <v>5000</v>
      </c>
      <c r="O54" s="5">
        <v>8750</v>
      </c>
      <c r="P54" s="5">
        <v>0</v>
      </c>
      <c r="Q54" s="5">
        <v>57250</v>
      </c>
      <c r="R54" t="s">
        <v>95</v>
      </c>
      <c r="S54" t="s">
        <v>63</v>
      </c>
      <c r="T54" s="5">
        <v>57250</v>
      </c>
      <c r="U54" s="6">
        <v>5</v>
      </c>
      <c r="V54" t="s">
        <v>64</v>
      </c>
      <c r="W54" s="4"/>
      <c r="X54" t="s">
        <v>65</v>
      </c>
      <c r="Y54" t="s">
        <v>64</v>
      </c>
      <c r="Z54" t="s">
        <v>78</v>
      </c>
    </row>
    <row r="55" spans="1:26">
      <c r="A55" t="s">
        <v>292</v>
      </c>
      <c r="B55" t="s">
        <v>293</v>
      </c>
      <c r="C55" s="4">
        <v>46157</v>
      </c>
      <c r="D55" t="s">
        <v>294</v>
      </c>
      <c r="E55" t="s">
        <v>70</v>
      </c>
      <c r="F55" s="4">
        <v>46157</v>
      </c>
      <c r="G55" s="4">
        <v>46161</v>
      </c>
      <c r="H55" t="s">
        <v>201</v>
      </c>
      <c r="I55" t="s">
        <v>280</v>
      </c>
      <c r="J55" t="s">
        <v>295</v>
      </c>
      <c r="K55" t="s">
        <v>73</v>
      </c>
      <c r="L55" t="s">
        <v>74</v>
      </c>
      <c r="M55" s="5">
        <v>38700</v>
      </c>
      <c r="N55" s="5">
        <v>4050</v>
      </c>
      <c r="O55" s="5">
        <v>6350</v>
      </c>
      <c r="P55" s="5">
        <v>24000</v>
      </c>
      <c r="Q55" s="5">
        <v>74100</v>
      </c>
      <c r="R55" t="s">
        <v>75</v>
      </c>
      <c r="S55" t="s">
        <v>76</v>
      </c>
      <c r="T55" s="5">
        <v>33640</v>
      </c>
      <c r="U55" s="6">
        <v>4</v>
      </c>
      <c r="V55" t="s">
        <v>77</v>
      </c>
      <c r="W55" s="4">
        <v>46169</v>
      </c>
      <c r="X55" t="s">
        <v>77</v>
      </c>
      <c r="Y55" t="s">
        <v>64</v>
      </c>
      <c r="Z55" t="s">
        <v>78</v>
      </c>
    </row>
    <row r="56" spans="1:26">
      <c r="A56" t="s">
        <v>296</v>
      </c>
      <c r="B56" t="s">
        <v>297</v>
      </c>
      <c r="C56" s="4">
        <v>46141</v>
      </c>
      <c r="D56" t="s">
        <v>298</v>
      </c>
      <c r="E56" t="s">
        <v>255</v>
      </c>
      <c r="F56" s="4"/>
      <c r="G56" s="4"/>
      <c r="H56" t="s">
        <v>90</v>
      </c>
      <c r="I56" t="s">
        <v>299</v>
      </c>
      <c r="J56" t="s">
        <v>197</v>
      </c>
      <c r="K56" t="s">
        <v>124</v>
      </c>
      <c r="L56" t="s">
        <v>74</v>
      </c>
      <c r="M56" s="5"/>
      <c r="N56" s="5"/>
      <c r="O56" s="5"/>
      <c r="P56" s="5"/>
      <c r="Q56" s="5"/>
      <c r="R56" t="s">
        <v>95</v>
      </c>
      <c r="S56" t="s">
        <v>63</v>
      </c>
      <c r="T56" s="5"/>
      <c r="U56" s="6"/>
      <c r="V56" t="s">
        <v>64</v>
      </c>
      <c r="W56" s="4"/>
      <c r="X56" t="s">
        <v>65</v>
      </c>
      <c r="Z56" t="s">
        <v>66</v>
      </c>
    </row>
    <row r="57" spans="1:26">
      <c r="A57" t="s">
        <v>300</v>
      </c>
      <c r="B57" t="s">
        <v>301</v>
      </c>
      <c r="C57" s="4">
        <v>46090</v>
      </c>
      <c r="D57" t="s">
        <v>302</v>
      </c>
      <c r="E57" t="s">
        <v>70</v>
      </c>
      <c r="F57" s="4">
        <v>46090</v>
      </c>
      <c r="G57" s="4">
        <v>46090</v>
      </c>
      <c r="H57" t="s">
        <v>150</v>
      </c>
      <c r="I57" t="s">
        <v>228</v>
      </c>
      <c r="J57" t="s">
        <v>229</v>
      </c>
      <c r="K57" t="s">
        <v>60</v>
      </c>
      <c r="L57" t="s">
        <v>146</v>
      </c>
      <c r="M57" s="5">
        <v>28300</v>
      </c>
      <c r="N57" s="5">
        <v>2600</v>
      </c>
      <c r="O57" s="5">
        <v>3550</v>
      </c>
      <c r="P57" s="5">
        <v>0</v>
      </c>
      <c r="Q57" s="5">
        <v>35950</v>
      </c>
      <c r="R57" t="s">
        <v>141</v>
      </c>
      <c r="S57" t="s">
        <v>76</v>
      </c>
      <c r="T57" s="5">
        <v>6590</v>
      </c>
      <c r="U57" s="6">
        <v>5</v>
      </c>
      <c r="V57" t="s">
        <v>64</v>
      </c>
      <c r="W57" s="4"/>
      <c r="X57" t="s">
        <v>65</v>
      </c>
      <c r="Y57" t="s">
        <v>64</v>
      </c>
      <c r="Z57" t="s">
        <v>96</v>
      </c>
    </row>
    <row r="58" spans="1:26">
      <c r="A58" t="s">
        <v>303</v>
      </c>
      <c r="B58" t="s">
        <v>216</v>
      </c>
      <c r="C58" s="4">
        <v>46055</v>
      </c>
      <c r="D58" t="s">
        <v>217</v>
      </c>
      <c r="E58" t="s">
        <v>70</v>
      </c>
      <c r="F58" s="4">
        <v>46055</v>
      </c>
      <c r="G58" s="4">
        <v>46060</v>
      </c>
      <c r="H58" t="s">
        <v>150</v>
      </c>
      <c r="I58" t="s">
        <v>304</v>
      </c>
      <c r="J58" t="s">
        <v>188</v>
      </c>
      <c r="K58" t="s">
        <v>124</v>
      </c>
      <c r="L58" t="s">
        <v>94</v>
      </c>
      <c r="M58" s="5">
        <v>71300</v>
      </c>
      <c r="N58" s="5">
        <v>10350</v>
      </c>
      <c r="O58" s="5">
        <v>14100</v>
      </c>
      <c r="P58" s="5">
        <v>22500</v>
      </c>
      <c r="Q58" s="5">
        <v>119450</v>
      </c>
      <c r="R58" t="s">
        <v>95</v>
      </c>
      <c r="S58" t="s">
        <v>63</v>
      </c>
      <c r="T58" s="5">
        <v>119450</v>
      </c>
      <c r="U58" s="6">
        <v>4</v>
      </c>
      <c r="V58" t="s">
        <v>64</v>
      </c>
      <c r="W58" s="4"/>
      <c r="X58" t="s">
        <v>65</v>
      </c>
      <c r="Y58" t="s">
        <v>77</v>
      </c>
      <c r="Z58" t="s">
        <v>78</v>
      </c>
    </row>
    <row r="59" spans="1:26">
      <c r="A59" t="s">
        <v>305</v>
      </c>
      <c r="B59" t="s">
        <v>306</v>
      </c>
      <c r="C59" s="4">
        <v>46028</v>
      </c>
      <c r="D59" t="s">
        <v>307</v>
      </c>
      <c r="E59" t="s">
        <v>70</v>
      </c>
      <c r="F59" s="4">
        <v>46028</v>
      </c>
      <c r="G59" s="4">
        <v>46034</v>
      </c>
      <c r="H59" t="s">
        <v>201</v>
      </c>
      <c r="I59" t="s">
        <v>202</v>
      </c>
      <c r="J59" t="s">
        <v>295</v>
      </c>
      <c r="K59" t="s">
        <v>73</v>
      </c>
      <c r="L59" t="s">
        <v>61</v>
      </c>
      <c r="M59" s="5">
        <v>52900</v>
      </c>
      <c r="N59" s="5">
        <v>6850</v>
      </c>
      <c r="O59" s="5">
        <v>9900</v>
      </c>
      <c r="P59" s="5">
        <v>36000</v>
      </c>
      <c r="Q59" s="5">
        <v>108150</v>
      </c>
      <c r="R59" t="s">
        <v>134</v>
      </c>
      <c r="S59" t="s">
        <v>76</v>
      </c>
      <c r="T59" s="5">
        <v>59680</v>
      </c>
      <c r="U59" s="6">
        <v>3</v>
      </c>
      <c r="V59" t="s">
        <v>77</v>
      </c>
      <c r="W59" s="4">
        <v>46049</v>
      </c>
      <c r="X59" t="s">
        <v>77</v>
      </c>
      <c r="Y59" t="s">
        <v>64</v>
      </c>
      <c r="Z59" t="s">
        <v>96</v>
      </c>
    </row>
    <row r="60" spans="1:26">
      <c r="A60" t="s">
        <v>308</v>
      </c>
      <c r="B60" t="s">
        <v>309</v>
      </c>
      <c r="C60" s="4">
        <v>46144</v>
      </c>
      <c r="D60" t="s">
        <v>137</v>
      </c>
      <c r="E60" t="s">
        <v>70</v>
      </c>
      <c r="F60" s="4">
        <v>46144</v>
      </c>
      <c r="G60" s="4">
        <v>46149</v>
      </c>
      <c r="H60" t="s">
        <v>201</v>
      </c>
      <c r="I60" t="s">
        <v>202</v>
      </c>
      <c r="J60" t="s">
        <v>203</v>
      </c>
      <c r="K60" t="s">
        <v>124</v>
      </c>
      <c r="L60" t="s">
        <v>74</v>
      </c>
      <c r="M60" s="5">
        <v>40200</v>
      </c>
      <c r="N60" s="5">
        <v>5000</v>
      </c>
      <c r="O60" s="5">
        <v>7100</v>
      </c>
      <c r="P60" s="5">
        <v>30000</v>
      </c>
      <c r="Q60" s="5">
        <v>84800</v>
      </c>
      <c r="R60" t="s">
        <v>62</v>
      </c>
      <c r="S60" t="s">
        <v>76</v>
      </c>
      <c r="T60" s="5">
        <v>25840</v>
      </c>
      <c r="U60" s="6">
        <v>2</v>
      </c>
      <c r="V60" t="s">
        <v>77</v>
      </c>
      <c r="W60" s="4">
        <v>46169</v>
      </c>
      <c r="X60" t="s">
        <v>64</v>
      </c>
      <c r="Y60" t="s">
        <v>64</v>
      </c>
      <c r="Z60" t="s">
        <v>96</v>
      </c>
    </row>
    <row r="61" spans="1:26">
      <c r="A61" t="s">
        <v>310</v>
      </c>
      <c r="B61" t="s">
        <v>311</v>
      </c>
      <c r="C61" s="4">
        <v>46076</v>
      </c>
      <c r="D61" t="s">
        <v>206</v>
      </c>
      <c r="E61" t="s">
        <v>70</v>
      </c>
      <c r="F61" s="4">
        <v>46077</v>
      </c>
      <c r="G61" s="4">
        <v>46077</v>
      </c>
      <c r="H61" t="s">
        <v>150</v>
      </c>
      <c r="I61" t="s">
        <v>151</v>
      </c>
      <c r="J61" t="s">
        <v>188</v>
      </c>
      <c r="K61" t="s">
        <v>60</v>
      </c>
      <c r="L61" t="s">
        <v>61</v>
      </c>
      <c r="M61" s="5">
        <v>71300</v>
      </c>
      <c r="N61" s="5">
        <v>6050</v>
      </c>
      <c r="O61" s="5">
        <v>7300</v>
      </c>
      <c r="P61" s="5">
        <v>0</v>
      </c>
      <c r="Q61" s="5">
        <v>87150</v>
      </c>
      <c r="R61" t="s">
        <v>62</v>
      </c>
      <c r="S61" t="s">
        <v>76</v>
      </c>
      <c r="T61" s="5">
        <v>26550</v>
      </c>
      <c r="U61" s="6">
        <v>3</v>
      </c>
      <c r="V61" t="s">
        <v>77</v>
      </c>
      <c r="W61" s="4">
        <v>46097</v>
      </c>
      <c r="X61" t="s">
        <v>64</v>
      </c>
      <c r="Y61" t="s">
        <v>64</v>
      </c>
      <c r="Z61" t="s">
        <v>96</v>
      </c>
    </row>
    <row r="62" spans="1:26">
      <c r="A62" t="s">
        <v>312</v>
      </c>
      <c r="B62" t="s">
        <v>313</v>
      </c>
      <c r="C62" s="4">
        <v>46165</v>
      </c>
      <c r="D62" t="s">
        <v>161</v>
      </c>
      <c r="E62" t="s">
        <v>314</v>
      </c>
      <c r="F62" s="4"/>
      <c r="G62" s="4"/>
      <c r="H62" t="s">
        <v>150</v>
      </c>
      <c r="I62" t="s">
        <v>304</v>
      </c>
      <c r="J62" t="s">
        <v>229</v>
      </c>
      <c r="K62" t="s">
        <v>73</v>
      </c>
      <c r="L62" t="s">
        <v>61</v>
      </c>
      <c r="M62" s="5"/>
      <c r="N62" s="5"/>
      <c r="O62" s="5"/>
      <c r="P62" s="5"/>
      <c r="Q62" s="5"/>
      <c r="R62" t="s">
        <v>75</v>
      </c>
      <c r="S62" t="s">
        <v>63</v>
      </c>
      <c r="T62" s="5"/>
      <c r="U62" s="6"/>
      <c r="V62" t="s">
        <v>64</v>
      </c>
      <c r="W62" s="4"/>
      <c r="X62" t="s">
        <v>65</v>
      </c>
      <c r="Z62" t="s">
        <v>66</v>
      </c>
    </row>
    <row r="63" spans="1:26">
      <c r="A63" t="s">
        <v>315</v>
      </c>
      <c r="B63" t="s">
        <v>68</v>
      </c>
      <c r="C63" s="4">
        <v>46050</v>
      </c>
      <c r="D63" t="s">
        <v>173</v>
      </c>
      <c r="E63" t="s">
        <v>191</v>
      </c>
      <c r="F63" s="4"/>
      <c r="G63" s="4"/>
      <c r="H63" t="s">
        <v>150</v>
      </c>
      <c r="I63" t="s">
        <v>304</v>
      </c>
      <c r="J63" t="s">
        <v>229</v>
      </c>
      <c r="K63" t="s">
        <v>60</v>
      </c>
      <c r="L63" t="s">
        <v>61</v>
      </c>
      <c r="M63" s="5"/>
      <c r="N63" s="5"/>
      <c r="O63" s="5"/>
      <c r="P63" s="5"/>
      <c r="Q63" s="5"/>
      <c r="R63" t="s">
        <v>106</v>
      </c>
      <c r="S63" t="s">
        <v>63</v>
      </c>
      <c r="T63" s="5"/>
      <c r="U63" s="6"/>
      <c r="V63" t="s">
        <v>64</v>
      </c>
      <c r="W63" s="4"/>
      <c r="X63" t="s">
        <v>65</v>
      </c>
      <c r="Z63" t="s">
        <v>66</v>
      </c>
    </row>
    <row r="64" spans="1:26">
      <c r="A64" t="s">
        <v>316</v>
      </c>
      <c r="B64" t="s">
        <v>317</v>
      </c>
      <c r="C64" s="4">
        <v>46136</v>
      </c>
      <c r="D64" t="s">
        <v>284</v>
      </c>
      <c r="E64" t="s">
        <v>70</v>
      </c>
      <c r="F64" s="4">
        <v>46136</v>
      </c>
      <c r="G64" s="4">
        <v>46136</v>
      </c>
      <c r="H64" t="s">
        <v>121</v>
      </c>
      <c r="I64" t="s">
        <v>251</v>
      </c>
      <c r="J64" t="s">
        <v>252</v>
      </c>
      <c r="K64" t="s">
        <v>60</v>
      </c>
      <c r="L64" t="s">
        <v>94</v>
      </c>
      <c r="M64" s="5">
        <v>59900</v>
      </c>
      <c r="N64" s="5">
        <v>10600</v>
      </c>
      <c r="O64" s="5">
        <v>12900</v>
      </c>
      <c r="P64" s="5">
        <v>0</v>
      </c>
      <c r="Q64" s="5">
        <v>85400</v>
      </c>
      <c r="R64" t="s">
        <v>75</v>
      </c>
      <c r="S64" t="s">
        <v>86</v>
      </c>
      <c r="T64" s="5">
        <v>38730</v>
      </c>
      <c r="U64" s="6">
        <v>4</v>
      </c>
      <c r="V64" t="s">
        <v>77</v>
      </c>
      <c r="W64" s="4">
        <v>46147</v>
      </c>
      <c r="X64" t="s">
        <v>77</v>
      </c>
      <c r="Y64" t="s">
        <v>77</v>
      </c>
      <c r="Z64" t="s">
        <v>96</v>
      </c>
    </row>
    <row r="65" spans="1:26">
      <c r="A65" t="s">
        <v>318</v>
      </c>
      <c r="B65" t="s">
        <v>319</v>
      </c>
      <c r="C65" s="4">
        <v>46058</v>
      </c>
      <c r="D65" t="s">
        <v>183</v>
      </c>
      <c r="E65" t="s">
        <v>56</v>
      </c>
      <c r="F65" s="4"/>
      <c r="G65" s="4"/>
      <c r="H65" t="s">
        <v>138</v>
      </c>
      <c r="I65" t="s">
        <v>260</v>
      </c>
      <c r="J65" t="s">
        <v>140</v>
      </c>
      <c r="K65" t="s">
        <v>93</v>
      </c>
      <c r="L65" t="s">
        <v>74</v>
      </c>
      <c r="M65" s="5"/>
      <c r="N65" s="5"/>
      <c r="O65" s="5"/>
      <c r="P65" s="5"/>
      <c r="Q65" s="5"/>
      <c r="R65" t="s">
        <v>62</v>
      </c>
      <c r="S65" t="s">
        <v>63</v>
      </c>
      <c r="T65" s="5"/>
      <c r="U65" s="6"/>
      <c r="V65" t="s">
        <v>64</v>
      </c>
      <c r="W65" s="4"/>
      <c r="X65" t="s">
        <v>65</v>
      </c>
      <c r="Z65" t="s">
        <v>66</v>
      </c>
    </row>
    <row r="66" spans="1:26">
      <c r="A66" t="s">
        <v>320</v>
      </c>
      <c r="B66" t="s">
        <v>317</v>
      </c>
      <c r="C66" s="4">
        <v>46060</v>
      </c>
      <c r="D66" t="s">
        <v>225</v>
      </c>
      <c r="E66" t="s">
        <v>70</v>
      </c>
      <c r="F66" s="4">
        <v>46060</v>
      </c>
      <c r="G66" s="4">
        <v>46060</v>
      </c>
      <c r="H66" t="s">
        <v>201</v>
      </c>
      <c r="I66" t="s">
        <v>202</v>
      </c>
      <c r="J66" t="s">
        <v>203</v>
      </c>
      <c r="K66" t="s">
        <v>60</v>
      </c>
      <c r="L66" t="s">
        <v>61</v>
      </c>
      <c r="M66" s="5">
        <v>42400</v>
      </c>
      <c r="N66" s="5">
        <v>7550</v>
      </c>
      <c r="O66" s="5">
        <v>10450</v>
      </c>
      <c r="P66" s="5">
        <v>0</v>
      </c>
      <c r="Q66" s="5">
        <v>62900</v>
      </c>
      <c r="R66" t="s">
        <v>95</v>
      </c>
      <c r="S66" t="s">
        <v>63</v>
      </c>
      <c r="T66" s="5">
        <v>62900</v>
      </c>
      <c r="U66" s="6">
        <v>5</v>
      </c>
      <c r="V66" t="s">
        <v>64</v>
      </c>
      <c r="W66" s="4"/>
      <c r="X66" t="s">
        <v>65</v>
      </c>
      <c r="Y66" t="s">
        <v>64</v>
      </c>
      <c r="Z66" t="s">
        <v>78</v>
      </c>
    </row>
    <row r="67" spans="1:26">
      <c r="A67" t="s">
        <v>321</v>
      </c>
      <c r="B67" t="s">
        <v>322</v>
      </c>
      <c r="C67" s="4">
        <v>46126</v>
      </c>
      <c r="D67" t="s">
        <v>307</v>
      </c>
      <c r="E67" t="s">
        <v>56</v>
      </c>
      <c r="F67" s="4"/>
      <c r="G67" s="4"/>
      <c r="H67" t="s">
        <v>138</v>
      </c>
      <c r="I67" t="s">
        <v>260</v>
      </c>
      <c r="J67" t="s">
        <v>236</v>
      </c>
      <c r="K67" t="s">
        <v>73</v>
      </c>
      <c r="L67" t="s">
        <v>74</v>
      </c>
      <c r="M67" s="5"/>
      <c r="N67" s="5"/>
      <c r="O67" s="5"/>
      <c r="P67" s="5"/>
      <c r="Q67" s="5"/>
      <c r="R67" t="s">
        <v>141</v>
      </c>
      <c r="S67" t="s">
        <v>63</v>
      </c>
      <c r="T67" s="5"/>
      <c r="U67" s="6"/>
      <c r="V67" t="s">
        <v>64</v>
      </c>
      <c r="W67" s="4"/>
      <c r="X67" t="s">
        <v>65</v>
      </c>
      <c r="Z67" t="s">
        <v>66</v>
      </c>
    </row>
    <row r="68" spans="1:26">
      <c r="A68" t="s">
        <v>323</v>
      </c>
      <c r="B68" t="s">
        <v>324</v>
      </c>
      <c r="C68" s="4">
        <v>46044</v>
      </c>
      <c r="D68" t="s">
        <v>120</v>
      </c>
      <c r="E68" t="s">
        <v>70</v>
      </c>
      <c r="F68" s="4">
        <v>46044</v>
      </c>
      <c r="G68" s="4">
        <v>46046</v>
      </c>
      <c r="H68" t="s">
        <v>57</v>
      </c>
      <c r="I68" t="s">
        <v>184</v>
      </c>
      <c r="J68" t="s">
        <v>72</v>
      </c>
      <c r="K68" t="s">
        <v>124</v>
      </c>
      <c r="L68" t="s">
        <v>94</v>
      </c>
      <c r="M68" s="5">
        <v>6500</v>
      </c>
      <c r="N68" s="5">
        <v>850</v>
      </c>
      <c r="O68" s="5">
        <v>950</v>
      </c>
      <c r="P68" s="5">
        <v>7000</v>
      </c>
      <c r="Q68" s="5">
        <v>16500</v>
      </c>
      <c r="R68" t="s">
        <v>95</v>
      </c>
      <c r="S68" t="s">
        <v>63</v>
      </c>
      <c r="T68" s="5">
        <v>16500</v>
      </c>
      <c r="U68" s="6">
        <v>3</v>
      </c>
      <c r="V68" t="s">
        <v>77</v>
      </c>
      <c r="W68" s="4">
        <v>46053</v>
      </c>
      <c r="X68" t="s">
        <v>64</v>
      </c>
      <c r="Y68" t="s">
        <v>64</v>
      </c>
      <c r="Z68" t="s">
        <v>107</v>
      </c>
    </row>
    <row r="69" spans="1:26">
      <c r="A69" t="s">
        <v>325</v>
      </c>
      <c r="B69" t="s">
        <v>326</v>
      </c>
      <c r="C69" s="4">
        <v>46152</v>
      </c>
      <c r="D69" t="s">
        <v>168</v>
      </c>
      <c r="E69" t="s">
        <v>70</v>
      </c>
      <c r="F69" s="4">
        <v>46152</v>
      </c>
      <c r="G69" s="4">
        <v>46152</v>
      </c>
      <c r="H69" t="s">
        <v>201</v>
      </c>
      <c r="I69" t="s">
        <v>327</v>
      </c>
      <c r="J69" t="s">
        <v>203</v>
      </c>
      <c r="K69" t="s">
        <v>124</v>
      </c>
      <c r="L69" t="s">
        <v>74</v>
      </c>
      <c r="M69" s="5">
        <v>44900</v>
      </c>
      <c r="N69" s="5">
        <v>6150</v>
      </c>
      <c r="O69" s="5">
        <v>10500</v>
      </c>
      <c r="P69" s="5">
        <v>0</v>
      </c>
      <c r="Q69" s="5">
        <v>62550</v>
      </c>
      <c r="R69" t="s">
        <v>85</v>
      </c>
      <c r="S69" t="s">
        <v>76</v>
      </c>
      <c r="T69" s="5">
        <v>16540</v>
      </c>
      <c r="U69" s="6">
        <v>5</v>
      </c>
      <c r="V69" t="s">
        <v>77</v>
      </c>
      <c r="W69" s="4">
        <v>46164</v>
      </c>
      <c r="X69" t="s">
        <v>77</v>
      </c>
      <c r="Y69" t="s">
        <v>64</v>
      </c>
      <c r="Z69" t="s">
        <v>78</v>
      </c>
    </row>
    <row r="70" spans="1:26">
      <c r="A70" t="s">
        <v>328</v>
      </c>
      <c r="B70" t="s">
        <v>329</v>
      </c>
      <c r="C70" s="4">
        <v>46139</v>
      </c>
      <c r="D70" t="s">
        <v>330</v>
      </c>
      <c r="E70" t="s">
        <v>70</v>
      </c>
      <c r="F70" s="4">
        <v>46139</v>
      </c>
      <c r="G70" s="4">
        <v>46148</v>
      </c>
      <c r="H70" t="s">
        <v>82</v>
      </c>
      <c r="I70" t="s">
        <v>331</v>
      </c>
      <c r="J70" t="s">
        <v>156</v>
      </c>
      <c r="K70" t="s">
        <v>124</v>
      </c>
      <c r="L70" t="s">
        <v>61</v>
      </c>
      <c r="M70" s="5">
        <v>80900</v>
      </c>
      <c r="N70" s="5">
        <v>8200</v>
      </c>
      <c r="O70" s="5">
        <v>9050</v>
      </c>
      <c r="P70" s="5">
        <v>54000</v>
      </c>
      <c r="Q70" s="5">
        <v>153650</v>
      </c>
      <c r="R70" t="s">
        <v>141</v>
      </c>
      <c r="S70" t="s">
        <v>76</v>
      </c>
      <c r="T70" s="5">
        <v>24250</v>
      </c>
      <c r="U70" s="6">
        <v>4</v>
      </c>
      <c r="V70" t="s">
        <v>77</v>
      </c>
      <c r="W70" s="4">
        <v>46168</v>
      </c>
      <c r="X70" t="s">
        <v>77</v>
      </c>
      <c r="Y70" t="s">
        <v>64</v>
      </c>
      <c r="Z70" t="s">
        <v>78</v>
      </c>
    </row>
    <row r="71" spans="1:26">
      <c r="A71" t="s">
        <v>332</v>
      </c>
      <c r="B71" t="s">
        <v>333</v>
      </c>
      <c r="C71" s="4">
        <v>46147</v>
      </c>
      <c r="D71" t="s">
        <v>307</v>
      </c>
      <c r="E71" t="s">
        <v>177</v>
      </c>
      <c r="F71" s="4"/>
      <c r="G71" s="4"/>
      <c r="H71" t="s">
        <v>121</v>
      </c>
      <c r="I71" t="s">
        <v>334</v>
      </c>
      <c r="J71" t="s">
        <v>256</v>
      </c>
      <c r="K71" t="s">
        <v>73</v>
      </c>
      <c r="L71" t="s">
        <v>74</v>
      </c>
      <c r="M71" s="5"/>
      <c r="N71" s="5"/>
      <c r="O71" s="5"/>
      <c r="P71" s="5"/>
      <c r="Q71" s="5"/>
      <c r="R71" t="s">
        <v>62</v>
      </c>
      <c r="S71" t="s">
        <v>63</v>
      </c>
      <c r="T71" s="5"/>
      <c r="U71" s="6"/>
      <c r="V71" t="s">
        <v>64</v>
      </c>
      <c r="W71" s="4"/>
      <c r="X71" t="s">
        <v>65</v>
      </c>
      <c r="Z71" t="s">
        <v>66</v>
      </c>
    </row>
    <row r="72" spans="1:26">
      <c r="A72" t="s">
        <v>335</v>
      </c>
      <c r="B72" t="s">
        <v>336</v>
      </c>
      <c r="C72" s="4">
        <v>46063</v>
      </c>
      <c r="D72" t="s">
        <v>337</v>
      </c>
      <c r="E72" t="s">
        <v>338</v>
      </c>
      <c r="F72" s="4"/>
      <c r="G72" s="4"/>
      <c r="H72" t="s">
        <v>178</v>
      </c>
      <c r="I72" t="s">
        <v>339</v>
      </c>
      <c r="J72" t="s">
        <v>340</v>
      </c>
      <c r="K72" t="s">
        <v>93</v>
      </c>
      <c r="L72" t="s">
        <v>74</v>
      </c>
      <c r="M72" s="5"/>
      <c r="N72" s="5"/>
      <c r="O72" s="5"/>
      <c r="P72" s="5"/>
      <c r="Q72" s="5"/>
      <c r="R72" t="s">
        <v>141</v>
      </c>
      <c r="S72" t="s">
        <v>63</v>
      </c>
      <c r="T72" s="5"/>
      <c r="U72" s="6"/>
      <c r="V72" t="s">
        <v>64</v>
      </c>
      <c r="W72" s="4"/>
      <c r="X72" t="s">
        <v>65</v>
      </c>
      <c r="Z72" t="s">
        <v>66</v>
      </c>
    </row>
    <row r="73" spans="1:26">
      <c r="A73" t="s">
        <v>341</v>
      </c>
      <c r="B73" t="s">
        <v>342</v>
      </c>
      <c r="C73" s="4">
        <v>46118</v>
      </c>
      <c r="D73" t="s">
        <v>200</v>
      </c>
      <c r="E73" t="s">
        <v>70</v>
      </c>
      <c r="F73" s="4">
        <v>46118</v>
      </c>
      <c r="G73" s="4">
        <v>46120</v>
      </c>
      <c r="H73" t="s">
        <v>138</v>
      </c>
      <c r="I73" t="s">
        <v>343</v>
      </c>
      <c r="J73" t="s">
        <v>261</v>
      </c>
      <c r="K73" t="s">
        <v>73</v>
      </c>
      <c r="L73" t="s">
        <v>94</v>
      </c>
      <c r="M73" s="5">
        <v>6700</v>
      </c>
      <c r="N73" s="5">
        <v>750</v>
      </c>
      <c r="O73" s="5">
        <v>950</v>
      </c>
      <c r="P73" s="5">
        <v>6000</v>
      </c>
      <c r="Q73" s="5">
        <v>16200</v>
      </c>
      <c r="R73" t="s">
        <v>95</v>
      </c>
      <c r="S73" t="s">
        <v>63</v>
      </c>
      <c r="T73" s="5">
        <v>16200</v>
      </c>
      <c r="U73" s="6">
        <v>4</v>
      </c>
      <c r="V73" t="s">
        <v>64</v>
      </c>
      <c r="W73" s="4"/>
      <c r="X73" t="s">
        <v>65</v>
      </c>
      <c r="Y73" t="s">
        <v>64</v>
      </c>
      <c r="Z73" t="s">
        <v>96</v>
      </c>
    </row>
    <row r="74" spans="1:26">
      <c r="A74" t="s">
        <v>344</v>
      </c>
      <c r="B74" t="s">
        <v>345</v>
      </c>
      <c r="C74" s="4">
        <v>46056</v>
      </c>
      <c r="D74" t="s">
        <v>110</v>
      </c>
      <c r="E74" t="s">
        <v>70</v>
      </c>
      <c r="F74" s="4">
        <v>46056</v>
      </c>
      <c r="G74" s="4">
        <v>46056</v>
      </c>
      <c r="H74" t="s">
        <v>57</v>
      </c>
      <c r="I74" t="s">
        <v>58</v>
      </c>
      <c r="J74" t="s">
        <v>72</v>
      </c>
      <c r="K74" t="s">
        <v>73</v>
      </c>
      <c r="L74" t="s">
        <v>61</v>
      </c>
      <c r="M74" s="5">
        <v>6800</v>
      </c>
      <c r="N74" s="5">
        <v>950</v>
      </c>
      <c r="O74" s="5">
        <v>1300</v>
      </c>
      <c r="P74" s="5">
        <v>0</v>
      </c>
      <c r="Q74" s="5">
        <v>11550</v>
      </c>
      <c r="R74" t="s">
        <v>106</v>
      </c>
      <c r="S74" t="s">
        <v>86</v>
      </c>
      <c r="T74" s="5">
        <v>4740</v>
      </c>
      <c r="U74" s="6">
        <v>4</v>
      </c>
      <c r="V74" t="s">
        <v>77</v>
      </c>
      <c r="W74" s="4">
        <v>46063</v>
      </c>
      <c r="X74" t="s">
        <v>64</v>
      </c>
      <c r="Y74" t="s">
        <v>64</v>
      </c>
      <c r="Z74" t="s">
        <v>107</v>
      </c>
    </row>
    <row r="75" spans="1:26">
      <c r="A75" t="s">
        <v>346</v>
      </c>
      <c r="B75" t="s">
        <v>347</v>
      </c>
      <c r="C75" s="4">
        <v>46166</v>
      </c>
      <c r="D75" t="s">
        <v>330</v>
      </c>
      <c r="E75" t="s">
        <v>177</v>
      </c>
      <c r="F75" s="4"/>
      <c r="G75" s="4"/>
      <c r="H75" t="s">
        <v>103</v>
      </c>
      <c r="I75" t="s">
        <v>214</v>
      </c>
      <c r="J75" t="s">
        <v>145</v>
      </c>
      <c r="K75" t="s">
        <v>73</v>
      </c>
      <c r="L75" t="s">
        <v>94</v>
      </c>
      <c r="M75" s="5"/>
      <c r="N75" s="5"/>
      <c r="O75" s="5"/>
      <c r="P75" s="5"/>
      <c r="Q75" s="5"/>
      <c r="R75" t="s">
        <v>95</v>
      </c>
      <c r="S75" t="s">
        <v>63</v>
      </c>
      <c r="T75" s="5"/>
      <c r="U75" s="6"/>
      <c r="V75" t="s">
        <v>64</v>
      </c>
      <c r="W75" s="4"/>
      <c r="X75" t="s">
        <v>65</v>
      </c>
      <c r="Z75" t="s">
        <v>66</v>
      </c>
    </row>
    <row r="76" spans="1:26">
      <c r="A76" t="s">
        <v>348</v>
      </c>
      <c r="B76" t="s">
        <v>349</v>
      </c>
      <c r="C76" s="4">
        <v>46151</v>
      </c>
      <c r="D76" t="s">
        <v>225</v>
      </c>
      <c r="E76" t="s">
        <v>70</v>
      </c>
      <c r="F76" s="4">
        <v>46151</v>
      </c>
      <c r="G76" s="4">
        <v>46153</v>
      </c>
      <c r="H76" t="s">
        <v>82</v>
      </c>
      <c r="I76" t="s">
        <v>155</v>
      </c>
      <c r="J76" t="s">
        <v>84</v>
      </c>
      <c r="K76" t="s">
        <v>73</v>
      </c>
      <c r="L76" t="s">
        <v>146</v>
      </c>
      <c r="M76" s="5">
        <v>8000</v>
      </c>
      <c r="N76" s="5">
        <v>1350</v>
      </c>
      <c r="O76" s="5">
        <v>1350</v>
      </c>
      <c r="P76" s="5">
        <v>12000</v>
      </c>
      <c r="Q76" s="5">
        <v>25200</v>
      </c>
      <c r="R76" t="s">
        <v>85</v>
      </c>
      <c r="S76" t="s">
        <v>76</v>
      </c>
      <c r="T76" s="5">
        <v>7200</v>
      </c>
      <c r="U76" s="6">
        <v>3</v>
      </c>
      <c r="V76" t="s">
        <v>77</v>
      </c>
      <c r="W76" s="4">
        <v>46173</v>
      </c>
      <c r="X76" t="s">
        <v>64</v>
      </c>
      <c r="Y76" t="s">
        <v>64</v>
      </c>
      <c r="Z76" t="s">
        <v>107</v>
      </c>
    </row>
    <row r="77" spans="1:26">
      <c r="A77" t="s">
        <v>350</v>
      </c>
      <c r="B77" t="s">
        <v>351</v>
      </c>
      <c r="C77" s="4">
        <v>46059</v>
      </c>
      <c r="D77" t="s">
        <v>259</v>
      </c>
      <c r="E77" t="s">
        <v>70</v>
      </c>
      <c r="F77" s="4">
        <v>46059</v>
      </c>
      <c r="G77" s="4">
        <v>46059</v>
      </c>
      <c r="H77" t="s">
        <v>138</v>
      </c>
      <c r="I77" t="s">
        <v>352</v>
      </c>
      <c r="J77" t="s">
        <v>236</v>
      </c>
      <c r="K77" t="s">
        <v>60</v>
      </c>
      <c r="L77" t="s">
        <v>146</v>
      </c>
      <c r="M77" s="5">
        <v>37200</v>
      </c>
      <c r="N77" s="5">
        <v>4100</v>
      </c>
      <c r="O77" s="5">
        <v>4250</v>
      </c>
      <c r="P77" s="5">
        <v>0</v>
      </c>
      <c r="Q77" s="5">
        <v>47350</v>
      </c>
      <c r="R77" t="s">
        <v>75</v>
      </c>
      <c r="S77" t="s">
        <v>86</v>
      </c>
      <c r="T77" s="5">
        <v>21610</v>
      </c>
      <c r="U77" s="6">
        <v>3</v>
      </c>
      <c r="V77" t="s">
        <v>77</v>
      </c>
      <c r="W77" s="4">
        <v>46079</v>
      </c>
      <c r="X77" t="s">
        <v>64</v>
      </c>
      <c r="Y77" t="s">
        <v>77</v>
      </c>
      <c r="Z77" t="s">
        <v>78</v>
      </c>
    </row>
    <row r="78" spans="1:26">
      <c r="A78" t="s">
        <v>353</v>
      </c>
      <c r="B78" t="s">
        <v>354</v>
      </c>
      <c r="C78" s="4">
        <v>46141</v>
      </c>
      <c r="D78" t="s">
        <v>284</v>
      </c>
      <c r="E78" t="s">
        <v>70</v>
      </c>
      <c r="F78" s="4">
        <v>46141</v>
      </c>
      <c r="G78" s="4">
        <v>46141</v>
      </c>
      <c r="H78" t="s">
        <v>111</v>
      </c>
      <c r="I78" t="s">
        <v>355</v>
      </c>
      <c r="J78" t="s">
        <v>117</v>
      </c>
      <c r="K78" t="s">
        <v>60</v>
      </c>
      <c r="L78" t="s">
        <v>94</v>
      </c>
      <c r="M78" s="5">
        <v>5200</v>
      </c>
      <c r="N78" s="5">
        <v>700</v>
      </c>
      <c r="O78" s="5">
        <v>1150</v>
      </c>
      <c r="P78" s="5">
        <v>0</v>
      </c>
      <c r="Q78" s="5">
        <v>8550</v>
      </c>
      <c r="R78" t="s">
        <v>106</v>
      </c>
      <c r="S78" t="s">
        <v>76</v>
      </c>
      <c r="T78" s="5">
        <v>3690</v>
      </c>
      <c r="U78" s="6">
        <v>5</v>
      </c>
      <c r="V78" t="s">
        <v>77</v>
      </c>
      <c r="W78" s="4">
        <v>46158</v>
      </c>
      <c r="X78" t="s">
        <v>77</v>
      </c>
      <c r="Y78" t="s">
        <v>64</v>
      </c>
      <c r="Z78" t="s">
        <v>219</v>
      </c>
    </row>
    <row r="79" spans="1:26">
      <c r="A79" t="s">
        <v>356</v>
      </c>
      <c r="B79" t="s">
        <v>357</v>
      </c>
      <c r="C79" s="4">
        <v>46141</v>
      </c>
      <c r="D79" t="s">
        <v>144</v>
      </c>
      <c r="E79" t="s">
        <v>70</v>
      </c>
      <c r="F79" s="4">
        <v>46141</v>
      </c>
      <c r="G79" s="4">
        <v>46148</v>
      </c>
      <c r="H79" t="s">
        <v>178</v>
      </c>
      <c r="I79" t="s">
        <v>339</v>
      </c>
      <c r="J79" t="s">
        <v>358</v>
      </c>
      <c r="K79" t="s">
        <v>93</v>
      </c>
      <c r="L79" t="s">
        <v>94</v>
      </c>
      <c r="M79" s="5">
        <v>64600</v>
      </c>
      <c r="N79" s="5">
        <v>10600</v>
      </c>
      <c r="O79" s="5">
        <v>10150</v>
      </c>
      <c r="P79" s="5">
        <v>24500</v>
      </c>
      <c r="Q79" s="5">
        <v>110650</v>
      </c>
      <c r="R79" t="s">
        <v>95</v>
      </c>
      <c r="S79" t="s">
        <v>63</v>
      </c>
      <c r="T79" s="5">
        <v>110650</v>
      </c>
      <c r="U79" s="6">
        <v>3</v>
      </c>
      <c r="V79" t="s">
        <v>77</v>
      </c>
      <c r="W79" s="4">
        <v>46168</v>
      </c>
      <c r="X79" t="s">
        <v>77</v>
      </c>
      <c r="Y79" t="s">
        <v>77</v>
      </c>
      <c r="Z79" t="s">
        <v>96</v>
      </c>
    </row>
    <row r="80" spans="1:26">
      <c r="A80" t="s">
        <v>359</v>
      </c>
      <c r="B80" t="s">
        <v>360</v>
      </c>
      <c r="C80" s="4">
        <v>46076</v>
      </c>
      <c r="D80" t="s">
        <v>144</v>
      </c>
      <c r="E80" t="s">
        <v>56</v>
      </c>
      <c r="F80" s="4"/>
      <c r="G80" s="4"/>
      <c r="H80" t="s">
        <v>201</v>
      </c>
      <c r="I80" t="s">
        <v>202</v>
      </c>
      <c r="J80" t="s">
        <v>281</v>
      </c>
      <c r="K80" t="s">
        <v>60</v>
      </c>
      <c r="L80" t="s">
        <v>94</v>
      </c>
      <c r="M80" s="5"/>
      <c r="N80" s="5"/>
      <c r="O80" s="5"/>
      <c r="P80" s="5"/>
      <c r="Q80" s="5"/>
      <c r="R80" t="s">
        <v>141</v>
      </c>
      <c r="S80" t="s">
        <v>63</v>
      </c>
      <c r="T80" s="5"/>
      <c r="U80" s="6"/>
      <c r="V80" t="s">
        <v>64</v>
      </c>
      <c r="W80" s="4"/>
      <c r="X80" t="s">
        <v>65</v>
      </c>
      <c r="Z80" t="s">
        <v>66</v>
      </c>
    </row>
    <row r="81" spans="1:26">
      <c r="A81" t="s">
        <v>361</v>
      </c>
      <c r="B81" t="s">
        <v>362</v>
      </c>
      <c r="C81" s="4">
        <v>46110</v>
      </c>
      <c r="D81" t="s">
        <v>363</v>
      </c>
      <c r="E81" t="s">
        <v>177</v>
      </c>
      <c r="F81" s="4"/>
      <c r="G81" s="4"/>
      <c r="H81" t="s">
        <v>103</v>
      </c>
      <c r="I81" t="s">
        <v>364</v>
      </c>
      <c r="J81" t="s">
        <v>105</v>
      </c>
      <c r="K81" t="s">
        <v>60</v>
      </c>
      <c r="L81" t="s">
        <v>94</v>
      </c>
      <c r="M81" s="5"/>
      <c r="N81" s="5"/>
      <c r="O81" s="5"/>
      <c r="P81" s="5"/>
      <c r="Q81" s="5"/>
      <c r="R81" t="s">
        <v>106</v>
      </c>
      <c r="S81" t="s">
        <v>63</v>
      </c>
      <c r="T81" s="5"/>
      <c r="U81" s="6"/>
      <c r="V81" t="s">
        <v>64</v>
      </c>
      <c r="W81" s="4"/>
      <c r="X81" t="s">
        <v>65</v>
      </c>
      <c r="Z81" t="s">
        <v>66</v>
      </c>
    </row>
    <row r="82" spans="1:26">
      <c r="A82" t="s">
        <v>365</v>
      </c>
      <c r="B82" t="s">
        <v>366</v>
      </c>
      <c r="C82" s="4">
        <v>46025</v>
      </c>
      <c r="D82" t="s">
        <v>110</v>
      </c>
      <c r="E82" t="s">
        <v>70</v>
      </c>
      <c r="F82" s="4">
        <v>46026</v>
      </c>
      <c r="G82" s="4">
        <v>46029</v>
      </c>
      <c r="H82" t="s">
        <v>103</v>
      </c>
      <c r="I82" t="s">
        <v>214</v>
      </c>
      <c r="J82" t="s">
        <v>244</v>
      </c>
      <c r="K82" t="s">
        <v>124</v>
      </c>
      <c r="L82" t="s">
        <v>74</v>
      </c>
      <c r="M82" s="5">
        <v>60200</v>
      </c>
      <c r="N82" s="5">
        <v>5000</v>
      </c>
      <c r="O82" s="5">
        <v>13550</v>
      </c>
      <c r="P82" s="5">
        <v>13500</v>
      </c>
      <c r="Q82" s="5">
        <v>93050</v>
      </c>
      <c r="R82" t="s">
        <v>85</v>
      </c>
      <c r="S82" t="s">
        <v>76</v>
      </c>
      <c r="T82" s="5">
        <v>24160</v>
      </c>
      <c r="U82" s="6">
        <v>4</v>
      </c>
      <c r="V82" t="s">
        <v>64</v>
      </c>
      <c r="W82" s="4"/>
      <c r="X82" t="s">
        <v>65</v>
      </c>
      <c r="Y82" t="s">
        <v>64</v>
      </c>
      <c r="Z82" t="s">
        <v>107</v>
      </c>
    </row>
    <row r="83" spans="1:26">
      <c r="A83" t="s">
        <v>367</v>
      </c>
      <c r="B83" t="s">
        <v>368</v>
      </c>
      <c r="C83" s="4">
        <v>46028</v>
      </c>
      <c r="D83" t="s">
        <v>200</v>
      </c>
      <c r="E83" t="s">
        <v>70</v>
      </c>
      <c r="F83" s="4">
        <v>46028</v>
      </c>
      <c r="G83" s="4">
        <v>46029</v>
      </c>
      <c r="H83" t="s">
        <v>82</v>
      </c>
      <c r="I83" t="s">
        <v>369</v>
      </c>
      <c r="J83" t="s">
        <v>84</v>
      </c>
      <c r="K83" t="s">
        <v>124</v>
      </c>
      <c r="L83" t="s">
        <v>94</v>
      </c>
      <c r="M83" s="5">
        <v>8000</v>
      </c>
      <c r="N83" s="5">
        <v>1050</v>
      </c>
      <c r="O83" s="5">
        <v>1250</v>
      </c>
      <c r="P83" s="5">
        <v>3500</v>
      </c>
      <c r="Q83" s="5">
        <v>14600</v>
      </c>
      <c r="R83" t="s">
        <v>141</v>
      </c>
      <c r="S83" t="s">
        <v>76</v>
      </c>
      <c r="T83" s="5">
        <v>3390</v>
      </c>
      <c r="U83" s="6">
        <v>5</v>
      </c>
      <c r="V83" t="s">
        <v>77</v>
      </c>
      <c r="W83" s="4">
        <v>46036</v>
      </c>
      <c r="X83" t="s">
        <v>77</v>
      </c>
      <c r="Y83" t="s">
        <v>64</v>
      </c>
      <c r="Z83" t="s">
        <v>96</v>
      </c>
    </row>
    <row r="84" spans="1:26">
      <c r="A84" t="s">
        <v>370</v>
      </c>
      <c r="B84" t="s">
        <v>371</v>
      </c>
      <c r="C84" s="4">
        <v>46167</v>
      </c>
      <c r="D84" t="s">
        <v>217</v>
      </c>
      <c r="E84" t="s">
        <v>70</v>
      </c>
      <c r="F84" s="4">
        <v>46167</v>
      </c>
      <c r="G84" s="4">
        <v>46176</v>
      </c>
      <c r="H84" t="s">
        <v>57</v>
      </c>
      <c r="I84" t="s">
        <v>211</v>
      </c>
      <c r="J84" t="s">
        <v>59</v>
      </c>
      <c r="K84" t="s">
        <v>124</v>
      </c>
      <c r="L84" t="s">
        <v>61</v>
      </c>
      <c r="M84" s="5">
        <v>34300</v>
      </c>
      <c r="N84" s="5">
        <v>6050</v>
      </c>
      <c r="O84" s="5">
        <v>6900</v>
      </c>
      <c r="P84" s="5">
        <v>54000</v>
      </c>
      <c r="Q84" s="5">
        <v>103250</v>
      </c>
      <c r="R84" t="s">
        <v>106</v>
      </c>
      <c r="S84" t="s">
        <v>76</v>
      </c>
      <c r="T84" s="5">
        <v>36840</v>
      </c>
      <c r="U84" s="6">
        <v>2</v>
      </c>
      <c r="V84" t="s">
        <v>77</v>
      </c>
      <c r="W84" s="4">
        <v>46189</v>
      </c>
      <c r="X84" t="s">
        <v>77</v>
      </c>
      <c r="Y84" t="s">
        <v>64</v>
      </c>
      <c r="Z84" t="s">
        <v>96</v>
      </c>
    </row>
    <row r="85" spans="1:26">
      <c r="A85" t="s">
        <v>372</v>
      </c>
      <c r="B85" t="s">
        <v>373</v>
      </c>
      <c r="C85" s="4">
        <v>46155</v>
      </c>
      <c r="D85" t="s">
        <v>99</v>
      </c>
      <c r="E85" t="s">
        <v>70</v>
      </c>
      <c r="F85" s="4">
        <v>46155</v>
      </c>
      <c r="G85" s="4">
        <v>46156</v>
      </c>
      <c r="H85" t="s">
        <v>138</v>
      </c>
      <c r="I85" t="s">
        <v>352</v>
      </c>
      <c r="J85" t="s">
        <v>140</v>
      </c>
      <c r="K85" t="s">
        <v>93</v>
      </c>
      <c r="L85" t="s">
        <v>74</v>
      </c>
      <c r="M85" s="5">
        <v>11200</v>
      </c>
      <c r="N85" s="5">
        <v>1100</v>
      </c>
      <c r="O85" s="5">
        <v>1250</v>
      </c>
      <c r="P85" s="5">
        <v>6000</v>
      </c>
      <c r="Q85" s="5">
        <v>21350</v>
      </c>
      <c r="R85" t="s">
        <v>95</v>
      </c>
      <c r="S85" t="s">
        <v>63</v>
      </c>
      <c r="T85" s="5">
        <v>21350</v>
      </c>
      <c r="U85" s="6">
        <v>5</v>
      </c>
      <c r="V85" t="s">
        <v>64</v>
      </c>
      <c r="W85" s="4"/>
      <c r="X85" t="s">
        <v>65</v>
      </c>
      <c r="Y85" t="s">
        <v>64</v>
      </c>
      <c r="Z85" t="s">
        <v>107</v>
      </c>
    </row>
    <row r="86" spans="1:26">
      <c r="A86" t="s">
        <v>374</v>
      </c>
      <c r="B86" t="s">
        <v>375</v>
      </c>
      <c r="C86" s="4">
        <v>46029</v>
      </c>
      <c r="D86" t="s">
        <v>144</v>
      </c>
      <c r="E86" t="s">
        <v>255</v>
      </c>
      <c r="F86" s="4"/>
      <c r="G86" s="4"/>
      <c r="H86" t="s">
        <v>90</v>
      </c>
      <c r="I86" t="s">
        <v>128</v>
      </c>
      <c r="J86" t="s">
        <v>197</v>
      </c>
      <c r="K86" t="s">
        <v>60</v>
      </c>
      <c r="L86" t="s">
        <v>74</v>
      </c>
      <c r="M86" s="5"/>
      <c r="N86" s="5"/>
      <c r="O86" s="5"/>
      <c r="P86" s="5"/>
      <c r="Q86" s="5"/>
      <c r="R86" t="s">
        <v>75</v>
      </c>
      <c r="S86" t="s">
        <v>63</v>
      </c>
      <c r="T86" s="5"/>
      <c r="U86" s="6"/>
      <c r="V86" t="s">
        <v>64</v>
      </c>
      <c r="W86" s="4"/>
      <c r="X86" t="s">
        <v>65</v>
      </c>
      <c r="Z86" t="s">
        <v>66</v>
      </c>
    </row>
    <row r="87" spans="1:26">
      <c r="A87" t="s">
        <v>376</v>
      </c>
      <c r="B87" t="s">
        <v>377</v>
      </c>
      <c r="C87" s="4">
        <v>46041</v>
      </c>
      <c r="D87" t="s">
        <v>242</v>
      </c>
      <c r="E87" t="s">
        <v>70</v>
      </c>
      <c r="F87" s="4">
        <v>46041</v>
      </c>
      <c r="G87" s="4">
        <v>46046</v>
      </c>
      <c r="H87" t="s">
        <v>138</v>
      </c>
      <c r="I87" t="s">
        <v>260</v>
      </c>
      <c r="J87" t="s">
        <v>261</v>
      </c>
      <c r="K87" t="s">
        <v>73</v>
      </c>
      <c r="L87" t="s">
        <v>94</v>
      </c>
      <c r="M87" s="5">
        <v>5200</v>
      </c>
      <c r="N87" s="5">
        <v>900</v>
      </c>
      <c r="O87" s="5">
        <v>1050</v>
      </c>
      <c r="P87" s="5">
        <v>15000</v>
      </c>
      <c r="Q87" s="5">
        <v>24650</v>
      </c>
      <c r="R87" t="s">
        <v>75</v>
      </c>
      <c r="S87" t="s">
        <v>86</v>
      </c>
      <c r="T87" s="5">
        <v>11390</v>
      </c>
      <c r="U87" s="6">
        <v>1</v>
      </c>
      <c r="V87" t="s">
        <v>77</v>
      </c>
      <c r="W87" s="4">
        <v>46062</v>
      </c>
      <c r="X87" t="s">
        <v>77</v>
      </c>
      <c r="Y87" t="s">
        <v>77</v>
      </c>
      <c r="Z87" t="s">
        <v>96</v>
      </c>
    </row>
    <row r="88" spans="1:26">
      <c r="A88" t="s">
        <v>378</v>
      </c>
      <c r="B88" t="s">
        <v>379</v>
      </c>
      <c r="C88" s="4">
        <v>46025</v>
      </c>
      <c r="D88" t="s">
        <v>266</v>
      </c>
      <c r="E88" t="s">
        <v>70</v>
      </c>
      <c r="F88" s="4">
        <v>46025</v>
      </c>
      <c r="G88" s="4">
        <v>46026</v>
      </c>
      <c r="H88" t="s">
        <v>57</v>
      </c>
      <c r="I88" t="s">
        <v>169</v>
      </c>
      <c r="J88" t="s">
        <v>72</v>
      </c>
      <c r="K88" t="s">
        <v>73</v>
      </c>
      <c r="L88" t="s">
        <v>94</v>
      </c>
      <c r="M88" s="5">
        <v>9000</v>
      </c>
      <c r="N88" s="5">
        <v>1550</v>
      </c>
      <c r="O88" s="5">
        <v>1950</v>
      </c>
      <c r="P88" s="5">
        <v>4500</v>
      </c>
      <c r="Q88" s="5">
        <v>17800</v>
      </c>
      <c r="R88" t="s">
        <v>141</v>
      </c>
      <c r="S88" t="s">
        <v>76</v>
      </c>
      <c r="T88" s="5">
        <v>3870</v>
      </c>
      <c r="U88" s="6">
        <v>3</v>
      </c>
      <c r="V88" t="s">
        <v>77</v>
      </c>
      <c r="W88" s="4">
        <v>46033</v>
      </c>
      <c r="X88" t="s">
        <v>77</v>
      </c>
      <c r="Y88" t="s">
        <v>77</v>
      </c>
      <c r="Z88" t="s">
        <v>96</v>
      </c>
    </row>
    <row r="89" spans="1:26">
      <c r="A89" t="s">
        <v>380</v>
      </c>
      <c r="B89" t="s">
        <v>306</v>
      </c>
      <c r="C89" s="4">
        <v>46034</v>
      </c>
      <c r="D89" t="s">
        <v>99</v>
      </c>
      <c r="E89" t="s">
        <v>70</v>
      </c>
      <c r="F89" s="4">
        <v>46034</v>
      </c>
      <c r="G89" s="4">
        <v>46039</v>
      </c>
      <c r="H89" t="s">
        <v>121</v>
      </c>
      <c r="I89" t="s">
        <v>334</v>
      </c>
      <c r="J89" t="s">
        <v>252</v>
      </c>
      <c r="K89" t="s">
        <v>73</v>
      </c>
      <c r="L89" t="s">
        <v>146</v>
      </c>
      <c r="M89" s="5">
        <v>65400</v>
      </c>
      <c r="N89" s="5">
        <v>7250</v>
      </c>
      <c r="O89" s="5">
        <v>9900</v>
      </c>
      <c r="P89" s="5">
        <v>17500</v>
      </c>
      <c r="Q89" s="5">
        <v>101050</v>
      </c>
      <c r="R89" t="s">
        <v>134</v>
      </c>
      <c r="S89" t="s">
        <v>76</v>
      </c>
      <c r="T89" s="5">
        <v>55780</v>
      </c>
      <c r="U89" s="6">
        <v>5</v>
      </c>
      <c r="V89" t="s">
        <v>77</v>
      </c>
      <c r="W89" s="4">
        <v>46048</v>
      </c>
      <c r="X89" t="s">
        <v>77</v>
      </c>
      <c r="Y89" t="s">
        <v>64</v>
      </c>
      <c r="Z89" t="s">
        <v>78</v>
      </c>
    </row>
    <row r="90" spans="1:26">
      <c r="A90" t="s">
        <v>381</v>
      </c>
      <c r="B90" t="s">
        <v>382</v>
      </c>
      <c r="C90" s="4">
        <v>46144</v>
      </c>
      <c r="D90" t="s">
        <v>383</v>
      </c>
      <c r="E90" t="s">
        <v>314</v>
      </c>
      <c r="F90" s="4"/>
      <c r="G90" s="4"/>
      <c r="H90" t="s">
        <v>111</v>
      </c>
      <c r="I90" t="s">
        <v>116</v>
      </c>
      <c r="J90" t="s">
        <v>384</v>
      </c>
      <c r="K90" t="s">
        <v>60</v>
      </c>
      <c r="L90" t="s">
        <v>74</v>
      </c>
      <c r="M90" s="5"/>
      <c r="N90" s="5"/>
      <c r="O90" s="5"/>
      <c r="P90" s="5"/>
      <c r="Q90" s="5"/>
      <c r="R90" t="s">
        <v>141</v>
      </c>
      <c r="S90" t="s">
        <v>63</v>
      </c>
      <c r="T90" s="5"/>
      <c r="U90" s="6"/>
      <c r="V90" t="s">
        <v>64</v>
      </c>
      <c r="W90" s="4"/>
      <c r="X90" t="s">
        <v>65</v>
      </c>
      <c r="Z90" t="s">
        <v>66</v>
      </c>
    </row>
    <row r="91" spans="1:26">
      <c r="A91" t="s">
        <v>385</v>
      </c>
      <c r="B91" t="s">
        <v>333</v>
      </c>
      <c r="C91" s="4">
        <v>46149</v>
      </c>
      <c r="D91" t="s">
        <v>69</v>
      </c>
      <c r="E91" t="s">
        <v>70</v>
      </c>
      <c r="F91" s="4">
        <v>46149</v>
      </c>
      <c r="G91" s="4">
        <v>46161</v>
      </c>
      <c r="H91" t="s">
        <v>121</v>
      </c>
      <c r="I91" t="s">
        <v>386</v>
      </c>
      <c r="J91" t="s">
        <v>252</v>
      </c>
      <c r="K91" t="s">
        <v>124</v>
      </c>
      <c r="L91" t="s">
        <v>74</v>
      </c>
      <c r="M91" s="5">
        <v>70800</v>
      </c>
      <c r="N91" s="5">
        <v>11450</v>
      </c>
      <c r="O91" s="5">
        <v>15650</v>
      </c>
      <c r="P91" s="5">
        <v>54000</v>
      </c>
      <c r="Q91" s="5">
        <v>154400</v>
      </c>
      <c r="R91" t="s">
        <v>75</v>
      </c>
      <c r="S91" t="s">
        <v>76</v>
      </c>
      <c r="T91" s="5">
        <v>69780</v>
      </c>
      <c r="U91" s="6">
        <v>1</v>
      </c>
      <c r="V91" t="s">
        <v>64</v>
      </c>
      <c r="W91" s="4"/>
      <c r="X91" t="s">
        <v>65</v>
      </c>
      <c r="Y91" t="s">
        <v>77</v>
      </c>
      <c r="Z91" t="s">
        <v>96</v>
      </c>
    </row>
    <row r="92" spans="1:26">
      <c r="A92" t="s">
        <v>387</v>
      </c>
      <c r="B92" t="s">
        <v>311</v>
      </c>
      <c r="C92" s="4">
        <v>46073</v>
      </c>
      <c r="D92" t="s">
        <v>210</v>
      </c>
      <c r="E92" t="s">
        <v>70</v>
      </c>
      <c r="F92" s="4">
        <v>46073</v>
      </c>
      <c r="G92" s="4">
        <v>46080</v>
      </c>
      <c r="H92" t="s">
        <v>90</v>
      </c>
      <c r="I92" t="s">
        <v>388</v>
      </c>
      <c r="J92" t="s">
        <v>92</v>
      </c>
      <c r="K92" t="s">
        <v>124</v>
      </c>
      <c r="L92" t="s">
        <v>94</v>
      </c>
      <c r="M92" s="5">
        <v>59100</v>
      </c>
      <c r="N92" s="5">
        <v>10100</v>
      </c>
      <c r="O92" s="5">
        <v>6100</v>
      </c>
      <c r="P92" s="5">
        <v>21000</v>
      </c>
      <c r="Q92" s="5">
        <v>97800</v>
      </c>
      <c r="R92" t="s">
        <v>106</v>
      </c>
      <c r="S92" t="s">
        <v>86</v>
      </c>
      <c r="T92" s="5">
        <v>34930</v>
      </c>
      <c r="U92" s="6">
        <v>4</v>
      </c>
      <c r="V92" t="s">
        <v>77</v>
      </c>
      <c r="W92" s="4">
        <v>46101</v>
      </c>
      <c r="X92" t="s">
        <v>77</v>
      </c>
      <c r="Y92" t="s">
        <v>64</v>
      </c>
      <c r="Z92" t="s">
        <v>78</v>
      </c>
    </row>
    <row r="93" spans="1:26">
      <c r="A93" t="s">
        <v>389</v>
      </c>
      <c r="B93" t="s">
        <v>390</v>
      </c>
      <c r="C93" s="4">
        <v>46053</v>
      </c>
      <c r="D93" t="s">
        <v>298</v>
      </c>
      <c r="E93" t="s">
        <v>255</v>
      </c>
      <c r="F93" s="4"/>
      <c r="G93" s="4"/>
      <c r="H93" t="s">
        <v>150</v>
      </c>
      <c r="I93" t="s">
        <v>304</v>
      </c>
      <c r="J93" t="s">
        <v>188</v>
      </c>
      <c r="K93" t="s">
        <v>124</v>
      </c>
      <c r="L93" t="s">
        <v>74</v>
      </c>
      <c r="M93" s="5"/>
      <c r="N93" s="5"/>
      <c r="O93" s="5"/>
      <c r="P93" s="5"/>
      <c r="Q93" s="5"/>
      <c r="R93" t="s">
        <v>85</v>
      </c>
      <c r="S93" t="s">
        <v>63</v>
      </c>
      <c r="T93" s="5"/>
      <c r="U93" s="6"/>
      <c r="V93" t="s">
        <v>64</v>
      </c>
      <c r="W93" s="4"/>
      <c r="X93" t="s">
        <v>65</v>
      </c>
      <c r="Z93" t="s">
        <v>66</v>
      </c>
    </row>
    <row r="94" spans="1:26">
      <c r="A94" t="s">
        <v>391</v>
      </c>
      <c r="B94" t="s">
        <v>392</v>
      </c>
      <c r="C94" s="4">
        <v>46071</v>
      </c>
      <c r="D94" t="s">
        <v>337</v>
      </c>
      <c r="E94" t="s">
        <v>314</v>
      </c>
      <c r="F94" s="4"/>
      <c r="G94" s="4"/>
      <c r="H94" t="s">
        <v>201</v>
      </c>
      <c r="I94" t="s">
        <v>280</v>
      </c>
      <c r="J94" t="s">
        <v>295</v>
      </c>
      <c r="K94" t="s">
        <v>73</v>
      </c>
      <c r="L94" t="s">
        <v>94</v>
      </c>
      <c r="M94" s="5"/>
      <c r="N94" s="5"/>
      <c r="O94" s="5"/>
      <c r="P94" s="5"/>
      <c r="Q94" s="5"/>
      <c r="R94" t="s">
        <v>134</v>
      </c>
      <c r="S94" t="s">
        <v>63</v>
      </c>
      <c r="T94" s="5"/>
      <c r="U94" s="6"/>
      <c r="V94" t="s">
        <v>64</v>
      </c>
      <c r="W94" s="4"/>
      <c r="X94" t="s">
        <v>65</v>
      </c>
      <c r="Z94" t="s">
        <v>66</v>
      </c>
    </row>
    <row r="95" spans="1:26">
      <c r="A95" t="s">
        <v>393</v>
      </c>
      <c r="B95" t="s">
        <v>394</v>
      </c>
      <c r="C95" s="4">
        <v>46076</v>
      </c>
      <c r="D95" t="s">
        <v>137</v>
      </c>
      <c r="E95" t="s">
        <v>314</v>
      </c>
      <c r="F95" s="4"/>
      <c r="G95" s="4"/>
      <c r="H95" t="s">
        <v>201</v>
      </c>
      <c r="I95" t="s">
        <v>202</v>
      </c>
      <c r="J95" t="s">
        <v>281</v>
      </c>
      <c r="K95" t="s">
        <v>124</v>
      </c>
      <c r="L95" t="s">
        <v>94</v>
      </c>
      <c r="M95" s="5"/>
      <c r="N95" s="5"/>
      <c r="O95" s="5"/>
      <c r="P95" s="5"/>
      <c r="Q95" s="5"/>
      <c r="R95" t="s">
        <v>134</v>
      </c>
      <c r="S95" t="s">
        <v>63</v>
      </c>
      <c r="T95" s="5"/>
      <c r="U95" s="6"/>
      <c r="V95" t="s">
        <v>64</v>
      </c>
      <c r="W95" s="4"/>
      <c r="X95" t="s">
        <v>65</v>
      </c>
      <c r="Z95" t="s">
        <v>66</v>
      </c>
    </row>
    <row r="96" spans="1:26">
      <c r="A96" t="s">
        <v>395</v>
      </c>
      <c r="B96" t="s">
        <v>396</v>
      </c>
      <c r="C96" s="4">
        <v>46141</v>
      </c>
      <c r="D96" t="s">
        <v>259</v>
      </c>
      <c r="E96" t="s">
        <v>70</v>
      </c>
      <c r="F96" s="4">
        <v>46142</v>
      </c>
      <c r="G96" s="4">
        <v>46144</v>
      </c>
      <c r="H96" t="s">
        <v>111</v>
      </c>
      <c r="I96" t="s">
        <v>397</v>
      </c>
      <c r="J96" t="s">
        <v>113</v>
      </c>
      <c r="K96" t="s">
        <v>73</v>
      </c>
      <c r="L96" t="s">
        <v>74</v>
      </c>
      <c r="M96" s="5">
        <v>27800</v>
      </c>
      <c r="N96" s="5">
        <v>3850</v>
      </c>
      <c r="O96" s="5">
        <v>5450</v>
      </c>
      <c r="P96" s="5">
        <v>12000</v>
      </c>
      <c r="Q96" s="5">
        <v>51100</v>
      </c>
      <c r="R96" t="s">
        <v>85</v>
      </c>
      <c r="S96" t="s">
        <v>76</v>
      </c>
      <c r="T96" s="5">
        <v>13680</v>
      </c>
      <c r="U96" s="6">
        <v>4</v>
      </c>
      <c r="V96" t="s">
        <v>64</v>
      </c>
      <c r="W96" s="4"/>
      <c r="X96" t="s">
        <v>65</v>
      </c>
      <c r="Y96" t="s">
        <v>64</v>
      </c>
      <c r="Z96" t="s">
        <v>107</v>
      </c>
    </row>
    <row r="97" spans="1:26">
      <c r="A97" t="s">
        <v>398</v>
      </c>
      <c r="B97" t="s">
        <v>399</v>
      </c>
      <c r="C97" s="4">
        <v>46098</v>
      </c>
      <c r="D97" t="s">
        <v>383</v>
      </c>
      <c r="E97" t="s">
        <v>70</v>
      </c>
      <c r="F97" s="4">
        <v>46098</v>
      </c>
      <c r="G97" s="4">
        <v>46099</v>
      </c>
      <c r="H97" t="s">
        <v>90</v>
      </c>
      <c r="I97" t="s">
        <v>388</v>
      </c>
      <c r="J97" t="s">
        <v>92</v>
      </c>
      <c r="K97" t="s">
        <v>60</v>
      </c>
      <c r="L97" t="s">
        <v>74</v>
      </c>
      <c r="M97" s="5">
        <v>45500</v>
      </c>
      <c r="N97" s="5">
        <v>5400</v>
      </c>
      <c r="O97" s="5">
        <v>5800</v>
      </c>
      <c r="P97" s="5">
        <v>3000</v>
      </c>
      <c r="Q97" s="5">
        <v>61200</v>
      </c>
      <c r="R97" t="s">
        <v>106</v>
      </c>
      <c r="S97" t="s">
        <v>76</v>
      </c>
      <c r="T97" s="5">
        <v>22120</v>
      </c>
      <c r="U97" s="6">
        <v>5</v>
      </c>
      <c r="V97" t="s">
        <v>77</v>
      </c>
      <c r="W97" s="4">
        <v>46114</v>
      </c>
      <c r="X97" t="s">
        <v>77</v>
      </c>
      <c r="Y97" t="s">
        <v>64</v>
      </c>
      <c r="Z97" t="s">
        <v>96</v>
      </c>
    </row>
    <row r="98" spans="1:26">
      <c r="A98" t="s">
        <v>400</v>
      </c>
      <c r="B98" t="s">
        <v>401</v>
      </c>
      <c r="C98" s="4">
        <v>46100</v>
      </c>
      <c r="D98" t="s">
        <v>161</v>
      </c>
      <c r="E98" t="s">
        <v>70</v>
      </c>
      <c r="F98" s="4">
        <v>46100</v>
      </c>
      <c r="G98" s="4">
        <v>46107</v>
      </c>
      <c r="H98" t="s">
        <v>103</v>
      </c>
      <c r="I98" t="s">
        <v>364</v>
      </c>
      <c r="J98" t="s">
        <v>105</v>
      </c>
      <c r="K98" t="s">
        <v>93</v>
      </c>
      <c r="L98" t="s">
        <v>146</v>
      </c>
      <c r="M98" s="5">
        <v>50700</v>
      </c>
      <c r="N98" s="5">
        <v>5800</v>
      </c>
      <c r="O98" s="5">
        <v>12650</v>
      </c>
      <c r="P98" s="5">
        <v>31500</v>
      </c>
      <c r="Q98" s="5">
        <v>101450</v>
      </c>
      <c r="R98" t="s">
        <v>95</v>
      </c>
      <c r="S98" t="s">
        <v>63</v>
      </c>
      <c r="T98" s="5">
        <v>101450</v>
      </c>
      <c r="U98" s="6">
        <v>3</v>
      </c>
      <c r="V98" t="s">
        <v>77</v>
      </c>
      <c r="W98" s="4">
        <v>46114</v>
      </c>
      <c r="X98" t="s">
        <v>77</v>
      </c>
      <c r="Y98" t="s">
        <v>64</v>
      </c>
      <c r="Z98" t="s">
        <v>96</v>
      </c>
    </row>
    <row r="99" spans="1:26">
      <c r="A99" t="s">
        <v>402</v>
      </c>
      <c r="B99" t="s">
        <v>403</v>
      </c>
      <c r="C99" s="4">
        <v>46141</v>
      </c>
      <c r="D99" t="s">
        <v>168</v>
      </c>
      <c r="E99" t="s">
        <v>70</v>
      </c>
      <c r="F99" s="4">
        <v>46142</v>
      </c>
      <c r="G99" s="4">
        <v>46142</v>
      </c>
      <c r="H99" t="s">
        <v>150</v>
      </c>
      <c r="I99" t="s">
        <v>247</v>
      </c>
      <c r="J99" t="s">
        <v>152</v>
      </c>
      <c r="K99" t="s">
        <v>60</v>
      </c>
      <c r="L99" t="s">
        <v>94</v>
      </c>
      <c r="M99" s="5">
        <v>22400</v>
      </c>
      <c r="N99" s="5">
        <v>3100</v>
      </c>
      <c r="O99" s="5">
        <v>2650</v>
      </c>
      <c r="P99" s="5">
        <v>0</v>
      </c>
      <c r="Q99" s="5">
        <v>29150</v>
      </c>
      <c r="R99" t="s">
        <v>62</v>
      </c>
      <c r="S99" t="s">
        <v>76</v>
      </c>
      <c r="T99" s="5">
        <v>9150</v>
      </c>
      <c r="U99" s="6">
        <v>5</v>
      </c>
      <c r="V99" t="s">
        <v>64</v>
      </c>
      <c r="W99" s="4"/>
      <c r="X99" t="s">
        <v>65</v>
      </c>
      <c r="Y99" t="s">
        <v>64</v>
      </c>
      <c r="Z99" t="s">
        <v>78</v>
      </c>
    </row>
    <row r="100" spans="1:26">
      <c r="A100" t="s">
        <v>404</v>
      </c>
      <c r="B100" t="s">
        <v>405</v>
      </c>
      <c r="C100" s="4">
        <v>46168</v>
      </c>
      <c r="D100" t="s">
        <v>99</v>
      </c>
      <c r="E100" t="s">
        <v>70</v>
      </c>
      <c r="F100" s="4">
        <v>46169</v>
      </c>
      <c r="G100" s="4">
        <v>46174</v>
      </c>
      <c r="H100" t="s">
        <v>111</v>
      </c>
      <c r="I100" t="s">
        <v>267</v>
      </c>
      <c r="J100" t="s">
        <v>113</v>
      </c>
      <c r="K100" t="s">
        <v>93</v>
      </c>
      <c r="L100" t="s">
        <v>74</v>
      </c>
      <c r="M100" s="5">
        <v>27400</v>
      </c>
      <c r="N100" s="5">
        <v>2750</v>
      </c>
      <c r="O100" s="5">
        <v>4350</v>
      </c>
      <c r="P100" s="5">
        <v>30000</v>
      </c>
      <c r="Q100" s="5">
        <v>65700</v>
      </c>
      <c r="R100" t="s">
        <v>106</v>
      </c>
      <c r="S100" t="s">
        <v>76</v>
      </c>
      <c r="T100" s="5">
        <v>23700</v>
      </c>
      <c r="U100" s="6">
        <v>4</v>
      </c>
      <c r="V100" t="s">
        <v>77</v>
      </c>
      <c r="W100" s="4">
        <v>46188</v>
      </c>
      <c r="X100" t="s">
        <v>77</v>
      </c>
      <c r="Y100" t="s">
        <v>64</v>
      </c>
      <c r="Z100" t="s">
        <v>78</v>
      </c>
    </row>
    <row r="101" spans="1:26">
      <c r="A101" t="s">
        <v>406</v>
      </c>
      <c r="B101" t="s">
        <v>407</v>
      </c>
      <c r="C101" s="4">
        <v>46095</v>
      </c>
      <c r="D101" t="s">
        <v>127</v>
      </c>
      <c r="E101" t="s">
        <v>70</v>
      </c>
      <c r="F101" s="4">
        <v>46095</v>
      </c>
      <c r="G101" s="4">
        <v>46101</v>
      </c>
      <c r="H101" t="s">
        <v>82</v>
      </c>
      <c r="I101" t="s">
        <v>155</v>
      </c>
      <c r="J101" t="s">
        <v>156</v>
      </c>
      <c r="K101" t="s">
        <v>73</v>
      </c>
      <c r="L101" t="s">
        <v>74</v>
      </c>
      <c r="M101" s="5">
        <v>74200</v>
      </c>
      <c r="N101" s="5">
        <v>7100</v>
      </c>
      <c r="O101" s="5">
        <v>8650</v>
      </c>
      <c r="P101" s="5">
        <v>36000</v>
      </c>
      <c r="Q101" s="5">
        <v>128450</v>
      </c>
      <c r="R101" t="s">
        <v>141</v>
      </c>
      <c r="S101" t="s">
        <v>76</v>
      </c>
      <c r="T101" s="5">
        <v>20470</v>
      </c>
      <c r="U101" s="6">
        <v>2</v>
      </c>
      <c r="V101" t="s">
        <v>77</v>
      </c>
      <c r="W101" s="4">
        <v>46122</v>
      </c>
      <c r="X101" t="s">
        <v>64</v>
      </c>
      <c r="Y101" t="s">
        <v>77</v>
      </c>
      <c r="Z101" t="s">
        <v>107</v>
      </c>
    </row>
    <row r="102" spans="1:26">
      <c r="A102" t="s">
        <v>408</v>
      </c>
      <c r="B102" t="s">
        <v>409</v>
      </c>
      <c r="C102" s="4">
        <v>46140</v>
      </c>
      <c r="D102" t="s">
        <v>161</v>
      </c>
      <c r="E102" t="s">
        <v>70</v>
      </c>
      <c r="F102" s="4">
        <v>46141</v>
      </c>
      <c r="G102" s="4">
        <v>46141</v>
      </c>
      <c r="H102" t="s">
        <v>103</v>
      </c>
      <c r="I102" t="s">
        <v>243</v>
      </c>
      <c r="J102" t="s">
        <v>244</v>
      </c>
      <c r="K102" t="s">
        <v>60</v>
      </c>
      <c r="L102" t="s">
        <v>61</v>
      </c>
      <c r="M102" s="5">
        <v>62100</v>
      </c>
      <c r="N102" s="5">
        <v>8500</v>
      </c>
      <c r="O102" s="5">
        <v>10800</v>
      </c>
      <c r="P102" s="5">
        <v>0</v>
      </c>
      <c r="Q102" s="5">
        <v>83200</v>
      </c>
      <c r="R102" t="s">
        <v>141</v>
      </c>
      <c r="S102" t="s">
        <v>76</v>
      </c>
      <c r="T102" s="5">
        <v>13680</v>
      </c>
      <c r="U102" s="6">
        <v>4</v>
      </c>
      <c r="V102" t="s">
        <v>77</v>
      </c>
      <c r="W102" s="4">
        <v>46158</v>
      </c>
      <c r="X102" t="s">
        <v>64</v>
      </c>
      <c r="Y102" t="s">
        <v>64</v>
      </c>
      <c r="Z102" t="s">
        <v>107</v>
      </c>
    </row>
    <row r="103" spans="1:26">
      <c r="A103" t="s">
        <v>410</v>
      </c>
      <c r="B103" t="s">
        <v>411</v>
      </c>
      <c r="C103" s="4">
        <v>46069</v>
      </c>
      <c r="D103" t="s">
        <v>173</v>
      </c>
      <c r="E103" t="s">
        <v>70</v>
      </c>
      <c r="F103" s="4">
        <v>46069</v>
      </c>
      <c r="G103" s="4">
        <v>46074</v>
      </c>
      <c r="H103" t="s">
        <v>103</v>
      </c>
      <c r="I103" t="s">
        <v>412</v>
      </c>
      <c r="J103" t="s">
        <v>105</v>
      </c>
      <c r="K103" t="s">
        <v>93</v>
      </c>
      <c r="L103" t="s">
        <v>61</v>
      </c>
      <c r="M103" s="5">
        <v>63000</v>
      </c>
      <c r="N103" s="5">
        <v>9600</v>
      </c>
      <c r="O103" s="5">
        <v>8350</v>
      </c>
      <c r="P103" s="5">
        <v>22500</v>
      </c>
      <c r="Q103" s="5">
        <v>104650</v>
      </c>
      <c r="R103" t="s">
        <v>141</v>
      </c>
      <c r="S103" t="s">
        <v>76</v>
      </c>
      <c r="T103" s="5">
        <v>16900</v>
      </c>
      <c r="U103" s="6">
        <v>3</v>
      </c>
      <c r="V103" t="s">
        <v>77</v>
      </c>
      <c r="W103" s="4">
        <v>46086</v>
      </c>
      <c r="X103" t="s">
        <v>77</v>
      </c>
      <c r="Y103" t="s">
        <v>77</v>
      </c>
      <c r="Z103" t="s">
        <v>96</v>
      </c>
    </row>
    <row r="104" spans="1:26">
      <c r="A104" t="s">
        <v>413</v>
      </c>
      <c r="B104" t="s">
        <v>414</v>
      </c>
      <c r="C104" s="4">
        <v>46125</v>
      </c>
      <c r="D104" t="s">
        <v>363</v>
      </c>
      <c r="E104" t="s">
        <v>70</v>
      </c>
      <c r="F104" s="4">
        <v>46126</v>
      </c>
      <c r="G104" s="4">
        <v>46132</v>
      </c>
      <c r="H104" t="s">
        <v>178</v>
      </c>
      <c r="I104" t="s">
        <v>415</v>
      </c>
      <c r="J104" t="s">
        <v>180</v>
      </c>
      <c r="K104" t="s">
        <v>73</v>
      </c>
      <c r="L104" t="s">
        <v>61</v>
      </c>
      <c r="M104" s="5">
        <v>51200</v>
      </c>
      <c r="N104" s="5">
        <v>6900</v>
      </c>
      <c r="O104" s="5">
        <v>7000</v>
      </c>
      <c r="P104" s="5">
        <v>27000</v>
      </c>
      <c r="Q104" s="5">
        <v>92900</v>
      </c>
      <c r="R104" t="s">
        <v>75</v>
      </c>
      <c r="S104" t="s">
        <v>86</v>
      </c>
      <c r="T104" s="5">
        <v>42100</v>
      </c>
      <c r="U104" s="6">
        <v>4</v>
      </c>
      <c r="V104" t="s">
        <v>77</v>
      </c>
      <c r="W104" s="4">
        <v>46139</v>
      </c>
      <c r="X104" t="s">
        <v>77</v>
      </c>
      <c r="Y104" t="s">
        <v>64</v>
      </c>
      <c r="Z104" t="s">
        <v>96</v>
      </c>
    </row>
    <row r="105" spans="1:26">
      <c r="A105" t="s">
        <v>416</v>
      </c>
      <c r="B105" t="s">
        <v>290</v>
      </c>
      <c r="C105" s="4">
        <v>46078</v>
      </c>
      <c r="D105" t="s">
        <v>99</v>
      </c>
      <c r="E105" t="s">
        <v>70</v>
      </c>
      <c r="F105" s="4">
        <v>46078</v>
      </c>
      <c r="G105" s="4">
        <v>46078</v>
      </c>
      <c r="H105" t="s">
        <v>138</v>
      </c>
      <c r="I105" t="s">
        <v>260</v>
      </c>
      <c r="J105" t="s">
        <v>236</v>
      </c>
      <c r="K105" t="s">
        <v>60</v>
      </c>
      <c r="L105" t="s">
        <v>94</v>
      </c>
      <c r="M105" s="5">
        <v>35700</v>
      </c>
      <c r="N105" s="5">
        <v>3600</v>
      </c>
      <c r="O105" s="5">
        <v>4900</v>
      </c>
      <c r="P105" s="5">
        <v>0</v>
      </c>
      <c r="Q105" s="5">
        <v>46700</v>
      </c>
      <c r="R105" t="s">
        <v>62</v>
      </c>
      <c r="S105" t="s">
        <v>76</v>
      </c>
      <c r="T105" s="5">
        <v>14410</v>
      </c>
      <c r="U105" s="6">
        <v>4</v>
      </c>
      <c r="V105" t="s">
        <v>77</v>
      </c>
      <c r="W105" s="4">
        <v>46085</v>
      </c>
      <c r="X105" t="s">
        <v>64</v>
      </c>
      <c r="Y105" t="s">
        <v>64</v>
      </c>
      <c r="Z105" t="s">
        <v>96</v>
      </c>
    </row>
    <row r="106" spans="1:26">
      <c r="A106" t="s">
        <v>417</v>
      </c>
      <c r="B106" t="s">
        <v>418</v>
      </c>
      <c r="C106" s="4">
        <v>46129</v>
      </c>
      <c r="D106" t="s">
        <v>419</v>
      </c>
      <c r="E106" t="s">
        <v>314</v>
      </c>
      <c r="F106" s="4"/>
      <c r="G106" s="4"/>
      <c r="H106" t="s">
        <v>103</v>
      </c>
      <c r="I106" t="s">
        <v>214</v>
      </c>
      <c r="J106" t="s">
        <v>105</v>
      </c>
      <c r="K106" t="s">
        <v>73</v>
      </c>
      <c r="L106" t="s">
        <v>94</v>
      </c>
      <c r="M106" s="5"/>
      <c r="N106" s="5"/>
      <c r="O106" s="5"/>
      <c r="P106" s="5"/>
      <c r="Q106" s="5"/>
      <c r="R106" t="s">
        <v>95</v>
      </c>
      <c r="S106" t="s">
        <v>63</v>
      </c>
      <c r="T106" s="5"/>
      <c r="U106" s="6"/>
      <c r="V106" t="s">
        <v>64</v>
      </c>
      <c r="W106" s="4"/>
      <c r="X106" t="s">
        <v>65</v>
      </c>
      <c r="Z106" t="s">
        <v>66</v>
      </c>
    </row>
    <row r="107" spans="1:26">
      <c r="A107" t="s">
        <v>420</v>
      </c>
      <c r="B107" t="s">
        <v>216</v>
      </c>
      <c r="C107" s="4">
        <v>46082</v>
      </c>
      <c r="D107" t="s">
        <v>69</v>
      </c>
      <c r="E107" t="s">
        <v>70</v>
      </c>
      <c r="F107" s="4">
        <v>46083</v>
      </c>
      <c r="G107" s="4">
        <v>46088</v>
      </c>
      <c r="H107" t="s">
        <v>201</v>
      </c>
      <c r="I107" t="s">
        <v>421</v>
      </c>
      <c r="J107" t="s">
        <v>295</v>
      </c>
      <c r="K107" t="s">
        <v>124</v>
      </c>
      <c r="L107" t="s">
        <v>74</v>
      </c>
      <c r="M107" s="5">
        <v>33500</v>
      </c>
      <c r="N107" s="5">
        <v>5400</v>
      </c>
      <c r="O107" s="5">
        <v>6600</v>
      </c>
      <c r="P107" s="5">
        <v>17500</v>
      </c>
      <c r="Q107" s="5">
        <v>64000</v>
      </c>
      <c r="R107" t="s">
        <v>75</v>
      </c>
      <c r="S107" t="s">
        <v>86</v>
      </c>
      <c r="T107" s="5">
        <v>29100</v>
      </c>
      <c r="U107" s="6">
        <v>4</v>
      </c>
      <c r="V107" t="s">
        <v>77</v>
      </c>
      <c r="W107" s="4">
        <v>46107</v>
      </c>
      <c r="X107" t="s">
        <v>77</v>
      </c>
      <c r="Y107" t="s">
        <v>64</v>
      </c>
      <c r="Z107" t="s">
        <v>107</v>
      </c>
    </row>
    <row r="108" spans="1:26">
      <c r="A108" t="s">
        <v>422</v>
      </c>
      <c r="B108" t="s">
        <v>423</v>
      </c>
      <c r="C108" s="4">
        <v>46122</v>
      </c>
      <c r="D108" t="s">
        <v>259</v>
      </c>
      <c r="E108" t="s">
        <v>70</v>
      </c>
      <c r="F108" s="4">
        <v>46123</v>
      </c>
      <c r="G108" s="4">
        <v>46126</v>
      </c>
      <c r="H108" t="s">
        <v>103</v>
      </c>
      <c r="I108" t="s">
        <v>412</v>
      </c>
      <c r="J108" t="s">
        <v>145</v>
      </c>
      <c r="K108" t="s">
        <v>124</v>
      </c>
      <c r="L108" t="s">
        <v>94</v>
      </c>
      <c r="M108" s="5">
        <v>35700</v>
      </c>
      <c r="N108" s="5">
        <v>4450</v>
      </c>
      <c r="O108" s="5">
        <v>6300</v>
      </c>
      <c r="P108" s="5">
        <v>9000</v>
      </c>
      <c r="Q108" s="5">
        <v>56650</v>
      </c>
      <c r="R108" t="s">
        <v>141</v>
      </c>
      <c r="S108" t="s">
        <v>76</v>
      </c>
      <c r="T108" s="5">
        <v>9700</v>
      </c>
      <c r="U108" s="6">
        <v>4</v>
      </c>
      <c r="V108" t="s">
        <v>77</v>
      </c>
      <c r="W108" s="4">
        <v>46133</v>
      </c>
      <c r="X108" t="s">
        <v>77</v>
      </c>
      <c r="Y108" t="s">
        <v>64</v>
      </c>
      <c r="Z108" t="s">
        <v>78</v>
      </c>
    </row>
    <row r="109" spans="1:26">
      <c r="A109" t="s">
        <v>424</v>
      </c>
      <c r="B109" t="s">
        <v>425</v>
      </c>
      <c r="C109" s="4">
        <v>46119</v>
      </c>
      <c r="D109" t="s">
        <v>69</v>
      </c>
      <c r="E109" t="s">
        <v>70</v>
      </c>
      <c r="F109" s="4">
        <v>46120</v>
      </c>
      <c r="G109" s="4">
        <v>46123</v>
      </c>
      <c r="H109" t="s">
        <v>111</v>
      </c>
      <c r="I109" t="s">
        <v>112</v>
      </c>
      <c r="J109" t="s">
        <v>113</v>
      </c>
      <c r="K109" t="s">
        <v>124</v>
      </c>
      <c r="L109" t="s">
        <v>146</v>
      </c>
      <c r="M109" s="5">
        <v>28000</v>
      </c>
      <c r="N109" s="5">
        <v>3150</v>
      </c>
      <c r="O109" s="5">
        <v>3950</v>
      </c>
      <c r="P109" s="5">
        <v>7500</v>
      </c>
      <c r="Q109" s="5">
        <v>43400</v>
      </c>
      <c r="R109" t="s">
        <v>141</v>
      </c>
      <c r="S109" t="s">
        <v>163</v>
      </c>
      <c r="T109" s="5">
        <v>7710</v>
      </c>
      <c r="U109" s="6">
        <v>3</v>
      </c>
      <c r="V109" t="s">
        <v>64</v>
      </c>
      <c r="W109" s="4"/>
      <c r="X109" t="s">
        <v>65</v>
      </c>
      <c r="Y109" t="s">
        <v>64</v>
      </c>
      <c r="Z109" t="s">
        <v>78</v>
      </c>
    </row>
    <row r="110" spans="1:26">
      <c r="A110" t="s">
        <v>426</v>
      </c>
      <c r="B110" t="s">
        <v>427</v>
      </c>
      <c r="C110" s="4">
        <v>46079</v>
      </c>
      <c r="D110" t="s">
        <v>242</v>
      </c>
      <c r="E110" t="s">
        <v>70</v>
      </c>
      <c r="F110" s="4">
        <v>46079</v>
      </c>
      <c r="G110" s="4">
        <v>46079</v>
      </c>
      <c r="H110" t="s">
        <v>150</v>
      </c>
      <c r="I110" t="s">
        <v>247</v>
      </c>
      <c r="J110" t="s">
        <v>152</v>
      </c>
      <c r="K110" t="s">
        <v>60</v>
      </c>
      <c r="L110" t="s">
        <v>94</v>
      </c>
      <c r="M110" s="5">
        <v>29100</v>
      </c>
      <c r="N110" s="5">
        <v>2750</v>
      </c>
      <c r="O110" s="5">
        <v>3800</v>
      </c>
      <c r="P110" s="5">
        <v>0</v>
      </c>
      <c r="Q110" s="5">
        <v>36650</v>
      </c>
      <c r="R110" t="s">
        <v>75</v>
      </c>
      <c r="S110" t="s">
        <v>76</v>
      </c>
      <c r="T110" s="5">
        <v>16790</v>
      </c>
      <c r="U110" s="6">
        <v>5</v>
      </c>
      <c r="V110" t="s">
        <v>64</v>
      </c>
      <c r="W110" s="4"/>
      <c r="X110" t="s">
        <v>65</v>
      </c>
      <c r="Y110" t="s">
        <v>64</v>
      </c>
      <c r="Z110" t="s">
        <v>78</v>
      </c>
    </row>
    <row r="111" spans="1:26">
      <c r="A111" t="s">
        <v>428</v>
      </c>
      <c r="B111" t="s">
        <v>429</v>
      </c>
      <c r="C111" s="4">
        <v>46100</v>
      </c>
      <c r="D111" t="s">
        <v>55</v>
      </c>
      <c r="E111" t="s">
        <v>177</v>
      </c>
      <c r="F111" s="4"/>
      <c r="G111" s="4"/>
      <c r="H111" t="s">
        <v>121</v>
      </c>
      <c r="I111" t="s">
        <v>334</v>
      </c>
      <c r="J111" t="s">
        <v>123</v>
      </c>
      <c r="K111" t="s">
        <v>60</v>
      </c>
      <c r="L111" t="s">
        <v>94</v>
      </c>
      <c r="M111" s="5"/>
      <c r="N111" s="5"/>
      <c r="O111" s="5"/>
      <c r="P111" s="5"/>
      <c r="Q111" s="5"/>
      <c r="R111" t="s">
        <v>85</v>
      </c>
      <c r="S111" t="s">
        <v>63</v>
      </c>
      <c r="T111" s="5"/>
      <c r="U111" s="6"/>
      <c r="V111" t="s">
        <v>64</v>
      </c>
      <c r="W111" s="4"/>
      <c r="X111" t="s">
        <v>65</v>
      </c>
      <c r="Z111" t="s">
        <v>66</v>
      </c>
    </row>
    <row r="112" spans="1:26">
      <c r="A112" t="s">
        <v>430</v>
      </c>
      <c r="B112" t="s">
        <v>431</v>
      </c>
      <c r="C112" s="4">
        <v>46124</v>
      </c>
      <c r="D112" t="s">
        <v>432</v>
      </c>
      <c r="E112" t="s">
        <v>70</v>
      </c>
      <c r="F112" s="4">
        <v>46124</v>
      </c>
      <c r="G112" s="4">
        <v>46125</v>
      </c>
      <c r="H112" t="s">
        <v>201</v>
      </c>
      <c r="I112" t="s">
        <v>327</v>
      </c>
      <c r="J112" t="s">
        <v>281</v>
      </c>
      <c r="K112" t="s">
        <v>124</v>
      </c>
      <c r="L112" t="s">
        <v>74</v>
      </c>
      <c r="M112" s="5">
        <v>7900</v>
      </c>
      <c r="N112" s="5">
        <v>1250</v>
      </c>
      <c r="O112" s="5">
        <v>800</v>
      </c>
      <c r="P112" s="5">
        <v>4500</v>
      </c>
      <c r="Q112" s="5">
        <v>15450</v>
      </c>
      <c r="R112" t="s">
        <v>141</v>
      </c>
      <c r="S112" t="s">
        <v>76</v>
      </c>
      <c r="T112" s="5">
        <v>3520</v>
      </c>
      <c r="U112" s="6">
        <v>5</v>
      </c>
      <c r="V112" t="s">
        <v>64</v>
      </c>
      <c r="W112" s="4"/>
      <c r="X112" t="s">
        <v>65</v>
      </c>
      <c r="Y112" t="s">
        <v>64</v>
      </c>
      <c r="Z112" t="s">
        <v>78</v>
      </c>
    </row>
    <row r="113" spans="1:26">
      <c r="A113" t="s">
        <v>433</v>
      </c>
      <c r="B113" t="s">
        <v>434</v>
      </c>
      <c r="C113" s="4">
        <v>46041</v>
      </c>
      <c r="D113" t="s">
        <v>302</v>
      </c>
      <c r="E113" t="s">
        <v>70</v>
      </c>
      <c r="F113" s="4">
        <v>46041</v>
      </c>
      <c r="G113" s="4">
        <v>46041</v>
      </c>
      <c r="H113" t="s">
        <v>103</v>
      </c>
      <c r="I113" t="s">
        <v>207</v>
      </c>
      <c r="J113" t="s">
        <v>145</v>
      </c>
      <c r="K113" t="s">
        <v>60</v>
      </c>
      <c r="L113" t="s">
        <v>94</v>
      </c>
      <c r="M113" s="5">
        <v>25800</v>
      </c>
      <c r="N113" s="5">
        <v>4450</v>
      </c>
      <c r="O113" s="5">
        <v>6200</v>
      </c>
      <c r="P113" s="5">
        <v>0</v>
      </c>
      <c r="Q113" s="5">
        <v>37950</v>
      </c>
      <c r="R113" t="s">
        <v>134</v>
      </c>
      <c r="S113" t="s">
        <v>76</v>
      </c>
      <c r="T113" s="5">
        <v>21070</v>
      </c>
      <c r="U113" s="6">
        <v>5</v>
      </c>
      <c r="V113" t="s">
        <v>64</v>
      </c>
      <c r="W113" s="4"/>
      <c r="X113" t="s">
        <v>65</v>
      </c>
      <c r="Y113" t="s">
        <v>64</v>
      </c>
      <c r="Z113" t="s">
        <v>107</v>
      </c>
    </row>
    <row r="114" spans="1:26">
      <c r="A114" t="s">
        <v>435</v>
      </c>
      <c r="B114" t="s">
        <v>333</v>
      </c>
      <c r="C114" s="4">
        <v>46088</v>
      </c>
      <c r="D114" t="s">
        <v>89</v>
      </c>
      <c r="E114" t="s">
        <v>70</v>
      </c>
      <c r="F114" s="4">
        <v>46089</v>
      </c>
      <c r="G114" s="4">
        <v>46090</v>
      </c>
      <c r="H114" t="s">
        <v>82</v>
      </c>
      <c r="I114" t="s">
        <v>155</v>
      </c>
      <c r="J114" t="s">
        <v>291</v>
      </c>
      <c r="K114" t="s">
        <v>60</v>
      </c>
      <c r="L114" t="s">
        <v>61</v>
      </c>
      <c r="M114" s="5">
        <v>39100</v>
      </c>
      <c r="N114" s="5">
        <v>4100</v>
      </c>
      <c r="O114" s="5">
        <v>4100</v>
      </c>
      <c r="P114" s="5">
        <v>3500</v>
      </c>
      <c r="Q114" s="5">
        <v>53300</v>
      </c>
      <c r="R114" t="s">
        <v>85</v>
      </c>
      <c r="S114" t="s">
        <v>76</v>
      </c>
      <c r="T114" s="5">
        <v>14220</v>
      </c>
      <c r="U114" s="6">
        <v>5</v>
      </c>
      <c r="V114" t="s">
        <v>64</v>
      </c>
      <c r="W114" s="4"/>
      <c r="X114" t="s">
        <v>65</v>
      </c>
      <c r="Y114" t="s">
        <v>64</v>
      </c>
      <c r="Z114" t="s">
        <v>436</v>
      </c>
    </row>
    <row r="115" spans="1:26">
      <c r="A115" t="s">
        <v>437</v>
      </c>
      <c r="B115" t="s">
        <v>438</v>
      </c>
      <c r="C115" s="4">
        <v>46121</v>
      </c>
      <c r="D115" t="s">
        <v>439</v>
      </c>
      <c r="E115" t="s">
        <v>70</v>
      </c>
      <c r="F115" s="4">
        <v>46122</v>
      </c>
      <c r="G115" s="4">
        <v>46123</v>
      </c>
      <c r="H115" t="s">
        <v>90</v>
      </c>
      <c r="I115" t="s">
        <v>388</v>
      </c>
      <c r="J115" t="s">
        <v>197</v>
      </c>
      <c r="K115" t="s">
        <v>60</v>
      </c>
      <c r="L115" t="s">
        <v>74</v>
      </c>
      <c r="M115" s="5">
        <v>19400</v>
      </c>
      <c r="N115" s="5">
        <v>2300</v>
      </c>
      <c r="O115" s="5">
        <v>2850</v>
      </c>
      <c r="P115" s="5">
        <v>4500</v>
      </c>
      <c r="Q115" s="5">
        <v>30550</v>
      </c>
      <c r="R115" t="s">
        <v>95</v>
      </c>
      <c r="S115" t="s">
        <v>63</v>
      </c>
      <c r="T115" s="5">
        <v>30550</v>
      </c>
      <c r="U115" s="6">
        <v>4</v>
      </c>
      <c r="V115" t="s">
        <v>64</v>
      </c>
      <c r="W115" s="4"/>
      <c r="X115" t="s">
        <v>65</v>
      </c>
      <c r="Y115" t="s">
        <v>64</v>
      </c>
      <c r="Z115" t="s">
        <v>107</v>
      </c>
    </row>
    <row r="116" spans="1:26">
      <c r="A116" t="s">
        <v>440</v>
      </c>
      <c r="B116" t="s">
        <v>441</v>
      </c>
      <c r="C116" s="4">
        <v>46066</v>
      </c>
      <c r="D116" t="s">
        <v>132</v>
      </c>
      <c r="E116" t="s">
        <v>70</v>
      </c>
      <c r="F116" s="4">
        <v>46067</v>
      </c>
      <c r="G116" s="4">
        <v>46073</v>
      </c>
      <c r="H116" t="s">
        <v>57</v>
      </c>
      <c r="I116" t="s">
        <v>100</v>
      </c>
      <c r="J116" t="s">
        <v>59</v>
      </c>
      <c r="K116" t="s">
        <v>124</v>
      </c>
      <c r="L116" t="s">
        <v>74</v>
      </c>
      <c r="M116" s="5">
        <v>57900</v>
      </c>
      <c r="N116" s="5">
        <v>5600</v>
      </c>
      <c r="O116" s="5">
        <v>9050</v>
      </c>
      <c r="P116" s="5">
        <v>18000</v>
      </c>
      <c r="Q116" s="5">
        <v>92550</v>
      </c>
      <c r="R116" t="s">
        <v>75</v>
      </c>
      <c r="S116" t="s">
        <v>76</v>
      </c>
      <c r="T116" s="5">
        <v>41950</v>
      </c>
      <c r="U116" s="6">
        <v>4</v>
      </c>
      <c r="V116" t="s">
        <v>64</v>
      </c>
      <c r="W116" s="4"/>
      <c r="X116" t="s">
        <v>65</v>
      </c>
      <c r="Y116" t="s">
        <v>64</v>
      </c>
      <c r="Z116" t="s">
        <v>107</v>
      </c>
    </row>
    <row r="117" spans="1:26">
      <c r="A117" t="s">
        <v>442</v>
      </c>
      <c r="B117" t="s">
        <v>443</v>
      </c>
      <c r="C117" s="4">
        <v>46050</v>
      </c>
      <c r="D117" t="s">
        <v>217</v>
      </c>
      <c r="E117" t="s">
        <v>70</v>
      </c>
      <c r="F117" s="4">
        <v>46050</v>
      </c>
      <c r="G117" s="4">
        <v>46050</v>
      </c>
      <c r="H117" t="s">
        <v>138</v>
      </c>
      <c r="I117" t="s">
        <v>444</v>
      </c>
      <c r="J117" t="s">
        <v>261</v>
      </c>
      <c r="K117" t="s">
        <v>60</v>
      </c>
      <c r="L117" t="s">
        <v>61</v>
      </c>
      <c r="M117" s="5">
        <v>6200</v>
      </c>
      <c r="N117" s="5">
        <v>500</v>
      </c>
      <c r="O117" s="5">
        <v>850</v>
      </c>
      <c r="P117" s="5">
        <v>0</v>
      </c>
      <c r="Q117" s="5">
        <v>9050</v>
      </c>
      <c r="R117" t="s">
        <v>134</v>
      </c>
      <c r="S117" t="s">
        <v>76</v>
      </c>
      <c r="T117" s="5">
        <v>5180</v>
      </c>
      <c r="U117" s="6">
        <v>4</v>
      </c>
      <c r="V117" t="s">
        <v>64</v>
      </c>
      <c r="W117" s="4"/>
      <c r="X117" t="s">
        <v>65</v>
      </c>
      <c r="Y117" t="s">
        <v>77</v>
      </c>
      <c r="Z117" t="s">
        <v>96</v>
      </c>
    </row>
    <row r="118" spans="1:26">
      <c r="A118" t="s">
        <v>445</v>
      </c>
      <c r="B118" t="s">
        <v>446</v>
      </c>
      <c r="C118" s="4">
        <v>46132</v>
      </c>
      <c r="D118" t="s">
        <v>149</v>
      </c>
      <c r="E118" t="s">
        <v>70</v>
      </c>
      <c r="F118" s="4">
        <v>46132</v>
      </c>
      <c r="G118" s="4">
        <v>46133</v>
      </c>
      <c r="H118" t="s">
        <v>138</v>
      </c>
      <c r="I118" t="s">
        <v>352</v>
      </c>
      <c r="J118" t="s">
        <v>140</v>
      </c>
      <c r="K118" t="s">
        <v>60</v>
      </c>
      <c r="L118" t="s">
        <v>74</v>
      </c>
      <c r="M118" s="5">
        <v>16200</v>
      </c>
      <c r="N118" s="5">
        <v>1900</v>
      </c>
      <c r="O118" s="5">
        <v>1750</v>
      </c>
      <c r="P118" s="5">
        <v>3500</v>
      </c>
      <c r="Q118" s="5">
        <v>25150</v>
      </c>
      <c r="R118" t="s">
        <v>95</v>
      </c>
      <c r="S118" t="s">
        <v>63</v>
      </c>
      <c r="T118" s="5">
        <v>25150</v>
      </c>
      <c r="U118" s="6">
        <v>4</v>
      </c>
      <c r="V118" t="s">
        <v>64</v>
      </c>
      <c r="W118" s="4"/>
      <c r="X118" t="s">
        <v>65</v>
      </c>
      <c r="Y118" t="s">
        <v>77</v>
      </c>
      <c r="Z118" t="s">
        <v>107</v>
      </c>
    </row>
    <row r="119" spans="1:26">
      <c r="A119" t="s">
        <v>447</v>
      </c>
      <c r="B119" t="s">
        <v>448</v>
      </c>
      <c r="C119" s="4">
        <v>46117</v>
      </c>
      <c r="D119" t="s">
        <v>266</v>
      </c>
      <c r="E119" t="s">
        <v>70</v>
      </c>
      <c r="F119" s="4">
        <v>46117</v>
      </c>
      <c r="G119" s="4">
        <v>46120</v>
      </c>
      <c r="H119" t="s">
        <v>201</v>
      </c>
      <c r="I119" t="s">
        <v>449</v>
      </c>
      <c r="J119" t="s">
        <v>281</v>
      </c>
      <c r="K119" t="s">
        <v>124</v>
      </c>
      <c r="L119" t="s">
        <v>94</v>
      </c>
      <c r="M119" s="5">
        <v>5200</v>
      </c>
      <c r="N119" s="5">
        <v>850</v>
      </c>
      <c r="O119" s="5">
        <v>750</v>
      </c>
      <c r="P119" s="5">
        <v>13500</v>
      </c>
      <c r="Q119" s="5">
        <v>21100</v>
      </c>
      <c r="R119" t="s">
        <v>106</v>
      </c>
      <c r="S119" t="s">
        <v>76</v>
      </c>
      <c r="T119" s="5">
        <v>8080</v>
      </c>
      <c r="U119" s="6">
        <v>4</v>
      </c>
      <c r="V119" t="s">
        <v>64</v>
      </c>
      <c r="W119" s="4"/>
      <c r="X119" t="s">
        <v>65</v>
      </c>
      <c r="Y119" t="s">
        <v>64</v>
      </c>
      <c r="Z119" t="s">
        <v>436</v>
      </c>
    </row>
    <row r="120" spans="1:26">
      <c r="A120" t="s">
        <v>450</v>
      </c>
      <c r="B120" t="s">
        <v>451</v>
      </c>
      <c r="C120" s="4">
        <v>46072</v>
      </c>
      <c r="D120" t="s">
        <v>217</v>
      </c>
      <c r="E120" t="s">
        <v>70</v>
      </c>
      <c r="F120" s="4">
        <v>46073</v>
      </c>
      <c r="G120" s="4">
        <v>46079</v>
      </c>
      <c r="H120" t="s">
        <v>103</v>
      </c>
      <c r="I120" t="s">
        <v>364</v>
      </c>
      <c r="J120" t="s">
        <v>105</v>
      </c>
      <c r="K120" t="s">
        <v>124</v>
      </c>
      <c r="L120" t="s">
        <v>74</v>
      </c>
      <c r="M120" s="5">
        <v>70500</v>
      </c>
      <c r="N120" s="5">
        <v>9050</v>
      </c>
      <c r="O120" s="5">
        <v>12750</v>
      </c>
      <c r="P120" s="5">
        <v>18000</v>
      </c>
      <c r="Q120" s="5">
        <v>111100</v>
      </c>
      <c r="R120" t="s">
        <v>75</v>
      </c>
      <c r="S120" t="s">
        <v>76</v>
      </c>
      <c r="T120" s="5">
        <v>50290</v>
      </c>
      <c r="U120" s="6">
        <v>3</v>
      </c>
      <c r="V120" t="s">
        <v>77</v>
      </c>
      <c r="W120" s="4">
        <v>46087</v>
      </c>
      <c r="X120" t="s">
        <v>77</v>
      </c>
      <c r="Y120" t="s">
        <v>64</v>
      </c>
      <c r="Z120" t="s">
        <v>436</v>
      </c>
    </row>
    <row r="121" spans="1:26">
      <c r="A121" t="s">
        <v>452</v>
      </c>
      <c r="B121" t="s">
        <v>453</v>
      </c>
      <c r="C121" s="4">
        <v>46054</v>
      </c>
      <c r="D121" t="s">
        <v>110</v>
      </c>
      <c r="E121" t="s">
        <v>70</v>
      </c>
      <c r="F121" s="4">
        <v>46054</v>
      </c>
      <c r="G121" s="4">
        <v>46057</v>
      </c>
      <c r="H121" t="s">
        <v>57</v>
      </c>
      <c r="I121" t="s">
        <v>169</v>
      </c>
      <c r="J121" t="s">
        <v>59</v>
      </c>
      <c r="K121" t="s">
        <v>124</v>
      </c>
      <c r="L121" t="s">
        <v>94</v>
      </c>
      <c r="M121" s="5">
        <v>51000</v>
      </c>
      <c r="N121" s="5">
        <v>6050</v>
      </c>
      <c r="O121" s="5">
        <v>10000</v>
      </c>
      <c r="P121" s="5">
        <v>18000</v>
      </c>
      <c r="Q121" s="5">
        <v>85850</v>
      </c>
      <c r="R121" t="s">
        <v>134</v>
      </c>
      <c r="S121" t="s">
        <v>76</v>
      </c>
      <c r="T121" s="5">
        <v>47420</v>
      </c>
      <c r="U121" s="6">
        <v>2</v>
      </c>
      <c r="V121" t="s">
        <v>77</v>
      </c>
      <c r="W121" s="4">
        <v>46068</v>
      </c>
      <c r="X121" t="s">
        <v>77</v>
      </c>
      <c r="Y121" t="s">
        <v>77</v>
      </c>
      <c r="Z121" t="s">
        <v>78</v>
      </c>
    </row>
    <row r="122" spans="1:26">
      <c r="A122" t="s">
        <v>454</v>
      </c>
      <c r="B122" t="s">
        <v>455</v>
      </c>
      <c r="C122" s="4">
        <v>46170</v>
      </c>
      <c r="D122" t="s">
        <v>120</v>
      </c>
      <c r="E122" t="s">
        <v>70</v>
      </c>
      <c r="F122" s="4">
        <v>46171</v>
      </c>
      <c r="G122" s="4">
        <v>46177</v>
      </c>
      <c r="H122" t="s">
        <v>150</v>
      </c>
      <c r="I122" t="s">
        <v>228</v>
      </c>
      <c r="J122" t="s">
        <v>188</v>
      </c>
      <c r="K122" t="s">
        <v>73</v>
      </c>
      <c r="L122" t="s">
        <v>94</v>
      </c>
      <c r="M122" s="5">
        <v>109800</v>
      </c>
      <c r="N122" s="5">
        <v>19050</v>
      </c>
      <c r="O122" s="5">
        <v>13050</v>
      </c>
      <c r="P122" s="5">
        <v>36000</v>
      </c>
      <c r="Q122" s="5">
        <v>179400</v>
      </c>
      <c r="R122" t="s">
        <v>85</v>
      </c>
      <c r="S122" t="s">
        <v>76</v>
      </c>
      <c r="T122" s="5">
        <v>45750</v>
      </c>
      <c r="U122" s="6">
        <v>4</v>
      </c>
      <c r="V122" t="s">
        <v>77</v>
      </c>
      <c r="W122" s="4">
        <v>46197</v>
      </c>
      <c r="X122" t="s">
        <v>77</v>
      </c>
      <c r="Y122" t="s">
        <v>64</v>
      </c>
      <c r="Z122" t="s">
        <v>78</v>
      </c>
    </row>
    <row r="123" spans="1:26">
      <c r="A123" t="s">
        <v>456</v>
      </c>
      <c r="B123" t="s">
        <v>457</v>
      </c>
      <c r="C123" s="4">
        <v>46151</v>
      </c>
      <c r="D123" t="s">
        <v>294</v>
      </c>
      <c r="E123" t="s">
        <v>177</v>
      </c>
      <c r="F123" s="4"/>
      <c r="G123" s="4"/>
      <c r="H123" t="s">
        <v>103</v>
      </c>
      <c r="I123" t="s">
        <v>364</v>
      </c>
      <c r="J123" t="s">
        <v>244</v>
      </c>
      <c r="K123" t="s">
        <v>124</v>
      </c>
      <c r="L123" t="s">
        <v>74</v>
      </c>
      <c r="M123" s="5"/>
      <c r="N123" s="5"/>
      <c r="O123" s="5"/>
      <c r="P123" s="5"/>
      <c r="Q123" s="5"/>
      <c r="R123" t="s">
        <v>134</v>
      </c>
      <c r="S123" t="s">
        <v>63</v>
      </c>
      <c r="T123" s="5"/>
      <c r="U123" s="6"/>
      <c r="V123" t="s">
        <v>64</v>
      </c>
      <c r="W123" s="4"/>
      <c r="X123" t="s">
        <v>65</v>
      </c>
      <c r="Z123" t="s">
        <v>66</v>
      </c>
    </row>
    <row r="124" spans="1:26">
      <c r="A124" t="s">
        <v>458</v>
      </c>
      <c r="B124" t="s">
        <v>459</v>
      </c>
      <c r="C124" s="4">
        <v>46119</v>
      </c>
      <c r="D124" t="s">
        <v>120</v>
      </c>
      <c r="E124" t="s">
        <v>70</v>
      </c>
      <c r="F124" s="4">
        <v>46119</v>
      </c>
      <c r="G124" s="4">
        <v>46125</v>
      </c>
      <c r="H124" t="s">
        <v>178</v>
      </c>
      <c r="I124" t="s">
        <v>415</v>
      </c>
      <c r="J124" t="s">
        <v>340</v>
      </c>
      <c r="K124" t="s">
        <v>73</v>
      </c>
      <c r="L124" t="s">
        <v>146</v>
      </c>
      <c r="M124" s="5">
        <v>68200</v>
      </c>
      <c r="N124" s="5">
        <v>8800</v>
      </c>
      <c r="O124" s="5">
        <v>10850</v>
      </c>
      <c r="P124" s="5">
        <v>18000</v>
      </c>
      <c r="Q124" s="5">
        <v>106650</v>
      </c>
      <c r="R124" t="s">
        <v>134</v>
      </c>
      <c r="S124" t="s">
        <v>76</v>
      </c>
      <c r="T124" s="5">
        <v>58860</v>
      </c>
      <c r="U124" s="6">
        <v>5</v>
      </c>
      <c r="V124" t="s">
        <v>77</v>
      </c>
      <c r="W124" s="4">
        <v>46142</v>
      </c>
      <c r="X124" t="s">
        <v>77</v>
      </c>
      <c r="Y124" t="s">
        <v>64</v>
      </c>
      <c r="Z124" t="s">
        <v>78</v>
      </c>
    </row>
    <row r="125" spans="1:26">
      <c r="A125" t="s">
        <v>460</v>
      </c>
      <c r="B125" t="s">
        <v>461</v>
      </c>
      <c r="C125" s="4">
        <v>46105</v>
      </c>
      <c r="D125" t="s">
        <v>173</v>
      </c>
      <c r="E125" t="s">
        <v>314</v>
      </c>
      <c r="F125" s="4"/>
      <c r="G125" s="4"/>
      <c r="H125" t="s">
        <v>178</v>
      </c>
      <c r="I125" t="s">
        <v>462</v>
      </c>
      <c r="J125" t="s">
        <v>180</v>
      </c>
      <c r="K125" t="s">
        <v>93</v>
      </c>
      <c r="L125" t="s">
        <v>61</v>
      </c>
      <c r="M125" s="5"/>
      <c r="N125" s="5"/>
      <c r="O125" s="5"/>
      <c r="P125" s="5"/>
      <c r="Q125" s="5"/>
      <c r="R125" t="s">
        <v>62</v>
      </c>
      <c r="S125" t="s">
        <v>63</v>
      </c>
      <c r="T125" s="5"/>
      <c r="U125" s="6"/>
      <c r="V125" t="s">
        <v>64</v>
      </c>
      <c r="W125" s="4"/>
      <c r="X125" t="s">
        <v>65</v>
      </c>
      <c r="Z125" t="s">
        <v>66</v>
      </c>
    </row>
    <row r="126" spans="1:26">
      <c r="A126" t="s">
        <v>463</v>
      </c>
      <c r="B126" t="s">
        <v>464</v>
      </c>
      <c r="C126" s="4">
        <v>46076</v>
      </c>
      <c r="D126" t="s">
        <v>127</v>
      </c>
      <c r="E126" t="s">
        <v>70</v>
      </c>
      <c r="F126" s="4">
        <v>46076</v>
      </c>
      <c r="G126" s="4">
        <v>46077</v>
      </c>
      <c r="H126" t="s">
        <v>90</v>
      </c>
      <c r="I126" t="s">
        <v>91</v>
      </c>
      <c r="J126" t="s">
        <v>129</v>
      </c>
      <c r="K126" t="s">
        <v>60</v>
      </c>
      <c r="L126" t="s">
        <v>94</v>
      </c>
      <c r="M126" s="5">
        <v>29400</v>
      </c>
      <c r="N126" s="5">
        <v>5150</v>
      </c>
      <c r="O126" s="5">
        <v>4800</v>
      </c>
      <c r="P126" s="5">
        <v>3000</v>
      </c>
      <c r="Q126" s="5">
        <v>43550</v>
      </c>
      <c r="R126" t="s">
        <v>62</v>
      </c>
      <c r="S126" t="s">
        <v>76</v>
      </c>
      <c r="T126" s="5">
        <v>13470</v>
      </c>
      <c r="U126" s="6">
        <v>5</v>
      </c>
      <c r="V126" t="s">
        <v>77</v>
      </c>
      <c r="W126" s="4">
        <v>46084</v>
      </c>
      <c r="X126" t="s">
        <v>77</v>
      </c>
      <c r="Y126" t="s">
        <v>64</v>
      </c>
      <c r="Z126" t="s">
        <v>436</v>
      </c>
    </row>
    <row r="127" spans="1:26">
      <c r="A127" t="s">
        <v>465</v>
      </c>
      <c r="B127" t="s">
        <v>466</v>
      </c>
      <c r="C127" s="4">
        <v>46067</v>
      </c>
      <c r="D127" t="s">
        <v>439</v>
      </c>
      <c r="E127" t="s">
        <v>70</v>
      </c>
      <c r="F127" s="4">
        <v>46067</v>
      </c>
      <c r="G127" s="4">
        <v>46069</v>
      </c>
      <c r="H127" t="s">
        <v>111</v>
      </c>
      <c r="I127" t="s">
        <v>355</v>
      </c>
      <c r="J127" t="s">
        <v>113</v>
      </c>
      <c r="K127" t="s">
        <v>124</v>
      </c>
      <c r="L127" t="s">
        <v>94</v>
      </c>
      <c r="M127" s="5">
        <v>18700</v>
      </c>
      <c r="N127" s="5">
        <v>1700</v>
      </c>
      <c r="O127" s="5">
        <v>2200</v>
      </c>
      <c r="P127" s="5">
        <v>12000</v>
      </c>
      <c r="Q127" s="5">
        <v>36100</v>
      </c>
      <c r="R127" t="s">
        <v>75</v>
      </c>
      <c r="S127" t="s">
        <v>76</v>
      </c>
      <c r="T127" s="5">
        <v>16540</v>
      </c>
      <c r="U127" s="6">
        <v>4</v>
      </c>
      <c r="V127" t="s">
        <v>64</v>
      </c>
      <c r="W127" s="4"/>
      <c r="X127" t="s">
        <v>65</v>
      </c>
      <c r="Y127" t="s">
        <v>64</v>
      </c>
      <c r="Z127" t="s">
        <v>96</v>
      </c>
    </row>
    <row r="128" spans="1:26">
      <c r="A128" t="s">
        <v>467</v>
      </c>
      <c r="B128" t="s">
        <v>468</v>
      </c>
      <c r="C128" s="4">
        <v>46039</v>
      </c>
      <c r="D128" t="s">
        <v>469</v>
      </c>
      <c r="E128" t="s">
        <v>70</v>
      </c>
      <c r="F128" s="4">
        <v>46040</v>
      </c>
      <c r="G128" s="4">
        <v>46045</v>
      </c>
      <c r="H128" t="s">
        <v>90</v>
      </c>
      <c r="I128" t="s">
        <v>162</v>
      </c>
      <c r="J128" t="s">
        <v>129</v>
      </c>
      <c r="K128" t="s">
        <v>124</v>
      </c>
      <c r="L128" t="s">
        <v>74</v>
      </c>
      <c r="M128" s="5">
        <v>41600</v>
      </c>
      <c r="N128" s="5">
        <v>6750</v>
      </c>
      <c r="O128" s="5">
        <v>8250</v>
      </c>
      <c r="P128" s="5">
        <v>15000</v>
      </c>
      <c r="Q128" s="5">
        <v>72800</v>
      </c>
      <c r="R128" t="s">
        <v>134</v>
      </c>
      <c r="S128" t="s">
        <v>86</v>
      </c>
      <c r="T128" s="5">
        <v>40240</v>
      </c>
      <c r="U128" s="6">
        <v>3</v>
      </c>
      <c r="V128" t="s">
        <v>77</v>
      </c>
      <c r="W128" s="4">
        <v>46061</v>
      </c>
      <c r="X128" t="s">
        <v>77</v>
      </c>
      <c r="Y128" t="s">
        <v>77</v>
      </c>
      <c r="Z128" t="s">
        <v>96</v>
      </c>
    </row>
    <row r="129" spans="1:26">
      <c r="A129" t="s">
        <v>470</v>
      </c>
      <c r="B129" t="s">
        <v>471</v>
      </c>
      <c r="C129" s="4">
        <v>46044</v>
      </c>
      <c r="D129" t="s">
        <v>294</v>
      </c>
      <c r="E129" t="s">
        <v>70</v>
      </c>
      <c r="F129" s="4">
        <v>46044</v>
      </c>
      <c r="G129" s="4">
        <v>46051</v>
      </c>
      <c r="H129" t="s">
        <v>82</v>
      </c>
      <c r="I129" t="s">
        <v>194</v>
      </c>
      <c r="J129" t="s">
        <v>156</v>
      </c>
      <c r="K129" t="s">
        <v>73</v>
      </c>
      <c r="L129" t="s">
        <v>74</v>
      </c>
      <c r="M129" s="5">
        <v>94000</v>
      </c>
      <c r="N129" s="5">
        <v>10300</v>
      </c>
      <c r="O129" s="5">
        <v>16950</v>
      </c>
      <c r="P129" s="5">
        <v>21000</v>
      </c>
      <c r="Q129" s="5">
        <v>144050</v>
      </c>
      <c r="R129" t="s">
        <v>85</v>
      </c>
      <c r="S129" t="s">
        <v>76</v>
      </c>
      <c r="T129" s="5">
        <v>36910</v>
      </c>
      <c r="U129" s="6">
        <v>3</v>
      </c>
      <c r="V129" t="s">
        <v>77</v>
      </c>
      <c r="W129" s="4">
        <v>46063</v>
      </c>
      <c r="X129" t="s">
        <v>77</v>
      </c>
      <c r="Y129" t="s">
        <v>64</v>
      </c>
      <c r="Z129" t="s">
        <v>96</v>
      </c>
    </row>
    <row r="130" spans="1:26">
      <c r="A130" t="s">
        <v>472</v>
      </c>
      <c r="B130" t="s">
        <v>459</v>
      </c>
      <c r="C130" s="4">
        <v>46164</v>
      </c>
      <c r="D130" t="s">
        <v>210</v>
      </c>
      <c r="E130" t="s">
        <v>70</v>
      </c>
      <c r="F130" s="4">
        <v>46164</v>
      </c>
      <c r="G130" s="4">
        <v>46166</v>
      </c>
      <c r="H130" t="s">
        <v>201</v>
      </c>
      <c r="I130" t="s">
        <v>280</v>
      </c>
      <c r="J130" t="s">
        <v>281</v>
      </c>
      <c r="K130" t="s">
        <v>124</v>
      </c>
      <c r="L130" t="s">
        <v>74</v>
      </c>
      <c r="M130" s="5">
        <v>7200</v>
      </c>
      <c r="N130" s="5">
        <v>1250</v>
      </c>
      <c r="O130" s="5">
        <v>1150</v>
      </c>
      <c r="P130" s="5">
        <v>5000</v>
      </c>
      <c r="Q130" s="5">
        <v>15600</v>
      </c>
      <c r="R130" t="s">
        <v>62</v>
      </c>
      <c r="S130" t="s">
        <v>76</v>
      </c>
      <c r="T130" s="5">
        <v>5080</v>
      </c>
      <c r="U130" s="6">
        <v>4</v>
      </c>
      <c r="V130" t="s">
        <v>64</v>
      </c>
      <c r="W130" s="4"/>
      <c r="X130" t="s">
        <v>65</v>
      </c>
      <c r="Y130" t="s">
        <v>64</v>
      </c>
      <c r="Z130" t="s">
        <v>78</v>
      </c>
    </row>
    <row r="131" spans="1:26">
      <c r="A131" t="s">
        <v>473</v>
      </c>
      <c r="B131" t="s">
        <v>474</v>
      </c>
      <c r="C131" s="4">
        <v>46153</v>
      </c>
      <c r="D131" t="s">
        <v>279</v>
      </c>
      <c r="E131" t="s">
        <v>70</v>
      </c>
      <c r="F131" s="4">
        <v>46154</v>
      </c>
      <c r="G131" s="4">
        <v>46154</v>
      </c>
      <c r="H131" t="s">
        <v>57</v>
      </c>
      <c r="I131" t="s">
        <v>169</v>
      </c>
      <c r="J131" t="s">
        <v>170</v>
      </c>
      <c r="K131" t="s">
        <v>60</v>
      </c>
      <c r="L131" t="s">
        <v>146</v>
      </c>
      <c r="M131" s="5">
        <v>47900</v>
      </c>
      <c r="N131" s="5">
        <v>6450</v>
      </c>
      <c r="O131" s="5">
        <v>5250</v>
      </c>
      <c r="P131" s="5">
        <v>0</v>
      </c>
      <c r="Q131" s="5">
        <v>60400</v>
      </c>
      <c r="R131" t="s">
        <v>85</v>
      </c>
      <c r="S131" t="s">
        <v>76</v>
      </c>
      <c r="T131" s="5">
        <v>16000</v>
      </c>
      <c r="U131" s="6"/>
      <c r="V131" t="s">
        <v>77</v>
      </c>
      <c r="W131" s="4">
        <v>46165</v>
      </c>
      <c r="X131" t="s">
        <v>77</v>
      </c>
      <c r="Y131" t="s">
        <v>64</v>
      </c>
      <c r="Z131" t="s">
        <v>96</v>
      </c>
    </row>
    <row r="132" spans="1:26">
      <c r="A132" t="s">
        <v>475</v>
      </c>
      <c r="B132" t="s">
        <v>476</v>
      </c>
      <c r="C132" s="4">
        <v>46101</v>
      </c>
      <c r="D132" t="s">
        <v>242</v>
      </c>
      <c r="E132" t="s">
        <v>70</v>
      </c>
      <c r="F132" s="4">
        <v>46101</v>
      </c>
      <c r="G132" s="4">
        <v>46101</v>
      </c>
      <c r="H132" t="s">
        <v>82</v>
      </c>
      <c r="I132" t="s">
        <v>272</v>
      </c>
      <c r="J132" t="s">
        <v>84</v>
      </c>
      <c r="K132" t="s">
        <v>60</v>
      </c>
      <c r="L132" t="s">
        <v>94</v>
      </c>
      <c r="M132" s="5">
        <v>8600</v>
      </c>
      <c r="N132" s="5">
        <v>1450</v>
      </c>
      <c r="O132" s="5">
        <v>1100</v>
      </c>
      <c r="P132" s="5">
        <v>0</v>
      </c>
      <c r="Q132" s="5">
        <v>12950</v>
      </c>
      <c r="R132" t="s">
        <v>62</v>
      </c>
      <c r="S132" t="s">
        <v>76</v>
      </c>
      <c r="T132" s="5">
        <v>4280</v>
      </c>
      <c r="U132" s="6">
        <v>5</v>
      </c>
      <c r="V132" t="s">
        <v>77</v>
      </c>
      <c r="W132" s="4">
        <v>46119</v>
      </c>
      <c r="Y132" t="s">
        <v>64</v>
      </c>
      <c r="Z132" t="s">
        <v>107</v>
      </c>
    </row>
    <row r="133" spans="1:26">
      <c r="A133" t="s">
        <v>477</v>
      </c>
      <c r="B133" t="s">
        <v>205</v>
      </c>
      <c r="C133" s="4">
        <v>46055</v>
      </c>
      <c r="D133" t="s">
        <v>110</v>
      </c>
      <c r="E133" t="s">
        <v>70</v>
      </c>
      <c r="F133" s="4">
        <v>46055</v>
      </c>
      <c r="G133" s="4">
        <v>46055</v>
      </c>
      <c r="H133" t="s">
        <v>150</v>
      </c>
      <c r="I133" t="s">
        <v>247</v>
      </c>
      <c r="J133" t="s">
        <v>152</v>
      </c>
      <c r="K133" t="s">
        <v>60</v>
      </c>
      <c r="L133" t="s">
        <v>94</v>
      </c>
      <c r="M133" s="5">
        <v>26500</v>
      </c>
      <c r="N133" s="5">
        <v>2600</v>
      </c>
      <c r="O133" s="5">
        <v>6550</v>
      </c>
      <c r="P133" s="5">
        <v>0</v>
      </c>
      <c r="Q133" s="5">
        <v>36650</v>
      </c>
      <c r="R133" t="s">
        <v>95</v>
      </c>
      <c r="S133" t="s">
        <v>63</v>
      </c>
      <c r="T133" s="5">
        <v>36650</v>
      </c>
      <c r="U133" s="6">
        <v>5</v>
      </c>
      <c r="V133" t="s">
        <v>64</v>
      </c>
      <c r="W133" s="4"/>
      <c r="X133" t="s">
        <v>65</v>
      </c>
      <c r="Y133" t="s">
        <v>64</v>
      </c>
      <c r="Z133" t="s">
        <v>78</v>
      </c>
    </row>
    <row r="134" spans="1:26">
      <c r="A134" t="s">
        <v>478</v>
      </c>
      <c r="B134" t="s">
        <v>479</v>
      </c>
      <c r="C134" s="4">
        <v>46103</v>
      </c>
      <c r="D134" t="s">
        <v>81</v>
      </c>
      <c r="E134" t="s">
        <v>70</v>
      </c>
      <c r="F134" s="4">
        <v>46103</v>
      </c>
      <c r="G134" s="4">
        <v>46103</v>
      </c>
      <c r="H134" t="s">
        <v>201</v>
      </c>
      <c r="I134" t="s">
        <v>202</v>
      </c>
      <c r="J134" t="s">
        <v>281</v>
      </c>
      <c r="K134" t="s">
        <v>124</v>
      </c>
      <c r="L134" t="s">
        <v>94</v>
      </c>
      <c r="M134" s="5">
        <v>7600</v>
      </c>
      <c r="N134" s="5">
        <v>1050</v>
      </c>
      <c r="O134" s="5">
        <v>1300</v>
      </c>
      <c r="P134" s="5">
        <v>0</v>
      </c>
      <c r="Q134" s="5">
        <v>12450</v>
      </c>
      <c r="R134" t="s">
        <v>95</v>
      </c>
      <c r="S134" t="s">
        <v>63</v>
      </c>
      <c r="T134" s="5">
        <v>12450</v>
      </c>
      <c r="U134" s="6">
        <v>5</v>
      </c>
      <c r="V134" t="s">
        <v>64</v>
      </c>
      <c r="W134" s="4"/>
      <c r="X134" t="s">
        <v>65</v>
      </c>
      <c r="Y134" t="s">
        <v>64</v>
      </c>
      <c r="Z134" t="s">
        <v>96</v>
      </c>
    </row>
    <row r="135" spans="1:26">
      <c r="A135" t="s">
        <v>480</v>
      </c>
      <c r="B135" t="s">
        <v>481</v>
      </c>
      <c r="C135" s="4">
        <v>46026</v>
      </c>
      <c r="D135" t="s">
        <v>279</v>
      </c>
      <c r="E135" t="s">
        <v>56</v>
      </c>
      <c r="F135" s="4"/>
      <c r="G135" s="4"/>
      <c r="H135" t="s">
        <v>103</v>
      </c>
      <c r="I135" t="s">
        <v>207</v>
      </c>
      <c r="J135" t="s">
        <v>105</v>
      </c>
      <c r="K135" t="s">
        <v>124</v>
      </c>
      <c r="L135" t="s">
        <v>94</v>
      </c>
      <c r="M135" s="5"/>
      <c r="N135" s="5"/>
      <c r="O135" s="5"/>
      <c r="P135" s="5"/>
      <c r="Q135" s="5"/>
      <c r="R135" t="s">
        <v>62</v>
      </c>
      <c r="S135" t="s">
        <v>63</v>
      </c>
      <c r="T135" s="5"/>
      <c r="U135" s="6"/>
      <c r="V135" t="s">
        <v>64</v>
      </c>
      <c r="W135" s="4"/>
      <c r="X135" t="s">
        <v>65</v>
      </c>
      <c r="Z135" t="s">
        <v>66</v>
      </c>
    </row>
    <row r="136" spans="1:26">
      <c r="A136" t="s">
        <v>482</v>
      </c>
      <c r="B136" t="s">
        <v>483</v>
      </c>
      <c r="C136" s="4">
        <v>46158</v>
      </c>
      <c r="D136" t="s">
        <v>173</v>
      </c>
      <c r="E136" t="s">
        <v>70</v>
      </c>
      <c r="F136" s="4">
        <v>46158</v>
      </c>
      <c r="G136" s="4">
        <v>46160</v>
      </c>
      <c r="H136" t="s">
        <v>82</v>
      </c>
      <c r="I136" t="s">
        <v>272</v>
      </c>
      <c r="J136" t="s">
        <v>84</v>
      </c>
      <c r="K136" t="s">
        <v>93</v>
      </c>
      <c r="L136" t="s">
        <v>94</v>
      </c>
      <c r="M136" s="5"/>
      <c r="N136" s="5">
        <v>650</v>
      </c>
      <c r="O136" s="5">
        <v>600</v>
      </c>
      <c r="P136" s="5">
        <v>9000</v>
      </c>
      <c r="Q136" s="5">
        <v>17850</v>
      </c>
      <c r="R136" t="s">
        <v>106</v>
      </c>
      <c r="S136" t="s">
        <v>76</v>
      </c>
      <c r="T136" s="5">
        <v>6950</v>
      </c>
      <c r="U136" s="6">
        <v>3</v>
      </c>
      <c r="V136" t="s">
        <v>77</v>
      </c>
      <c r="W136" s="4">
        <v>46181</v>
      </c>
      <c r="X136" t="s">
        <v>77</v>
      </c>
      <c r="Y136" t="s">
        <v>64</v>
      </c>
      <c r="Z136" t="s">
        <v>78</v>
      </c>
    </row>
    <row r="137" spans="1:26">
      <c r="A137" t="s">
        <v>484</v>
      </c>
      <c r="B137" t="s">
        <v>485</v>
      </c>
      <c r="C137" s="4">
        <v>46154</v>
      </c>
      <c r="D137" t="s">
        <v>234</v>
      </c>
      <c r="E137" t="s">
        <v>56</v>
      </c>
      <c r="F137" s="4"/>
      <c r="G137" s="4"/>
      <c r="H137" t="s">
        <v>111</v>
      </c>
      <c r="I137" t="s">
        <v>355</v>
      </c>
      <c r="J137" t="s">
        <v>117</v>
      </c>
      <c r="K137" t="s">
        <v>60</v>
      </c>
      <c r="L137" t="s">
        <v>61</v>
      </c>
      <c r="M137" s="5"/>
      <c r="N137" s="5"/>
      <c r="O137" s="5"/>
      <c r="P137" s="5"/>
      <c r="Q137" s="5"/>
      <c r="R137" t="s">
        <v>85</v>
      </c>
      <c r="S137" t="s">
        <v>63</v>
      </c>
      <c r="T137" s="5"/>
      <c r="U137" s="6"/>
      <c r="V137" t="s">
        <v>64</v>
      </c>
      <c r="W137" s="4"/>
      <c r="X137" t="s">
        <v>65</v>
      </c>
      <c r="Z137" t="s">
        <v>66</v>
      </c>
    </row>
    <row r="138" spans="1:26">
      <c r="A138" t="s">
        <v>486</v>
      </c>
      <c r="B138" t="s">
        <v>487</v>
      </c>
      <c r="C138" s="4">
        <v>46024</v>
      </c>
      <c r="D138" t="s">
        <v>302</v>
      </c>
      <c r="E138" t="s">
        <v>70</v>
      </c>
      <c r="F138" s="4">
        <v>46024</v>
      </c>
      <c r="G138" s="4">
        <v>46024</v>
      </c>
      <c r="H138" t="s">
        <v>111</v>
      </c>
      <c r="I138" t="s">
        <v>267</v>
      </c>
      <c r="J138" t="s">
        <v>113</v>
      </c>
      <c r="K138" t="s">
        <v>60</v>
      </c>
      <c r="L138" t="s">
        <v>74</v>
      </c>
      <c r="M138" s="5">
        <v>25100</v>
      </c>
      <c r="N138" s="5">
        <v>2400</v>
      </c>
      <c r="O138" s="5">
        <v>3000</v>
      </c>
      <c r="P138" s="5">
        <v>0</v>
      </c>
      <c r="Q138" s="5">
        <v>31700</v>
      </c>
      <c r="R138" t="s">
        <v>141</v>
      </c>
      <c r="S138" t="s">
        <v>76</v>
      </c>
      <c r="T138" s="5">
        <v>5960</v>
      </c>
      <c r="U138" s="6">
        <v>5</v>
      </c>
      <c r="V138" t="s">
        <v>64</v>
      </c>
      <c r="W138" s="4"/>
      <c r="X138" t="s">
        <v>65</v>
      </c>
      <c r="Y138" t="s">
        <v>64</v>
      </c>
      <c r="Z138" t="s">
        <v>96</v>
      </c>
    </row>
    <row r="139" spans="1:26">
      <c r="A139" t="s">
        <v>488</v>
      </c>
      <c r="B139" t="s">
        <v>489</v>
      </c>
      <c r="C139" s="4">
        <v>46064</v>
      </c>
      <c r="D139" t="s">
        <v>259</v>
      </c>
      <c r="E139" t="s">
        <v>70</v>
      </c>
      <c r="F139" s="4">
        <v>46064</v>
      </c>
      <c r="G139" s="4">
        <v>46064</v>
      </c>
      <c r="H139" t="s">
        <v>103</v>
      </c>
      <c r="I139" t="s">
        <v>207</v>
      </c>
      <c r="J139" t="s">
        <v>244</v>
      </c>
      <c r="K139" t="s">
        <v>60</v>
      </c>
      <c r="L139" t="s">
        <v>94</v>
      </c>
      <c r="M139" s="5">
        <v>82100</v>
      </c>
      <c r="N139" s="5">
        <v>7900</v>
      </c>
      <c r="O139" s="5">
        <v>10650</v>
      </c>
      <c r="P139" s="5">
        <v>0</v>
      </c>
      <c r="Q139" s="5">
        <v>102150</v>
      </c>
      <c r="R139" t="s">
        <v>141</v>
      </c>
      <c r="S139" t="s">
        <v>76</v>
      </c>
      <c r="T139" s="5">
        <v>16520</v>
      </c>
      <c r="U139" s="6">
        <v>4</v>
      </c>
      <c r="V139" t="s">
        <v>77</v>
      </c>
      <c r="W139" s="4">
        <v>46077</v>
      </c>
      <c r="X139" t="s">
        <v>77</v>
      </c>
      <c r="Y139" t="s">
        <v>64</v>
      </c>
      <c r="Z139" t="s">
        <v>107</v>
      </c>
    </row>
    <row r="140" spans="1:26">
      <c r="A140" t="s">
        <v>490</v>
      </c>
      <c r="B140" t="s">
        <v>491</v>
      </c>
      <c r="C140" s="4">
        <v>46028</v>
      </c>
      <c r="D140" t="s">
        <v>298</v>
      </c>
      <c r="E140" t="s">
        <v>70</v>
      </c>
      <c r="F140" s="4">
        <v>46028</v>
      </c>
      <c r="G140" s="4">
        <v>46028</v>
      </c>
      <c r="H140" t="s">
        <v>121</v>
      </c>
      <c r="I140" t="s">
        <v>386</v>
      </c>
      <c r="J140" t="s">
        <v>256</v>
      </c>
      <c r="K140" t="s">
        <v>60</v>
      </c>
      <c r="L140" t="s">
        <v>94</v>
      </c>
      <c r="M140" s="5">
        <v>14700</v>
      </c>
      <c r="N140" s="5">
        <v>2600</v>
      </c>
      <c r="O140" s="5">
        <v>3100</v>
      </c>
      <c r="P140" s="5">
        <v>0</v>
      </c>
      <c r="Q140" s="5">
        <v>22900</v>
      </c>
      <c r="R140" t="s">
        <v>141</v>
      </c>
      <c r="S140" t="s">
        <v>76</v>
      </c>
      <c r="T140" s="5">
        <v>4640</v>
      </c>
      <c r="U140" s="6">
        <v>5</v>
      </c>
      <c r="V140" t="s">
        <v>64</v>
      </c>
      <c r="W140" s="4"/>
      <c r="X140" t="s">
        <v>65</v>
      </c>
      <c r="Y140" t="s">
        <v>64</v>
      </c>
      <c r="Z140" t="s">
        <v>78</v>
      </c>
    </row>
    <row r="141" spans="1:26">
      <c r="A141" t="s">
        <v>492</v>
      </c>
      <c r="B141" t="s">
        <v>493</v>
      </c>
      <c r="C141" s="4">
        <v>46132</v>
      </c>
      <c r="D141" t="s">
        <v>363</v>
      </c>
      <c r="E141" t="s">
        <v>70</v>
      </c>
      <c r="F141" s="4">
        <v>46132</v>
      </c>
      <c r="G141" s="4">
        <v>46134</v>
      </c>
      <c r="H141" t="s">
        <v>201</v>
      </c>
      <c r="I141" t="s">
        <v>449</v>
      </c>
      <c r="J141" t="s">
        <v>281</v>
      </c>
      <c r="K141" t="s">
        <v>124</v>
      </c>
      <c r="L141" t="s">
        <v>74</v>
      </c>
      <c r="M141" s="5">
        <v>7200</v>
      </c>
      <c r="N141" s="5">
        <v>700</v>
      </c>
      <c r="O141" s="5">
        <v>850</v>
      </c>
      <c r="P141" s="5">
        <v>9000</v>
      </c>
      <c r="Q141" s="5">
        <v>18550</v>
      </c>
      <c r="R141" t="s">
        <v>75</v>
      </c>
      <c r="S141" t="s">
        <v>163</v>
      </c>
      <c r="T141" s="5">
        <v>8650</v>
      </c>
      <c r="U141" s="6">
        <v>5</v>
      </c>
      <c r="V141" t="s">
        <v>64</v>
      </c>
      <c r="W141" s="4"/>
      <c r="X141" t="s">
        <v>65</v>
      </c>
      <c r="Y141" t="s">
        <v>64</v>
      </c>
      <c r="Z141" t="s">
        <v>107</v>
      </c>
    </row>
    <row r="142" spans="1:26">
      <c r="A142" t="s">
        <v>494</v>
      </c>
      <c r="B142" t="s">
        <v>495</v>
      </c>
      <c r="C142" s="4">
        <v>46145</v>
      </c>
      <c r="D142" t="s">
        <v>234</v>
      </c>
      <c r="E142" t="s">
        <v>70</v>
      </c>
      <c r="F142" s="4">
        <v>46145</v>
      </c>
      <c r="G142" s="4">
        <v>46145</v>
      </c>
      <c r="H142" t="s">
        <v>90</v>
      </c>
      <c r="I142" t="s">
        <v>128</v>
      </c>
      <c r="J142" t="s">
        <v>92</v>
      </c>
      <c r="K142" t="s">
        <v>60</v>
      </c>
      <c r="L142" t="s">
        <v>61</v>
      </c>
      <c r="M142" s="5">
        <v>43700</v>
      </c>
      <c r="N142" s="5">
        <v>7400</v>
      </c>
      <c r="O142" s="5">
        <v>5550</v>
      </c>
      <c r="P142" s="5">
        <v>0</v>
      </c>
      <c r="Q142" s="5">
        <v>58650</v>
      </c>
      <c r="R142" t="s">
        <v>75</v>
      </c>
      <c r="S142" t="s">
        <v>76</v>
      </c>
      <c r="T142" s="5">
        <v>26690</v>
      </c>
      <c r="U142" s="6">
        <v>4</v>
      </c>
      <c r="V142" t="s">
        <v>77</v>
      </c>
      <c r="W142" s="4">
        <v>46156</v>
      </c>
      <c r="X142" t="s">
        <v>77</v>
      </c>
      <c r="Y142" t="s">
        <v>64</v>
      </c>
      <c r="Z142" t="s">
        <v>96</v>
      </c>
    </row>
    <row r="143" spans="1:26">
      <c r="A143" t="s">
        <v>496</v>
      </c>
      <c r="B143" t="s">
        <v>497</v>
      </c>
      <c r="C143" s="4">
        <v>46107</v>
      </c>
      <c r="D143" t="s">
        <v>149</v>
      </c>
      <c r="E143" t="s">
        <v>70</v>
      </c>
      <c r="F143" s="4">
        <v>46107</v>
      </c>
      <c r="G143" s="4">
        <v>46112</v>
      </c>
      <c r="H143" t="s">
        <v>57</v>
      </c>
      <c r="I143" t="s">
        <v>71</v>
      </c>
      <c r="J143" t="s">
        <v>170</v>
      </c>
      <c r="K143" t="s">
        <v>73</v>
      </c>
      <c r="L143" t="s">
        <v>94</v>
      </c>
      <c r="M143" s="5">
        <v>63200</v>
      </c>
      <c r="N143" s="5">
        <v>5900</v>
      </c>
      <c r="O143" s="5">
        <v>13350</v>
      </c>
      <c r="P143" s="5">
        <v>12500</v>
      </c>
      <c r="Q143" s="5">
        <v>96750</v>
      </c>
      <c r="R143" t="s">
        <v>75</v>
      </c>
      <c r="S143" t="s">
        <v>163</v>
      </c>
      <c r="T143" s="5">
        <v>43840</v>
      </c>
      <c r="U143" s="6">
        <v>4</v>
      </c>
      <c r="V143" t="s">
        <v>64</v>
      </c>
      <c r="W143" s="4"/>
      <c r="X143" t="s">
        <v>65</v>
      </c>
      <c r="Y143" t="s">
        <v>64</v>
      </c>
      <c r="Z143" t="s">
        <v>96</v>
      </c>
    </row>
    <row r="144" spans="1:26">
      <c r="A144" t="s">
        <v>498</v>
      </c>
      <c r="B144" t="s">
        <v>499</v>
      </c>
      <c r="C144" s="4">
        <v>46034</v>
      </c>
      <c r="D144" t="s">
        <v>298</v>
      </c>
      <c r="E144" t="s">
        <v>70</v>
      </c>
      <c r="F144" s="4">
        <v>46034</v>
      </c>
      <c r="G144" s="4">
        <v>46035</v>
      </c>
      <c r="H144" t="s">
        <v>178</v>
      </c>
      <c r="I144" t="s">
        <v>462</v>
      </c>
      <c r="J144" t="s">
        <v>358</v>
      </c>
      <c r="K144" t="s">
        <v>60</v>
      </c>
      <c r="L144" t="s">
        <v>94</v>
      </c>
      <c r="M144" s="5">
        <v>53000</v>
      </c>
      <c r="N144" s="5">
        <v>8050</v>
      </c>
      <c r="O144" s="5">
        <v>12550</v>
      </c>
      <c r="P144" s="5">
        <v>2500</v>
      </c>
      <c r="Q144" s="5">
        <v>78600</v>
      </c>
      <c r="R144" t="s">
        <v>141</v>
      </c>
      <c r="S144" t="s">
        <v>76</v>
      </c>
      <c r="T144" s="5">
        <v>12990</v>
      </c>
      <c r="U144" s="6">
        <v>5</v>
      </c>
      <c r="V144" t="s">
        <v>64</v>
      </c>
      <c r="W144" s="4"/>
      <c r="X144" t="s">
        <v>65</v>
      </c>
      <c r="Y144" t="s">
        <v>64</v>
      </c>
      <c r="Z144" t="s">
        <v>78</v>
      </c>
    </row>
    <row r="145" spans="1:26">
      <c r="A145" t="s">
        <v>500</v>
      </c>
      <c r="B145" t="s">
        <v>501</v>
      </c>
      <c r="C145" s="4">
        <v>46149</v>
      </c>
      <c r="D145" t="s">
        <v>419</v>
      </c>
      <c r="E145" t="s">
        <v>70</v>
      </c>
      <c r="F145" s="4">
        <v>46150</v>
      </c>
      <c r="G145" s="4">
        <v>46150</v>
      </c>
      <c r="H145" t="s">
        <v>57</v>
      </c>
      <c r="I145" t="s">
        <v>58</v>
      </c>
      <c r="J145" t="s">
        <v>72</v>
      </c>
      <c r="K145" t="s">
        <v>124</v>
      </c>
      <c r="L145" t="s">
        <v>74</v>
      </c>
      <c r="M145" s="5">
        <v>6400</v>
      </c>
      <c r="N145" s="5">
        <v>600</v>
      </c>
      <c r="O145" s="5">
        <v>850</v>
      </c>
      <c r="P145" s="5">
        <v>0</v>
      </c>
      <c r="Q145" s="5">
        <v>10350</v>
      </c>
      <c r="R145" t="s">
        <v>95</v>
      </c>
      <c r="S145" t="s">
        <v>63</v>
      </c>
      <c r="T145" s="5">
        <v>10350</v>
      </c>
      <c r="U145" s="6">
        <v>5</v>
      </c>
      <c r="V145" t="s">
        <v>64</v>
      </c>
      <c r="W145" s="4"/>
      <c r="X145" t="s">
        <v>65</v>
      </c>
      <c r="Y145" t="s">
        <v>64</v>
      </c>
      <c r="Z145" t="s">
        <v>78</v>
      </c>
    </row>
    <row r="146" spans="1:26">
      <c r="A146" t="s">
        <v>502</v>
      </c>
      <c r="B146" t="s">
        <v>309</v>
      </c>
      <c r="C146" s="4">
        <v>46080</v>
      </c>
      <c r="D146" t="s">
        <v>99</v>
      </c>
      <c r="E146" t="s">
        <v>70</v>
      </c>
      <c r="F146" s="4">
        <v>46080</v>
      </c>
      <c r="G146" s="4">
        <v>46080</v>
      </c>
      <c r="H146" t="s">
        <v>178</v>
      </c>
      <c r="I146" t="s">
        <v>462</v>
      </c>
      <c r="J146" t="s">
        <v>180</v>
      </c>
      <c r="K146" t="s">
        <v>60</v>
      </c>
      <c r="L146" t="s">
        <v>61</v>
      </c>
      <c r="M146" s="5">
        <v>65200</v>
      </c>
      <c r="N146" s="5">
        <v>10600</v>
      </c>
      <c r="O146" s="5">
        <v>11750</v>
      </c>
      <c r="P146" s="5">
        <v>0</v>
      </c>
      <c r="Q146" s="5">
        <v>90050</v>
      </c>
      <c r="R146" t="s">
        <v>75</v>
      </c>
      <c r="S146" t="s">
        <v>76</v>
      </c>
      <c r="T146" s="5">
        <v>40820</v>
      </c>
      <c r="U146" s="6">
        <v>5</v>
      </c>
      <c r="V146" t="s">
        <v>77</v>
      </c>
      <c r="W146" s="4">
        <v>46092</v>
      </c>
      <c r="X146" t="s">
        <v>77</v>
      </c>
      <c r="Y146" t="s">
        <v>64</v>
      </c>
      <c r="Z146" t="s">
        <v>96</v>
      </c>
    </row>
    <row r="147" spans="1:26">
      <c r="A147" t="s">
        <v>503</v>
      </c>
      <c r="B147" t="s">
        <v>504</v>
      </c>
      <c r="C147" s="4">
        <v>46094</v>
      </c>
      <c r="D147" t="s">
        <v>259</v>
      </c>
      <c r="E147" t="s">
        <v>177</v>
      </c>
      <c r="F147" s="4"/>
      <c r="G147" s="4"/>
      <c r="H147" t="s">
        <v>150</v>
      </c>
      <c r="I147" t="s">
        <v>151</v>
      </c>
      <c r="J147" t="s">
        <v>229</v>
      </c>
      <c r="K147" t="s">
        <v>73</v>
      </c>
      <c r="L147" t="s">
        <v>146</v>
      </c>
      <c r="M147" s="5"/>
      <c r="N147" s="5"/>
      <c r="O147" s="5"/>
      <c r="P147" s="5"/>
      <c r="Q147" s="5"/>
      <c r="R147" t="s">
        <v>134</v>
      </c>
      <c r="S147" t="s">
        <v>63</v>
      </c>
      <c r="T147" s="5"/>
      <c r="U147" s="6"/>
      <c r="V147" t="s">
        <v>64</v>
      </c>
      <c r="W147" s="4"/>
      <c r="X147" t="s">
        <v>65</v>
      </c>
      <c r="Z147" t="s">
        <v>66</v>
      </c>
    </row>
    <row r="148" spans="1:26">
      <c r="A148" t="s">
        <v>505</v>
      </c>
      <c r="B148" t="s">
        <v>506</v>
      </c>
      <c r="C148" s="4">
        <v>46120</v>
      </c>
      <c r="D148" t="s">
        <v>161</v>
      </c>
      <c r="E148" t="s">
        <v>255</v>
      </c>
      <c r="F148" s="4"/>
      <c r="G148" s="4"/>
      <c r="H148" t="s">
        <v>121</v>
      </c>
      <c r="I148" t="s">
        <v>122</v>
      </c>
      <c r="J148" t="s">
        <v>256</v>
      </c>
      <c r="K148" t="s">
        <v>60</v>
      </c>
      <c r="L148" t="s">
        <v>94</v>
      </c>
      <c r="M148" s="5"/>
      <c r="N148" s="5"/>
      <c r="O148" s="5"/>
      <c r="P148" s="5"/>
      <c r="Q148" s="5"/>
      <c r="R148" t="s">
        <v>134</v>
      </c>
      <c r="S148" t="s">
        <v>63</v>
      </c>
      <c r="T148" s="5"/>
      <c r="U148" s="6"/>
      <c r="V148" t="s">
        <v>64</v>
      </c>
      <c r="W148" s="4"/>
      <c r="X148" t="s">
        <v>65</v>
      </c>
      <c r="Z148" t="s">
        <v>66</v>
      </c>
    </row>
    <row r="149" spans="1:26">
      <c r="A149" t="s">
        <v>507</v>
      </c>
      <c r="B149" t="s">
        <v>216</v>
      </c>
      <c r="C149" s="4">
        <v>46134</v>
      </c>
      <c r="D149" t="s">
        <v>302</v>
      </c>
      <c r="E149" t="s">
        <v>338</v>
      </c>
      <c r="F149" s="4"/>
      <c r="G149" s="4"/>
      <c r="H149" t="s">
        <v>121</v>
      </c>
      <c r="I149" t="s">
        <v>334</v>
      </c>
      <c r="J149" t="s">
        <v>123</v>
      </c>
      <c r="K149" t="s">
        <v>60</v>
      </c>
      <c r="L149" t="s">
        <v>61</v>
      </c>
      <c r="M149" s="5"/>
      <c r="N149" s="5"/>
      <c r="O149" s="5"/>
      <c r="P149" s="5"/>
      <c r="Q149" s="5"/>
      <c r="R149" t="s">
        <v>134</v>
      </c>
      <c r="S149" t="s">
        <v>63</v>
      </c>
      <c r="T149" s="5"/>
      <c r="U149" s="6"/>
      <c r="V149" t="s">
        <v>64</v>
      </c>
      <c r="W149" s="4"/>
      <c r="X149" t="s">
        <v>65</v>
      </c>
      <c r="Z149" t="s">
        <v>66</v>
      </c>
    </row>
    <row r="150" spans="1:26">
      <c r="A150" t="s">
        <v>508</v>
      </c>
      <c r="B150" t="s">
        <v>54</v>
      </c>
      <c r="C150" s="4">
        <v>46069</v>
      </c>
      <c r="D150" t="s">
        <v>206</v>
      </c>
      <c r="E150" t="s">
        <v>70</v>
      </c>
      <c r="F150" s="4">
        <v>46069</v>
      </c>
      <c r="G150" s="4">
        <v>46080</v>
      </c>
      <c r="H150" t="s">
        <v>82</v>
      </c>
      <c r="I150" t="s">
        <v>155</v>
      </c>
      <c r="J150" t="s">
        <v>156</v>
      </c>
      <c r="K150" t="s">
        <v>124</v>
      </c>
      <c r="L150" t="s">
        <v>94</v>
      </c>
      <c r="M150" s="5">
        <v>96600</v>
      </c>
      <c r="N150" s="5">
        <v>8700</v>
      </c>
      <c r="O150" s="5">
        <v>17300</v>
      </c>
      <c r="P150" s="5">
        <v>27500</v>
      </c>
      <c r="Q150" s="5">
        <v>152600</v>
      </c>
      <c r="R150" t="s">
        <v>85</v>
      </c>
      <c r="S150" t="s">
        <v>76</v>
      </c>
      <c r="T150" s="5">
        <v>39050</v>
      </c>
      <c r="U150" s="6">
        <v>2</v>
      </c>
      <c r="V150" t="s">
        <v>77</v>
      </c>
      <c r="W150" s="4">
        <v>46100</v>
      </c>
      <c r="X150" t="s">
        <v>77</v>
      </c>
      <c r="Y150" t="s">
        <v>64</v>
      </c>
      <c r="Z150" t="s">
        <v>107</v>
      </c>
    </row>
    <row r="151" spans="1:26">
      <c r="A151" t="s">
        <v>509</v>
      </c>
      <c r="B151" t="s">
        <v>510</v>
      </c>
      <c r="C151" s="4">
        <v>46161</v>
      </c>
      <c r="D151" t="s">
        <v>168</v>
      </c>
      <c r="E151" t="s">
        <v>70</v>
      </c>
      <c r="F151" s="4">
        <v>46161</v>
      </c>
      <c r="G151" s="4">
        <v>46163</v>
      </c>
      <c r="H151" t="s">
        <v>201</v>
      </c>
      <c r="I151" t="s">
        <v>421</v>
      </c>
      <c r="J151" t="s">
        <v>281</v>
      </c>
      <c r="K151" t="s">
        <v>124</v>
      </c>
      <c r="L151" t="s">
        <v>74</v>
      </c>
      <c r="M151" s="5">
        <v>6900</v>
      </c>
      <c r="N151" s="5">
        <v>900</v>
      </c>
      <c r="O151" s="5">
        <v>950</v>
      </c>
      <c r="P151" s="5">
        <v>12000</v>
      </c>
      <c r="Q151" s="5">
        <v>21750</v>
      </c>
      <c r="R151" t="s">
        <v>95</v>
      </c>
      <c r="S151" t="s">
        <v>63</v>
      </c>
      <c r="T151" s="5">
        <v>21750</v>
      </c>
      <c r="U151" s="6">
        <v>3</v>
      </c>
      <c r="V151" t="s">
        <v>64</v>
      </c>
      <c r="W151" s="4"/>
      <c r="X151" t="s">
        <v>65</v>
      </c>
      <c r="Y151" t="s">
        <v>64</v>
      </c>
      <c r="Z151" t="s">
        <v>96</v>
      </c>
    </row>
    <row r="152" spans="1:26">
      <c r="A152" t="s">
        <v>511</v>
      </c>
      <c r="B152" t="s">
        <v>512</v>
      </c>
      <c r="C152" s="4">
        <v>46121</v>
      </c>
      <c r="D152" t="s">
        <v>259</v>
      </c>
      <c r="E152" t="s">
        <v>70</v>
      </c>
      <c r="F152" s="4">
        <v>46122</v>
      </c>
      <c r="G152" s="4">
        <v>46123</v>
      </c>
      <c r="H152" t="s">
        <v>90</v>
      </c>
      <c r="I152" t="s">
        <v>128</v>
      </c>
      <c r="J152" t="s">
        <v>197</v>
      </c>
      <c r="K152" t="s">
        <v>60</v>
      </c>
      <c r="L152" t="s">
        <v>94</v>
      </c>
      <c r="M152" s="5">
        <v>23000</v>
      </c>
      <c r="N152" s="5">
        <v>4100</v>
      </c>
      <c r="O152" s="5">
        <v>3050</v>
      </c>
      <c r="P152" s="5">
        <v>3500</v>
      </c>
      <c r="Q152" s="5">
        <v>35650</v>
      </c>
      <c r="R152" t="s">
        <v>106</v>
      </c>
      <c r="S152" t="s">
        <v>76</v>
      </c>
      <c r="T152" s="5">
        <v>13180</v>
      </c>
      <c r="U152" s="6">
        <v>1</v>
      </c>
      <c r="V152" t="s">
        <v>77</v>
      </c>
      <c r="W152" s="4">
        <v>46144</v>
      </c>
      <c r="X152" t="s">
        <v>64</v>
      </c>
      <c r="Y152" t="s">
        <v>77</v>
      </c>
      <c r="Z152" t="s">
        <v>96</v>
      </c>
    </row>
    <row r="153" spans="1:26">
      <c r="A153" t="s">
        <v>513</v>
      </c>
      <c r="B153" t="s">
        <v>514</v>
      </c>
      <c r="C153" s="4">
        <v>46100</v>
      </c>
      <c r="D153" t="s">
        <v>144</v>
      </c>
      <c r="E153" t="s">
        <v>70</v>
      </c>
      <c r="F153" s="4">
        <v>46100</v>
      </c>
      <c r="G153" s="4">
        <v>46101</v>
      </c>
      <c r="H153" t="s">
        <v>201</v>
      </c>
      <c r="I153" t="s">
        <v>515</v>
      </c>
      <c r="J153" t="s">
        <v>295</v>
      </c>
      <c r="K153" t="s">
        <v>73</v>
      </c>
      <c r="L153" t="s">
        <v>94</v>
      </c>
      <c r="M153" s="5">
        <v>47800</v>
      </c>
      <c r="N153" s="5">
        <v>4200</v>
      </c>
      <c r="O153" s="5">
        <v>4800</v>
      </c>
      <c r="P153" s="5">
        <v>3000</v>
      </c>
      <c r="Q153" s="5">
        <v>61000</v>
      </c>
      <c r="R153" t="s">
        <v>95</v>
      </c>
      <c r="S153" t="s">
        <v>63</v>
      </c>
      <c r="T153" s="5">
        <v>61000</v>
      </c>
      <c r="U153" s="6">
        <v>5</v>
      </c>
      <c r="V153" t="s">
        <v>77</v>
      </c>
      <c r="W153" s="4">
        <v>46110</v>
      </c>
      <c r="X153" t="s">
        <v>77</v>
      </c>
      <c r="Y153" t="s">
        <v>64</v>
      </c>
      <c r="Z153" t="s">
        <v>96</v>
      </c>
    </row>
    <row r="154" spans="1:26">
      <c r="A154" t="s">
        <v>516</v>
      </c>
      <c r="B154" t="s">
        <v>517</v>
      </c>
      <c r="C154" s="4">
        <v>46121</v>
      </c>
      <c r="D154" t="s">
        <v>149</v>
      </c>
      <c r="E154" t="s">
        <v>70</v>
      </c>
      <c r="F154" s="4">
        <v>46121</v>
      </c>
      <c r="G154" s="4">
        <v>46122</v>
      </c>
      <c r="H154" t="s">
        <v>201</v>
      </c>
      <c r="I154" t="s">
        <v>449</v>
      </c>
      <c r="J154" t="s">
        <v>281</v>
      </c>
      <c r="K154" t="s">
        <v>60</v>
      </c>
      <c r="L154" t="s">
        <v>94</v>
      </c>
      <c r="M154" s="5">
        <v>6400</v>
      </c>
      <c r="N154" s="5">
        <v>850</v>
      </c>
      <c r="O154" s="5">
        <v>1150</v>
      </c>
      <c r="P154" s="5">
        <v>4500</v>
      </c>
      <c r="Q154" s="5">
        <v>13700</v>
      </c>
      <c r="R154" t="s">
        <v>141</v>
      </c>
      <c r="S154" t="s">
        <v>86</v>
      </c>
      <c r="T154" s="5">
        <v>3260</v>
      </c>
      <c r="U154" s="6">
        <v>5</v>
      </c>
      <c r="V154" t="s">
        <v>64</v>
      </c>
      <c r="W154" s="4"/>
      <c r="X154" t="s">
        <v>65</v>
      </c>
      <c r="Y154" t="s">
        <v>64</v>
      </c>
      <c r="Z154" t="s">
        <v>107</v>
      </c>
    </row>
    <row r="155" spans="1:26">
      <c r="A155" t="s">
        <v>518</v>
      </c>
      <c r="B155" t="s">
        <v>317</v>
      </c>
      <c r="C155" s="4">
        <v>46115</v>
      </c>
      <c r="D155" t="s">
        <v>284</v>
      </c>
      <c r="E155" t="s">
        <v>177</v>
      </c>
      <c r="F155" s="4"/>
      <c r="G155" s="4"/>
      <c r="H155" t="s">
        <v>90</v>
      </c>
      <c r="I155" t="s">
        <v>388</v>
      </c>
      <c r="J155" t="s">
        <v>197</v>
      </c>
      <c r="K155" t="s">
        <v>93</v>
      </c>
      <c r="L155" t="s">
        <v>61</v>
      </c>
      <c r="M155" s="5"/>
      <c r="N155" s="5"/>
      <c r="O155" s="5"/>
      <c r="P155" s="5"/>
      <c r="Q155" s="5"/>
      <c r="R155" t="s">
        <v>141</v>
      </c>
      <c r="S155" t="s">
        <v>63</v>
      </c>
      <c r="T155" s="5"/>
      <c r="U155" s="6"/>
      <c r="V155" t="s">
        <v>64</v>
      </c>
      <c r="W155" s="4"/>
      <c r="X155" t="s">
        <v>65</v>
      </c>
      <c r="Z155" t="s">
        <v>66</v>
      </c>
    </row>
    <row r="156" spans="1:26">
      <c r="A156" t="s">
        <v>519</v>
      </c>
      <c r="B156" t="s">
        <v>520</v>
      </c>
      <c r="C156" s="4">
        <v>46098</v>
      </c>
      <c r="D156" t="s">
        <v>307</v>
      </c>
      <c r="E156" t="s">
        <v>314</v>
      </c>
      <c r="F156" s="4"/>
      <c r="G156" s="4"/>
      <c r="H156" t="s">
        <v>150</v>
      </c>
      <c r="I156" t="s">
        <v>151</v>
      </c>
      <c r="J156" t="s">
        <v>188</v>
      </c>
      <c r="K156" t="s">
        <v>93</v>
      </c>
      <c r="L156" t="s">
        <v>74</v>
      </c>
      <c r="M156" s="5"/>
      <c r="N156" s="5"/>
      <c r="O156" s="5"/>
      <c r="P156" s="5"/>
      <c r="Q156" s="5"/>
      <c r="R156" t="s">
        <v>106</v>
      </c>
      <c r="S156" t="s">
        <v>63</v>
      </c>
      <c r="T156" s="5"/>
      <c r="U156" s="6"/>
      <c r="V156" t="s">
        <v>64</v>
      </c>
      <c r="W156" s="4"/>
      <c r="X156" t="s">
        <v>65</v>
      </c>
      <c r="Z156" t="s">
        <v>66</v>
      </c>
    </row>
    <row r="157" spans="1:26">
      <c r="A157" t="s">
        <v>521</v>
      </c>
      <c r="B157" t="s">
        <v>512</v>
      </c>
      <c r="C157" s="4">
        <v>46053</v>
      </c>
      <c r="D157" t="s">
        <v>110</v>
      </c>
      <c r="E157" t="s">
        <v>70</v>
      </c>
      <c r="F157" s="4">
        <v>46053</v>
      </c>
      <c r="G157" s="4">
        <v>46061</v>
      </c>
      <c r="H157" t="s">
        <v>90</v>
      </c>
      <c r="I157" t="s">
        <v>91</v>
      </c>
      <c r="J157" t="s">
        <v>92</v>
      </c>
      <c r="K157" t="s">
        <v>124</v>
      </c>
      <c r="L157" t="s">
        <v>74</v>
      </c>
      <c r="M157" s="5">
        <v>70000</v>
      </c>
      <c r="N157" s="5">
        <v>6100</v>
      </c>
      <c r="O157" s="5">
        <v>15800</v>
      </c>
      <c r="P157" s="5">
        <v>24000</v>
      </c>
      <c r="Q157" s="5">
        <v>117100</v>
      </c>
      <c r="R157" t="s">
        <v>75</v>
      </c>
      <c r="S157" t="s">
        <v>76</v>
      </c>
      <c r="T157" s="5">
        <v>52990</v>
      </c>
      <c r="U157" s="6">
        <v>3</v>
      </c>
      <c r="V157" t="s">
        <v>77</v>
      </c>
      <c r="W157" s="4">
        <v>46069</v>
      </c>
      <c r="X157" t="s">
        <v>77</v>
      </c>
      <c r="Y157" t="s">
        <v>64</v>
      </c>
      <c r="Z157" t="s">
        <v>96</v>
      </c>
    </row>
    <row r="158" spans="1:26">
      <c r="A158" t="s">
        <v>522</v>
      </c>
      <c r="B158" t="s">
        <v>405</v>
      </c>
      <c r="C158" s="4">
        <v>46109</v>
      </c>
      <c r="D158" t="s">
        <v>132</v>
      </c>
      <c r="E158" t="s">
        <v>70</v>
      </c>
      <c r="F158" s="4">
        <v>46109</v>
      </c>
      <c r="G158" s="4">
        <v>46109</v>
      </c>
      <c r="H158" t="s">
        <v>138</v>
      </c>
      <c r="I158" t="s">
        <v>139</v>
      </c>
      <c r="J158" t="s">
        <v>140</v>
      </c>
      <c r="K158" t="s">
        <v>60</v>
      </c>
      <c r="L158" t="s">
        <v>94</v>
      </c>
      <c r="M158" s="5">
        <v>14200</v>
      </c>
      <c r="N158" s="5">
        <v>1750</v>
      </c>
      <c r="O158" s="5">
        <v>3450</v>
      </c>
      <c r="P158" s="5">
        <v>0</v>
      </c>
      <c r="Q158" s="5">
        <v>21400</v>
      </c>
      <c r="R158" t="s">
        <v>141</v>
      </c>
      <c r="S158" t="s">
        <v>76</v>
      </c>
      <c r="T158" s="5">
        <v>4410</v>
      </c>
      <c r="U158" s="6">
        <v>5</v>
      </c>
      <c r="V158" t="s">
        <v>77</v>
      </c>
      <c r="W158" s="4">
        <v>46125</v>
      </c>
      <c r="X158" t="s">
        <v>77</v>
      </c>
      <c r="Y158" t="s">
        <v>64</v>
      </c>
      <c r="Z158" t="s">
        <v>96</v>
      </c>
    </row>
    <row r="159" spans="1:26">
      <c r="A159" t="s">
        <v>523</v>
      </c>
      <c r="B159" t="s">
        <v>524</v>
      </c>
      <c r="C159" s="4">
        <v>46079</v>
      </c>
      <c r="D159" t="s">
        <v>432</v>
      </c>
      <c r="E159" t="s">
        <v>314</v>
      </c>
      <c r="F159" s="4"/>
      <c r="G159" s="4"/>
      <c r="H159" t="s">
        <v>178</v>
      </c>
      <c r="I159" t="s">
        <v>339</v>
      </c>
      <c r="J159" t="s">
        <v>340</v>
      </c>
      <c r="K159" t="s">
        <v>93</v>
      </c>
      <c r="L159" t="s">
        <v>94</v>
      </c>
      <c r="M159" s="5"/>
      <c r="N159" s="5"/>
      <c r="O159" s="5"/>
      <c r="P159" s="5"/>
      <c r="Q159" s="5"/>
      <c r="R159" t="s">
        <v>85</v>
      </c>
      <c r="S159" t="s">
        <v>63</v>
      </c>
      <c r="T159" s="5"/>
      <c r="U159" s="6"/>
      <c r="V159" t="s">
        <v>64</v>
      </c>
      <c r="W159" s="4"/>
      <c r="X159" t="s">
        <v>65</v>
      </c>
      <c r="Z159" t="s">
        <v>66</v>
      </c>
    </row>
    <row r="160" spans="1:26">
      <c r="A160" t="s">
        <v>525</v>
      </c>
      <c r="B160" t="s">
        <v>526</v>
      </c>
      <c r="C160" s="4">
        <v>46120</v>
      </c>
      <c r="D160" t="s">
        <v>217</v>
      </c>
      <c r="E160" t="s">
        <v>314</v>
      </c>
      <c r="F160" s="4"/>
      <c r="G160" s="4"/>
      <c r="H160" t="s">
        <v>103</v>
      </c>
      <c r="I160" t="s">
        <v>207</v>
      </c>
      <c r="J160" t="s">
        <v>105</v>
      </c>
      <c r="K160" t="s">
        <v>60</v>
      </c>
      <c r="L160" t="s">
        <v>61</v>
      </c>
      <c r="M160" s="5"/>
      <c r="N160" s="5"/>
      <c r="O160" s="5"/>
      <c r="P160" s="5"/>
      <c r="Q160" s="5"/>
      <c r="R160" t="s">
        <v>75</v>
      </c>
      <c r="S160" t="s">
        <v>63</v>
      </c>
      <c r="T160" s="5"/>
      <c r="U160" s="6"/>
      <c r="V160" t="s">
        <v>64</v>
      </c>
      <c r="W160" s="4"/>
      <c r="X160" t="s">
        <v>65</v>
      </c>
      <c r="Z160" t="s">
        <v>66</v>
      </c>
    </row>
    <row r="161" spans="1:26">
      <c r="A161" t="s">
        <v>527</v>
      </c>
      <c r="B161" t="s">
        <v>528</v>
      </c>
      <c r="C161" s="4">
        <v>46030</v>
      </c>
      <c r="D161" t="s">
        <v>210</v>
      </c>
      <c r="E161" t="s">
        <v>70</v>
      </c>
      <c r="F161" s="4">
        <v>46030</v>
      </c>
      <c r="G161" s="4">
        <v>46030</v>
      </c>
      <c r="H161" t="s">
        <v>103</v>
      </c>
      <c r="I161" t="s">
        <v>364</v>
      </c>
      <c r="J161" t="s">
        <v>145</v>
      </c>
      <c r="K161" t="s">
        <v>60</v>
      </c>
      <c r="L161" t="s">
        <v>61</v>
      </c>
      <c r="M161" s="5">
        <v>26600</v>
      </c>
      <c r="N161" s="5">
        <v>3600</v>
      </c>
      <c r="O161" s="5">
        <v>5200</v>
      </c>
      <c r="P161" s="5">
        <v>0</v>
      </c>
      <c r="Q161" s="5">
        <v>36200</v>
      </c>
      <c r="R161" t="s">
        <v>75</v>
      </c>
      <c r="S161" t="s">
        <v>76</v>
      </c>
      <c r="T161" s="5">
        <v>16590</v>
      </c>
      <c r="U161" s="6">
        <v>5</v>
      </c>
      <c r="V161" t="s">
        <v>64</v>
      </c>
      <c r="W161" s="4"/>
      <c r="X161" t="s">
        <v>65</v>
      </c>
      <c r="Y161" t="s">
        <v>64</v>
      </c>
      <c r="Z161" t="s">
        <v>78</v>
      </c>
    </row>
    <row r="162" spans="1:26">
      <c r="A162" t="s">
        <v>529</v>
      </c>
      <c r="B162" t="s">
        <v>530</v>
      </c>
      <c r="C162" s="4">
        <v>46151</v>
      </c>
      <c r="D162" t="s">
        <v>210</v>
      </c>
      <c r="E162" t="s">
        <v>70</v>
      </c>
      <c r="F162" s="4">
        <v>46151</v>
      </c>
      <c r="G162" s="4">
        <v>46152</v>
      </c>
      <c r="H162" t="s">
        <v>150</v>
      </c>
      <c r="I162" t="s">
        <v>228</v>
      </c>
      <c r="J162" t="s">
        <v>152</v>
      </c>
      <c r="K162" t="s">
        <v>124</v>
      </c>
      <c r="L162" t="s">
        <v>146</v>
      </c>
      <c r="M162" s="5">
        <v>24000</v>
      </c>
      <c r="N162" s="5">
        <v>3150</v>
      </c>
      <c r="O162" s="5">
        <v>5200</v>
      </c>
      <c r="P162" s="5">
        <v>2500</v>
      </c>
      <c r="Q162" s="5">
        <v>36350</v>
      </c>
      <c r="R162" t="s">
        <v>85</v>
      </c>
      <c r="S162" t="s">
        <v>76</v>
      </c>
      <c r="T162" s="5">
        <v>9990</v>
      </c>
      <c r="U162" s="6">
        <v>5</v>
      </c>
      <c r="V162" t="s">
        <v>64</v>
      </c>
      <c r="W162" s="4"/>
      <c r="X162" t="s">
        <v>65</v>
      </c>
      <c r="Y162" t="s">
        <v>64</v>
      </c>
      <c r="Z162" t="s">
        <v>78</v>
      </c>
    </row>
    <row r="163" spans="1:26">
      <c r="A163" t="s">
        <v>531</v>
      </c>
      <c r="B163" t="s">
        <v>532</v>
      </c>
      <c r="C163" s="4">
        <v>46059</v>
      </c>
      <c r="D163" t="s">
        <v>259</v>
      </c>
      <c r="E163" t="s">
        <v>70</v>
      </c>
      <c r="F163" s="4">
        <v>46060</v>
      </c>
      <c r="G163" s="4">
        <v>46060</v>
      </c>
      <c r="H163" t="s">
        <v>150</v>
      </c>
      <c r="I163" t="s">
        <v>247</v>
      </c>
      <c r="J163" t="s">
        <v>152</v>
      </c>
      <c r="K163" t="s">
        <v>60</v>
      </c>
      <c r="L163" t="s">
        <v>74</v>
      </c>
      <c r="M163" s="5">
        <v>34100</v>
      </c>
      <c r="N163" s="5">
        <v>5050</v>
      </c>
      <c r="O163" s="5">
        <v>4650</v>
      </c>
      <c r="P163" s="5">
        <v>0</v>
      </c>
      <c r="Q163" s="5">
        <v>44800</v>
      </c>
      <c r="R163" t="s">
        <v>134</v>
      </c>
      <c r="S163" t="s">
        <v>76</v>
      </c>
      <c r="T163" s="5">
        <v>24840</v>
      </c>
      <c r="U163" s="6">
        <v>3</v>
      </c>
      <c r="V163" t="s">
        <v>64</v>
      </c>
      <c r="W163" s="4"/>
      <c r="X163" t="s">
        <v>65</v>
      </c>
      <c r="Y163" t="s">
        <v>64</v>
      </c>
      <c r="Z163" t="s">
        <v>96</v>
      </c>
    </row>
    <row r="164" spans="1:26">
      <c r="A164" t="s">
        <v>533</v>
      </c>
      <c r="B164" t="s">
        <v>479</v>
      </c>
      <c r="C164" s="4">
        <v>46103</v>
      </c>
      <c r="D164" t="s">
        <v>259</v>
      </c>
      <c r="E164" t="s">
        <v>70</v>
      </c>
      <c r="F164" s="4">
        <v>46103</v>
      </c>
      <c r="G164" s="4">
        <v>46103</v>
      </c>
      <c r="H164" t="s">
        <v>138</v>
      </c>
      <c r="I164" t="s">
        <v>235</v>
      </c>
      <c r="J164" t="s">
        <v>261</v>
      </c>
      <c r="K164" t="s">
        <v>60</v>
      </c>
      <c r="L164" t="s">
        <v>74</v>
      </c>
      <c r="M164" s="5">
        <v>6900</v>
      </c>
      <c r="N164" s="5">
        <v>1250</v>
      </c>
      <c r="O164" s="5">
        <v>1500</v>
      </c>
      <c r="P164" s="5">
        <v>0</v>
      </c>
      <c r="Q164" s="5">
        <v>10650</v>
      </c>
      <c r="R164" t="s">
        <v>141</v>
      </c>
      <c r="S164" t="s">
        <v>86</v>
      </c>
      <c r="T164" s="5">
        <v>2800</v>
      </c>
      <c r="U164" s="6">
        <v>5</v>
      </c>
      <c r="V164" t="s">
        <v>64</v>
      </c>
      <c r="W164" s="4"/>
      <c r="X164" t="s">
        <v>65</v>
      </c>
      <c r="Y164" t="s">
        <v>64</v>
      </c>
      <c r="Z164" t="s">
        <v>107</v>
      </c>
    </row>
    <row r="165" spans="1:26">
      <c r="A165" t="s">
        <v>534</v>
      </c>
      <c r="B165" t="s">
        <v>535</v>
      </c>
      <c r="C165" s="4">
        <v>46103</v>
      </c>
      <c r="D165" t="s">
        <v>168</v>
      </c>
      <c r="E165" t="s">
        <v>70</v>
      </c>
      <c r="F165" s="4">
        <v>46103</v>
      </c>
      <c r="G165" s="4">
        <v>46110</v>
      </c>
      <c r="H165" t="s">
        <v>178</v>
      </c>
      <c r="I165" t="s">
        <v>218</v>
      </c>
      <c r="J165" t="s">
        <v>340</v>
      </c>
      <c r="K165" t="s">
        <v>93</v>
      </c>
      <c r="L165" t="s">
        <v>94</v>
      </c>
      <c r="M165" s="5">
        <v>77100</v>
      </c>
      <c r="N165" s="5">
        <v>11900</v>
      </c>
      <c r="O165" s="5">
        <v>10550</v>
      </c>
      <c r="P165" s="5">
        <v>42000</v>
      </c>
      <c r="Q165" s="5">
        <v>143050</v>
      </c>
      <c r="R165" t="s">
        <v>75</v>
      </c>
      <c r="S165" t="s">
        <v>86</v>
      </c>
      <c r="T165" s="5">
        <v>64670</v>
      </c>
      <c r="U165" s="6">
        <v>4</v>
      </c>
      <c r="V165" t="s">
        <v>77</v>
      </c>
      <c r="W165" s="4">
        <v>46119</v>
      </c>
      <c r="X165" t="s">
        <v>77</v>
      </c>
      <c r="Y165" t="s">
        <v>64</v>
      </c>
      <c r="Z165" t="s">
        <v>78</v>
      </c>
    </row>
    <row r="166" spans="1:26">
      <c r="A166" t="s">
        <v>536</v>
      </c>
      <c r="B166" t="s">
        <v>537</v>
      </c>
      <c r="C166" s="4">
        <v>46050</v>
      </c>
      <c r="D166" t="s">
        <v>183</v>
      </c>
      <c r="E166" t="s">
        <v>70</v>
      </c>
      <c r="F166" s="4">
        <v>46051</v>
      </c>
      <c r="G166" s="4">
        <v>46051</v>
      </c>
      <c r="H166" t="s">
        <v>121</v>
      </c>
      <c r="I166" t="s">
        <v>334</v>
      </c>
      <c r="J166" t="s">
        <v>256</v>
      </c>
      <c r="K166" t="s">
        <v>60</v>
      </c>
      <c r="L166" t="s">
        <v>74</v>
      </c>
      <c r="M166" s="5">
        <v>15600</v>
      </c>
      <c r="N166" s="5">
        <v>2100</v>
      </c>
      <c r="O166" s="5">
        <v>3800</v>
      </c>
      <c r="P166" s="5">
        <v>0</v>
      </c>
      <c r="Q166" s="5">
        <v>22500</v>
      </c>
      <c r="R166" t="s">
        <v>75</v>
      </c>
      <c r="S166" t="s">
        <v>76</v>
      </c>
      <c r="T166" s="5">
        <v>10420</v>
      </c>
      <c r="U166" s="6">
        <v>5</v>
      </c>
      <c r="V166" t="s">
        <v>64</v>
      </c>
      <c r="W166" s="4"/>
      <c r="X166" t="s">
        <v>65</v>
      </c>
      <c r="Y166" t="s">
        <v>64</v>
      </c>
      <c r="Z166" t="s">
        <v>107</v>
      </c>
    </row>
    <row r="167" spans="1:26">
      <c r="A167" t="s">
        <v>538</v>
      </c>
      <c r="B167" t="s">
        <v>524</v>
      </c>
      <c r="C167" s="4">
        <v>46131</v>
      </c>
      <c r="D167" t="s">
        <v>200</v>
      </c>
      <c r="E167" t="s">
        <v>70</v>
      </c>
      <c r="F167" s="4">
        <v>46132</v>
      </c>
      <c r="G167" s="4">
        <v>46132</v>
      </c>
      <c r="H167" t="s">
        <v>57</v>
      </c>
      <c r="I167" t="s">
        <v>169</v>
      </c>
      <c r="J167" t="s">
        <v>72</v>
      </c>
      <c r="K167" t="s">
        <v>60</v>
      </c>
      <c r="L167" t="s">
        <v>61</v>
      </c>
      <c r="M167" s="5">
        <v>10300</v>
      </c>
      <c r="N167" s="5">
        <v>1300</v>
      </c>
      <c r="O167" s="5">
        <v>1700</v>
      </c>
      <c r="P167" s="5">
        <v>0</v>
      </c>
      <c r="Q167" s="5">
        <v>14100</v>
      </c>
      <c r="R167" t="s">
        <v>75</v>
      </c>
      <c r="S167" t="s">
        <v>86</v>
      </c>
      <c r="T167" s="5">
        <v>6640</v>
      </c>
      <c r="U167" s="6">
        <v>5</v>
      </c>
      <c r="V167" t="s">
        <v>77</v>
      </c>
      <c r="W167" s="4">
        <v>46139</v>
      </c>
      <c r="X167" t="s">
        <v>77</v>
      </c>
      <c r="Y167" t="s">
        <v>64</v>
      </c>
      <c r="Z167" t="s">
        <v>96</v>
      </c>
    </row>
    <row r="168" spans="1:26">
      <c r="A168" t="s">
        <v>539</v>
      </c>
      <c r="B168" t="s">
        <v>540</v>
      </c>
      <c r="C168" s="4">
        <v>46134</v>
      </c>
      <c r="D168" t="s">
        <v>89</v>
      </c>
      <c r="E168" t="s">
        <v>314</v>
      </c>
      <c r="F168" s="4"/>
      <c r="G168" s="4"/>
      <c r="H168" t="s">
        <v>57</v>
      </c>
      <c r="I168" t="s">
        <v>71</v>
      </c>
      <c r="J168" t="s">
        <v>170</v>
      </c>
      <c r="K168" t="s">
        <v>124</v>
      </c>
      <c r="L168" t="s">
        <v>61</v>
      </c>
      <c r="M168" s="5"/>
      <c r="N168" s="5"/>
      <c r="O168" s="5"/>
      <c r="P168" s="5"/>
      <c r="Q168" s="5"/>
      <c r="R168" t="s">
        <v>62</v>
      </c>
      <c r="S168" t="s">
        <v>63</v>
      </c>
      <c r="T168" s="5"/>
      <c r="U168" s="6"/>
      <c r="V168" t="s">
        <v>64</v>
      </c>
      <c r="W168" s="4"/>
      <c r="X168" t="s">
        <v>65</v>
      </c>
      <c r="Z168" t="s">
        <v>66</v>
      </c>
    </row>
    <row r="169" spans="1:26">
      <c r="A169" t="s">
        <v>541</v>
      </c>
      <c r="B169" t="s">
        <v>209</v>
      </c>
      <c r="C169" s="4">
        <v>46104</v>
      </c>
      <c r="D169" t="s">
        <v>99</v>
      </c>
      <c r="E169" t="s">
        <v>56</v>
      </c>
      <c r="F169" s="4"/>
      <c r="G169" s="4"/>
      <c r="H169" t="s">
        <v>103</v>
      </c>
      <c r="I169" t="s">
        <v>364</v>
      </c>
      <c r="J169" t="s">
        <v>145</v>
      </c>
      <c r="K169" t="s">
        <v>73</v>
      </c>
      <c r="L169" t="s">
        <v>74</v>
      </c>
      <c r="M169" s="5"/>
      <c r="N169" s="5"/>
      <c r="O169" s="5"/>
      <c r="P169" s="5"/>
      <c r="Q169" s="5"/>
      <c r="R169" t="s">
        <v>134</v>
      </c>
      <c r="S169" t="s">
        <v>63</v>
      </c>
      <c r="T169" s="5"/>
      <c r="U169" s="6"/>
      <c r="V169" t="s">
        <v>64</v>
      </c>
      <c r="W169" s="4"/>
      <c r="X169" t="s">
        <v>65</v>
      </c>
      <c r="Z169" t="s">
        <v>66</v>
      </c>
    </row>
    <row r="170" spans="1:26">
      <c r="A170" t="s">
        <v>542</v>
      </c>
      <c r="B170" t="s">
        <v>543</v>
      </c>
      <c r="C170" s="4">
        <v>46023</v>
      </c>
      <c r="D170" t="s">
        <v>307</v>
      </c>
      <c r="E170" t="s">
        <v>70</v>
      </c>
      <c r="F170" s="4">
        <v>46023</v>
      </c>
      <c r="G170" s="4">
        <v>46031</v>
      </c>
      <c r="H170" t="s">
        <v>82</v>
      </c>
      <c r="I170" t="s">
        <v>272</v>
      </c>
      <c r="J170" t="s">
        <v>156</v>
      </c>
      <c r="K170" t="s">
        <v>73</v>
      </c>
      <c r="L170" t="s">
        <v>94</v>
      </c>
      <c r="M170" s="5">
        <v>79600</v>
      </c>
      <c r="N170" s="5">
        <v>7700</v>
      </c>
      <c r="O170" s="5">
        <v>12450</v>
      </c>
      <c r="P170" s="5">
        <v>28000</v>
      </c>
      <c r="Q170" s="5">
        <v>129550</v>
      </c>
      <c r="R170" t="s">
        <v>75</v>
      </c>
      <c r="S170" t="s">
        <v>76</v>
      </c>
      <c r="T170" s="5">
        <v>58600</v>
      </c>
      <c r="U170" s="6">
        <v>4</v>
      </c>
      <c r="V170" t="s">
        <v>77</v>
      </c>
      <c r="W170" s="4">
        <v>46038</v>
      </c>
      <c r="X170" t="s">
        <v>77</v>
      </c>
      <c r="Y170" t="s">
        <v>64</v>
      </c>
      <c r="Z170" t="s">
        <v>78</v>
      </c>
    </row>
    <row r="171" spans="1:26">
      <c r="A171" t="s">
        <v>544</v>
      </c>
      <c r="B171" t="s">
        <v>545</v>
      </c>
      <c r="C171" s="4">
        <v>46113</v>
      </c>
      <c r="D171" t="s">
        <v>284</v>
      </c>
      <c r="E171" t="s">
        <v>70</v>
      </c>
      <c r="F171" s="4">
        <v>46114</v>
      </c>
      <c r="G171" s="4">
        <v>46124</v>
      </c>
      <c r="H171" t="s">
        <v>178</v>
      </c>
      <c r="I171" t="s">
        <v>179</v>
      </c>
      <c r="J171" t="s">
        <v>340</v>
      </c>
      <c r="K171" t="s">
        <v>93</v>
      </c>
      <c r="L171" t="s">
        <v>61</v>
      </c>
      <c r="M171" s="5">
        <v>73800</v>
      </c>
      <c r="N171" s="5">
        <v>7100</v>
      </c>
      <c r="O171" s="5">
        <v>12200</v>
      </c>
      <c r="P171" s="5">
        <v>35000</v>
      </c>
      <c r="Q171" s="5">
        <v>129100</v>
      </c>
      <c r="R171" t="s">
        <v>95</v>
      </c>
      <c r="S171" t="s">
        <v>63</v>
      </c>
      <c r="T171" s="5">
        <v>129100</v>
      </c>
      <c r="U171" s="6">
        <v>2</v>
      </c>
      <c r="V171" t="s">
        <v>77</v>
      </c>
      <c r="W171" s="4">
        <v>46137</v>
      </c>
      <c r="X171" t="s">
        <v>77</v>
      </c>
      <c r="Y171" t="s">
        <v>64</v>
      </c>
      <c r="Z171" t="s">
        <v>107</v>
      </c>
    </row>
    <row r="172" spans="1:26">
      <c r="A172" t="s">
        <v>546</v>
      </c>
      <c r="B172" t="s">
        <v>547</v>
      </c>
      <c r="C172" s="4">
        <v>46162</v>
      </c>
      <c r="D172" t="s">
        <v>137</v>
      </c>
      <c r="E172" t="s">
        <v>70</v>
      </c>
      <c r="F172" s="4">
        <v>46163</v>
      </c>
      <c r="G172" s="4">
        <v>46170</v>
      </c>
      <c r="H172" t="s">
        <v>121</v>
      </c>
      <c r="I172" t="s">
        <v>122</v>
      </c>
      <c r="J172" t="s">
        <v>252</v>
      </c>
      <c r="K172" t="s">
        <v>124</v>
      </c>
      <c r="L172" t="s">
        <v>94</v>
      </c>
      <c r="M172" s="5">
        <v>49900</v>
      </c>
      <c r="N172" s="5">
        <v>8250</v>
      </c>
      <c r="O172" s="5">
        <v>12100</v>
      </c>
      <c r="P172" s="5">
        <v>24500</v>
      </c>
      <c r="Q172" s="5">
        <v>95750</v>
      </c>
      <c r="R172" t="s">
        <v>134</v>
      </c>
      <c r="S172" t="s">
        <v>86</v>
      </c>
      <c r="T172" s="5">
        <v>52860</v>
      </c>
      <c r="U172" s="6"/>
      <c r="V172" t="s">
        <v>77</v>
      </c>
      <c r="W172" s="4">
        <v>46190</v>
      </c>
      <c r="X172" t="s">
        <v>77</v>
      </c>
      <c r="Y172" t="s">
        <v>64</v>
      </c>
      <c r="Z172" t="s">
        <v>96</v>
      </c>
    </row>
    <row r="173" spans="1:26">
      <c r="A173" t="s">
        <v>548</v>
      </c>
      <c r="B173" t="s">
        <v>549</v>
      </c>
      <c r="C173" s="4">
        <v>46084</v>
      </c>
      <c r="D173" t="s">
        <v>234</v>
      </c>
      <c r="E173" t="s">
        <v>70</v>
      </c>
      <c r="F173" s="4">
        <v>46084</v>
      </c>
      <c r="G173" s="4">
        <v>46084</v>
      </c>
      <c r="H173" t="s">
        <v>111</v>
      </c>
      <c r="I173" t="s">
        <v>222</v>
      </c>
      <c r="J173" t="s">
        <v>117</v>
      </c>
      <c r="K173" t="s">
        <v>60</v>
      </c>
      <c r="L173" t="s">
        <v>94</v>
      </c>
      <c r="M173" s="5">
        <v>7300</v>
      </c>
      <c r="N173" s="5">
        <v>1300</v>
      </c>
      <c r="O173" s="5">
        <v>1000</v>
      </c>
      <c r="P173" s="5">
        <v>0</v>
      </c>
      <c r="Q173" s="5">
        <v>10600</v>
      </c>
      <c r="R173" t="s">
        <v>134</v>
      </c>
      <c r="S173" t="s">
        <v>76</v>
      </c>
      <c r="T173" s="5">
        <v>6030</v>
      </c>
      <c r="U173" s="6">
        <v>5</v>
      </c>
      <c r="V173" t="s">
        <v>64</v>
      </c>
      <c r="W173" s="4"/>
      <c r="X173" t="s">
        <v>65</v>
      </c>
      <c r="Y173" t="s">
        <v>64</v>
      </c>
      <c r="Z173" t="s">
        <v>436</v>
      </c>
    </row>
    <row r="174" spans="1:26">
      <c r="A174" t="s">
        <v>550</v>
      </c>
      <c r="B174" t="s">
        <v>551</v>
      </c>
      <c r="C174" s="4">
        <v>46082</v>
      </c>
      <c r="D174" t="s">
        <v>330</v>
      </c>
      <c r="E174" t="s">
        <v>70</v>
      </c>
      <c r="F174" s="4">
        <v>46082</v>
      </c>
      <c r="G174" s="4">
        <v>46084</v>
      </c>
      <c r="H174" t="s">
        <v>138</v>
      </c>
      <c r="I174" t="s">
        <v>235</v>
      </c>
      <c r="J174" t="s">
        <v>261</v>
      </c>
      <c r="K174" t="s">
        <v>73</v>
      </c>
      <c r="L174" t="s">
        <v>94</v>
      </c>
      <c r="M174" s="5">
        <v>5000</v>
      </c>
      <c r="N174" s="5">
        <v>450</v>
      </c>
      <c r="O174" s="5">
        <v>500</v>
      </c>
      <c r="P174" s="5">
        <v>5000</v>
      </c>
      <c r="Q174" s="5">
        <v>11950</v>
      </c>
      <c r="R174" t="s">
        <v>85</v>
      </c>
      <c r="S174" t="s">
        <v>76</v>
      </c>
      <c r="T174" s="5">
        <v>3890</v>
      </c>
      <c r="U174" s="6">
        <v>5</v>
      </c>
      <c r="V174" t="s">
        <v>77</v>
      </c>
      <c r="W174" s="4">
        <v>46102</v>
      </c>
      <c r="X174" t="s">
        <v>77</v>
      </c>
      <c r="Y174" t="s">
        <v>64</v>
      </c>
      <c r="Z174" t="s">
        <v>107</v>
      </c>
    </row>
    <row r="175" spans="1:26">
      <c r="A175" t="s">
        <v>552</v>
      </c>
      <c r="B175" t="s">
        <v>553</v>
      </c>
      <c r="C175" s="4">
        <v>46079</v>
      </c>
      <c r="D175" t="s">
        <v>161</v>
      </c>
      <c r="E175" t="s">
        <v>70</v>
      </c>
      <c r="F175" s="4">
        <v>46080</v>
      </c>
      <c r="G175" s="4">
        <v>46080</v>
      </c>
      <c r="H175" t="s">
        <v>90</v>
      </c>
      <c r="I175" t="s">
        <v>299</v>
      </c>
      <c r="J175" t="s">
        <v>129</v>
      </c>
      <c r="K175" t="s">
        <v>60</v>
      </c>
      <c r="L175" t="s">
        <v>94</v>
      </c>
      <c r="M175" s="5">
        <v>40800</v>
      </c>
      <c r="N175" s="5">
        <v>7100</v>
      </c>
      <c r="O175" s="5">
        <v>7900</v>
      </c>
      <c r="P175" s="5">
        <v>0</v>
      </c>
      <c r="Q175" s="5">
        <v>57300</v>
      </c>
      <c r="R175" t="s">
        <v>85</v>
      </c>
      <c r="S175" t="s">
        <v>76</v>
      </c>
      <c r="T175" s="5">
        <v>15220</v>
      </c>
      <c r="U175" s="6">
        <v>2</v>
      </c>
      <c r="V175" t="s">
        <v>77</v>
      </c>
      <c r="W175" s="4">
        <v>46094</v>
      </c>
      <c r="X175" t="s">
        <v>64</v>
      </c>
      <c r="Y175" t="s">
        <v>77</v>
      </c>
      <c r="Z175" t="s">
        <v>107</v>
      </c>
    </row>
    <row r="176" spans="1:26">
      <c r="A176" t="s">
        <v>554</v>
      </c>
      <c r="B176" t="s">
        <v>555</v>
      </c>
      <c r="C176" s="4">
        <v>46028</v>
      </c>
      <c r="D176" t="s">
        <v>439</v>
      </c>
      <c r="E176" t="s">
        <v>70</v>
      </c>
      <c r="F176" s="4">
        <v>46029</v>
      </c>
      <c r="G176" s="4">
        <v>46031</v>
      </c>
      <c r="H176" t="s">
        <v>121</v>
      </c>
      <c r="I176" t="s">
        <v>174</v>
      </c>
      <c r="J176" t="s">
        <v>123</v>
      </c>
      <c r="K176" t="s">
        <v>73</v>
      </c>
      <c r="L176" t="s">
        <v>61</v>
      </c>
      <c r="M176" s="5">
        <v>48900</v>
      </c>
      <c r="N176" s="5">
        <v>4800</v>
      </c>
      <c r="O176" s="5">
        <v>4950</v>
      </c>
      <c r="P176" s="5">
        <v>6000</v>
      </c>
      <c r="Q176" s="5">
        <v>66450</v>
      </c>
      <c r="R176" t="s">
        <v>85</v>
      </c>
      <c r="S176" t="s">
        <v>76</v>
      </c>
      <c r="T176" s="5">
        <v>17510</v>
      </c>
      <c r="U176" s="6">
        <v>4</v>
      </c>
      <c r="V176" t="s">
        <v>77</v>
      </c>
      <c r="W176" s="4">
        <v>46043</v>
      </c>
      <c r="X176" t="s">
        <v>64</v>
      </c>
      <c r="Y176" t="s">
        <v>64</v>
      </c>
      <c r="Z176" t="s">
        <v>96</v>
      </c>
    </row>
    <row r="177" spans="1:26">
      <c r="A177" t="s">
        <v>556</v>
      </c>
      <c r="B177" t="s">
        <v>557</v>
      </c>
      <c r="C177" s="4">
        <v>46154</v>
      </c>
      <c r="D177" t="s">
        <v>298</v>
      </c>
      <c r="E177" t="s">
        <v>191</v>
      </c>
      <c r="F177" s="4"/>
      <c r="G177" s="4"/>
      <c r="H177" t="s">
        <v>138</v>
      </c>
      <c r="I177" t="s">
        <v>444</v>
      </c>
      <c r="J177" t="s">
        <v>236</v>
      </c>
      <c r="K177" t="s">
        <v>60</v>
      </c>
      <c r="L177" t="s">
        <v>61</v>
      </c>
      <c r="M177" s="5"/>
      <c r="N177" s="5"/>
      <c r="O177" s="5"/>
      <c r="P177" s="5"/>
      <c r="Q177" s="5"/>
      <c r="R177" t="s">
        <v>75</v>
      </c>
      <c r="S177" t="s">
        <v>63</v>
      </c>
      <c r="T177" s="5"/>
      <c r="U177" s="6"/>
      <c r="V177" t="s">
        <v>64</v>
      </c>
      <c r="W177" s="4"/>
      <c r="X177" t="s">
        <v>65</v>
      </c>
      <c r="Z177" t="s">
        <v>66</v>
      </c>
    </row>
    <row r="178" spans="1:26">
      <c r="A178" t="s">
        <v>558</v>
      </c>
      <c r="B178" t="s">
        <v>559</v>
      </c>
      <c r="C178" s="4">
        <v>46074</v>
      </c>
      <c r="D178" t="s">
        <v>294</v>
      </c>
      <c r="E178" t="s">
        <v>70</v>
      </c>
      <c r="F178" s="4">
        <v>46075</v>
      </c>
      <c r="G178" s="4">
        <v>46083</v>
      </c>
      <c r="H178" t="s">
        <v>82</v>
      </c>
      <c r="I178" t="s">
        <v>155</v>
      </c>
      <c r="J178" t="s">
        <v>156</v>
      </c>
      <c r="K178" t="s">
        <v>73</v>
      </c>
      <c r="L178" t="s">
        <v>74</v>
      </c>
      <c r="M178" s="5">
        <v>95700</v>
      </c>
      <c r="N178" s="5">
        <v>16500</v>
      </c>
      <c r="O178" s="5">
        <v>13150</v>
      </c>
      <c r="P178" s="5">
        <v>24000</v>
      </c>
      <c r="Q178" s="5">
        <v>151850</v>
      </c>
      <c r="R178" t="s">
        <v>95</v>
      </c>
      <c r="S178" t="s">
        <v>63</v>
      </c>
      <c r="T178" s="5">
        <v>151850</v>
      </c>
      <c r="U178" s="6">
        <v>5</v>
      </c>
      <c r="V178" t="s">
        <v>77</v>
      </c>
      <c r="W178" s="4">
        <v>46096</v>
      </c>
      <c r="X178" t="s">
        <v>77</v>
      </c>
      <c r="Y178" t="s">
        <v>64</v>
      </c>
      <c r="Z178" t="s">
        <v>107</v>
      </c>
    </row>
    <row r="179" spans="1:26">
      <c r="A179" t="s">
        <v>560</v>
      </c>
      <c r="B179" t="s">
        <v>258</v>
      </c>
      <c r="C179" s="4">
        <v>46104</v>
      </c>
      <c r="D179" t="s">
        <v>173</v>
      </c>
      <c r="E179" t="s">
        <v>70</v>
      </c>
      <c r="F179" s="4">
        <v>46104</v>
      </c>
      <c r="G179" s="4">
        <v>46111</v>
      </c>
      <c r="H179" t="s">
        <v>103</v>
      </c>
      <c r="I179" t="s">
        <v>364</v>
      </c>
      <c r="J179" t="s">
        <v>105</v>
      </c>
      <c r="K179" t="s">
        <v>73</v>
      </c>
      <c r="L179" t="s">
        <v>94</v>
      </c>
      <c r="M179" s="5">
        <v>60300</v>
      </c>
      <c r="N179" s="5">
        <v>10600</v>
      </c>
      <c r="O179" s="5">
        <v>8300</v>
      </c>
      <c r="P179" s="5">
        <v>31500</v>
      </c>
      <c r="Q179" s="5">
        <v>111500</v>
      </c>
      <c r="R179" t="s">
        <v>106</v>
      </c>
      <c r="S179" t="s">
        <v>86</v>
      </c>
      <c r="T179" s="5">
        <v>39720</v>
      </c>
      <c r="U179" s="6">
        <v>2</v>
      </c>
      <c r="V179" t="s">
        <v>77</v>
      </c>
      <c r="W179" s="4">
        <v>46126</v>
      </c>
      <c r="X179" t="s">
        <v>77</v>
      </c>
      <c r="Y179" t="s">
        <v>77</v>
      </c>
      <c r="Z179" t="s">
        <v>78</v>
      </c>
    </row>
    <row r="180" spans="1:26">
      <c r="A180" t="s">
        <v>561</v>
      </c>
      <c r="B180" t="s">
        <v>562</v>
      </c>
      <c r="C180" s="4">
        <v>46054</v>
      </c>
      <c r="D180" t="s">
        <v>120</v>
      </c>
      <c r="E180" t="s">
        <v>70</v>
      </c>
      <c r="F180" s="4">
        <v>46054</v>
      </c>
      <c r="G180" s="4">
        <v>46057</v>
      </c>
      <c r="H180" t="s">
        <v>178</v>
      </c>
      <c r="I180" t="s">
        <v>179</v>
      </c>
      <c r="J180" t="s">
        <v>180</v>
      </c>
      <c r="K180" t="s">
        <v>93</v>
      </c>
      <c r="L180" t="s">
        <v>94</v>
      </c>
      <c r="M180" s="5">
        <v>77200</v>
      </c>
      <c r="N180" s="5">
        <v>9150</v>
      </c>
      <c r="O180" s="5">
        <v>14700</v>
      </c>
      <c r="P180" s="5">
        <v>18000</v>
      </c>
      <c r="Q180" s="5">
        <v>120050</v>
      </c>
      <c r="R180" t="s">
        <v>75</v>
      </c>
      <c r="S180" t="s">
        <v>76</v>
      </c>
      <c r="T180" s="5">
        <v>54320</v>
      </c>
      <c r="U180" s="6">
        <v>4</v>
      </c>
      <c r="V180" t="s">
        <v>77</v>
      </c>
      <c r="W180" s="4">
        <v>46078</v>
      </c>
      <c r="X180" t="s">
        <v>64</v>
      </c>
      <c r="Y180" t="s">
        <v>64</v>
      </c>
      <c r="Z180" t="s">
        <v>78</v>
      </c>
    </row>
    <row r="181" spans="1:26">
      <c r="A181" t="s">
        <v>563</v>
      </c>
      <c r="B181" t="s">
        <v>401</v>
      </c>
      <c r="C181" s="4">
        <v>46150</v>
      </c>
      <c r="D181" t="s">
        <v>120</v>
      </c>
      <c r="E181" t="s">
        <v>70</v>
      </c>
      <c r="F181" s="4">
        <v>46150</v>
      </c>
      <c r="G181" s="4">
        <v>46150</v>
      </c>
      <c r="H181" t="s">
        <v>90</v>
      </c>
      <c r="I181" t="s">
        <v>128</v>
      </c>
      <c r="J181" t="s">
        <v>92</v>
      </c>
      <c r="K181" t="s">
        <v>60</v>
      </c>
      <c r="L181" t="s">
        <v>61</v>
      </c>
      <c r="M181" s="5">
        <v>67600</v>
      </c>
      <c r="N181" s="5">
        <v>12100</v>
      </c>
      <c r="O181" s="5">
        <v>16000</v>
      </c>
      <c r="P181" s="5">
        <v>0</v>
      </c>
      <c r="Q181" s="5">
        <v>97700</v>
      </c>
      <c r="R181" t="s">
        <v>106</v>
      </c>
      <c r="S181" t="s">
        <v>86</v>
      </c>
      <c r="T181" s="5">
        <v>34900</v>
      </c>
      <c r="U181" s="6">
        <v>4</v>
      </c>
      <c r="V181" t="s">
        <v>77</v>
      </c>
      <c r="W181" s="4">
        <v>46171</v>
      </c>
      <c r="X181" t="s">
        <v>77</v>
      </c>
      <c r="Y181" t="s">
        <v>64</v>
      </c>
      <c r="Z181" t="s">
        <v>96</v>
      </c>
    </row>
    <row r="182" spans="1:26">
      <c r="A182" t="s">
        <v>564</v>
      </c>
      <c r="B182" t="s">
        <v>565</v>
      </c>
      <c r="C182" s="4">
        <v>46125</v>
      </c>
      <c r="D182" t="s">
        <v>294</v>
      </c>
      <c r="E182" t="s">
        <v>70</v>
      </c>
      <c r="F182" s="4">
        <v>46126</v>
      </c>
      <c r="G182" s="4">
        <v>46126</v>
      </c>
      <c r="H182" t="s">
        <v>111</v>
      </c>
      <c r="I182" t="s">
        <v>355</v>
      </c>
      <c r="J182" t="s">
        <v>113</v>
      </c>
      <c r="K182" t="s">
        <v>60</v>
      </c>
      <c r="L182" t="s">
        <v>74</v>
      </c>
      <c r="M182" s="5">
        <v>23500</v>
      </c>
      <c r="N182" s="5">
        <v>4000</v>
      </c>
      <c r="O182" s="5">
        <v>5300</v>
      </c>
      <c r="P182" s="5">
        <v>0</v>
      </c>
      <c r="Q182" s="5">
        <v>34300</v>
      </c>
      <c r="R182" t="s">
        <v>62</v>
      </c>
      <c r="S182" t="s">
        <v>76</v>
      </c>
      <c r="T182" s="5">
        <v>10690</v>
      </c>
      <c r="U182" s="6">
        <v>5</v>
      </c>
      <c r="V182" t="s">
        <v>77</v>
      </c>
      <c r="W182" s="4">
        <v>46146</v>
      </c>
      <c r="X182" t="s">
        <v>77</v>
      </c>
      <c r="Y182" t="s">
        <v>64</v>
      </c>
      <c r="Z182" t="s">
        <v>78</v>
      </c>
    </row>
    <row r="183" spans="1:26">
      <c r="A183" t="s">
        <v>566</v>
      </c>
      <c r="B183" t="s">
        <v>567</v>
      </c>
      <c r="C183" s="4">
        <v>46024</v>
      </c>
      <c r="D183" t="s">
        <v>120</v>
      </c>
      <c r="E183" t="s">
        <v>338</v>
      </c>
      <c r="F183" s="4"/>
      <c r="G183" s="4"/>
      <c r="H183" t="s">
        <v>150</v>
      </c>
      <c r="I183" t="s">
        <v>239</v>
      </c>
      <c r="J183" t="s">
        <v>229</v>
      </c>
      <c r="K183" t="s">
        <v>60</v>
      </c>
      <c r="L183" t="s">
        <v>74</v>
      </c>
      <c r="M183" s="5"/>
      <c r="N183" s="5"/>
      <c r="O183" s="5"/>
      <c r="P183" s="5"/>
      <c r="Q183" s="5"/>
      <c r="R183" t="s">
        <v>141</v>
      </c>
      <c r="S183" t="s">
        <v>63</v>
      </c>
      <c r="T183" s="5"/>
      <c r="U183" s="6"/>
      <c r="V183" t="s">
        <v>64</v>
      </c>
      <c r="W183" s="4"/>
      <c r="X183" t="s">
        <v>65</v>
      </c>
      <c r="Z183" t="s">
        <v>66</v>
      </c>
    </row>
    <row r="184" spans="1:26">
      <c r="A184" t="s">
        <v>568</v>
      </c>
      <c r="B184" t="s">
        <v>569</v>
      </c>
      <c r="C184" s="4">
        <v>46092</v>
      </c>
      <c r="D184" t="s">
        <v>298</v>
      </c>
      <c r="E184" t="s">
        <v>70</v>
      </c>
      <c r="F184" s="4">
        <v>46092</v>
      </c>
      <c r="G184" s="4">
        <v>46092</v>
      </c>
      <c r="H184" t="s">
        <v>103</v>
      </c>
      <c r="I184" t="s">
        <v>207</v>
      </c>
      <c r="J184" t="s">
        <v>105</v>
      </c>
      <c r="K184" t="s">
        <v>60</v>
      </c>
      <c r="L184" t="s">
        <v>74</v>
      </c>
      <c r="M184" s="5">
        <v>55600</v>
      </c>
      <c r="N184" s="5">
        <v>5150</v>
      </c>
      <c r="O184" s="5">
        <v>9950</v>
      </c>
      <c r="P184" s="5">
        <v>0</v>
      </c>
      <c r="Q184" s="5">
        <v>72200</v>
      </c>
      <c r="R184" t="s">
        <v>85</v>
      </c>
      <c r="S184" t="s">
        <v>76</v>
      </c>
      <c r="T184" s="5">
        <v>18950</v>
      </c>
      <c r="U184" s="6">
        <v>4</v>
      </c>
      <c r="V184" t="s">
        <v>77</v>
      </c>
      <c r="W184" s="4">
        <v>46110</v>
      </c>
      <c r="X184" t="s">
        <v>77</v>
      </c>
      <c r="Y184" t="s">
        <v>77</v>
      </c>
      <c r="Z184" t="s">
        <v>96</v>
      </c>
    </row>
    <row r="185" spans="1:26">
      <c r="A185" t="s">
        <v>570</v>
      </c>
      <c r="B185" t="s">
        <v>571</v>
      </c>
      <c r="C185" s="4">
        <v>46149</v>
      </c>
      <c r="D185" t="s">
        <v>99</v>
      </c>
      <c r="E185" t="s">
        <v>70</v>
      </c>
      <c r="F185" s="4">
        <v>46149</v>
      </c>
      <c r="G185" s="4">
        <v>46149</v>
      </c>
      <c r="H185" t="s">
        <v>150</v>
      </c>
      <c r="I185" t="s">
        <v>304</v>
      </c>
      <c r="J185" t="s">
        <v>152</v>
      </c>
      <c r="K185" t="s">
        <v>60</v>
      </c>
      <c r="L185" t="s">
        <v>94</v>
      </c>
      <c r="M185" s="5">
        <v>22000</v>
      </c>
      <c r="N185" s="5">
        <v>3550</v>
      </c>
      <c r="O185" s="5">
        <v>4700</v>
      </c>
      <c r="P185" s="5">
        <v>0</v>
      </c>
      <c r="Q185" s="5">
        <v>31450</v>
      </c>
      <c r="R185" t="s">
        <v>141</v>
      </c>
      <c r="S185" t="s">
        <v>76</v>
      </c>
      <c r="T185" s="5">
        <v>5920</v>
      </c>
      <c r="U185" s="6">
        <v>5</v>
      </c>
      <c r="V185" t="s">
        <v>64</v>
      </c>
      <c r="W185" s="4"/>
      <c r="X185" t="s">
        <v>65</v>
      </c>
      <c r="Y185" t="s">
        <v>64</v>
      </c>
      <c r="Z185" t="s">
        <v>96</v>
      </c>
    </row>
    <row r="186" spans="1:26">
      <c r="A186" t="s">
        <v>572</v>
      </c>
      <c r="B186" t="s">
        <v>573</v>
      </c>
      <c r="C186" s="4">
        <v>46074</v>
      </c>
      <c r="D186" t="s">
        <v>432</v>
      </c>
      <c r="E186" t="s">
        <v>70</v>
      </c>
      <c r="F186" s="4">
        <v>46074</v>
      </c>
      <c r="G186" s="4">
        <v>46078</v>
      </c>
      <c r="H186" t="s">
        <v>201</v>
      </c>
      <c r="I186" t="s">
        <v>280</v>
      </c>
      <c r="J186" t="s">
        <v>203</v>
      </c>
      <c r="K186" t="s">
        <v>124</v>
      </c>
      <c r="L186" t="s">
        <v>146</v>
      </c>
      <c r="M186" s="5">
        <v>35400</v>
      </c>
      <c r="N186" s="5">
        <v>6000</v>
      </c>
      <c r="O186" s="5">
        <v>4550</v>
      </c>
      <c r="P186" s="5">
        <v>10000</v>
      </c>
      <c r="Q186" s="5">
        <v>56950</v>
      </c>
      <c r="R186" t="s">
        <v>141</v>
      </c>
      <c r="S186" t="s">
        <v>76</v>
      </c>
      <c r="T186" s="5">
        <v>9740</v>
      </c>
      <c r="U186" s="6">
        <v>2</v>
      </c>
      <c r="V186" t="s">
        <v>77</v>
      </c>
      <c r="W186" s="4">
        <v>46086</v>
      </c>
      <c r="X186" t="s">
        <v>64</v>
      </c>
      <c r="Y186" t="s">
        <v>77</v>
      </c>
      <c r="Z186" t="s">
        <v>96</v>
      </c>
    </row>
    <row r="187" spans="1:26">
      <c r="A187" t="s">
        <v>574</v>
      </c>
      <c r="B187" t="s">
        <v>165</v>
      </c>
      <c r="C187" s="4">
        <v>46120</v>
      </c>
      <c r="D187" t="s">
        <v>432</v>
      </c>
      <c r="E187" t="s">
        <v>70</v>
      </c>
      <c r="F187" s="4">
        <v>46121</v>
      </c>
      <c r="G187" s="4">
        <v>46121</v>
      </c>
      <c r="H187" t="s">
        <v>121</v>
      </c>
      <c r="I187" t="s">
        <v>122</v>
      </c>
      <c r="J187" t="s">
        <v>256</v>
      </c>
      <c r="K187" t="s">
        <v>60</v>
      </c>
      <c r="L187" t="s">
        <v>94</v>
      </c>
      <c r="M187" s="5">
        <v>14500</v>
      </c>
      <c r="N187" s="5">
        <v>1250</v>
      </c>
      <c r="O187" s="5">
        <v>2000</v>
      </c>
      <c r="P187" s="5">
        <v>0</v>
      </c>
      <c r="Q187" s="5">
        <v>18750</v>
      </c>
      <c r="R187" t="s">
        <v>75</v>
      </c>
      <c r="S187" t="s">
        <v>76</v>
      </c>
      <c r="T187" s="5">
        <v>8740</v>
      </c>
      <c r="U187" s="6">
        <v>5</v>
      </c>
      <c r="V187" t="s">
        <v>64</v>
      </c>
      <c r="W187" s="4"/>
      <c r="X187" t="s">
        <v>65</v>
      </c>
      <c r="Y187" t="s">
        <v>64</v>
      </c>
      <c r="Z187" t="s">
        <v>96</v>
      </c>
    </row>
    <row r="188" spans="1:26">
      <c r="A188" t="s">
        <v>575</v>
      </c>
      <c r="B188" t="s">
        <v>576</v>
      </c>
      <c r="C188" s="4">
        <v>46091</v>
      </c>
      <c r="D188" t="s">
        <v>307</v>
      </c>
      <c r="E188" t="s">
        <v>70</v>
      </c>
      <c r="F188" s="4">
        <v>46091</v>
      </c>
      <c r="G188" s="4">
        <v>46095</v>
      </c>
      <c r="H188" t="s">
        <v>178</v>
      </c>
      <c r="I188" t="s">
        <v>462</v>
      </c>
      <c r="J188" t="s">
        <v>180</v>
      </c>
      <c r="K188" t="s">
        <v>73</v>
      </c>
      <c r="L188" t="s">
        <v>94</v>
      </c>
      <c r="M188" s="5">
        <v>72600</v>
      </c>
      <c r="N188" s="5">
        <v>9250</v>
      </c>
      <c r="O188" s="5">
        <v>10600</v>
      </c>
      <c r="P188" s="5">
        <v>12000</v>
      </c>
      <c r="Q188" s="5">
        <v>106950</v>
      </c>
      <c r="R188" t="s">
        <v>75</v>
      </c>
      <c r="S188" t="s">
        <v>76</v>
      </c>
      <c r="T188" s="5">
        <v>48430</v>
      </c>
      <c r="U188" s="6">
        <v>1</v>
      </c>
      <c r="V188" t="s">
        <v>77</v>
      </c>
      <c r="W188" s="4">
        <v>46107</v>
      </c>
      <c r="X188" t="s">
        <v>64</v>
      </c>
      <c r="Y188" t="s">
        <v>77</v>
      </c>
      <c r="Z188" t="s">
        <v>78</v>
      </c>
    </row>
    <row r="189" spans="1:26">
      <c r="A189" t="s">
        <v>577</v>
      </c>
      <c r="B189" t="s">
        <v>578</v>
      </c>
      <c r="C189" s="4">
        <v>46113</v>
      </c>
      <c r="D189" t="s">
        <v>132</v>
      </c>
      <c r="E189" t="s">
        <v>70</v>
      </c>
      <c r="F189" s="4">
        <v>46113</v>
      </c>
      <c r="G189" s="4">
        <v>46114</v>
      </c>
      <c r="H189" t="s">
        <v>103</v>
      </c>
      <c r="I189" t="s">
        <v>214</v>
      </c>
      <c r="J189" t="s">
        <v>244</v>
      </c>
      <c r="K189" t="s">
        <v>60</v>
      </c>
      <c r="L189" t="s">
        <v>61</v>
      </c>
      <c r="M189" s="5">
        <v>90100</v>
      </c>
      <c r="N189" s="5">
        <v>11950</v>
      </c>
      <c r="O189" s="5">
        <v>11250</v>
      </c>
      <c r="P189" s="5">
        <v>3000</v>
      </c>
      <c r="Q189" s="5">
        <v>117100</v>
      </c>
      <c r="R189" t="s">
        <v>95</v>
      </c>
      <c r="S189" t="s">
        <v>63</v>
      </c>
      <c r="T189" s="5">
        <v>117100</v>
      </c>
      <c r="U189" s="6">
        <v>3</v>
      </c>
      <c r="V189" t="s">
        <v>77</v>
      </c>
      <c r="W189" s="4">
        <v>46133</v>
      </c>
      <c r="X189" t="s">
        <v>64</v>
      </c>
      <c r="Y189" t="s">
        <v>64</v>
      </c>
      <c r="Z189" t="s">
        <v>96</v>
      </c>
    </row>
    <row r="190" spans="1:26">
      <c r="A190" t="s">
        <v>579</v>
      </c>
      <c r="B190" t="s">
        <v>231</v>
      </c>
      <c r="C190" s="4">
        <v>46155</v>
      </c>
      <c r="D190" t="s">
        <v>242</v>
      </c>
      <c r="E190" t="s">
        <v>70</v>
      </c>
      <c r="F190" s="4">
        <v>46155</v>
      </c>
      <c r="G190" s="4">
        <v>46160</v>
      </c>
      <c r="H190" t="s">
        <v>90</v>
      </c>
      <c r="I190" t="s">
        <v>162</v>
      </c>
      <c r="J190" t="s">
        <v>129</v>
      </c>
      <c r="K190" t="s">
        <v>73</v>
      </c>
      <c r="L190" t="s">
        <v>94</v>
      </c>
      <c r="M190" s="5">
        <v>33300</v>
      </c>
      <c r="N190" s="5">
        <v>2750</v>
      </c>
      <c r="O190" s="5">
        <v>6200</v>
      </c>
      <c r="P190" s="5">
        <v>22500</v>
      </c>
      <c r="Q190" s="5">
        <v>65950</v>
      </c>
      <c r="R190" t="s">
        <v>106</v>
      </c>
      <c r="S190" t="s">
        <v>76</v>
      </c>
      <c r="T190" s="5">
        <v>23780</v>
      </c>
      <c r="U190" s="6">
        <v>5</v>
      </c>
      <c r="V190" t="s">
        <v>77</v>
      </c>
      <c r="W190" s="4">
        <v>46173</v>
      </c>
      <c r="X190" t="s">
        <v>77</v>
      </c>
      <c r="Y190" t="s">
        <v>64</v>
      </c>
      <c r="Z190" t="s">
        <v>78</v>
      </c>
    </row>
    <row r="191" spans="1:26">
      <c r="A191" t="s">
        <v>580</v>
      </c>
      <c r="B191" t="s">
        <v>581</v>
      </c>
      <c r="C191" s="4">
        <v>46129</v>
      </c>
      <c r="D191" t="s">
        <v>200</v>
      </c>
      <c r="E191" t="s">
        <v>70</v>
      </c>
      <c r="F191" s="4">
        <v>46129</v>
      </c>
      <c r="G191" s="4">
        <v>46133</v>
      </c>
      <c r="H191" t="s">
        <v>201</v>
      </c>
      <c r="I191" t="s">
        <v>202</v>
      </c>
      <c r="J191" t="s">
        <v>203</v>
      </c>
      <c r="K191" t="s">
        <v>124</v>
      </c>
      <c r="L191" t="s">
        <v>94</v>
      </c>
      <c r="M191" s="5">
        <v>39900</v>
      </c>
      <c r="N191" s="5">
        <v>7050</v>
      </c>
      <c r="O191" s="5">
        <v>8750</v>
      </c>
      <c r="P191" s="5">
        <v>14000</v>
      </c>
      <c r="Q191" s="5">
        <v>72200</v>
      </c>
      <c r="R191" t="s">
        <v>75</v>
      </c>
      <c r="S191" t="s">
        <v>76</v>
      </c>
      <c r="T191" s="5">
        <v>32790</v>
      </c>
      <c r="U191" s="6">
        <v>5</v>
      </c>
      <c r="V191" t="s">
        <v>77</v>
      </c>
      <c r="W191" s="4">
        <v>46150</v>
      </c>
      <c r="X191" t="s">
        <v>77</v>
      </c>
      <c r="Y191" t="s">
        <v>64</v>
      </c>
      <c r="Z191" t="s">
        <v>96</v>
      </c>
    </row>
    <row r="192" spans="1:26">
      <c r="A192" t="s">
        <v>582</v>
      </c>
      <c r="B192" t="s">
        <v>583</v>
      </c>
      <c r="C192" s="4">
        <v>46054</v>
      </c>
      <c r="D192" t="s">
        <v>234</v>
      </c>
      <c r="E192" t="s">
        <v>70</v>
      </c>
      <c r="F192" s="4">
        <v>46054</v>
      </c>
      <c r="G192" s="4">
        <v>46060</v>
      </c>
      <c r="H192" t="s">
        <v>90</v>
      </c>
      <c r="I192" t="s">
        <v>162</v>
      </c>
      <c r="J192" t="s">
        <v>92</v>
      </c>
      <c r="K192" t="s">
        <v>73</v>
      </c>
      <c r="L192" t="s">
        <v>94</v>
      </c>
      <c r="M192" s="5">
        <v>57600</v>
      </c>
      <c r="N192" s="5">
        <v>7500</v>
      </c>
      <c r="O192" s="5">
        <v>14050</v>
      </c>
      <c r="P192" s="5">
        <v>36000</v>
      </c>
      <c r="Q192" s="5">
        <v>116350</v>
      </c>
      <c r="R192" t="s">
        <v>75</v>
      </c>
      <c r="S192" t="s">
        <v>76</v>
      </c>
      <c r="T192" s="5">
        <v>52660</v>
      </c>
      <c r="U192" s="6">
        <v>3</v>
      </c>
      <c r="V192" t="s">
        <v>77</v>
      </c>
      <c r="W192" s="4">
        <v>46078</v>
      </c>
      <c r="X192" t="s">
        <v>77</v>
      </c>
      <c r="Y192" t="s">
        <v>64</v>
      </c>
      <c r="Z192" t="s">
        <v>96</v>
      </c>
    </row>
    <row r="193" spans="1:26">
      <c r="A193" t="s">
        <v>584</v>
      </c>
      <c r="B193" t="s">
        <v>176</v>
      </c>
      <c r="C193" s="4">
        <v>46089</v>
      </c>
      <c r="D193" t="s">
        <v>200</v>
      </c>
      <c r="E193" t="s">
        <v>70</v>
      </c>
      <c r="F193" s="4">
        <v>46089</v>
      </c>
      <c r="G193" s="4">
        <v>46089</v>
      </c>
      <c r="H193" t="s">
        <v>178</v>
      </c>
      <c r="I193" t="s">
        <v>339</v>
      </c>
      <c r="J193" t="s">
        <v>340</v>
      </c>
      <c r="K193" t="s">
        <v>60</v>
      </c>
      <c r="L193" t="s">
        <v>94</v>
      </c>
      <c r="M193" s="5">
        <v>58400</v>
      </c>
      <c r="N193" s="5">
        <v>7900</v>
      </c>
      <c r="O193" s="5">
        <v>8500</v>
      </c>
      <c r="P193" s="5">
        <v>0</v>
      </c>
      <c r="Q193" s="5">
        <v>75600</v>
      </c>
      <c r="R193" t="s">
        <v>75</v>
      </c>
      <c r="S193" t="s">
        <v>76</v>
      </c>
      <c r="T193" s="5">
        <v>34320</v>
      </c>
      <c r="U193" s="6">
        <v>5</v>
      </c>
      <c r="V193" t="s">
        <v>77</v>
      </c>
      <c r="W193" s="4">
        <v>46104</v>
      </c>
      <c r="X193" t="s">
        <v>77</v>
      </c>
      <c r="Y193" t="s">
        <v>64</v>
      </c>
      <c r="Z193" t="s">
        <v>78</v>
      </c>
    </row>
    <row r="194" spans="1:26">
      <c r="A194" t="s">
        <v>585</v>
      </c>
      <c r="B194" t="s">
        <v>553</v>
      </c>
      <c r="C194" s="4">
        <v>46142</v>
      </c>
      <c r="D194" t="s">
        <v>183</v>
      </c>
      <c r="E194" t="s">
        <v>70</v>
      </c>
      <c r="F194" s="4">
        <v>46143</v>
      </c>
      <c r="G194" s="4">
        <v>46145</v>
      </c>
      <c r="H194" t="s">
        <v>111</v>
      </c>
      <c r="I194" t="s">
        <v>222</v>
      </c>
      <c r="J194" t="s">
        <v>117</v>
      </c>
      <c r="K194" t="s">
        <v>93</v>
      </c>
      <c r="L194" t="s">
        <v>61</v>
      </c>
      <c r="M194" s="5">
        <v>9200</v>
      </c>
      <c r="N194" s="5">
        <v>1450</v>
      </c>
      <c r="O194" s="5">
        <v>1700</v>
      </c>
      <c r="P194" s="5">
        <v>7000</v>
      </c>
      <c r="Q194" s="5">
        <v>20350</v>
      </c>
      <c r="R194" t="s">
        <v>75</v>
      </c>
      <c r="S194" t="s">
        <v>76</v>
      </c>
      <c r="T194" s="5">
        <v>9460</v>
      </c>
      <c r="U194" s="6">
        <v>4</v>
      </c>
      <c r="V194" t="s">
        <v>77</v>
      </c>
      <c r="W194" s="4">
        <v>46156</v>
      </c>
      <c r="X194" t="s">
        <v>77</v>
      </c>
      <c r="Y194" t="s">
        <v>64</v>
      </c>
      <c r="Z194" t="s">
        <v>96</v>
      </c>
    </row>
    <row r="195" spans="1:26">
      <c r="A195" t="s">
        <v>586</v>
      </c>
      <c r="B195" t="s">
        <v>587</v>
      </c>
      <c r="C195" s="4">
        <v>46050</v>
      </c>
      <c r="D195" t="s">
        <v>168</v>
      </c>
      <c r="E195" t="s">
        <v>314</v>
      </c>
      <c r="F195" s="4"/>
      <c r="G195" s="4"/>
      <c r="H195" t="s">
        <v>90</v>
      </c>
      <c r="I195" t="s">
        <v>162</v>
      </c>
      <c r="J195" t="s">
        <v>129</v>
      </c>
      <c r="K195" t="s">
        <v>124</v>
      </c>
      <c r="L195" t="s">
        <v>94</v>
      </c>
      <c r="M195" s="5"/>
      <c r="N195" s="5"/>
      <c r="O195" s="5"/>
      <c r="P195" s="5"/>
      <c r="Q195" s="5"/>
      <c r="R195" t="s">
        <v>75</v>
      </c>
      <c r="S195" t="s">
        <v>63</v>
      </c>
      <c r="T195" s="5"/>
      <c r="U195" s="6"/>
      <c r="V195" t="s">
        <v>64</v>
      </c>
      <c r="W195" s="4"/>
      <c r="X195" t="s">
        <v>65</v>
      </c>
      <c r="Z195" t="s">
        <v>66</v>
      </c>
    </row>
    <row r="196" spans="1:26">
      <c r="A196" t="s">
        <v>588</v>
      </c>
      <c r="B196" t="s">
        <v>589</v>
      </c>
      <c r="C196" s="4">
        <v>46036</v>
      </c>
      <c r="D196" t="s">
        <v>127</v>
      </c>
      <c r="E196" t="s">
        <v>70</v>
      </c>
      <c r="F196" s="4">
        <v>46036</v>
      </c>
      <c r="G196" s="4">
        <v>46043</v>
      </c>
      <c r="H196" t="s">
        <v>103</v>
      </c>
      <c r="I196" t="s">
        <v>412</v>
      </c>
      <c r="J196" t="s">
        <v>105</v>
      </c>
      <c r="K196" t="s">
        <v>93</v>
      </c>
      <c r="L196" t="s">
        <v>61</v>
      </c>
      <c r="M196" s="5">
        <v>63600</v>
      </c>
      <c r="N196" s="5">
        <v>11050</v>
      </c>
      <c r="O196" s="5">
        <v>14050</v>
      </c>
      <c r="P196" s="5">
        <v>42000</v>
      </c>
      <c r="Q196" s="5">
        <v>131900</v>
      </c>
      <c r="R196" t="s">
        <v>95</v>
      </c>
      <c r="S196" t="s">
        <v>63</v>
      </c>
      <c r="T196" s="5">
        <v>131900</v>
      </c>
      <c r="U196" s="6">
        <v>4</v>
      </c>
      <c r="V196" t="s">
        <v>77</v>
      </c>
      <c r="W196" s="4">
        <v>46050</v>
      </c>
      <c r="X196" t="s">
        <v>77</v>
      </c>
      <c r="Y196" t="s">
        <v>64</v>
      </c>
      <c r="Z196" t="s">
        <v>96</v>
      </c>
    </row>
    <row r="197" spans="1:26">
      <c r="A197" t="s">
        <v>590</v>
      </c>
      <c r="B197" t="s">
        <v>591</v>
      </c>
      <c r="C197" s="4">
        <v>46126</v>
      </c>
      <c r="D197" t="s">
        <v>307</v>
      </c>
      <c r="E197" t="s">
        <v>314</v>
      </c>
      <c r="F197" s="4"/>
      <c r="G197" s="4"/>
      <c r="H197" t="s">
        <v>201</v>
      </c>
      <c r="I197" t="s">
        <v>327</v>
      </c>
      <c r="J197" t="s">
        <v>203</v>
      </c>
      <c r="K197" t="s">
        <v>73</v>
      </c>
      <c r="L197" t="s">
        <v>94</v>
      </c>
      <c r="M197" s="5"/>
      <c r="N197" s="5"/>
      <c r="O197" s="5"/>
      <c r="P197" s="5"/>
      <c r="Q197" s="5"/>
      <c r="R197" t="s">
        <v>134</v>
      </c>
      <c r="S197" t="s">
        <v>63</v>
      </c>
      <c r="T197" s="5"/>
      <c r="U197" s="6"/>
      <c r="V197" t="s">
        <v>64</v>
      </c>
      <c r="W197" s="4"/>
      <c r="X197" t="s">
        <v>65</v>
      </c>
      <c r="Z197" t="s">
        <v>66</v>
      </c>
    </row>
    <row r="198" spans="1:26">
      <c r="A198" t="s">
        <v>592</v>
      </c>
      <c r="B198" t="s">
        <v>476</v>
      </c>
      <c r="C198" s="4">
        <v>46028</v>
      </c>
      <c r="D198" t="s">
        <v>298</v>
      </c>
      <c r="E198" t="s">
        <v>314</v>
      </c>
      <c r="F198" s="4"/>
      <c r="G198" s="4"/>
      <c r="H198" t="s">
        <v>178</v>
      </c>
      <c r="I198" t="s">
        <v>415</v>
      </c>
      <c r="J198" t="s">
        <v>180</v>
      </c>
      <c r="K198" t="s">
        <v>73</v>
      </c>
      <c r="L198" t="s">
        <v>74</v>
      </c>
      <c r="M198" s="5"/>
      <c r="N198" s="5"/>
      <c r="O198" s="5"/>
      <c r="P198" s="5"/>
      <c r="Q198" s="5"/>
      <c r="R198" t="s">
        <v>85</v>
      </c>
      <c r="S198" t="s">
        <v>63</v>
      </c>
      <c r="T198" s="5"/>
      <c r="U198" s="6"/>
      <c r="V198" t="s">
        <v>64</v>
      </c>
      <c r="W198" s="4"/>
      <c r="X198" t="s">
        <v>65</v>
      </c>
      <c r="Z198" t="s">
        <v>66</v>
      </c>
    </row>
    <row r="199" spans="1:26">
      <c r="A199" t="s">
        <v>593</v>
      </c>
      <c r="B199" t="s">
        <v>594</v>
      </c>
      <c r="C199" s="4">
        <v>46048</v>
      </c>
      <c r="D199" t="s">
        <v>242</v>
      </c>
      <c r="E199" t="s">
        <v>70</v>
      </c>
      <c r="F199" s="4">
        <v>46048</v>
      </c>
      <c r="G199" s="4">
        <v>46048</v>
      </c>
      <c r="H199" t="s">
        <v>111</v>
      </c>
      <c r="I199" t="s">
        <v>116</v>
      </c>
      <c r="J199" t="s">
        <v>113</v>
      </c>
      <c r="K199" t="s">
        <v>60</v>
      </c>
      <c r="L199" t="s">
        <v>74</v>
      </c>
      <c r="M199" s="5">
        <v>19500</v>
      </c>
      <c r="N199" s="5">
        <v>1800</v>
      </c>
      <c r="O199" s="5">
        <v>3100</v>
      </c>
      <c r="P199" s="5">
        <v>0</v>
      </c>
      <c r="Q199" s="5">
        <v>25200</v>
      </c>
      <c r="R199" t="s">
        <v>85</v>
      </c>
      <c r="S199" t="s">
        <v>76</v>
      </c>
      <c r="T199" s="5">
        <v>7200</v>
      </c>
      <c r="U199" s="6">
        <v>5</v>
      </c>
      <c r="V199" t="s">
        <v>64</v>
      </c>
      <c r="W199" s="4"/>
      <c r="X199" t="s">
        <v>65</v>
      </c>
      <c r="Y199" t="s">
        <v>64</v>
      </c>
      <c r="Z199" t="s">
        <v>107</v>
      </c>
    </row>
    <row r="200" spans="1:26">
      <c r="A200" t="s">
        <v>595</v>
      </c>
      <c r="B200" t="s">
        <v>596</v>
      </c>
      <c r="C200" s="4">
        <v>46114</v>
      </c>
      <c r="D200" t="s">
        <v>469</v>
      </c>
      <c r="E200" t="s">
        <v>70</v>
      </c>
      <c r="F200" s="4">
        <v>46114</v>
      </c>
      <c r="G200" s="4">
        <v>46117</v>
      </c>
      <c r="H200" t="s">
        <v>90</v>
      </c>
      <c r="I200" t="s">
        <v>91</v>
      </c>
      <c r="J200" t="s">
        <v>197</v>
      </c>
      <c r="K200" t="s">
        <v>124</v>
      </c>
      <c r="L200" t="s">
        <v>74</v>
      </c>
      <c r="M200" s="5">
        <v>19200</v>
      </c>
      <c r="N200" s="5">
        <v>1850</v>
      </c>
      <c r="O200" s="5">
        <v>3800</v>
      </c>
      <c r="P200" s="5">
        <v>18000</v>
      </c>
      <c r="Q200" s="5">
        <v>44050</v>
      </c>
      <c r="R200" t="s">
        <v>106</v>
      </c>
      <c r="S200" t="s">
        <v>76</v>
      </c>
      <c r="T200" s="5">
        <v>16120</v>
      </c>
      <c r="U200" s="6">
        <v>3</v>
      </c>
      <c r="V200" t="s">
        <v>77</v>
      </c>
      <c r="W200" s="4">
        <v>46136</v>
      </c>
      <c r="X200" t="s">
        <v>77</v>
      </c>
      <c r="Y200" t="s">
        <v>64</v>
      </c>
      <c r="Z200" t="s">
        <v>78</v>
      </c>
    </row>
    <row r="201" spans="1:26">
      <c r="A201" t="s">
        <v>597</v>
      </c>
      <c r="B201" t="s">
        <v>598</v>
      </c>
      <c r="C201" s="4">
        <v>46157</v>
      </c>
      <c r="D201" t="s">
        <v>161</v>
      </c>
      <c r="E201" t="s">
        <v>70</v>
      </c>
      <c r="F201" s="4">
        <v>46158</v>
      </c>
      <c r="G201" s="4">
        <v>46163</v>
      </c>
      <c r="H201" t="s">
        <v>103</v>
      </c>
      <c r="I201" t="s">
        <v>243</v>
      </c>
      <c r="J201" t="s">
        <v>105</v>
      </c>
      <c r="K201" t="s">
        <v>73</v>
      </c>
      <c r="L201" t="s">
        <v>94</v>
      </c>
      <c r="M201" s="5">
        <v>55700</v>
      </c>
      <c r="N201" s="5">
        <v>8150</v>
      </c>
      <c r="O201" s="5">
        <v>9750</v>
      </c>
      <c r="P201" s="5">
        <v>22500</v>
      </c>
      <c r="Q201" s="5">
        <v>97900</v>
      </c>
      <c r="R201" t="s">
        <v>106</v>
      </c>
      <c r="S201" t="s">
        <v>76</v>
      </c>
      <c r="T201" s="5">
        <v>34960</v>
      </c>
      <c r="U201" s="6">
        <v>2</v>
      </c>
      <c r="V201" t="s">
        <v>77</v>
      </c>
      <c r="W201" s="4">
        <v>46184</v>
      </c>
      <c r="X201" t="s">
        <v>64</v>
      </c>
      <c r="Y201" t="s">
        <v>77</v>
      </c>
      <c r="Z201" t="s">
        <v>96</v>
      </c>
    </row>
    <row r="202" spans="1:26">
      <c r="A202" t="s">
        <v>599</v>
      </c>
      <c r="B202" t="s">
        <v>600</v>
      </c>
      <c r="C202" s="4">
        <v>46041</v>
      </c>
      <c r="D202" t="s">
        <v>383</v>
      </c>
      <c r="E202" t="s">
        <v>70</v>
      </c>
      <c r="F202" s="4">
        <v>46041</v>
      </c>
      <c r="G202" s="4">
        <v>46048</v>
      </c>
      <c r="H202" t="s">
        <v>90</v>
      </c>
      <c r="I202" t="s">
        <v>299</v>
      </c>
      <c r="J202" t="s">
        <v>92</v>
      </c>
      <c r="K202" t="s">
        <v>124</v>
      </c>
      <c r="L202" t="s">
        <v>94</v>
      </c>
      <c r="M202" s="5">
        <v>60500</v>
      </c>
      <c r="N202" s="5">
        <v>10800</v>
      </c>
      <c r="O202" s="5">
        <v>11250</v>
      </c>
      <c r="P202" s="5">
        <v>21000</v>
      </c>
      <c r="Q202" s="5">
        <v>105050</v>
      </c>
      <c r="R202" t="s">
        <v>75</v>
      </c>
      <c r="S202" t="s">
        <v>76</v>
      </c>
      <c r="T202" s="5">
        <v>47570</v>
      </c>
      <c r="U202" s="6">
        <v>5</v>
      </c>
      <c r="V202" t="s">
        <v>77</v>
      </c>
      <c r="W202" s="4">
        <v>46058</v>
      </c>
      <c r="X202" t="s">
        <v>77</v>
      </c>
      <c r="Y202" t="s">
        <v>64</v>
      </c>
      <c r="Z202" t="s">
        <v>96</v>
      </c>
    </row>
    <row r="203" spans="1:26">
      <c r="A203" t="s">
        <v>601</v>
      </c>
      <c r="B203" t="s">
        <v>602</v>
      </c>
      <c r="C203" s="4">
        <v>46024</v>
      </c>
      <c r="D203" t="s">
        <v>89</v>
      </c>
      <c r="E203" t="s">
        <v>70</v>
      </c>
      <c r="F203" s="4">
        <v>46025</v>
      </c>
      <c r="G203" s="4">
        <v>46031</v>
      </c>
      <c r="H203" t="s">
        <v>90</v>
      </c>
      <c r="I203" t="s">
        <v>91</v>
      </c>
      <c r="J203" t="s">
        <v>92</v>
      </c>
      <c r="K203" t="s">
        <v>124</v>
      </c>
      <c r="L203" t="s">
        <v>74</v>
      </c>
      <c r="M203" s="5">
        <v>50300</v>
      </c>
      <c r="N203" s="5">
        <v>5800</v>
      </c>
      <c r="O203" s="5">
        <v>11800</v>
      </c>
      <c r="P203" s="5">
        <v>18000</v>
      </c>
      <c r="Q203" s="5">
        <v>87100</v>
      </c>
      <c r="R203" t="s">
        <v>95</v>
      </c>
      <c r="S203" t="s">
        <v>63</v>
      </c>
      <c r="T203" s="5">
        <v>87100</v>
      </c>
      <c r="U203" s="6">
        <v>2</v>
      </c>
      <c r="V203" t="s">
        <v>77</v>
      </c>
      <c r="W203" s="4">
        <v>46048</v>
      </c>
      <c r="X203" t="s">
        <v>77</v>
      </c>
      <c r="Y203" t="s">
        <v>77</v>
      </c>
      <c r="Z203" t="s">
        <v>78</v>
      </c>
    </row>
    <row r="204" spans="1:26">
      <c r="A204" t="s">
        <v>603</v>
      </c>
      <c r="B204" t="s">
        <v>604</v>
      </c>
      <c r="C204" s="4">
        <v>46097</v>
      </c>
      <c r="D204" t="s">
        <v>55</v>
      </c>
      <c r="E204" t="s">
        <v>70</v>
      </c>
      <c r="F204" s="4">
        <v>46097</v>
      </c>
      <c r="G204" s="4">
        <v>46097</v>
      </c>
      <c r="H204" t="s">
        <v>111</v>
      </c>
      <c r="I204" t="s">
        <v>112</v>
      </c>
      <c r="J204" t="s">
        <v>113</v>
      </c>
      <c r="K204" t="s">
        <v>60</v>
      </c>
      <c r="L204" t="s">
        <v>94</v>
      </c>
      <c r="M204" s="5">
        <v>22800</v>
      </c>
      <c r="N204" s="5">
        <v>3750</v>
      </c>
      <c r="O204" s="5">
        <v>5450</v>
      </c>
      <c r="P204" s="5">
        <v>0</v>
      </c>
      <c r="Q204" s="5">
        <v>32800</v>
      </c>
      <c r="R204" t="s">
        <v>141</v>
      </c>
      <c r="S204" t="s">
        <v>76</v>
      </c>
      <c r="T204" s="5">
        <v>6120</v>
      </c>
      <c r="U204" s="6">
        <v>4</v>
      </c>
      <c r="V204" t="s">
        <v>77</v>
      </c>
      <c r="W204" s="4">
        <v>46115</v>
      </c>
      <c r="X204" t="s">
        <v>64</v>
      </c>
      <c r="Y204" t="s">
        <v>64</v>
      </c>
      <c r="Z204" t="s">
        <v>96</v>
      </c>
    </row>
    <row r="205" spans="1:26">
      <c r="A205" t="s">
        <v>605</v>
      </c>
      <c r="B205" t="s">
        <v>606</v>
      </c>
      <c r="C205" s="4">
        <v>46107</v>
      </c>
      <c r="D205" t="s">
        <v>99</v>
      </c>
      <c r="E205" t="s">
        <v>70</v>
      </c>
      <c r="F205" s="4">
        <v>46107</v>
      </c>
      <c r="G205" s="4">
        <v>46112</v>
      </c>
      <c r="H205" t="s">
        <v>90</v>
      </c>
      <c r="I205" t="s">
        <v>133</v>
      </c>
      <c r="J205" t="s">
        <v>92</v>
      </c>
      <c r="K205" t="s">
        <v>124</v>
      </c>
      <c r="L205" t="s">
        <v>94</v>
      </c>
      <c r="M205" s="5">
        <v>72500</v>
      </c>
      <c r="N205" s="5">
        <v>12550</v>
      </c>
      <c r="O205" s="5">
        <v>16900</v>
      </c>
      <c r="P205" s="5">
        <v>22500</v>
      </c>
      <c r="Q205" s="5">
        <v>126450</v>
      </c>
      <c r="R205" t="s">
        <v>62</v>
      </c>
      <c r="S205" t="s">
        <v>76</v>
      </c>
      <c r="T205" s="5">
        <v>38340</v>
      </c>
      <c r="U205" s="6">
        <v>4</v>
      </c>
      <c r="V205" t="s">
        <v>77</v>
      </c>
      <c r="W205" s="4">
        <v>46119</v>
      </c>
      <c r="X205" t="s">
        <v>77</v>
      </c>
      <c r="Y205" t="s">
        <v>64</v>
      </c>
      <c r="Z205" t="s">
        <v>96</v>
      </c>
    </row>
    <row r="206" spans="1:26">
      <c r="A206" t="s">
        <v>607</v>
      </c>
      <c r="B206" t="s">
        <v>591</v>
      </c>
      <c r="C206" s="4">
        <v>46159</v>
      </c>
      <c r="D206" t="s">
        <v>242</v>
      </c>
      <c r="E206" t="s">
        <v>70</v>
      </c>
      <c r="F206" s="4">
        <v>46159</v>
      </c>
      <c r="G206" s="4">
        <v>46165</v>
      </c>
      <c r="H206" t="s">
        <v>90</v>
      </c>
      <c r="I206" t="s">
        <v>91</v>
      </c>
      <c r="J206" t="s">
        <v>92</v>
      </c>
      <c r="K206" t="s">
        <v>124</v>
      </c>
      <c r="L206" t="s">
        <v>94</v>
      </c>
      <c r="M206" s="5">
        <v>53500</v>
      </c>
      <c r="N206" s="5">
        <v>4950</v>
      </c>
      <c r="O206" s="5">
        <v>11000</v>
      </c>
      <c r="P206" s="5">
        <v>36000</v>
      </c>
      <c r="Q206" s="5">
        <v>106650</v>
      </c>
      <c r="R206" t="s">
        <v>75</v>
      </c>
      <c r="S206" t="s">
        <v>76</v>
      </c>
      <c r="T206" s="5">
        <v>48290</v>
      </c>
      <c r="U206" s="6">
        <v>4</v>
      </c>
      <c r="V206" t="s">
        <v>64</v>
      </c>
      <c r="W206" s="4"/>
      <c r="X206" t="s">
        <v>65</v>
      </c>
      <c r="Y206" t="s">
        <v>64</v>
      </c>
      <c r="Z206" t="s">
        <v>107</v>
      </c>
    </row>
    <row r="207" spans="1:26">
      <c r="A207" t="s">
        <v>608</v>
      </c>
      <c r="B207" t="s">
        <v>609</v>
      </c>
      <c r="C207" s="4">
        <v>46168</v>
      </c>
      <c r="D207" t="s">
        <v>225</v>
      </c>
      <c r="E207" t="s">
        <v>56</v>
      </c>
      <c r="F207" s="4"/>
      <c r="G207" s="4"/>
      <c r="H207" t="s">
        <v>57</v>
      </c>
      <c r="I207" t="s">
        <v>211</v>
      </c>
      <c r="J207" t="s">
        <v>59</v>
      </c>
      <c r="K207" t="s">
        <v>60</v>
      </c>
      <c r="L207" t="s">
        <v>61</v>
      </c>
      <c r="M207" s="5"/>
      <c r="N207" s="5"/>
      <c r="O207" s="5"/>
      <c r="P207" s="5"/>
      <c r="Q207" s="5"/>
      <c r="R207" t="s">
        <v>85</v>
      </c>
      <c r="S207" t="s">
        <v>63</v>
      </c>
      <c r="T207" s="5"/>
      <c r="U207" s="6"/>
      <c r="V207" t="s">
        <v>64</v>
      </c>
      <c r="W207" s="4"/>
      <c r="X207" t="s">
        <v>65</v>
      </c>
      <c r="Z207" t="s">
        <v>66</v>
      </c>
    </row>
    <row r="208" spans="1:26">
      <c r="A208" t="s">
        <v>610</v>
      </c>
      <c r="B208" t="s">
        <v>286</v>
      </c>
      <c r="C208" s="4">
        <v>46112</v>
      </c>
      <c r="D208" t="s">
        <v>279</v>
      </c>
      <c r="E208" t="s">
        <v>177</v>
      </c>
      <c r="F208" s="4"/>
      <c r="G208" s="4"/>
      <c r="H208" t="s">
        <v>111</v>
      </c>
      <c r="I208" t="s">
        <v>355</v>
      </c>
      <c r="J208" t="s">
        <v>113</v>
      </c>
      <c r="K208" t="s">
        <v>60</v>
      </c>
      <c r="L208" t="s">
        <v>74</v>
      </c>
      <c r="M208" s="5"/>
      <c r="N208" s="5"/>
      <c r="O208" s="5"/>
      <c r="P208" s="5"/>
      <c r="Q208" s="5"/>
      <c r="R208" t="s">
        <v>62</v>
      </c>
      <c r="S208" t="s">
        <v>63</v>
      </c>
      <c r="T208" s="5"/>
      <c r="U208" s="6"/>
      <c r="V208" t="s">
        <v>64</v>
      </c>
      <c r="W208" s="4"/>
      <c r="X208" t="s">
        <v>65</v>
      </c>
      <c r="Z208" t="s">
        <v>66</v>
      </c>
    </row>
    <row r="209" spans="1:26">
      <c r="A209" t="s">
        <v>611</v>
      </c>
      <c r="B209" t="s">
        <v>221</v>
      </c>
      <c r="C209" s="4">
        <v>46087</v>
      </c>
      <c r="D209" t="s">
        <v>469</v>
      </c>
      <c r="E209" t="s">
        <v>70</v>
      </c>
      <c r="F209" s="4">
        <v>46087</v>
      </c>
      <c r="G209" s="4">
        <v>46091</v>
      </c>
      <c r="H209" t="s">
        <v>103</v>
      </c>
      <c r="I209" t="s">
        <v>214</v>
      </c>
      <c r="J209" t="s">
        <v>244</v>
      </c>
      <c r="K209" t="s">
        <v>124</v>
      </c>
      <c r="L209" t="s">
        <v>74</v>
      </c>
      <c r="M209" s="5">
        <v>69800</v>
      </c>
      <c r="N209" s="5">
        <v>11650</v>
      </c>
      <c r="O209" s="5">
        <v>9550</v>
      </c>
      <c r="P209" s="5">
        <v>14000</v>
      </c>
      <c r="Q209" s="5">
        <v>105800</v>
      </c>
      <c r="R209" t="s">
        <v>106</v>
      </c>
      <c r="S209" t="s">
        <v>76</v>
      </c>
      <c r="T209" s="5">
        <v>37730</v>
      </c>
      <c r="U209" s="6">
        <v>4</v>
      </c>
      <c r="V209" t="s">
        <v>77</v>
      </c>
      <c r="W209" s="4">
        <v>46103</v>
      </c>
      <c r="X209" t="s">
        <v>64</v>
      </c>
      <c r="Y209" t="s">
        <v>64</v>
      </c>
      <c r="Z209" t="s">
        <v>96</v>
      </c>
    </row>
    <row r="210" spans="1:26">
      <c r="A210" t="s">
        <v>612</v>
      </c>
      <c r="B210" t="s">
        <v>613</v>
      </c>
      <c r="C210" s="4">
        <v>46054</v>
      </c>
      <c r="D210" t="s">
        <v>302</v>
      </c>
      <c r="E210" t="s">
        <v>70</v>
      </c>
      <c r="F210" s="4">
        <v>46055</v>
      </c>
      <c r="G210" s="4">
        <v>46055</v>
      </c>
      <c r="H210" t="s">
        <v>103</v>
      </c>
      <c r="I210" t="s">
        <v>104</v>
      </c>
      <c r="J210" t="s">
        <v>105</v>
      </c>
      <c r="K210" t="s">
        <v>60</v>
      </c>
      <c r="L210" t="s">
        <v>74</v>
      </c>
      <c r="M210" s="5">
        <v>75700</v>
      </c>
      <c r="N210" s="5">
        <v>8100</v>
      </c>
      <c r="O210" s="5">
        <v>14250</v>
      </c>
      <c r="P210" s="5">
        <v>0</v>
      </c>
      <c r="Q210" s="5">
        <v>99850</v>
      </c>
      <c r="R210" t="s">
        <v>106</v>
      </c>
      <c r="S210" t="s">
        <v>163</v>
      </c>
      <c r="T210" s="5">
        <v>35650</v>
      </c>
      <c r="U210" s="6">
        <v>4</v>
      </c>
      <c r="V210" t="s">
        <v>77</v>
      </c>
      <c r="W210" s="4">
        <v>46075</v>
      </c>
      <c r="X210" t="s">
        <v>77</v>
      </c>
      <c r="Y210" t="s">
        <v>64</v>
      </c>
      <c r="Z210" t="s">
        <v>96</v>
      </c>
    </row>
    <row r="211" spans="1:26">
      <c r="A211" t="s">
        <v>614</v>
      </c>
      <c r="B211" t="s">
        <v>615</v>
      </c>
      <c r="C211" s="4">
        <v>46161</v>
      </c>
      <c r="D211" t="s">
        <v>168</v>
      </c>
      <c r="E211" t="s">
        <v>56</v>
      </c>
      <c r="F211" s="4"/>
      <c r="G211" s="4"/>
      <c r="H211" t="s">
        <v>57</v>
      </c>
      <c r="I211" t="s">
        <v>100</v>
      </c>
      <c r="J211" t="s">
        <v>59</v>
      </c>
      <c r="K211" t="s">
        <v>60</v>
      </c>
      <c r="L211" t="s">
        <v>94</v>
      </c>
      <c r="M211" s="5"/>
      <c r="N211" s="5"/>
      <c r="O211" s="5"/>
      <c r="P211" s="5"/>
      <c r="Q211" s="5"/>
      <c r="R211" t="s">
        <v>141</v>
      </c>
      <c r="S211" t="s">
        <v>63</v>
      </c>
      <c r="T211" s="5"/>
      <c r="U211" s="6"/>
      <c r="V211" t="s">
        <v>64</v>
      </c>
      <c r="W211" s="4"/>
      <c r="X211" t="s">
        <v>65</v>
      </c>
      <c r="Z211" t="s">
        <v>66</v>
      </c>
    </row>
    <row r="212" spans="1:26">
      <c r="A212" t="s">
        <v>616</v>
      </c>
      <c r="B212" t="s">
        <v>617</v>
      </c>
      <c r="C212" s="4">
        <v>46134</v>
      </c>
      <c r="D212" t="s">
        <v>439</v>
      </c>
      <c r="E212" t="s">
        <v>314</v>
      </c>
      <c r="F212" s="4"/>
      <c r="G212" s="4"/>
      <c r="H212" t="s">
        <v>57</v>
      </c>
      <c r="I212" t="s">
        <v>184</v>
      </c>
      <c r="J212" t="s">
        <v>59</v>
      </c>
      <c r="K212" t="s">
        <v>93</v>
      </c>
      <c r="L212" t="s">
        <v>146</v>
      </c>
      <c r="M212" s="5"/>
      <c r="N212" s="5"/>
      <c r="O212" s="5"/>
      <c r="P212" s="5"/>
      <c r="Q212" s="5"/>
      <c r="R212" t="s">
        <v>141</v>
      </c>
      <c r="S212" t="s">
        <v>63</v>
      </c>
      <c r="T212" s="5"/>
      <c r="U212" s="6"/>
      <c r="V212" t="s">
        <v>64</v>
      </c>
      <c r="W212" s="4"/>
      <c r="X212" t="s">
        <v>65</v>
      </c>
      <c r="Z212" t="s">
        <v>66</v>
      </c>
    </row>
    <row r="213" spans="1:26">
      <c r="A213" t="s">
        <v>618</v>
      </c>
      <c r="B213" t="s">
        <v>619</v>
      </c>
      <c r="C213" s="4">
        <v>46168</v>
      </c>
      <c r="D213" t="s">
        <v>337</v>
      </c>
      <c r="E213" t="s">
        <v>70</v>
      </c>
      <c r="F213" s="4">
        <v>46168</v>
      </c>
      <c r="G213" s="4">
        <v>46169</v>
      </c>
      <c r="H213" t="s">
        <v>111</v>
      </c>
      <c r="I213" t="s">
        <v>397</v>
      </c>
      <c r="J213" t="s">
        <v>113</v>
      </c>
      <c r="K213" t="s">
        <v>60</v>
      </c>
      <c r="L213" t="s">
        <v>94</v>
      </c>
      <c r="M213" s="5">
        <v>30700</v>
      </c>
      <c r="N213" s="5">
        <v>2700</v>
      </c>
      <c r="O213" s="5">
        <v>4200</v>
      </c>
      <c r="P213" s="5">
        <v>6000</v>
      </c>
      <c r="Q213" s="5">
        <v>45600</v>
      </c>
      <c r="R213" t="s">
        <v>106</v>
      </c>
      <c r="S213" t="s">
        <v>76</v>
      </c>
      <c r="T213" s="5">
        <v>16660</v>
      </c>
      <c r="U213" s="6"/>
      <c r="V213" t="s">
        <v>77</v>
      </c>
      <c r="W213" s="4">
        <v>46180</v>
      </c>
      <c r="X213" t="s">
        <v>77</v>
      </c>
      <c r="Y213" t="s">
        <v>64</v>
      </c>
      <c r="Z213" t="s">
        <v>96</v>
      </c>
    </row>
    <row r="214" spans="1:26">
      <c r="A214" t="s">
        <v>620</v>
      </c>
      <c r="B214" t="s">
        <v>621</v>
      </c>
      <c r="C214" s="4">
        <v>46025</v>
      </c>
      <c r="D214" t="s">
        <v>132</v>
      </c>
      <c r="E214" t="s">
        <v>177</v>
      </c>
      <c r="F214" s="4"/>
      <c r="G214" s="4"/>
      <c r="H214" t="s">
        <v>178</v>
      </c>
      <c r="I214" t="s">
        <v>622</v>
      </c>
      <c r="J214" t="s">
        <v>358</v>
      </c>
      <c r="K214" t="s">
        <v>73</v>
      </c>
      <c r="L214" t="s">
        <v>61</v>
      </c>
      <c r="M214" s="5"/>
      <c r="N214" s="5"/>
      <c r="O214" s="5"/>
      <c r="P214" s="5"/>
      <c r="Q214" s="5"/>
      <c r="R214" t="s">
        <v>75</v>
      </c>
      <c r="S214" t="s">
        <v>63</v>
      </c>
      <c r="T214" s="5"/>
      <c r="U214" s="6"/>
      <c r="V214" t="s">
        <v>64</v>
      </c>
      <c r="W214" s="4"/>
      <c r="X214" t="s">
        <v>65</v>
      </c>
      <c r="Z214" t="s">
        <v>66</v>
      </c>
    </row>
    <row r="215" spans="1:26">
      <c r="A215" t="s">
        <v>623</v>
      </c>
      <c r="B215" t="s">
        <v>624</v>
      </c>
      <c r="C215" s="4">
        <v>46164</v>
      </c>
      <c r="D215" t="s">
        <v>168</v>
      </c>
      <c r="E215" t="s">
        <v>70</v>
      </c>
      <c r="F215" s="4">
        <v>46165</v>
      </c>
      <c r="G215" s="4">
        <v>46171</v>
      </c>
      <c r="H215" t="s">
        <v>201</v>
      </c>
      <c r="I215" t="s">
        <v>327</v>
      </c>
      <c r="J215" t="s">
        <v>295</v>
      </c>
      <c r="K215" t="s">
        <v>73</v>
      </c>
      <c r="L215" t="s">
        <v>61</v>
      </c>
      <c r="M215" s="5">
        <v>35900</v>
      </c>
      <c r="N215" s="5">
        <v>6000</v>
      </c>
      <c r="O215" s="5">
        <v>7100</v>
      </c>
      <c r="P215" s="5">
        <v>18000</v>
      </c>
      <c r="Q215" s="5">
        <v>68000</v>
      </c>
      <c r="R215" t="s">
        <v>75</v>
      </c>
      <c r="S215" t="s">
        <v>76</v>
      </c>
      <c r="T215" s="5">
        <v>30900</v>
      </c>
      <c r="U215" s="6">
        <v>4</v>
      </c>
      <c r="V215" t="s">
        <v>77</v>
      </c>
      <c r="W215" s="4">
        <v>46191</v>
      </c>
      <c r="X215" t="s">
        <v>77</v>
      </c>
      <c r="Y215" t="s">
        <v>64</v>
      </c>
      <c r="Z215" t="s">
        <v>96</v>
      </c>
    </row>
    <row r="216" spans="1:26">
      <c r="A216" t="s">
        <v>625</v>
      </c>
      <c r="B216" t="s">
        <v>231</v>
      </c>
      <c r="C216" s="4">
        <v>46083</v>
      </c>
      <c r="D216" t="s">
        <v>168</v>
      </c>
      <c r="E216" t="s">
        <v>70</v>
      </c>
      <c r="F216" s="4">
        <v>46083</v>
      </c>
      <c r="G216" s="4">
        <v>46089</v>
      </c>
      <c r="H216" t="s">
        <v>111</v>
      </c>
      <c r="I216" t="s">
        <v>267</v>
      </c>
      <c r="J216" t="s">
        <v>384</v>
      </c>
      <c r="K216" t="s">
        <v>73</v>
      </c>
      <c r="L216" t="s">
        <v>74</v>
      </c>
      <c r="M216" s="5">
        <v>58900</v>
      </c>
      <c r="N216" s="5">
        <v>5150</v>
      </c>
      <c r="O216" s="5">
        <v>9650</v>
      </c>
      <c r="P216" s="5">
        <v>21000</v>
      </c>
      <c r="Q216" s="5">
        <v>95900</v>
      </c>
      <c r="R216" t="s">
        <v>75</v>
      </c>
      <c r="S216" t="s">
        <v>76</v>
      </c>
      <c r="T216" s="5">
        <v>43450</v>
      </c>
      <c r="U216" s="6">
        <v>3</v>
      </c>
      <c r="V216" t="s">
        <v>77</v>
      </c>
      <c r="W216" s="4">
        <v>46102</v>
      </c>
      <c r="X216" t="s">
        <v>64</v>
      </c>
      <c r="Y216" t="s">
        <v>64</v>
      </c>
      <c r="Z216" t="s">
        <v>96</v>
      </c>
    </row>
    <row r="217" spans="1:26">
      <c r="A217" t="s">
        <v>626</v>
      </c>
      <c r="B217" t="s">
        <v>627</v>
      </c>
      <c r="C217" s="4">
        <v>46103</v>
      </c>
      <c r="D217" t="s">
        <v>337</v>
      </c>
      <c r="E217" t="s">
        <v>56</v>
      </c>
      <c r="F217" s="4"/>
      <c r="G217" s="4"/>
      <c r="H217" t="s">
        <v>121</v>
      </c>
      <c r="I217" t="s">
        <v>334</v>
      </c>
      <c r="J217" t="s">
        <v>256</v>
      </c>
      <c r="K217" t="s">
        <v>73</v>
      </c>
      <c r="L217" t="s">
        <v>94</v>
      </c>
      <c r="M217" s="5"/>
      <c r="N217" s="5"/>
      <c r="O217" s="5"/>
      <c r="P217" s="5"/>
      <c r="Q217" s="5"/>
      <c r="R217" t="s">
        <v>106</v>
      </c>
      <c r="S217" t="s">
        <v>63</v>
      </c>
      <c r="T217" s="5"/>
      <c r="U217" s="6"/>
      <c r="V217" t="s">
        <v>64</v>
      </c>
      <c r="W217" s="4"/>
      <c r="X217" t="s">
        <v>65</v>
      </c>
      <c r="Z217" t="s">
        <v>66</v>
      </c>
    </row>
    <row r="218" spans="1:26">
      <c r="A218" t="s">
        <v>628</v>
      </c>
      <c r="B218" t="s">
        <v>629</v>
      </c>
      <c r="C218" s="4">
        <v>46043</v>
      </c>
      <c r="D218" t="s">
        <v>330</v>
      </c>
      <c r="E218" t="s">
        <v>70</v>
      </c>
      <c r="F218" s="4">
        <v>46044</v>
      </c>
      <c r="G218" s="4">
        <v>46050</v>
      </c>
      <c r="H218" t="s">
        <v>57</v>
      </c>
      <c r="I218" t="s">
        <v>169</v>
      </c>
      <c r="J218" t="s">
        <v>59</v>
      </c>
      <c r="K218" t="s">
        <v>93</v>
      </c>
      <c r="L218" t="s">
        <v>94</v>
      </c>
      <c r="M218" s="5">
        <v>47000</v>
      </c>
      <c r="N218" s="5">
        <v>7900</v>
      </c>
      <c r="O218" s="5">
        <v>10350</v>
      </c>
      <c r="P218" s="5">
        <v>36000</v>
      </c>
      <c r="Q218" s="5">
        <v>102050</v>
      </c>
      <c r="R218" t="s">
        <v>141</v>
      </c>
      <c r="S218" t="s">
        <v>76</v>
      </c>
      <c r="T218" s="5">
        <v>16510</v>
      </c>
      <c r="U218" s="6">
        <v>4</v>
      </c>
      <c r="V218" t="s">
        <v>77</v>
      </c>
      <c r="W218" s="4">
        <v>46061</v>
      </c>
      <c r="X218" t="s">
        <v>77</v>
      </c>
      <c r="Y218" t="s">
        <v>64</v>
      </c>
      <c r="Z218" t="s">
        <v>107</v>
      </c>
    </row>
    <row r="219" spans="1:26">
      <c r="A219" t="s">
        <v>630</v>
      </c>
      <c r="B219" t="s">
        <v>631</v>
      </c>
      <c r="C219" s="4">
        <v>46127</v>
      </c>
      <c r="D219" t="s">
        <v>168</v>
      </c>
      <c r="E219" t="s">
        <v>70</v>
      </c>
      <c r="F219" s="4">
        <v>46128</v>
      </c>
      <c r="G219" s="4">
        <v>46132</v>
      </c>
      <c r="H219" t="s">
        <v>103</v>
      </c>
      <c r="I219" t="s">
        <v>207</v>
      </c>
      <c r="J219" t="s">
        <v>244</v>
      </c>
      <c r="K219" t="s">
        <v>73</v>
      </c>
      <c r="L219" t="s">
        <v>94</v>
      </c>
      <c r="M219" s="5">
        <v>70500</v>
      </c>
      <c r="N219" s="5">
        <v>11450</v>
      </c>
      <c r="O219" s="5">
        <v>8350</v>
      </c>
      <c r="P219" s="5">
        <v>24000</v>
      </c>
      <c r="Q219" s="5">
        <v>115800</v>
      </c>
      <c r="R219" t="s">
        <v>106</v>
      </c>
      <c r="S219" t="s">
        <v>86</v>
      </c>
      <c r="T219" s="5">
        <v>41230</v>
      </c>
      <c r="U219" s="6">
        <v>4</v>
      </c>
      <c r="V219" t="s">
        <v>77</v>
      </c>
      <c r="W219" s="4">
        <v>46149</v>
      </c>
      <c r="X219" t="s">
        <v>77</v>
      </c>
      <c r="Y219" t="s">
        <v>64</v>
      </c>
      <c r="Z219" t="s">
        <v>96</v>
      </c>
    </row>
    <row r="220" spans="1:26">
      <c r="A220" t="s">
        <v>632</v>
      </c>
      <c r="B220" t="s">
        <v>633</v>
      </c>
      <c r="C220" s="4">
        <v>46069</v>
      </c>
      <c r="D220" t="s">
        <v>132</v>
      </c>
      <c r="E220" t="s">
        <v>70</v>
      </c>
      <c r="F220" s="4">
        <v>46070</v>
      </c>
      <c r="G220" s="4">
        <v>46070</v>
      </c>
      <c r="H220" t="s">
        <v>103</v>
      </c>
      <c r="I220" t="s">
        <v>104</v>
      </c>
      <c r="J220" t="s">
        <v>145</v>
      </c>
      <c r="K220" t="s">
        <v>60</v>
      </c>
      <c r="L220" t="s">
        <v>94</v>
      </c>
      <c r="M220" s="5">
        <v>26900</v>
      </c>
      <c r="N220" s="5">
        <v>2250</v>
      </c>
      <c r="O220" s="5">
        <v>4450</v>
      </c>
      <c r="P220" s="5">
        <v>0</v>
      </c>
      <c r="Q220" s="5">
        <v>35400</v>
      </c>
      <c r="R220" t="s">
        <v>95</v>
      </c>
      <c r="S220" t="s">
        <v>63</v>
      </c>
      <c r="T220" s="5">
        <v>35400</v>
      </c>
      <c r="U220" s="6">
        <v>5</v>
      </c>
      <c r="V220" t="s">
        <v>77</v>
      </c>
      <c r="W220" s="4">
        <v>46090</v>
      </c>
      <c r="X220" t="s">
        <v>77</v>
      </c>
      <c r="Y220" t="s">
        <v>64</v>
      </c>
      <c r="Z220" t="s">
        <v>96</v>
      </c>
    </row>
    <row r="221" spans="1:26">
      <c r="A221" t="s">
        <v>634</v>
      </c>
      <c r="B221" t="s">
        <v>635</v>
      </c>
      <c r="C221" s="4">
        <v>46050</v>
      </c>
      <c r="D221" t="s">
        <v>225</v>
      </c>
      <c r="E221" t="s">
        <v>70</v>
      </c>
      <c r="F221" s="4">
        <v>46051</v>
      </c>
      <c r="G221" s="4">
        <v>46051</v>
      </c>
      <c r="H221" t="s">
        <v>138</v>
      </c>
      <c r="I221" t="s">
        <v>444</v>
      </c>
      <c r="J221" t="s">
        <v>236</v>
      </c>
      <c r="K221" t="s">
        <v>60</v>
      </c>
      <c r="L221" t="s">
        <v>74</v>
      </c>
      <c r="M221" s="5">
        <v>37000</v>
      </c>
      <c r="N221" s="5">
        <v>5650</v>
      </c>
      <c r="O221" s="5">
        <v>7700</v>
      </c>
      <c r="P221" s="5">
        <v>0</v>
      </c>
      <c r="Q221" s="5">
        <v>51850</v>
      </c>
      <c r="R221" t="s">
        <v>85</v>
      </c>
      <c r="S221" t="s">
        <v>86</v>
      </c>
      <c r="T221" s="5">
        <v>13860</v>
      </c>
      <c r="U221" s="6">
        <v>3</v>
      </c>
      <c r="V221" t="s">
        <v>77</v>
      </c>
      <c r="W221" s="4">
        <v>46060</v>
      </c>
      <c r="X221" t="s">
        <v>64</v>
      </c>
      <c r="Y221" t="s">
        <v>64</v>
      </c>
      <c r="Z221" t="s">
        <v>78</v>
      </c>
    </row>
    <row r="222" spans="1:26">
      <c r="A222" t="s">
        <v>636</v>
      </c>
      <c r="B222" t="s">
        <v>448</v>
      </c>
      <c r="C222" s="4">
        <v>46082</v>
      </c>
      <c r="D222" t="s">
        <v>55</v>
      </c>
      <c r="E222" t="s">
        <v>70</v>
      </c>
      <c r="F222" s="4">
        <v>46083</v>
      </c>
      <c r="G222" s="4">
        <v>46083</v>
      </c>
      <c r="H222" t="s">
        <v>201</v>
      </c>
      <c r="I222" t="s">
        <v>421</v>
      </c>
      <c r="J222" t="s">
        <v>281</v>
      </c>
      <c r="K222" t="s">
        <v>73</v>
      </c>
      <c r="L222" t="s">
        <v>94</v>
      </c>
      <c r="M222" s="5">
        <v>6000</v>
      </c>
      <c r="N222" s="5">
        <v>700</v>
      </c>
      <c r="O222" s="5">
        <v>1300</v>
      </c>
      <c r="P222" s="5">
        <v>0</v>
      </c>
      <c r="Q222" s="5">
        <v>9000</v>
      </c>
      <c r="R222" t="s">
        <v>134</v>
      </c>
      <c r="S222" t="s">
        <v>76</v>
      </c>
      <c r="T222" s="5">
        <v>5150</v>
      </c>
      <c r="U222" s="6">
        <v>5</v>
      </c>
      <c r="V222" t="s">
        <v>64</v>
      </c>
      <c r="W222" s="4"/>
      <c r="X222" t="s">
        <v>65</v>
      </c>
      <c r="Y222" t="s">
        <v>64</v>
      </c>
      <c r="Z222" t="s">
        <v>96</v>
      </c>
    </row>
    <row r="223" spans="1:26">
      <c r="A223" t="s">
        <v>637</v>
      </c>
      <c r="B223" t="s">
        <v>638</v>
      </c>
      <c r="C223" s="4">
        <v>46147</v>
      </c>
      <c r="D223" t="s">
        <v>307</v>
      </c>
      <c r="E223" t="s">
        <v>56</v>
      </c>
      <c r="F223" s="4"/>
      <c r="G223" s="4"/>
      <c r="H223" t="s">
        <v>90</v>
      </c>
      <c r="I223" t="s">
        <v>162</v>
      </c>
      <c r="J223" t="s">
        <v>92</v>
      </c>
      <c r="K223" t="s">
        <v>93</v>
      </c>
      <c r="L223" t="s">
        <v>146</v>
      </c>
      <c r="M223" s="5"/>
      <c r="N223" s="5"/>
      <c r="O223" s="5"/>
      <c r="P223" s="5"/>
      <c r="Q223" s="5"/>
      <c r="R223" t="s">
        <v>134</v>
      </c>
      <c r="S223" t="s">
        <v>63</v>
      </c>
      <c r="T223" s="5"/>
      <c r="U223" s="6"/>
      <c r="V223" t="s">
        <v>64</v>
      </c>
      <c r="W223" s="4"/>
      <c r="X223" t="s">
        <v>65</v>
      </c>
      <c r="Z223" t="s">
        <v>66</v>
      </c>
    </row>
    <row r="224" spans="1:26">
      <c r="A224" t="s">
        <v>639</v>
      </c>
      <c r="B224" t="s">
        <v>640</v>
      </c>
      <c r="C224" s="4">
        <v>46094</v>
      </c>
      <c r="D224" t="s">
        <v>217</v>
      </c>
      <c r="E224" t="s">
        <v>70</v>
      </c>
      <c r="F224" s="4">
        <v>46094</v>
      </c>
      <c r="G224" s="4">
        <v>46099</v>
      </c>
      <c r="H224" t="s">
        <v>201</v>
      </c>
      <c r="I224" t="s">
        <v>515</v>
      </c>
      <c r="J224" t="s">
        <v>295</v>
      </c>
      <c r="K224" t="s">
        <v>73</v>
      </c>
      <c r="L224" t="s">
        <v>61</v>
      </c>
      <c r="M224" s="5">
        <v>32200</v>
      </c>
      <c r="N224" s="5">
        <v>5250</v>
      </c>
      <c r="O224" s="5">
        <v>3350</v>
      </c>
      <c r="P224" s="5">
        <v>15000</v>
      </c>
      <c r="Q224" s="5">
        <v>57000</v>
      </c>
      <c r="R224" t="s">
        <v>106</v>
      </c>
      <c r="S224" t="s">
        <v>163</v>
      </c>
      <c r="T224" s="5">
        <v>20650</v>
      </c>
      <c r="U224" s="6">
        <v>5</v>
      </c>
      <c r="V224" t="s">
        <v>77</v>
      </c>
      <c r="W224" s="4">
        <v>46113</v>
      </c>
      <c r="X224" t="s">
        <v>77</v>
      </c>
      <c r="Y224" t="s">
        <v>64</v>
      </c>
      <c r="Z224" t="s">
        <v>78</v>
      </c>
    </row>
    <row r="225" spans="1:26">
      <c r="A225" t="s">
        <v>641</v>
      </c>
      <c r="B225" t="s">
        <v>642</v>
      </c>
      <c r="C225" s="4">
        <v>46094</v>
      </c>
      <c r="D225" t="s">
        <v>294</v>
      </c>
      <c r="E225" t="s">
        <v>314</v>
      </c>
      <c r="F225" s="4"/>
      <c r="G225" s="4"/>
      <c r="H225" t="s">
        <v>111</v>
      </c>
      <c r="I225" t="s">
        <v>112</v>
      </c>
      <c r="J225" t="s">
        <v>117</v>
      </c>
      <c r="K225" t="s">
        <v>60</v>
      </c>
      <c r="L225" t="s">
        <v>61</v>
      </c>
      <c r="M225" s="5"/>
      <c r="N225" s="5"/>
      <c r="O225" s="5"/>
      <c r="P225" s="5"/>
      <c r="Q225" s="5"/>
      <c r="R225" t="s">
        <v>106</v>
      </c>
      <c r="S225" t="s">
        <v>63</v>
      </c>
      <c r="T225" s="5"/>
      <c r="U225" s="6"/>
      <c r="V225" t="s">
        <v>64</v>
      </c>
      <c r="W225" s="4"/>
      <c r="X225" t="s">
        <v>65</v>
      </c>
      <c r="Z225" t="s">
        <v>66</v>
      </c>
    </row>
    <row r="226" spans="1:26">
      <c r="A226" t="s">
        <v>643</v>
      </c>
      <c r="B226" t="s">
        <v>644</v>
      </c>
      <c r="C226" s="4">
        <v>46154</v>
      </c>
      <c r="D226" t="s">
        <v>294</v>
      </c>
      <c r="E226" t="s">
        <v>338</v>
      </c>
      <c r="F226" s="4"/>
      <c r="G226" s="4"/>
      <c r="H226" t="s">
        <v>82</v>
      </c>
      <c r="I226" t="s">
        <v>155</v>
      </c>
      <c r="J226" t="s">
        <v>156</v>
      </c>
      <c r="K226" t="s">
        <v>60</v>
      </c>
      <c r="L226" t="s">
        <v>94</v>
      </c>
      <c r="M226" s="5"/>
      <c r="N226" s="5"/>
      <c r="O226" s="5"/>
      <c r="P226" s="5"/>
      <c r="Q226" s="5"/>
      <c r="R226" t="s">
        <v>95</v>
      </c>
      <c r="S226" t="s">
        <v>63</v>
      </c>
      <c r="T226" s="5"/>
      <c r="U226" s="6"/>
      <c r="V226" t="s">
        <v>64</v>
      </c>
      <c r="W226" s="4"/>
      <c r="X226" t="s">
        <v>65</v>
      </c>
      <c r="Z226" t="s">
        <v>66</v>
      </c>
    </row>
    <row r="227" spans="1:26">
      <c r="A227" t="s">
        <v>645</v>
      </c>
      <c r="B227" t="s">
        <v>551</v>
      </c>
      <c r="C227" s="4">
        <v>46032</v>
      </c>
      <c r="D227" t="s">
        <v>99</v>
      </c>
      <c r="E227" t="s">
        <v>70</v>
      </c>
      <c r="F227" s="4">
        <v>46032</v>
      </c>
      <c r="G227" s="4">
        <v>46032</v>
      </c>
      <c r="H227" t="s">
        <v>82</v>
      </c>
      <c r="I227" t="s">
        <v>83</v>
      </c>
      <c r="J227" t="s">
        <v>291</v>
      </c>
      <c r="K227" t="s">
        <v>60</v>
      </c>
      <c r="L227" t="s">
        <v>146</v>
      </c>
      <c r="M227" s="5">
        <v>28700</v>
      </c>
      <c r="N227" s="5">
        <v>4650</v>
      </c>
      <c r="O227" s="5">
        <v>6050</v>
      </c>
      <c r="P227" s="5">
        <v>0</v>
      </c>
      <c r="Q227" s="5">
        <v>41200</v>
      </c>
      <c r="R227" t="s">
        <v>106</v>
      </c>
      <c r="S227" t="s">
        <v>76</v>
      </c>
      <c r="T227" s="5">
        <v>15120</v>
      </c>
      <c r="U227" s="6"/>
      <c r="V227" t="s">
        <v>64</v>
      </c>
      <c r="W227" s="4"/>
      <c r="X227" t="s">
        <v>65</v>
      </c>
      <c r="Y227" t="s">
        <v>64</v>
      </c>
      <c r="Z227" t="s">
        <v>96</v>
      </c>
    </row>
    <row r="228" spans="1:26">
      <c r="A228" t="s">
        <v>646</v>
      </c>
      <c r="B228" t="s">
        <v>647</v>
      </c>
      <c r="C228" s="4">
        <v>46120</v>
      </c>
      <c r="D228" t="s">
        <v>279</v>
      </c>
      <c r="E228" t="s">
        <v>70</v>
      </c>
      <c r="F228" s="4">
        <v>46120</v>
      </c>
      <c r="G228" s="4">
        <v>46127</v>
      </c>
      <c r="H228" t="s">
        <v>57</v>
      </c>
      <c r="I228" t="s">
        <v>211</v>
      </c>
      <c r="J228" t="s">
        <v>170</v>
      </c>
      <c r="K228" t="s">
        <v>73</v>
      </c>
      <c r="L228" t="s">
        <v>94</v>
      </c>
      <c r="M228" s="5">
        <v>57200</v>
      </c>
      <c r="N228" s="5">
        <v>7400</v>
      </c>
      <c r="O228" s="5">
        <v>11150</v>
      </c>
      <c r="P228" s="5">
        <v>42000</v>
      </c>
      <c r="Q228" s="5">
        <v>119750</v>
      </c>
      <c r="R228" t="s">
        <v>106</v>
      </c>
      <c r="S228" t="s">
        <v>76</v>
      </c>
      <c r="T228" s="5">
        <v>42610</v>
      </c>
      <c r="U228" s="6">
        <v>3</v>
      </c>
      <c r="V228" t="s">
        <v>77</v>
      </c>
      <c r="W228" s="4">
        <v>46135</v>
      </c>
      <c r="X228" t="s">
        <v>64</v>
      </c>
      <c r="Y228" t="s">
        <v>64</v>
      </c>
      <c r="Z228" t="s">
        <v>78</v>
      </c>
    </row>
    <row r="229" spans="1:26">
      <c r="A229" t="s">
        <v>648</v>
      </c>
      <c r="B229" t="s">
        <v>649</v>
      </c>
      <c r="C229" s="4">
        <v>46124</v>
      </c>
      <c r="D229" t="s">
        <v>110</v>
      </c>
      <c r="E229" t="s">
        <v>314</v>
      </c>
      <c r="F229" s="4"/>
      <c r="G229" s="4"/>
      <c r="H229" t="s">
        <v>103</v>
      </c>
      <c r="I229" t="s">
        <v>364</v>
      </c>
      <c r="J229" t="s">
        <v>105</v>
      </c>
      <c r="K229" t="s">
        <v>73</v>
      </c>
      <c r="L229" t="s">
        <v>94</v>
      </c>
      <c r="M229" s="5"/>
      <c r="N229" s="5"/>
      <c r="O229" s="5"/>
      <c r="P229" s="5"/>
      <c r="Q229" s="5"/>
      <c r="R229" t="s">
        <v>75</v>
      </c>
      <c r="S229" t="s">
        <v>63</v>
      </c>
      <c r="T229" s="5"/>
      <c r="U229" s="6"/>
      <c r="V229" t="s">
        <v>64</v>
      </c>
      <c r="W229" s="4"/>
      <c r="X229" t="s">
        <v>65</v>
      </c>
      <c r="Z229" t="s">
        <v>66</v>
      </c>
    </row>
    <row r="230" spans="1:26">
      <c r="A230" t="s">
        <v>650</v>
      </c>
      <c r="B230" t="s">
        <v>651</v>
      </c>
      <c r="C230" s="4">
        <v>46127</v>
      </c>
      <c r="D230" t="s">
        <v>120</v>
      </c>
      <c r="E230" t="s">
        <v>70</v>
      </c>
      <c r="F230" s="4">
        <v>46128</v>
      </c>
      <c r="G230" s="4">
        <v>46128</v>
      </c>
      <c r="H230" t="s">
        <v>82</v>
      </c>
      <c r="I230" t="s">
        <v>369</v>
      </c>
      <c r="J230" t="s">
        <v>156</v>
      </c>
      <c r="K230" t="s">
        <v>60</v>
      </c>
      <c r="L230" t="s">
        <v>74</v>
      </c>
      <c r="M230" s="5">
        <v>60000</v>
      </c>
      <c r="N230" s="5">
        <v>7700</v>
      </c>
      <c r="O230" s="5">
        <v>7950</v>
      </c>
      <c r="P230" s="5">
        <v>0</v>
      </c>
      <c r="Q230" s="5">
        <v>76450</v>
      </c>
      <c r="R230" t="s">
        <v>85</v>
      </c>
      <c r="S230" t="s">
        <v>76</v>
      </c>
      <c r="T230" s="5">
        <v>20010</v>
      </c>
      <c r="U230" s="6">
        <v>5</v>
      </c>
      <c r="V230" t="s">
        <v>77</v>
      </c>
      <c r="W230" s="4">
        <v>46138</v>
      </c>
      <c r="X230" t="s">
        <v>77</v>
      </c>
      <c r="Y230" t="s">
        <v>64</v>
      </c>
      <c r="Z230" t="s">
        <v>96</v>
      </c>
    </row>
    <row r="231" spans="1:26">
      <c r="A231" t="s">
        <v>652</v>
      </c>
      <c r="B231" t="s">
        <v>653</v>
      </c>
      <c r="C231" s="4">
        <v>46028</v>
      </c>
      <c r="D231" t="s">
        <v>439</v>
      </c>
      <c r="E231" t="s">
        <v>314</v>
      </c>
      <c r="F231" s="4"/>
      <c r="G231" s="4"/>
      <c r="H231" t="s">
        <v>90</v>
      </c>
      <c r="I231" t="s">
        <v>299</v>
      </c>
      <c r="J231" t="s">
        <v>197</v>
      </c>
      <c r="K231" t="s">
        <v>60</v>
      </c>
      <c r="L231" t="s">
        <v>94</v>
      </c>
      <c r="M231" s="5"/>
      <c r="N231" s="5"/>
      <c r="O231" s="5"/>
      <c r="P231" s="5"/>
      <c r="Q231" s="5"/>
      <c r="R231" t="s">
        <v>75</v>
      </c>
      <c r="S231" t="s">
        <v>63</v>
      </c>
      <c r="T231" s="5"/>
      <c r="U231" s="6"/>
      <c r="V231" t="s">
        <v>64</v>
      </c>
      <c r="W231" s="4"/>
      <c r="X231" t="s">
        <v>65</v>
      </c>
      <c r="Z231" t="s">
        <v>66</v>
      </c>
    </row>
    <row r="232" spans="1:26">
      <c r="A232" t="s">
        <v>654</v>
      </c>
      <c r="B232" t="s">
        <v>655</v>
      </c>
      <c r="C232" s="4">
        <v>46160</v>
      </c>
      <c r="D232" t="s">
        <v>127</v>
      </c>
      <c r="E232" t="s">
        <v>314</v>
      </c>
      <c r="F232" s="4"/>
      <c r="G232" s="4"/>
      <c r="H232" t="s">
        <v>138</v>
      </c>
      <c r="I232" t="s">
        <v>352</v>
      </c>
      <c r="J232" t="s">
        <v>236</v>
      </c>
      <c r="K232" t="s">
        <v>124</v>
      </c>
      <c r="L232" t="s">
        <v>74</v>
      </c>
      <c r="M232" s="5"/>
      <c r="N232" s="5"/>
      <c r="O232" s="5"/>
      <c r="P232" s="5"/>
      <c r="Q232" s="5"/>
      <c r="R232" t="s">
        <v>106</v>
      </c>
      <c r="S232" t="s">
        <v>63</v>
      </c>
      <c r="T232" s="5"/>
      <c r="U232" s="6"/>
      <c r="V232" t="s">
        <v>64</v>
      </c>
      <c r="W232" s="4"/>
      <c r="X232" t="s">
        <v>65</v>
      </c>
      <c r="Z232" t="s">
        <v>66</v>
      </c>
    </row>
    <row r="233" spans="1:26">
      <c r="A233" t="s">
        <v>656</v>
      </c>
      <c r="B233" t="s">
        <v>657</v>
      </c>
      <c r="C233" s="4">
        <v>46164</v>
      </c>
      <c r="D233" t="s">
        <v>69</v>
      </c>
      <c r="E233" t="s">
        <v>70</v>
      </c>
      <c r="F233" s="4">
        <v>46164</v>
      </c>
      <c r="G233" s="4">
        <v>46164</v>
      </c>
      <c r="H233" t="s">
        <v>121</v>
      </c>
      <c r="I233" t="s">
        <v>334</v>
      </c>
      <c r="J233" t="s">
        <v>123</v>
      </c>
      <c r="K233" t="s">
        <v>60</v>
      </c>
      <c r="L233" t="s">
        <v>146</v>
      </c>
      <c r="M233" s="5">
        <v>36300</v>
      </c>
      <c r="N233" s="5">
        <v>5700</v>
      </c>
      <c r="O233" s="5">
        <v>5000</v>
      </c>
      <c r="P233" s="5">
        <v>0</v>
      </c>
      <c r="Q233" s="5">
        <v>48000</v>
      </c>
      <c r="R233" t="s">
        <v>106</v>
      </c>
      <c r="S233" t="s">
        <v>76</v>
      </c>
      <c r="T233" s="5">
        <v>17500</v>
      </c>
      <c r="U233" s="6">
        <v>5</v>
      </c>
      <c r="V233" t="s">
        <v>64</v>
      </c>
      <c r="W233" s="4"/>
      <c r="X233" t="s">
        <v>65</v>
      </c>
      <c r="Y233" t="s">
        <v>64</v>
      </c>
      <c r="Z233" t="s">
        <v>96</v>
      </c>
    </row>
    <row r="234" spans="1:26">
      <c r="A234" t="s">
        <v>658</v>
      </c>
      <c r="B234" t="s">
        <v>659</v>
      </c>
      <c r="C234" s="4">
        <v>46061</v>
      </c>
      <c r="D234" t="s">
        <v>137</v>
      </c>
      <c r="E234" t="s">
        <v>70</v>
      </c>
      <c r="F234" s="4">
        <v>46061</v>
      </c>
      <c r="G234" s="4">
        <v>46063</v>
      </c>
      <c r="H234" t="s">
        <v>90</v>
      </c>
      <c r="I234" t="s">
        <v>133</v>
      </c>
      <c r="J234" t="s">
        <v>197</v>
      </c>
      <c r="K234" t="s">
        <v>73</v>
      </c>
      <c r="L234" t="s">
        <v>74</v>
      </c>
      <c r="M234" s="5">
        <v>17300</v>
      </c>
      <c r="N234" s="5">
        <v>2650</v>
      </c>
      <c r="O234" s="5">
        <v>2500</v>
      </c>
      <c r="P234" s="5">
        <v>9000</v>
      </c>
      <c r="Q234" s="5">
        <v>33450</v>
      </c>
      <c r="R234" t="s">
        <v>75</v>
      </c>
      <c r="S234" t="s">
        <v>76</v>
      </c>
      <c r="T234" s="5">
        <v>15350</v>
      </c>
      <c r="U234" s="6">
        <v>4</v>
      </c>
      <c r="V234" t="s">
        <v>64</v>
      </c>
      <c r="W234" s="4"/>
      <c r="X234" t="s">
        <v>65</v>
      </c>
      <c r="Y234" t="s">
        <v>64</v>
      </c>
      <c r="Z234" t="s">
        <v>96</v>
      </c>
    </row>
    <row r="235" spans="1:26">
      <c r="A235" t="s">
        <v>660</v>
      </c>
      <c r="B235" t="s">
        <v>661</v>
      </c>
      <c r="C235" s="4">
        <v>46027</v>
      </c>
      <c r="D235" t="s">
        <v>266</v>
      </c>
      <c r="E235" t="s">
        <v>177</v>
      </c>
      <c r="F235" s="4"/>
      <c r="G235" s="4"/>
      <c r="H235" t="s">
        <v>138</v>
      </c>
      <c r="I235" t="s">
        <v>235</v>
      </c>
      <c r="J235" t="s">
        <v>236</v>
      </c>
      <c r="K235" t="s">
        <v>124</v>
      </c>
      <c r="L235" t="s">
        <v>94</v>
      </c>
      <c r="M235" s="5"/>
      <c r="N235" s="5"/>
      <c r="O235" s="5"/>
      <c r="P235" s="5"/>
      <c r="Q235" s="5"/>
      <c r="R235" t="s">
        <v>85</v>
      </c>
      <c r="S235" t="s">
        <v>63</v>
      </c>
      <c r="T235" s="5"/>
      <c r="U235" s="6"/>
      <c r="V235" t="s">
        <v>64</v>
      </c>
      <c r="W235" s="4"/>
      <c r="X235" t="s">
        <v>65</v>
      </c>
      <c r="Z235" t="s">
        <v>66</v>
      </c>
    </row>
    <row r="236" spans="1:26">
      <c r="A236" t="s">
        <v>662</v>
      </c>
      <c r="B236" t="s">
        <v>512</v>
      </c>
      <c r="C236" s="4">
        <v>46124</v>
      </c>
      <c r="D236" t="s">
        <v>363</v>
      </c>
      <c r="E236" t="s">
        <v>70</v>
      </c>
      <c r="F236" s="4">
        <v>46124</v>
      </c>
      <c r="G236" s="4">
        <v>46134</v>
      </c>
      <c r="H236" t="s">
        <v>103</v>
      </c>
      <c r="I236" t="s">
        <v>214</v>
      </c>
      <c r="J236" t="s">
        <v>244</v>
      </c>
      <c r="K236" t="s">
        <v>73</v>
      </c>
      <c r="L236" t="s">
        <v>94</v>
      </c>
      <c r="M236" s="5">
        <v>63800</v>
      </c>
      <c r="N236" s="5">
        <v>10600</v>
      </c>
      <c r="O236" s="5">
        <v>11050</v>
      </c>
      <c r="P236" s="5">
        <v>30000</v>
      </c>
      <c r="Q236" s="5">
        <v>116250</v>
      </c>
      <c r="R236" t="s">
        <v>75</v>
      </c>
      <c r="S236" t="s">
        <v>76</v>
      </c>
      <c r="T236" s="5">
        <v>52610</v>
      </c>
      <c r="U236" s="6">
        <v>3</v>
      </c>
      <c r="V236" t="s">
        <v>64</v>
      </c>
      <c r="W236" s="4"/>
      <c r="X236" t="s">
        <v>65</v>
      </c>
      <c r="Y236" t="s">
        <v>64</v>
      </c>
      <c r="Z236" t="s">
        <v>78</v>
      </c>
    </row>
    <row r="237" spans="1:26">
      <c r="A237" t="s">
        <v>663</v>
      </c>
      <c r="B237" t="s">
        <v>664</v>
      </c>
      <c r="C237" s="4">
        <v>46127</v>
      </c>
      <c r="D237" t="s">
        <v>120</v>
      </c>
      <c r="E237" t="s">
        <v>70</v>
      </c>
      <c r="F237" s="4">
        <v>46128</v>
      </c>
      <c r="G237" s="4">
        <v>46136</v>
      </c>
      <c r="H237" t="s">
        <v>121</v>
      </c>
      <c r="I237" t="s">
        <v>665</v>
      </c>
      <c r="J237" t="s">
        <v>123</v>
      </c>
      <c r="K237" t="s">
        <v>124</v>
      </c>
      <c r="L237" t="s">
        <v>94</v>
      </c>
      <c r="M237" s="5">
        <v>32100</v>
      </c>
      <c r="N237" s="5">
        <v>4050</v>
      </c>
      <c r="O237" s="5">
        <v>5550</v>
      </c>
      <c r="P237" s="5">
        <v>48000</v>
      </c>
      <c r="Q237" s="5">
        <v>90700</v>
      </c>
      <c r="R237" t="s">
        <v>95</v>
      </c>
      <c r="S237" t="s">
        <v>63</v>
      </c>
      <c r="T237" s="5">
        <v>90700</v>
      </c>
      <c r="U237" s="6">
        <v>2</v>
      </c>
      <c r="V237" t="s">
        <v>77</v>
      </c>
      <c r="W237" s="4">
        <v>46144</v>
      </c>
      <c r="X237" t="s">
        <v>77</v>
      </c>
      <c r="Y237" t="s">
        <v>77</v>
      </c>
      <c r="Z237" t="s">
        <v>96</v>
      </c>
    </row>
    <row r="238" spans="1:26">
      <c r="A238" t="s">
        <v>666</v>
      </c>
      <c r="B238" t="s">
        <v>667</v>
      </c>
      <c r="C238" s="4">
        <v>46149</v>
      </c>
      <c r="D238" t="s">
        <v>110</v>
      </c>
      <c r="E238" t="s">
        <v>70</v>
      </c>
      <c r="F238" s="4">
        <v>46149</v>
      </c>
      <c r="G238" s="4">
        <v>46151</v>
      </c>
      <c r="H238" t="s">
        <v>90</v>
      </c>
      <c r="I238" t="s">
        <v>128</v>
      </c>
      <c r="J238" t="s">
        <v>197</v>
      </c>
      <c r="K238" t="s">
        <v>124</v>
      </c>
      <c r="L238" t="s">
        <v>74</v>
      </c>
      <c r="M238" s="5">
        <v>18300</v>
      </c>
      <c r="N238" s="5">
        <v>3150</v>
      </c>
      <c r="O238" s="5">
        <v>3700</v>
      </c>
      <c r="P238" s="5">
        <v>12000</v>
      </c>
      <c r="Q238" s="5">
        <v>39150</v>
      </c>
      <c r="R238" t="s">
        <v>106</v>
      </c>
      <c r="S238" t="s">
        <v>86</v>
      </c>
      <c r="T238" s="5">
        <v>14400</v>
      </c>
      <c r="U238" s="6">
        <v>4</v>
      </c>
      <c r="V238" t="s">
        <v>64</v>
      </c>
      <c r="W238" s="4"/>
      <c r="X238" t="s">
        <v>65</v>
      </c>
      <c r="Y238" t="s">
        <v>64</v>
      </c>
      <c r="Z238" t="s">
        <v>96</v>
      </c>
    </row>
    <row r="239" spans="1:26">
      <c r="A239" t="s">
        <v>668</v>
      </c>
      <c r="B239" t="s">
        <v>669</v>
      </c>
      <c r="C239" s="4">
        <v>46107</v>
      </c>
      <c r="D239" t="s">
        <v>298</v>
      </c>
      <c r="E239" t="s">
        <v>70</v>
      </c>
      <c r="F239" s="4">
        <v>46108</v>
      </c>
      <c r="G239" s="4">
        <v>46112</v>
      </c>
      <c r="H239" t="s">
        <v>138</v>
      </c>
      <c r="I239" t="s">
        <v>260</v>
      </c>
      <c r="J239" t="s">
        <v>140</v>
      </c>
      <c r="K239" t="s">
        <v>124</v>
      </c>
      <c r="L239" t="s">
        <v>61</v>
      </c>
      <c r="M239" s="5">
        <v>12500</v>
      </c>
      <c r="N239" s="5">
        <v>1600</v>
      </c>
      <c r="O239" s="5">
        <v>3100</v>
      </c>
      <c r="P239" s="5">
        <v>10000</v>
      </c>
      <c r="Q239" s="5">
        <v>29700</v>
      </c>
      <c r="R239" t="s">
        <v>106</v>
      </c>
      <c r="S239" t="s">
        <v>76</v>
      </c>
      <c r="T239" s="5">
        <v>11100</v>
      </c>
      <c r="U239" s="6">
        <v>5</v>
      </c>
      <c r="V239" t="s">
        <v>77</v>
      </c>
      <c r="W239" s="4">
        <v>46127</v>
      </c>
      <c r="X239" t="s">
        <v>77</v>
      </c>
      <c r="Y239" t="s">
        <v>64</v>
      </c>
      <c r="Z239" t="s">
        <v>96</v>
      </c>
    </row>
    <row r="240" spans="1:26">
      <c r="A240" t="s">
        <v>670</v>
      </c>
      <c r="B240" t="s">
        <v>671</v>
      </c>
      <c r="C240" s="4">
        <v>46095</v>
      </c>
      <c r="D240" t="s">
        <v>250</v>
      </c>
      <c r="E240" t="s">
        <v>70</v>
      </c>
      <c r="F240" s="4">
        <v>46095</v>
      </c>
      <c r="G240" s="4">
        <v>46095</v>
      </c>
      <c r="H240" t="s">
        <v>201</v>
      </c>
      <c r="I240" t="s">
        <v>327</v>
      </c>
      <c r="J240" t="s">
        <v>295</v>
      </c>
      <c r="K240" t="s">
        <v>60</v>
      </c>
      <c r="L240" t="s">
        <v>94</v>
      </c>
      <c r="M240" s="5">
        <v>37800</v>
      </c>
      <c r="N240" s="5">
        <v>3400</v>
      </c>
      <c r="O240" s="5">
        <v>8300</v>
      </c>
      <c r="P240" s="5">
        <v>0</v>
      </c>
      <c r="Q240" s="5">
        <v>50500</v>
      </c>
      <c r="R240" t="s">
        <v>85</v>
      </c>
      <c r="S240" t="s">
        <v>76</v>
      </c>
      <c r="T240" s="5">
        <v>13520</v>
      </c>
      <c r="U240" s="6">
        <v>5</v>
      </c>
      <c r="V240" t="s">
        <v>77</v>
      </c>
      <c r="W240" s="4">
        <v>46114</v>
      </c>
      <c r="X240" t="s">
        <v>64</v>
      </c>
      <c r="Y240" t="s">
        <v>64</v>
      </c>
      <c r="Z240" t="s">
        <v>78</v>
      </c>
    </row>
    <row r="241" spans="1:26">
      <c r="A241" t="s">
        <v>672</v>
      </c>
      <c r="B241" t="s">
        <v>673</v>
      </c>
      <c r="C241" s="4">
        <v>46060</v>
      </c>
      <c r="D241" t="s">
        <v>298</v>
      </c>
      <c r="E241" t="s">
        <v>70</v>
      </c>
      <c r="F241" s="4">
        <v>46060</v>
      </c>
      <c r="G241" s="4">
        <v>46064</v>
      </c>
      <c r="H241" t="s">
        <v>201</v>
      </c>
      <c r="I241" t="s">
        <v>280</v>
      </c>
      <c r="J241" t="s">
        <v>295</v>
      </c>
      <c r="K241" t="s">
        <v>124</v>
      </c>
      <c r="L241" t="s">
        <v>146</v>
      </c>
      <c r="M241" s="5">
        <v>47500</v>
      </c>
      <c r="N241" s="5">
        <v>6950</v>
      </c>
      <c r="O241" s="5">
        <v>7100</v>
      </c>
      <c r="P241" s="5">
        <v>24000</v>
      </c>
      <c r="Q241" s="5">
        <v>86550</v>
      </c>
      <c r="R241" t="s">
        <v>95</v>
      </c>
      <c r="S241" t="s">
        <v>63</v>
      </c>
      <c r="T241" s="5">
        <v>86550</v>
      </c>
      <c r="U241" s="6">
        <v>4</v>
      </c>
      <c r="V241" t="s">
        <v>77</v>
      </c>
      <c r="W241" s="4">
        <v>46077</v>
      </c>
      <c r="X241" t="s">
        <v>77</v>
      </c>
      <c r="Y241" t="s">
        <v>64</v>
      </c>
      <c r="Z241" t="s">
        <v>107</v>
      </c>
    </row>
    <row r="242" spans="1:26">
      <c r="A242" t="s">
        <v>674</v>
      </c>
      <c r="B242" t="s">
        <v>675</v>
      </c>
      <c r="C242" s="4">
        <v>46094</v>
      </c>
      <c r="D242" t="s">
        <v>110</v>
      </c>
      <c r="E242" t="s">
        <v>70</v>
      </c>
      <c r="F242" s="4">
        <v>46095</v>
      </c>
      <c r="G242" s="4">
        <v>46098</v>
      </c>
      <c r="H242" t="s">
        <v>201</v>
      </c>
      <c r="I242" t="s">
        <v>515</v>
      </c>
      <c r="J242" t="s">
        <v>295</v>
      </c>
      <c r="K242" t="s">
        <v>73</v>
      </c>
      <c r="L242" t="s">
        <v>94</v>
      </c>
      <c r="M242" s="5">
        <v>51000</v>
      </c>
      <c r="N242" s="5">
        <v>8000</v>
      </c>
      <c r="O242" s="5">
        <v>7750</v>
      </c>
      <c r="P242" s="5">
        <v>13500</v>
      </c>
      <c r="Q242" s="5">
        <v>81450</v>
      </c>
      <c r="R242" t="s">
        <v>75</v>
      </c>
      <c r="S242" t="s">
        <v>76</v>
      </c>
      <c r="T242" s="5">
        <v>36950</v>
      </c>
      <c r="U242" s="6">
        <v>4</v>
      </c>
      <c r="V242" t="s">
        <v>64</v>
      </c>
      <c r="W242" s="4"/>
      <c r="X242" t="s">
        <v>65</v>
      </c>
      <c r="Y242" t="s">
        <v>64</v>
      </c>
      <c r="Z242" t="s">
        <v>219</v>
      </c>
    </row>
    <row r="243" spans="1:26">
      <c r="A243" t="s">
        <v>676</v>
      </c>
      <c r="B243" t="s">
        <v>409</v>
      </c>
      <c r="C243" s="4">
        <v>46087</v>
      </c>
      <c r="D243" t="s">
        <v>419</v>
      </c>
      <c r="E243" t="s">
        <v>70</v>
      </c>
      <c r="F243" s="4">
        <v>46088</v>
      </c>
      <c r="G243" s="4">
        <v>46089</v>
      </c>
      <c r="H243" t="s">
        <v>121</v>
      </c>
      <c r="I243" t="s">
        <v>251</v>
      </c>
      <c r="J243" t="s">
        <v>123</v>
      </c>
      <c r="K243" t="s">
        <v>60</v>
      </c>
      <c r="L243" t="s">
        <v>61</v>
      </c>
      <c r="M243" s="5">
        <v>46600</v>
      </c>
      <c r="N243" s="5">
        <v>5000</v>
      </c>
      <c r="O243" s="5">
        <v>5050</v>
      </c>
      <c r="P243" s="5">
        <v>6000</v>
      </c>
      <c r="Q243" s="5">
        <v>64650</v>
      </c>
      <c r="R243" t="s">
        <v>95</v>
      </c>
      <c r="S243" t="s">
        <v>63</v>
      </c>
      <c r="T243" s="5">
        <v>64650</v>
      </c>
      <c r="U243" s="6">
        <v>4</v>
      </c>
      <c r="V243" t="s">
        <v>64</v>
      </c>
      <c r="W243" s="4"/>
      <c r="X243" t="s">
        <v>65</v>
      </c>
      <c r="Y243" t="s">
        <v>64</v>
      </c>
      <c r="Z243" t="s">
        <v>78</v>
      </c>
    </row>
    <row r="244" spans="1:26">
      <c r="A244" t="s">
        <v>677</v>
      </c>
      <c r="B244" t="s">
        <v>678</v>
      </c>
      <c r="C244" s="4">
        <v>46062</v>
      </c>
      <c r="D244" t="s">
        <v>298</v>
      </c>
      <c r="E244" t="s">
        <v>70</v>
      </c>
      <c r="F244" s="4">
        <v>46063</v>
      </c>
      <c r="G244" s="4">
        <v>46071</v>
      </c>
      <c r="H244" t="s">
        <v>111</v>
      </c>
      <c r="J244" t="s">
        <v>384</v>
      </c>
      <c r="K244" t="s">
        <v>124</v>
      </c>
      <c r="L244" t="s">
        <v>61</v>
      </c>
      <c r="M244" s="5">
        <v>54200</v>
      </c>
      <c r="N244" s="5">
        <v>8950</v>
      </c>
      <c r="O244" s="5">
        <v>10750</v>
      </c>
      <c r="P244" s="5">
        <v>20000</v>
      </c>
      <c r="Q244" s="5">
        <v>95900</v>
      </c>
      <c r="R244" t="s">
        <v>106</v>
      </c>
      <c r="S244" t="s">
        <v>76</v>
      </c>
      <c r="T244" s="5">
        <v>34260</v>
      </c>
      <c r="U244" s="6">
        <v>4</v>
      </c>
      <c r="V244" t="s">
        <v>64</v>
      </c>
      <c r="W244" s="4"/>
      <c r="X244" t="s">
        <v>65</v>
      </c>
      <c r="Y244" t="s">
        <v>64</v>
      </c>
      <c r="Z244" t="s">
        <v>96</v>
      </c>
    </row>
    <row r="245" spans="1:26">
      <c r="A245" t="s">
        <v>679</v>
      </c>
      <c r="B245" t="s">
        <v>680</v>
      </c>
      <c r="C245" s="4">
        <v>46060</v>
      </c>
      <c r="D245" t="s">
        <v>206</v>
      </c>
      <c r="E245" t="s">
        <v>70</v>
      </c>
      <c r="F245" s="4">
        <v>46061</v>
      </c>
      <c r="G245" s="4">
        <v>46062</v>
      </c>
      <c r="H245" t="s">
        <v>90</v>
      </c>
      <c r="I245" t="s">
        <v>133</v>
      </c>
      <c r="J245" t="s">
        <v>129</v>
      </c>
      <c r="K245" t="s">
        <v>60</v>
      </c>
      <c r="L245" t="s">
        <v>94</v>
      </c>
      <c r="M245" s="5">
        <v>50100</v>
      </c>
      <c r="N245" s="5">
        <v>5550</v>
      </c>
      <c r="O245" s="5">
        <v>9200</v>
      </c>
      <c r="P245" s="5">
        <v>2500</v>
      </c>
      <c r="Q245" s="5">
        <v>69350</v>
      </c>
      <c r="R245" t="s">
        <v>106</v>
      </c>
      <c r="S245" t="s">
        <v>76</v>
      </c>
      <c r="T245" s="5">
        <v>24970</v>
      </c>
      <c r="U245" s="6">
        <v>1</v>
      </c>
      <c r="V245" t="s">
        <v>77</v>
      </c>
      <c r="W245" s="4">
        <v>46078</v>
      </c>
      <c r="X245" t="s">
        <v>64</v>
      </c>
      <c r="Y245" t="s">
        <v>77</v>
      </c>
      <c r="Z245" t="s">
        <v>96</v>
      </c>
    </row>
    <row r="246" spans="1:26">
      <c r="A246" t="s">
        <v>681</v>
      </c>
      <c r="B246" t="s">
        <v>682</v>
      </c>
      <c r="C246" s="4">
        <v>46118</v>
      </c>
      <c r="D246" t="s">
        <v>132</v>
      </c>
      <c r="E246" t="s">
        <v>56</v>
      </c>
      <c r="F246" s="4"/>
      <c r="G246" s="4"/>
      <c r="H246" t="s">
        <v>57</v>
      </c>
      <c r="I246" t="s">
        <v>71</v>
      </c>
      <c r="J246" t="s">
        <v>170</v>
      </c>
      <c r="K246" t="s">
        <v>60</v>
      </c>
      <c r="L246" t="s">
        <v>94</v>
      </c>
      <c r="M246" s="5"/>
      <c r="N246" s="5"/>
      <c r="O246" s="5"/>
      <c r="P246" s="5"/>
      <c r="Q246" s="5"/>
      <c r="R246" t="s">
        <v>134</v>
      </c>
      <c r="S246" t="s">
        <v>63</v>
      </c>
      <c r="T246" s="5"/>
      <c r="U246" s="6"/>
      <c r="V246" t="s">
        <v>64</v>
      </c>
      <c r="W246" s="4"/>
      <c r="X246" t="s">
        <v>65</v>
      </c>
      <c r="Z246" t="s">
        <v>66</v>
      </c>
    </row>
    <row r="247" spans="1:26">
      <c r="A247" t="s">
        <v>683</v>
      </c>
      <c r="B247" t="s">
        <v>684</v>
      </c>
      <c r="C247" s="4">
        <v>46056</v>
      </c>
      <c r="D247" t="s">
        <v>206</v>
      </c>
      <c r="E247" t="s">
        <v>70</v>
      </c>
      <c r="F247" s="4">
        <v>46056</v>
      </c>
      <c r="G247" s="4">
        <v>46056</v>
      </c>
      <c r="H247" t="s">
        <v>150</v>
      </c>
      <c r="I247" t="s">
        <v>247</v>
      </c>
      <c r="J247" t="s">
        <v>152</v>
      </c>
      <c r="K247" t="s">
        <v>60</v>
      </c>
      <c r="L247" t="s">
        <v>61</v>
      </c>
      <c r="M247" s="5">
        <v>23000</v>
      </c>
      <c r="N247" s="5">
        <v>4100</v>
      </c>
      <c r="O247" s="5">
        <v>3200</v>
      </c>
      <c r="P247" s="5">
        <v>0</v>
      </c>
      <c r="Q247" s="5">
        <v>31300</v>
      </c>
      <c r="R247" t="s">
        <v>141</v>
      </c>
      <c r="S247" t="s">
        <v>76</v>
      </c>
      <c r="T247" s="5">
        <v>5900</v>
      </c>
      <c r="U247" s="6">
        <v>5</v>
      </c>
      <c r="V247" t="s">
        <v>64</v>
      </c>
      <c r="W247" s="4"/>
      <c r="X247" t="s">
        <v>65</v>
      </c>
      <c r="Y247" t="s">
        <v>64</v>
      </c>
      <c r="Z247" t="s">
        <v>78</v>
      </c>
    </row>
    <row r="248" spans="1:26">
      <c r="A248" t="s">
        <v>685</v>
      </c>
      <c r="B248" t="s">
        <v>686</v>
      </c>
      <c r="C248" s="4">
        <v>46076</v>
      </c>
      <c r="D248" t="s">
        <v>250</v>
      </c>
      <c r="E248" t="s">
        <v>70</v>
      </c>
      <c r="F248" s="4">
        <v>46076</v>
      </c>
      <c r="G248" s="4">
        <v>46084</v>
      </c>
      <c r="H248" t="s">
        <v>121</v>
      </c>
      <c r="I248" t="s">
        <v>665</v>
      </c>
      <c r="J248" t="s">
        <v>252</v>
      </c>
      <c r="K248" t="s">
        <v>73</v>
      </c>
      <c r="L248" t="s">
        <v>74</v>
      </c>
      <c r="M248" s="5">
        <v>80100</v>
      </c>
      <c r="N248" s="5">
        <v>13050</v>
      </c>
      <c r="O248" s="5">
        <v>17550</v>
      </c>
      <c r="P248" s="5">
        <v>20000</v>
      </c>
      <c r="Q248" s="5">
        <v>131700</v>
      </c>
      <c r="R248" t="s">
        <v>141</v>
      </c>
      <c r="S248" t="s">
        <v>76</v>
      </c>
      <c r="T248" s="5">
        <v>20960</v>
      </c>
      <c r="U248" s="6">
        <v>3</v>
      </c>
      <c r="V248" t="s">
        <v>77</v>
      </c>
      <c r="W248" s="4">
        <v>46095</v>
      </c>
      <c r="X248" t="s">
        <v>77</v>
      </c>
      <c r="Y248" t="s">
        <v>77</v>
      </c>
      <c r="Z248" t="s">
        <v>78</v>
      </c>
    </row>
    <row r="249" spans="1:26">
      <c r="A249" t="s">
        <v>687</v>
      </c>
      <c r="B249" t="s">
        <v>265</v>
      </c>
      <c r="C249" s="4">
        <v>46114</v>
      </c>
      <c r="D249" t="s">
        <v>99</v>
      </c>
      <c r="E249" t="s">
        <v>70</v>
      </c>
      <c r="F249" s="4">
        <v>46114</v>
      </c>
      <c r="G249" s="4">
        <v>46114</v>
      </c>
      <c r="H249" t="s">
        <v>111</v>
      </c>
      <c r="I249" t="s">
        <v>267</v>
      </c>
      <c r="J249" t="s">
        <v>384</v>
      </c>
      <c r="K249" t="s">
        <v>60</v>
      </c>
      <c r="L249" t="s">
        <v>94</v>
      </c>
      <c r="M249" s="5">
        <v>40600</v>
      </c>
      <c r="N249" s="5">
        <v>6550</v>
      </c>
      <c r="O249" s="5">
        <v>6850</v>
      </c>
      <c r="P249" s="5">
        <v>0</v>
      </c>
      <c r="Q249" s="5">
        <v>55200</v>
      </c>
      <c r="R249" t="s">
        <v>85</v>
      </c>
      <c r="S249" t="s">
        <v>76</v>
      </c>
      <c r="T249" s="5">
        <v>14700</v>
      </c>
      <c r="U249" s="6">
        <v>5</v>
      </c>
      <c r="V249" t="s">
        <v>77</v>
      </c>
      <c r="W249" s="4">
        <v>46134</v>
      </c>
      <c r="X249" t="s">
        <v>77</v>
      </c>
      <c r="Y249" t="s">
        <v>64</v>
      </c>
      <c r="Z249" t="s">
        <v>78</v>
      </c>
    </row>
    <row r="250" spans="1:26">
      <c r="A250" t="s">
        <v>688</v>
      </c>
      <c r="B250" t="s">
        <v>644</v>
      </c>
      <c r="C250" s="4">
        <v>46091</v>
      </c>
      <c r="D250" t="s">
        <v>242</v>
      </c>
      <c r="E250" t="s">
        <v>70</v>
      </c>
      <c r="F250" s="4">
        <v>46091</v>
      </c>
      <c r="G250" s="4">
        <v>46092</v>
      </c>
      <c r="H250" t="s">
        <v>90</v>
      </c>
      <c r="I250" t="s">
        <v>128</v>
      </c>
      <c r="J250" t="s">
        <v>129</v>
      </c>
      <c r="K250" t="s">
        <v>60</v>
      </c>
      <c r="L250" t="s">
        <v>61</v>
      </c>
      <c r="M250" s="5"/>
      <c r="N250" s="5">
        <v>5650</v>
      </c>
      <c r="O250" s="5">
        <v>13900</v>
      </c>
      <c r="P250" s="5">
        <v>3000</v>
      </c>
      <c r="Q250" s="5">
        <v>81150</v>
      </c>
      <c r="R250" t="s">
        <v>75</v>
      </c>
      <c r="S250" t="s">
        <v>76</v>
      </c>
      <c r="T250" s="5">
        <v>36820</v>
      </c>
      <c r="U250" s="6">
        <v>4</v>
      </c>
      <c r="V250" t="s">
        <v>64</v>
      </c>
      <c r="W250" s="4"/>
      <c r="X250" t="s">
        <v>65</v>
      </c>
      <c r="Y250" t="s">
        <v>64</v>
      </c>
      <c r="Z250" t="s">
        <v>78</v>
      </c>
    </row>
    <row r="251" spans="1:26">
      <c r="A251" t="s">
        <v>689</v>
      </c>
      <c r="B251" t="s">
        <v>690</v>
      </c>
      <c r="C251" s="4">
        <v>46070</v>
      </c>
      <c r="D251" t="s">
        <v>127</v>
      </c>
      <c r="E251" t="s">
        <v>70</v>
      </c>
      <c r="F251" s="4">
        <v>46070</v>
      </c>
      <c r="G251" s="4">
        <v>46073</v>
      </c>
      <c r="H251" t="s">
        <v>138</v>
      </c>
      <c r="I251" t="s">
        <v>343</v>
      </c>
      <c r="J251" t="s">
        <v>140</v>
      </c>
      <c r="K251" t="s">
        <v>124</v>
      </c>
      <c r="L251" t="s">
        <v>61</v>
      </c>
      <c r="M251" s="5">
        <v>11900</v>
      </c>
      <c r="N251" s="5">
        <v>1600</v>
      </c>
      <c r="O251" s="5">
        <v>1900</v>
      </c>
      <c r="P251" s="5">
        <v>9000</v>
      </c>
      <c r="Q251" s="5">
        <v>26200</v>
      </c>
      <c r="R251" t="s">
        <v>62</v>
      </c>
      <c r="S251" t="s">
        <v>76</v>
      </c>
      <c r="T251" s="5">
        <v>8260</v>
      </c>
      <c r="U251" s="6">
        <v>4</v>
      </c>
      <c r="V251" t="s">
        <v>64</v>
      </c>
      <c r="W251" s="4"/>
      <c r="X251" t="s">
        <v>65</v>
      </c>
      <c r="Y251" t="s">
        <v>64</v>
      </c>
      <c r="Z251" t="s">
        <v>96</v>
      </c>
    </row>
    <row r="252" spans="1:26">
      <c r="A252" t="s">
        <v>691</v>
      </c>
      <c r="B252" t="s">
        <v>692</v>
      </c>
      <c r="C252" s="4">
        <v>46131</v>
      </c>
      <c r="D252" t="s">
        <v>242</v>
      </c>
      <c r="E252" t="s">
        <v>70</v>
      </c>
      <c r="F252" s="4">
        <v>46131</v>
      </c>
      <c r="G252" s="4">
        <v>46131</v>
      </c>
      <c r="H252" t="s">
        <v>57</v>
      </c>
      <c r="I252" t="s">
        <v>169</v>
      </c>
      <c r="J252" t="s">
        <v>170</v>
      </c>
      <c r="K252" t="s">
        <v>60</v>
      </c>
      <c r="L252" t="s">
        <v>94</v>
      </c>
      <c r="M252" s="5">
        <v>51700</v>
      </c>
      <c r="N252" s="5">
        <v>6000</v>
      </c>
      <c r="O252" s="5">
        <v>9050</v>
      </c>
      <c r="P252" s="5">
        <v>0</v>
      </c>
      <c r="Q252" s="5">
        <v>67550</v>
      </c>
      <c r="R252" t="s">
        <v>75</v>
      </c>
      <c r="S252" t="s">
        <v>76</v>
      </c>
      <c r="T252" s="5">
        <v>30700</v>
      </c>
      <c r="U252" s="6">
        <v>5</v>
      </c>
      <c r="V252" t="s">
        <v>77</v>
      </c>
      <c r="W252" s="4">
        <v>46139</v>
      </c>
      <c r="X252" t="s">
        <v>77</v>
      </c>
      <c r="Y252" t="s">
        <v>64</v>
      </c>
      <c r="Z252" t="s">
        <v>96</v>
      </c>
    </row>
    <row r="253" spans="1:26">
      <c r="A253" t="s">
        <v>693</v>
      </c>
      <c r="B253" t="s">
        <v>694</v>
      </c>
      <c r="C253" s="4">
        <v>46146</v>
      </c>
      <c r="D253" t="s">
        <v>120</v>
      </c>
      <c r="E253" t="s">
        <v>177</v>
      </c>
      <c r="F253" s="4"/>
      <c r="G253" s="4"/>
      <c r="H253" t="s">
        <v>111</v>
      </c>
      <c r="I253" t="s">
        <v>222</v>
      </c>
      <c r="J253" t="s">
        <v>117</v>
      </c>
      <c r="K253" t="s">
        <v>73</v>
      </c>
      <c r="L253" t="s">
        <v>61</v>
      </c>
      <c r="M253" s="5"/>
      <c r="N253" s="5"/>
      <c r="O253" s="5"/>
      <c r="P253" s="5"/>
      <c r="Q253" s="5"/>
      <c r="R253" t="s">
        <v>62</v>
      </c>
      <c r="S253" t="s">
        <v>63</v>
      </c>
      <c r="T253" s="5"/>
      <c r="U253" s="6"/>
      <c r="V253" t="s">
        <v>64</v>
      </c>
      <c r="W253" s="4"/>
      <c r="X253" t="s">
        <v>65</v>
      </c>
      <c r="Z253" t="s">
        <v>66</v>
      </c>
    </row>
    <row r="254" spans="1:26">
      <c r="A254" t="s">
        <v>695</v>
      </c>
      <c r="B254" t="s">
        <v>696</v>
      </c>
      <c r="C254" s="4">
        <v>46044</v>
      </c>
      <c r="D254" t="s">
        <v>168</v>
      </c>
      <c r="E254" t="s">
        <v>70</v>
      </c>
      <c r="F254" s="4">
        <v>46044</v>
      </c>
      <c r="G254" s="4">
        <v>46044</v>
      </c>
      <c r="H254" t="s">
        <v>150</v>
      </c>
      <c r="I254" t="s">
        <v>228</v>
      </c>
      <c r="J254" t="s">
        <v>229</v>
      </c>
      <c r="K254" t="s">
        <v>60</v>
      </c>
      <c r="L254" t="s">
        <v>94</v>
      </c>
      <c r="M254" s="5">
        <v>37000</v>
      </c>
      <c r="N254" s="5">
        <v>4750</v>
      </c>
      <c r="O254" s="5">
        <v>9050</v>
      </c>
      <c r="P254" s="5">
        <v>0</v>
      </c>
      <c r="Q254" s="5">
        <v>52300</v>
      </c>
      <c r="R254" t="s">
        <v>141</v>
      </c>
      <c r="S254" t="s">
        <v>76</v>
      </c>
      <c r="T254" s="5">
        <v>9040</v>
      </c>
      <c r="U254" s="6">
        <v>3</v>
      </c>
      <c r="V254" t="s">
        <v>77</v>
      </c>
      <c r="W254" s="4">
        <v>46055</v>
      </c>
      <c r="X254" t="s">
        <v>64</v>
      </c>
      <c r="Y254" t="s">
        <v>77</v>
      </c>
      <c r="Z254" t="s">
        <v>107</v>
      </c>
    </row>
    <row r="255" spans="1:26">
      <c r="A255" t="s">
        <v>697</v>
      </c>
      <c r="B255" t="s">
        <v>158</v>
      </c>
      <c r="C255" s="4">
        <v>46159</v>
      </c>
      <c r="D255" t="s">
        <v>439</v>
      </c>
      <c r="E255" t="s">
        <v>70</v>
      </c>
      <c r="F255" s="4">
        <v>46159</v>
      </c>
      <c r="G255" s="4">
        <v>46159</v>
      </c>
      <c r="H255" t="s">
        <v>150</v>
      </c>
      <c r="I255" t="s">
        <v>228</v>
      </c>
      <c r="J255" t="s">
        <v>152</v>
      </c>
      <c r="K255" t="s">
        <v>60</v>
      </c>
      <c r="L255" t="s">
        <v>146</v>
      </c>
      <c r="M255" s="5">
        <v>31600</v>
      </c>
      <c r="N255" s="5">
        <v>4850</v>
      </c>
      <c r="O255" s="5">
        <v>5300</v>
      </c>
      <c r="P255" s="5">
        <v>0</v>
      </c>
      <c r="Q255" s="5">
        <v>43250</v>
      </c>
      <c r="R255" t="s">
        <v>75</v>
      </c>
      <c r="S255" t="s">
        <v>76</v>
      </c>
      <c r="T255" s="5">
        <v>19760</v>
      </c>
      <c r="U255" s="6">
        <v>5</v>
      </c>
      <c r="V255" t="s">
        <v>77</v>
      </c>
      <c r="W255" s="4">
        <v>46173</v>
      </c>
      <c r="X255" t="s">
        <v>77</v>
      </c>
      <c r="Y255" t="s">
        <v>64</v>
      </c>
      <c r="Z255" t="s">
        <v>96</v>
      </c>
    </row>
    <row r="256" spans="1:26">
      <c r="A256" t="s">
        <v>698</v>
      </c>
      <c r="B256" t="s">
        <v>143</v>
      </c>
      <c r="C256" s="4">
        <v>46114</v>
      </c>
      <c r="D256" t="s">
        <v>439</v>
      </c>
      <c r="E256" t="s">
        <v>70</v>
      </c>
      <c r="F256" s="4">
        <v>46114</v>
      </c>
      <c r="G256" s="4">
        <v>46114</v>
      </c>
      <c r="H256" t="s">
        <v>82</v>
      </c>
      <c r="I256" t="s">
        <v>331</v>
      </c>
      <c r="J256" t="s">
        <v>156</v>
      </c>
      <c r="K256" t="s">
        <v>60</v>
      </c>
      <c r="L256" t="s">
        <v>61</v>
      </c>
      <c r="M256" s="5">
        <v>61200</v>
      </c>
      <c r="N256" s="5">
        <v>5450</v>
      </c>
      <c r="O256" s="5">
        <v>12800</v>
      </c>
      <c r="P256" s="5">
        <v>0</v>
      </c>
      <c r="Q256" s="5">
        <v>80950</v>
      </c>
      <c r="R256" t="s">
        <v>85</v>
      </c>
      <c r="S256" t="s">
        <v>76</v>
      </c>
      <c r="T256" s="5">
        <v>21140</v>
      </c>
      <c r="U256" s="6">
        <v>5</v>
      </c>
      <c r="V256" t="s">
        <v>77</v>
      </c>
      <c r="W256" s="4">
        <v>46128</v>
      </c>
      <c r="X256" t="s">
        <v>77</v>
      </c>
      <c r="Y256" t="s">
        <v>64</v>
      </c>
      <c r="Z256" t="s">
        <v>96</v>
      </c>
    </row>
    <row r="257" spans="1:26">
      <c r="A257" t="s">
        <v>699</v>
      </c>
      <c r="B257" t="s">
        <v>700</v>
      </c>
      <c r="C257" s="4">
        <v>46043</v>
      </c>
      <c r="D257" t="s">
        <v>149</v>
      </c>
      <c r="E257" t="s">
        <v>70</v>
      </c>
      <c r="F257" s="4">
        <v>46043</v>
      </c>
      <c r="G257" s="4">
        <v>46043</v>
      </c>
      <c r="H257" t="s">
        <v>178</v>
      </c>
      <c r="I257" t="s">
        <v>415</v>
      </c>
      <c r="J257" t="s">
        <v>180</v>
      </c>
      <c r="K257" t="s">
        <v>60</v>
      </c>
      <c r="L257" t="s">
        <v>61</v>
      </c>
      <c r="M257" s="5">
        <v>52800</v>
      </c>
      <c r="N257" s="5">
        <v>5250</v>
      </c>
      <c r="O257" s="5">
        <v>7350</v>
      </c>
      <c r="P257" s="5">
        <v>0</v>
      </c>
      <c r="Q257" s="5">
        <v>66200</v>
      </c>
      <c r="R257" t="s">
        <v>106</v>
      </c>
      <c r="S257" t="s">
        <v>76</v>
      </c>
      <c r="T257" s="5">
        <v>23870</v>
      </c>
      <c r="U257" s="6">
        <v>5</v>
      </c>
      <c r="V257" t="s">
        <v>77</v>
      </c>
      <c r="W257" s="4">
        <v>46062</v>
      </c>
      <c r="X257" t="s">
        <v>77</v>
      </c>
      <c r="Y257" t="s">
        <v>64</v>
      </c>
      <c r="Z257" t="s">
        <v>78</v>
      </c>
    </row>
    <row r="258" spans="1:26">
      <c r="A258" t="s">
        <v>701</v>
      </c>
      <c r="B258" t="s">
        <v>702</v>
      </c>
      <c r="C258" s="4">
        <v>46095</v>
      </c>
      <c r="D258" t="s">
        <v>206</v>
      </c>
      <c r="E258" t="s">
        <v>70</v>
      </c>
      <c r="F258" s="4">
        <v>46095</v>
      </c>
      <c r="G258" s="4">
        <v>46095</v>
      </c>
      <c r="H258" t="s">
        <v>103</v>
      </c>
      <c r="I258" t="s">
        <v>104</v>
      </c>
      <c r="J258" t="s">
        <v>244</v>
      </c>
      <c r="K258" t="s">
        <v>60</v>
      </c>
      <c r="L258" t="s">
        <v>74</v>
      </c>
      <c r="M258" s="5">
        <v>47500</v>
      </c>
      <c r="N258" s="5">
        <v>4850</v>
      </c>
      <c r="O258" s="5">
        <v>9800</v>
      </c>
      <c r="P258" s="5">
        <v>0</v>
      </c>
      <c r="Q258" s="5">
        <v>63950</v>
      </c>
      <c r="R258" t="s">
        <v>75</v>
      </c>
      <c r="S258" t="s">
        <v>76</v>
      </c>
      <c r="T258" s="5">
        <v>29080</v>
      </c>
      <c r="U258" s="6">
        <v>5</v>
      </c>
      <c r="V258" t="s">
        <v>77</v>
      </c>
      <c r="W258" s="4">
        <v>46111</v>
      </c>
      <c r="X258" t="s">
        <v>64</v>
      </c>
      <c r="Y258" t="s">
        <v>64</v>
      </c>
      <c r="Z258" t="s">
        <v>96</v>
      </c>
    </row>
    <row r="259" spans="1:26">
      <c r="A259" t="s">
        <v>703</v>
      </c>
      <c r="B259" t="s">
        <v>704</v>
      </c>
      <c r="C259" s="4">
        <v>46141</v>
      </c>
      <c r="D259" t="s">
        <v>307</v>
      </c>
      <c r="E259" t="s">
        <v>70</v>
      </c>
      <c r="F259" s="4">
        <v>46142</v>
      </c>
      <c r="G259" s="4">
        <v>46143</v>
      </c>
      <c r="H259" t="s">
        <v>150</v>
      </c>
      <c r="I259" t="s">
        <v>151</v>
      </c>
      <c r="J259" t="s">
        <v>188</v>
      </c>
      <c r="K259" t="s">
        <v>60</v>
      </c>
      <c r="L259" t="s">
        <v>74</v>
      </c>
      <c r="M259" s="5">
        <v>89500</v>
      </c>
      <c r="N259" s="5">
        <v>12200</v>
      </c>
      <c r="O259" s="5">
        <v>13600</v>
      </c>
      <c r="P259" s="5">
        <v>3000</v>
      </c>
      <c r="Q259" s="5">
        <v>120800</v>
      </c>
      <c r="R259" t="s">
        <v>95</v>
      </c>
      <c r="S259" t="s">
        <v>63</v>
      </c>
      <c r="T259" s="5">
        <v>120800</v>
      </c>
      <c r="U259" s="6"/>
      <c r="V259" t="s">
        <v>77</v>
      </c>
      <c r="W259" s="4">
        <v>46154</v>
      </c>
      <c r="X259" t="s">
        <v>77</v>
      </c>
      <c r="Y259" t="s">
        <v>64</v>
      </c>
      <c r="Z259" t="s">
        <v>78</v>
      </c>
    </row>
    <row r="260" spans="1:26">
      <c r="A260" t="s">
        <v>705</v>
      </c>
      <c r="B260" t="s">
        <v>706</v>
      </c>
      <c r="C260" s="4">
        <v>46165</v>
      </c>
      <c r="D260" t="s">
        <v>307</v>
      </c>
      <c r="E260" t="s">
        <v>70</v>
      </c>
      <c r="F260" s="4">
        <v>46165</v>
      </c>
      <c r="G260" s="4">
        <v>46168</v>
      </c>
      <c r="H260" t="s">
        <v>150</v>
      </c>
      <c r="I260" t="s">
        <v>187</v>
      </c>
      <c r="J260" t="s">
        <v>152</v>
      </c>
      <c r="K260" t="s">
        <v>73</v>
      </c>
      <c r="L260" t="s">
        <v>74</v>
      </c>
      <c r="M260" s="5">
        <v>30000</v>
      </c>
      <c r="N260" s="5">
        <v>4100</v>
      </c>
      <c r="O260" s="5">
        <v>3800</v>
      </c>
      <c r="P260" s="5">
        <v>9000</v>
      </c>
      <c r="Q260" s="5">
        <v>49400</v>
      </c>
      <c r="R260" t="s">
        <v>95</v>
      </c>
      <c r="S260" t="s">
        <v>63</v>
      </c>
      <c r="T260" s="5">
        <v>49400</v>
      </c>
      <c r="U260" s="6">
        <v>5</v>
      </c>
      <c r="V260" t="s">
        <v>64</v>
      </c>
      <c r="W260" s="4"/>
      <c r="X260" t="s">
        <v>65</v>
      </c>
      <c r="Y260" t="s">
        <v>64</v>
      </c>
      <c r="Z260" t="s">
        <v>107</v>
      </c>
    </row>
    <row r="261" spans="1:26">
      <c r="A261" t="s">
        <v>707</v>
      </c>
      <c r="B261" t="s">
        <v>528</v>
      </c>
      <c r="C261" s="4">
        <v>46104</v>
      </c>
      <c r="D261" t="s">
        <v>284</v>
      </c>
      <c r="E261" t="s">
        <v>70</v>
      </c>
      <c r="F261" s="4">
        <v>46104</v>
      </c>
      <c r="G261" s="4">
        <v>46104</v>
      </c>
      <c r="H261" t="s">
        <v>103</v>
      </c>
      <c r="I261" t="s">
        <v>412</v>
      </c>
      <c r="J261" t="s">
        <v>244</v>
      </c>
      <c r="K261" t="s">
        <v>60</v>
      </c>
      <c r="L261" t="s">
        <v>94</v>
      </c>
      <c r="M261" s="5">
        <v>82900</v>
      </c>
      <c r="N261" s="5">
        <v>8100</v>
      </c>
      <c r="O261" s="5">
        <v>11900</v>
      </c>
      <c r="P261" s="5">
        <v>0</v>
      </c>
      <c r="Q261" s="5">
        <v>104100</v>
      </c>
      <c r="R261" t="s">
        <v>141</v>
      </c>
      <c r="S261" t="s">
        <v>76</v>
      </c>
      <c r="T261" s="5">
        <v>16820</v>
      </c>
      <c r="U261" s="6">
        <v>4</v>
      </c>
      <c r="V261" t="s">
        <v>77</v>
      </c>
      <c r="W261" s="4">
        <v>46113</v>
      </c>
      <c r="X261" t="s">
        <v>77</v>
      </c>
      <c r="Y261" t="s">
        <v>77</v>
      </c>
      <c r="Z261" t="s">
        <v>219</v>
      </c>
    </row>
    <row r="262" spans="1:26">
      <c r="A262" t="s">
        <v>708</v>
      </c>
      <c r="B262" t="s">
        <v>709</v>
      </c>
      <c r="C262" s="4">
        <v>46043</v>
      </c>
      <c r="D262" t="s">
        <v>242</v>
      </c>
      <c r="E262" t="s">
        <v>177</v>
      </c>
      <c r="F262" s="4"/>
      <c r="G262" s="4"/>
      <c r="H262" t="s">
        <v>103</v>
      </c>
      <c r="I262" t="s">
        <v>243</v>
      </c>
      <c r="J262" t="s">
        <v>244</v>
      </c>
      <c r="K262" t="s">
        <v>60</v>
      </c>
      <c r="L262" t="s">
        <v>61</v>
      </c>
      <c r="M262" s="5"/>
      <c r="N262" s="5"/>
      <c r="O262" s="5"/>
      <c r="P262" s="5"/>
      <c r="Q262" s="5"/>
      <c r="R262" t="s">
        <v>95</v>
      </c>
      <c r="S262" t="s">
        <v>63</v>
      </c>
      <c r="T262" s="5"/>
      <c r="U262" s="6"/>
      <c r="V262" t="s">
        <v>64</v>
      </c>
      <c r="W262" s="4"/>
      <c r="X262" t="s">
        <v>65</v>
      </c>
      <c r="Z262" t="s">
        <v>66</v>
      </c>
    </row>
    <row r="263" spans="1:26">
      <c r="A263" t="s">
        <v>710</v>
      </c>
      <c r="B263" t="s">
        <v>711</v>
      </c>
      <c r="C263" s="4">
        <v>46028</v>
      </c>
      <c r="D263" t="s">
        <v>242</v>
      </c>
      <c r="E263" t="s">
        <v>70</v>
      </c>
      <c r="F263" s="4">
        <v>46028</v>
      </c>
      <c r="G263" s="4">
        <v>46033</v>
      </c>
      <c r="H263" t="s">
        <v>57</v>
      </c>
      <c r="I263" t="s">
        <v>184</v>
      </c>
      <c r="J263" t="s">
        <v>170</v>
      </c>
      <c r="K263" t="s">
        <v>124</v>
      </c>
      <c r="L263" t="s">
        <v>94</v>
      </c>
      <c r="M263" s="5">
        <v>64500</v>
      </c>
      <c r="N263" s="5">
        <v>11100</v>
      </c>
      <c r="O263" s="5">
        <v>9550</v>
      </c>
      <c r="P263" s="5">
        <v>17500</v>
      </c>
      <c r="Q263" s="5">
        <v>103850</v>
      </c>
      <c r="R263" t="s">
        <v>75</v>
      </c>
      <c r="S263" t="s">
        <v>76</v>
      </c>
      <c r="T263" s="5">
        <v>47030</v>
      </c>
      <c r="U263" s="6">
        <v>4</v>
      </c>
      <c r="V263" t="s">
        <v>77</v>
      </c>
      <c r="W263" s="4">
        <v>46047</v>
      </c>
      <c r="X263" t="s">
        <v>77</v>
      </c>
      <c r="Y263" t="s">
        <v>64</v>
      </c>
      <c r="Z263" t="s">
        <v>219</v>
      </c>
    </row>
    <row r="264" spans="1:26">
      <c r="A264" t="s">
        <v>712</v>
      </c>
      <c r="B264" t="s">
        <v>713</v>
      </c>
      <c r="C264" s="4">
        <v>46085</v>
      </c>
      <c r="D264" t="s">
        <v>132</v>
      </c>
      <c r="E264" t="s">
        <v>70</v>
      </c>
      <c r="F264" s="4">
        <v>46086</v>
      </c>
      <c r="G264" s="4">
        <v>46086</v>
      </c>
      <c r="H264" t="s">
        <v>150</v>
      </c>
      <c r="I264" t="s">
        <v>151</v>
      </c>
      <c r="J264" t="s">
        <v>188</v>
      </c>
      <c r="K264" t="s">
        <v>60</v>
      </c>
      <c r="L264" t="s">
        <v>94</v>
      </c>
      <c r="M264" s="5">
        <v>80200</v>
      </c>
      <c r="N264" s="5">
        <v>8500</v>
      </c>
      <c r="O264" s="5">
        <v>16650</v>
      </c>
      <c r="P264" s="5">
        <v>0</v>
      </c>
      <c r="Q264" s="5">
        <v>107850</v>
      </c>
      <c r="R264" t="s">
        <v>75</v>
      </c>
      <c r="S264" t="s">
        <v>76</v>
      </c>
      <c r="T264" s="5">
        <v>48830</v>
      </c>
      <c r="U264" s="6">
        <v>3</v>
      </c>
      <c r="V264" t="s">
        <v>77</v>
      </c>
      <c r="W264" s="4">
        <v>46101</v>
      </c>
      <c r="X264" t="s">
        <v>64</v>
      </c>
      <c r="Y264" t="s">
        <v>64</v>
      </c>
      <c r="Z264" t="s">
        <v>96</v>
      </c>
    </row>
    <row r="265" spans="1:26">
      <c r="A265" t="s">
        <v>714</v>
      </c>
      <c r="B265" t="s">
        <v>715</v>
      </c>
      <c r="C265" s="4">
        <v>46132</v>
      </c>
      <c r="D265" t="s">
        <v>81</v>
      </c>
      <c r="E265" t="s">
        <v>70</v>
      </c>
      <c r="F265" s="4">
        <v>46132</v>
      </c>
      <c r="G265" s="4">
        <v>46132</v>
      </c>
      <c r="H265" t="s">
        <v>57</v>
      </c>
      <c r="I265" t="s">
        <v>58</v>
      </c>
      <c r="J265" t="s">
        <v>59</v>
      </c>
      <c r="K265" t="s">
        <v>60</v>
      </c>
      <c r="L265" t="s">
        <v>94</v>
      </c>
      <c r="M265" s="5">
        <v>39500</v>
      </c>
      <c r="N265" s="5">
        <v>5050</v>
      </c>
      <c r="O265" s="5">
        <v>5500</v>
      </c>
      <c r="P265" s="5">
        <v>0</v>
      </c>
      <c r="Q265" s="5">
        <v>52550</v>
      </c>
      <c r="R265" t="s">
        <v>106</v>
      </c>
      <c r="S265" t="s">
        <v>76</v>
      </c>
      <c r="T265" s="5">
        <v>19090</v>
      </c>
      <c r="U265" s="6">
        <v>5</v>
      </c>
      <c r="V265" t="s">
        <v>77</v>
      </c>
      <c r="W265" s="4">
        <v>46150</v>
      </c>
      <c r="X265" t="s">
        <v>77</v>
      </c>
      <c r="Y265" t="s">
        <v>64</v>
      </c>
      <c r="Z265" t="s">
        <v>78</v>
      </c>
    </row>
    <row r="266" spans="1:26">
      <c r="A266" t="s">
        <v>716</v>
      </c>
      <c r="B266" t="s">
        <v>565</v>
      </c>
      <c r="C266" s="4">
        <v>46060</v>
      </c>
      <c r="D266" t="s">
        <v>337</v>
      </c>
      <c r="E266" t="s">
        <v>70</v>
      </c>
      <c r="F266" s="4">
        <v>46060</v>
      </c>
      <c r="G266" s="4">
        <v>46067</v>
      </c>
      <c r="H266" t="s">
        <v>103</v>
      </c>
      <c r="I266" t="s">
        <v>104</v>
      </c>
      <c r="J266" t="s">
        <v>244</v>
      </c>
      <c r="K266" t="s">
        <v>124</v>
      </c>
      <c r="L266" t="s">
        <v>94</v>
      </c>
      <c r="M266" s="5">
        <v>49300</v>
      </c>
      <c r="N266" s="5">
        <v>7050</v>
      </c>
      <c r="O266" s="5">
        <v>8450</v>
      </c>
      <c r="P266" s="5">
        <v>31500</v>
      </c>
      <c r="Q266" s="5">
        <v>98100</v>
      </c>
      <c r="R266" t="s">
        <v>85</v>
      </c>
      <c r="S266" t="s">
        <v>76</v>
      </c>
      <c r="T266" s="5">
        <v>25420</v>
      </c>
      <c r="U266" s="6"/>
      <c r="V266" t="s">
        <v>77</v>
      </c>
      <c r="W266" s="4">
        <v>46083</v>
      </c>
      <c r="X266" t="s">
        <v>77</v>
      </c>
      <c r="Y266" t="s">
        <v>64</v>
      </c>
      <c r="Z266" t="s">
        <v>96</v>
      </c>
    </row>
    <row r="267" spans="1:26">
      <c r="A267" t="s">
        <v>717</v>
      </c>
      <c r="B267" t="s">
        <v>394</v>
      </c>
      <c r="C267" s="4">
        <v>46126</v>
      </c>
      <c r="D267" t="s">
        <v>307</v>
      </c>
      <c r="E267" t="s">
        <v>177</v>
      </c>
      <c r="F267" s="4"/>
      <c r="G267" s="4"/>
      <c r="H267" t="s">
        <v>57</v>
      </c>
      <c r="I267" t="s">
        <v>211</v>
      </c>
      <c r="J267" t="s">
        <v>59</v>
      </c>
      <c r="K267" t="s">
        <v>73</v>
      </c>
      <c r="L267" t="s">
        <v>94</v>
      </c>
      <c r="M267" s="5"/>
      <c r="N267" s="5"/>
      <c r="O267" s="5"/>
      <c r="P267" s="5"/>
      <c r="Q267" s="5"/>
      <c r="R267" t="s">
        <v>95</v>
      </c>
      <c r="S267" t="s">
        <v>63</v>
      </c>
      <c r="T267" s="5"/>
      <c r="U267" s="6"/>
      <c r="V267" t="s">
        <v>64</v>
      </c>
      <c r="W267" s="4"/>
      <c r="X267" t="s">
        <v>65</v>
      </c>
      <c r="Z267" t="s">
        <v>66</v>
      </c>
    </row>
    <row r="268" spans="1:26">
      <c r="A268" t="s">
        <v>718</v>
      </c>
      <c r="B268" t="s">
        <v>719</v>
      </c>
      <c r="C268" s="4">
        <v>46147</v>
      </c>
      <c r="D268" t="s">
        <v>110</v>
      </c>
      <c r="E268" t="s">
        <v>70</v>
      </c>
      <c r="F268" s="4">
        <v>46147</v>
      </c>
      <c r="G268" s="4">
        <v>46148</v>
      </c>
      <c r="H268" t="s">
        <v>138</v>
      </c>
      <c r="I268" t="s">
        <v>235</v>
      </c>
      <c r="J268" t="s">
        <v>261</v>
      </c>
      <c r="K268" t="s">
        <v>124</v>
      </c>
      <c r="L268" t="s">
        <v>61</v>
      </c>
      <c r="M268" s="5">
        <v>5400</v>
      </c>
      <c r="N268" s="5">
        <v>600</v>
      </c>
      <c r="O268" s="5">
        <v>1150</v>
      </c>
      <c r="P268" s="5">
        <v>2500</v>
      </c>
      <c r="Q268" s="5">
        <v>10650</v>
      </c>
      <c r="R268" t="s">
        <v>85</v>
      </c>
      <c r="S268" t="s">
        <v>76</v>
      </c>
      <c r="T268" s="5">
        <v>3560</v>
      </c>
      <c r="U268" s="6">
        <v>4</v>
      </c>
      <c r="V268" t="s">
        <v>64</v>
      </c>
      <c r="W268" s="4"/>
      <c r="X268" t="s">
        <v>65</v>
      </c>
      <c r="Y268" t="s">
        <v>64</v>
      </c>
      <c r="Z268" t="s">
        <v>107</v>
      </c>
    </row>
    <row r="269" spans="1:26">
      <c r="A269" t="s">
        <v>720</v>
      </c>
      <c r="B269" t="s">
        <v>721</v>
      </c>
      <c r="C269" s="4">
        <v>46125</v>
      </c>
      <c r="D269" t="s">
        <v>294</v>
      </c>
      <c r="E269" t="s">
        <v>70</v>
      </c>
      <c r="F269" s="4">
        <v>46125</v>
      </c>
      <c r="G269" s="4">
        <v>46126</v>
      </c>
      <c r="H269" t="s">
        <v>82</v>
      </c>
      <c r="I269" t="s">
        <v>194</v>
      </c>
      <c r="J269" t="s">
        <v>291</v>
      </c>
      <c r="K269" t="s">
        <v>60</v>
      </c>
      <c r="L269" t="s">
        <v>146</v>
      </c>
      <c r="M269" s="5">
        <v>30600</v>
      </c>
      <c r="N269" s="5">
        <v>4200</v>
      </c>
      <c r="O269" s="5">
        <v>4200</v>
      </c>
      <c r="P269" s="5">
        <v>3500</v>
      </c>
      <c r="Q269" s="5">
        <v>44300</v>
      </c>
      <c r="R269" t="s">
        <v>95</v>
      </c>
      <c r="S269" t="s">
        <v>63</v>
      </c>
      <c r="T269" s="5">
        <v>44300</v>
      </c>
      <c r="U269" s="6">
        <v>5</v>
      </c>
      <c r="V269" t="s">
        <v>77</v>
      </c>
      <c r="W269" s="4">
        <v>46147</v>
      </c>
      <c r="X269" t="s">
        <v>77</v>
      </c>
      <c r="Y269" t="s">
        <v>64</v>
      </c>
      <c r="Z269" t="s">
        <v>219</v>
      </c>
    </row>
    <row r="270" spans="1:26">
      <c r="A270" t="s">
        <v>722</v>
      </c>
      <c r="B270" t="s">
        <v>723</v>
      </c>
      <c r="C270" s="4">
        <v>46156</v>
      </c>
      <c r="D270" t="s">
        <v>206</v>
      </c>
      <c r="E270" t="s">
        <v>70</v>
      </c>
      <c r="F270" s="4">
        <v>46156</v>
      </c>
      <c r="G270" s="4">
        <v>46160</v>
      </c>
      <c r="H270" t="s">
        <v>201</v>
      </c>
      <c r="I270" t="s">
        <v>449</v>
      </c>
      <c r="J270" t="s">
        <v>295</v>
      </c>
      <c r="K270" t="s">
        <v>73</v>
      </c>
      <c r="L270" t="s">
        <v>74</v>
      </c>
      <c r="M270" s="5">
        <v>33600</v>
      </c>
      <c r="N270" s="5">
        <v>4300</v>
      </c>
      <c r="O270" s="5">
        <v>5600</v>
      </c>
      <c r="P270" s="5">
        <v>18000</v>
      </c>
      <c r="Q270" s="5">
        <v>62300</v>
      </c>
      <c r="R270" t="s">
        <v>75</v>
      </c>
      <c r="S270" t="s">
        <v>76</v>
      </c>
      <c r="T270" s="5">
        <v>28330</v>
      </c>
      <c r="U270" s="6">
        <v>4</v>
      </c>
      <c r="V270" t="s">
        <v>77</v>
      </c>
      <c r="W270" s="4">
        <v>46174</v>
      </c>
      <c r="X270" t="s">
        <v>77</v>
      </c>
      <c r="Y270" t="s">
        <v>77</v>
      </c>
      <c r="Z270" t="s">
        <v>96</v>
      </c>
    </row>
    <row r="271" spans="1:26">
      <c r="A271" t="s">
        <v>724</v>
      </c>
      <c r="B271" t="s">
        <v>725</v>
      </c>
      <c r="C271" s="4">
        <v>46127</v>
      </c>
      <c r="D271" t="s">
        <v>144</v>
      </c>
      <c r="E271" t="s">
        <v>70</v>
      </c>
      <c r="F271" s="4">
        <v>46127</v>
      </c>
      <c r="G271" s="4">
        <v>46128</v>
      </c>
      <c r="H271" t="s">
        <v>201</v>
      </c>
      <c r="I271" t="s">
        <v>327</v>
      </c>
      <c r="J271" t="s">
        <v>281</v>
      </c>
      <c r="K271" t="s">
        <v>124</v>
      </c>
      <c r="L271" t="s">
        <v>74</v>
      </c>
      <c r="M271" s="5">
        <v>6000</v>
      </c>
      <c r="N271" s="5">
        <v>800</v>
      </c>
      <c r="O271" s="5">
        <v>900</v>
      </c>
      <c r="P271" s="5">
        <v>6000</v>
      </c>
      <c r="Q271" s="5">
        <v>14700</v>
      </c>
      <c r="R271" t="s">
        <v>141</v>
      </c>
      <c r="S271" t="s">
        <v>76</v>
      </c>
      <c r="T271" s="5">
        <v>3410</v>
      </c>
      <c r="U271" s="6">
        <v>3</v>
      </c>
      <c r="V271" t="s">
        <v>77</v>
      </c>
      <c r="W271" s="4">
        <v>46147</v>
      </c>
      <c r="X271" t="s">
        <v>64</v>
      </c>
      <c r="Y271" t="s">
        <v>64</v>
      </c>
      <c r="Z271" t="s">
        <v>78</v>
      </c>
    </row>
    <row r="272" spans="1:26">
      <c r="A272" t="s">
        <v>726</v>
      </c>
      <c r="B272" t="s">
        <v>727</v>
      </c>
      <c r="C272" s="4">
        <v>46110</v>
      </c>
      <c r="D272" t="s">
        <v>469</v>
      </c>
      <c r="E272" t="s">
        <v>70</v>
      </c>
      <c r="F272" s="4">
        <v>46110</v>
      </c>
      <c r="G272" s="4">
        <v>46110</v>
      </c>
      <c r="H272" t="s">
        <v>90</v>
      </c>
      <c r="I272" t="s">
        <v>128</v>
      </c>
      <c r="J272" t="s">
        <v>129</v>
      </c>
      <c r="K272" t="s">
        <v>60</v>
      </c>
      <c r="L272" t="s">
        <v>61</v>
      </c>
      <c r="M272" s="5">
        <v>36600</v>
      </c>
      <c r="N272" s="5">
        <v>5150</v>
      </c>
      <c r="O272" s="5">
        <v>6800</v>
      </c>
      <c r="P272" s="5">
        <v>0</v>
      </c>
      <c r="Q272" s="5">
        <v>50550</v>
      </c>
      <c r="R272" t="s">
        <v>75</v>
      </c>
      <c r="S272" t="s">
        <v>76</v>
      </c>
      <c r="T272" s="5">
        <v>23050</v>
      </c>
      <c r="U272" s="6">
        <v>5</v>
      </c>
      <c r="V272" t="s">
        <v>77</v>
      </c>
      <c r="W272" s="4">
        <v>46129</v>
      </c>
      <c r="X272" t="s">
        <v>77</v>
      </c>
      <c r="Y272" t="s">
        <v>64</v>
      </c>
      <c r="Z272" t="s">
        <v>78</v>
      </c>
    </row>
    <row r="273" spans="1:26">
      <c r="A273" t="s">
        <v>728</v>
      </c>
      <c r="B273" t="s">
        <v>288</v>
      </c>
      <c r="C273" s="4">
        <v>46143</v>
      </c>
      <c r="D273" t="s">
        <v>200</v>
      </c>
      <c r="E273" t="s">
        <v>70</v>
      </c>
      <c r="F273" s="4">
        <v>46143</v>
      </c>
      <c r="G273" s="4">
        <v>46143</v>
      </c>
      <c r="H273" t="s">
        <v>82</v>
      </c>
      <c r="I273" t="s">
        <v>331</v>
      </c>
      <c r="J273" t="s">
        <v>84</v>
      </c>
      <c r="K273" t="s">
        <v>60</v>
      </c>
      <c r="L273" t="s">
        <v>74</v>
      </c>
      <c r="M273" s="5">
        <v>6900</v>
      </c>
      <c r="N273" s="5">
        <v>800</v>
      </c>
      <c r="O273" s="5">
        <v>1100</v>
      </c>
      <c r="P273" s="5">
        <v>0</v>
      </c>
      <c r="Q273" s="5">
        <v>10300</v>
      </c>
      <c r="R273" t="s">
        <v>95</v>
      </c>
      <c r="S273" t="s">
        <v>63</v>
      </c>
      <c r="T273" s="5">
        <v>10300</v>
      </c>
      <c r="U273" s="6">
        <v>5</v>
      </c>
      <c r="V273" t="s">
        <v>64</v>
      </c>
      <c r="W273" s="4"/>
      <c r="X273" t="s">
        <v>65</v>
      </c>
      <c r="Y273" t="s">
        <v>64</v>
      </c>
      <c r="Z273" t="s">
        <v>96</v>
      </c>
    </row>
    <row r="274" spans="1:26">
      <c r="A274" t="s">
        <v>729</v>
      </c>
      <c r="B274" t="s">
        <v>721</v>
      </c>
      <c r="C274" s="4">
        <v>46088</v>
      </c>
      <c r="D274" t="s">
        <v>200</v>
      </c>
      <c r="E274" t="s">
        <v>70</v>
      </c>
      <c r="F274" s="4">
        <v>46088</v>
      </c>
      <c r="G274" s="4">
        <v>46092</v>
      </c>
      <c r="H274" t="s">
        <v>90</v>
      </c>
      <c r="I274" t="s">
        <v>299</v>
      </c>
      <c r="J274" t="s">
        <v>129</v>
      </c>
      <c r="K274" t="s">
        <v>73</v>
      </c>
      <c r="L274" t="s">
        <v>74</v>
      </c>
      <c r="M274" s="5">
        <v>36100</v>
      </c>
      <c r="N274" s="5">
        <v>3150</v>
      </c>
      <c r="O274" s="5">
        <v>4500</v>
      </c>
      <c r="P274" s="5">
        <v>18000</v>
      </c>
      <c r="Q274" s="5">
        <v>63250</v>
      </c>
      <c r="R274" t="s">
        <v>62</v>
      </c>
      <c r="S274" t="s">
        <v>76</v>
      </c>
      <c r="T274" s="5">
        <v>19380</v>
      </c>
      <c r="U274" s="6">
        <v>4</v>
      </c>
      <c r="V274" t="s">
        <v>64</v>
      </c>
      <c r="W274" s="4"/>
      <c r="X274" t="s">
        <v>65</v>
      </c>
      <c r="Y274" t="s">
        <v>64</v>
      </c>
      <c r="Z274" t="s">
        <v>107</v>
      </c>
    </row>
    <row r="275" spans="1:26">
      <c r="A275" t="s">
        <v>730</v>
      </c>
      <c r="B275" t="s">
        <v>434</v>
      </c>
      <c r="C275" s="4">
        <v>46110</v>
      </c>
      <c r="D275" t="s">
        <v>200</v>
      </c>
      <c r="E275" t="s">
        <v>70</v>
      </c>
      <c r="F275" s="4">
        <v>46110</v>
      </c>
      <c r="G275" s="4">
        <v>46110</v>
      </c>
      <c r="H275" t="s">
        <v>90</v>
      </c>
      <c r="I275" t="s">
        <v>388</v>
      </c>
      <c r="J275" t="s">
        <v>92</v>
      </c>
      <c r="K275" t="s">
        <v>60</v>
      </c>
      <c r="L275" t="s">
        <v>74</v>
      </c>
      <c r="M275" s="5">
        <v>41300</v>
      </c>
      <c r="N275" s="5">
        <v>3950</v>
      </c>
      <c r="O275" s="5">
        <v>6000</v>
      </c>
      <c r="P275" s="5">
        <v>0</v>
      </c>
      <c r="Q275" s="5">
        <v>52750</v>
      </c>
      <c r="R275" t="s">
        <v>75</v>
      </c>
      <c r="S275" t="s">
        <v>76</v>
      </c>
      <c r="T275" s="5">
        <v>24040</v>
      </c>
      <c r="U275" s="6">
        <v>5</v>
      </c>
      <c r="V275" t="s">
        <v>77</v>
      </c>
      <c r="W275" s="4">
        <v>46126</v>
      </c>
      <c r="X275" t="s">
        <v>77</v>
      </c>
      <c r="Y275" t="s">
        <v>64</v>
      </c>
      <c r="Z275" t="s">
        <v>96</v>
      </c>
    </row>
    <row r="276" spans="1:26">
      <c r="A276" t="s">
        <v>731</v>
      </c>
      <c r="B276" t="s">
        <v>719</v>
      </c>
      <c r="C276" s="4">
        <v>46137</v>
      </c>
      <c r="D276" t="s">
        <v>127</v>
      </c>
      <c r="E276" t="s">
        <v>70</v>
      </c>
      <c r="F276" s="4">
        <v>46137</v>
      </c>
      <c r="G276" s="4">
        <v>46138</v>
      </c>
      <c r="H276" t="s">
        <v>201</v>
      </c>
      <c r="I276" t="s">
        <v>327</v>
      </c>
      <c r="J276" t="s">
        <v>281</v>
      </c>
      <c r="K276" t="s">
        <v>124</v>
      </c>
      <c r="L276" t="s">
        <v>61</v>
      </c>
      <c r="M276" s="5">
        <v>5800</v>
      </c>
      <c r="N276" s="5">
        <v>550</v>
      </c>
      <c r="O276" s="5">
        <v>950</v>
      </c>
      <c r="P276" s="5">
        <v>4500</v>
      </c>
      <c r="Q276" s="5">
        <v>12800</v>
      </c>
      <c r="R276" t="s">
        <v>95</v>
      </c>
      <c r="S276" t="s">
        <v>63</v>
      </c>
      <c r="T276" s="5">
        <v>12800</v>
      </c>
      <c r="U276" s="6">
        <v>4</v>
      </c>
      <c r="V276" t="s">
        <v>64</v>
      </c>
      <c r="W276" s="4"/>
      <c r="X276" t="s">
        <v>65</v>
      </c>
      <c r="Y276" t="s">
        <v>64</v>
      </c>
      <c r="Z276" t="s">
        <v>78</v>
      </c>
    </row>
    <row r="277" spans="1:26">
      <c r="A277" t="s">
        <v>732</v>
      </c>
      <c r="B277" t="s">
        <v>131</v>
      </c>
      <c r="C277" s="4">
        <v>46160</v>
      </c>
      <c r="D277" t="s">
        <v>383</v>
      </c>
      <c r="E277" t="s">
        <v>70</v>
      </c>
      <c r="F277" s="4">
        <v>46160</v>
      </c>
      <c r="G277" s="4">
        <v>46168</v>
      </c>
      <c r="H277" t="s">
        <v>150</v>
      </c>
      <c r="I277" t="s">
        <v>187</v>
      </c>
      <c r="J277" t="s">
        <v>188</v>
      </c>
      <c r="K277" t="s">
        <v>73</v>
      </c>
      <c r="L277" t="s">
        <v>94</v>
      </c>
      <c r="M277" s="5">
        <v>95900</v>
      </c>
      <c r="N277" s="5">
        <v>12750</v>
      </c>
      <c r="O277" s="5">
        <v>21100</v>
      </c>
      <c r="P277" s="5">
        <v>20000</v>
      </c>
      <c r="Q277" s="5">
        <v>152250</v>
      </c>
      <c r="R277" t="s">
        <v>85</v>
      </c>
      <c r="S277" t="s">
        <v>76</v>
      </c>
      <c r="T277" s="5">
        <v>38960</v>
      </c>
      <c r="U277" s="6">
        <v>2</v>
      </c>
      <c r="V277" t="s">
        <v>77</v>
      </c>
      <c r="W277" s="4">
        <v>46178</v>
      </c>
      <c r="X277" t="s">
        <v>64</v>
      </c>
      <c r="Y277" t="s">
        <v>64</v>
      </c>
      <c r="Z277" t="s">
        <v>78</v>
      </c>
    </row>
    <row r="278" spans="1:26">
      <c r="A278" t="s">
        <v>733</v>
      </c>
      <c r="B278" t="s">
        <v>734</v>
      </c>
      <c r="C278" s="4">
        <v>46170</v>
      </c>
      <c r="D278" t="s">
        <v>89</v>
      </c>
      <c r="E278" t="s">
        <v>70</v>
      </c>
      <c r="F278" s="4">
        <v>46171</v>
      </c>
      <c r="G278" s="4">
        <v>46178</v>
      </c>
      <c r="H278" t="s">
        <v>90</v>
      </c>
      <c r="I278" t="s">
        <v>299</v>
      </c>
      <c r="J278" t="s">
        <v>129</v>
      </c>
      <c r="K278" t="s">
        <v>124</v>
      </c>
      <c r="L278" t="s">
        <v>94</v>
      </c>
      <c r="M278" s="5">
        <v>42000</v>
      </c>
      <c r="N278" s="5">
        <v>3450</v>
      </c>
      <c r="O278" s="5">
        <v>5600</v>
      </c>
      <c r="P278" s="5">
        <v>31500</v>
      </c>
      <c r="Q278" s="5">
        <v>84050</v>
      </c>
      <c r="R278" t="s">
        <v>75</v>
      </c>
      <c r="S278" t="s">
        <v>86</v>
      </c>
      <c r="T278" s="5">
        <v>38120</v>
      </c>
      <c r="U278" s="6">
        <v>3</v>
      </c>
      <c r="V278" t="s">
        <v>77</v>
      </c>
      <c r="W278" s="4">
        <v>46197</v>
      </c>
      <c r="X278" t="s">
        <v>77</v>
      </c>
      <c r="Y278" t="s">
        <v>64</v>
      </c>
      <c r="Z278" t="s">
        <v>78</v>
      </c>
    </row>
    <row r="279" spans="1:26">
      <c r="A279" t="s">
        <v>735</v>
      </c>
      <c r="B279" t="s">
        <v>736</v>
      </c>
      <c r="C279" s="4">
        <v>46075</v>
      </c>
      <c r="D279" t="s">
        <v>161</v>
      </c>
      <c r="E279" t="s">
        <v>70</v>
      </c>
      <c r="F279" s="4">
        <v>46075</v>
      </c>
      <c r="G279" s="4">
        <v>46080</v>
      </c>
      <c r="H279" t="s">
        <v>121</v>
      </c>
      <c r="I279" t="s">
        <v>334</v>
      </c>
      <c r="J279" t="s">
        <v>252</v>
      </c>
      <c r="K279" t="s">
        <v>73</v>
      </c>
      <c r="L279" t="s">
        <v>146</v>
      </c>
      <c r="M279" s="5">
        <v>72200</v>
      </c>
      <c r="N279" s="5">
        <v>12650</v>
      </c>
      <c r="O279" s="5">
        <v>10750</v>
      </c>
      <c r="P279" s="5">
        <v>17500</v>
      </c>
      <c r="Q279" s="5">
        <v>114100</v>
      </c>
      <c r="R279" t="s">
        <v>62</v>
      </c>
      <c r="S279" t="s">
        <v>76</v>
      </c>
      <c r="T279" s="5">
        <v>34630</v>
      </c>
      <c r="U279" s="6">
        <v>4</v>
      </c>
      <c r="V279" t="s">
        <v>77</v>
      </c>
      <c r="W279" s="4">
        <v>46089</v>
      </c>
      <c r="X279" t="s">
        <v>77</v>
      </c>
      <c r="Y279" t="s">
        <v>64</v>
      </c>
      <c r="Z279" t="s">
        <v>96</v>
      </c>
    </row>
    <row r="280" spans="1:26">
      <c r="A280" t="s">
        <v>737</v>
      </c>
      <c r="B280" t="s">
        <v>434</v>
      </c>
      <c r="C280" s="4">
        <v>46076</v>
      </c>
      <c r="D280" t="s">
        <v>439</v>
      </c>
      <c r="E280" t="s">
        <v>70</v>
      </c>
      <c r="F280" s="4">
        <v>46077</v>
      </c>
      <c r="G280" s="4">
        <v>46078</v>
      </c>
      <c r="H280" t="s">
        <v>90</v>
      </c>
      <c r="I280" t="s">
        <v>299</v>
      </c>
      <c r="J280" t="s">
        <v>197</v>
      </c>
      <c r="K280" t="s">
        <v>60</v>
      </c>
      <c r="L280" t="s">
        <v>61</v>
      </c>
      <c r="M280" s="5">
        <v>18000</v>
      </c>
      <c r="N280" s="5">
        <v>2500</v>
      </c>
      <c r="O280" s="5">
        <v>3200</v>
      </c>
      <c r="P280" s="5">
        <v>3000</v>
      </c>
      <c r="Q280" s="5">
        <v>28200</v>
      </c>
      <c r="R280" t="s">
        <v>95</v>
      </c>
      <c r="S280" t="s">
        <v>63</v>
      </c>
      <c r="T280" s="5">
        <v>28200</v>
      </c>
      <c r="U280" s="6">
        <v>4</v>
      </c>
      <c r="V280" t="s">
        <v>77</v>
      </c>
      <c r="W280" s="4">
        <v>46092</v>
      </c>
      <c r="X280" t="s">
        <v>64</v>
      </c>
      <c r="Y280" t="s">
        <v>64</v>
      </c>
      <c r="Z280" t="s">
        <v>96</v>
      </c>
    </row>
    <row r="281" spans="1:26">
      <c r="A281" t="s">
        <v>738</v>
      </c>
      <c r="B281" t="s">
        <v>394</v>
      </c>
      <c r="C281" s="4">
        <v>46027</v>
      </c>
      <c r="D281" t="s">
        <v>234</v>
      </c>
      <c r="E281" t="s">
        <v>314</v>
      </c>
      <c r="F281" s="4"/>
      <c r="G281" s="4"/>
      <c r="H281" t="s">
        <v>121</v>
      </c>
      <c r="I281" t="s">
        <v>174</v>
      </c>
      <c r="J281" t="s">
        <v>256</v>
      </c>
      <c r="K281" t="s">
        <v>124</v>
      </c>
      <c r="L281" t="s">
        <v>74</v>
      </c>
      <c r="M281" s="5"/>
      <c r="N281" s="5"/>
      <c r="O281" s="5"/>
      <c r="P281" s="5"/>
      <c r="Q281" s="5"/>
      <c r="R281" t="s">
        <v>141</v>
      </c>
      <c r="S281" t="s">
        <v>63</v>
      </c>
      <c r="T281" s="5"/>
      <c r="U281" s="6"/>
      <c r="V281" t="s">
        <v>64</v>
      </c>
      <c r="W281" s="4"/>
      <c r="X281" t="s">
        <v>65</v>
      </c>
      <c r="Z281" t="s">
        <v>66</v>
      </c>
    </row>
    <row r="282" spans="1:26">
      <c r="A282" t="s">
        <v>739</v>
      </c>
      <c r="B282" t="s">
        <v>740</v>
      </c>
      <c r="C282" s="4">
        <v>46099</v>
      </c>
      <c r="D282" t="s">
        <v>69</v>
      </c>
      <c r="E282" t="s">
        <v>70</v>
      </c>
      <c r="F282" s="4">
        <v>46099</v>
      </c>
      <c r="G282" s="4">
        <v>46100</v>
      </c>
      <c r="H282" t="s">
        <v>178</v>
      </c>
      <c r="I282" t="s">
        <v>415</v>
      </c>
      <c r="J282" t="s">
        <v>340</v>
      </c>
      <c r="K282" t="s">
        <v>60</v>
      </c>
      <c r="L282" t="s">
        <v>61</v>
      </c>
      <c r="M282" s="5">
        <v>62600</v>
      </c>
      <c r="N282" s="5">
        <v>10300</v>
      </c>
      <c r="O282" s="5">
        <v>7950</v>
      </c>
      <c r="P282" s="5">
        <v>2500</v>
      </c>
      <c r="Q282" s="5">
        <v>84150</v>
      </c>
      <c r="R282" t="s">
        <v>75</v>
      </c>
      <c r="S282" t="s">
        <v>76</v>
      </c>
      <c r="T282" s="5">
        <v>38170</v>
      </c>
      <c r="U282" s="6">
        <v>5</v>
      </c>
      <c r="V282" t="s">
        <v>77</v>
      </c>
      <c r="W282" s="4">
        <v>46119</v>
      </c>
      <c r="X282" t="s">
        <v>77</v>
      </c>
      <c r="Y282" t="s">
        <v>64</v>
      </c>
      <c r="Z282" t="s">
        <v>78</v>
      </c>
    </row>
    <row r="283" spans="1:26">
      <c r="A283" t="s">
        <v>741</v>
      </c>
      <c r="B283" t="s">
        <v>690</v>
      </c>
      <c r="C283" s="4">
        <v>46061</v>
      </c>
      <c r="D283" t="s">
        <v>259</v>
      </c>
      <c r="E283" t="s">
        <v>338</v>
      </c>
      <c r="F283" s="4"/>
      <c r="G283" s="4"/>
      <c r="H283" t="s">
        <v>111</v>
      </c>
      <c r="I283" t="s">
        <v>397</v>
      </c>
      <c r="J283" t="s">
        <v>113</v>
      </c>
      <c r="K283" t="s">
        <v>60</v>
      </c>
      <c r="L283" t="s">
        <v>74</v>
      </c>
      <c r="M283" s="5"/>
      <c r="N283" s="5"/>
      <c r="O283" s="5"/>
      <c r="P283" s="5"/>
      <c r="Q283" s="5"/>
      <c r="R283" t="s">
        <v>141</v>
      </c>
      <c r="S283" t="s">
        <v>63</v>
      </c>
      <c r="T283" s="5"/>
      <c r="U283" s="6"/>
      <c r="V283" t="s">
        <v>64</v>
      </c>
      <c r="W283" s="4"/>
      <c r="X283" t="s">
        <v>65</v>
      </c>
      <c r="Z283" t="s">
        <v>66</v>
      </c>
    </row>
    <row r="284" spans="1:26">
      <c r="A284" t="s">
        <v>742</v>
      </c>
      <c r="B284" t="s">
        <v>743</v>
      </c>
      <c r="C284" s="4">
        <v>46105</v>
      </c>
      <c r="D284" t="s">
        <v>225</v>
      </c>
      <c r="E284" t="s">
        <v>70</v>
      </c>
      <c r="F284" s="4">
        <v>46105</v>
      </c>
      <c r="G284" s="4">
        <v>46110</v>
      </c>
      <c r="H284" t="s">
        <v>103</v>
      </c>
      <c r="I284" t="s">
        <v>364</v>
      </c>
      <c r="J284" t="s">
        <v>105</v>
      </c>
      <c r="K284" t="s">
        <v>124</v>
      </c>
      <c r="L284" t="s">
        <v>61</v>
      </c>
      <c r="M284" s="5">
        <v>52800</v>
      </c>
      <c r="N284" s="5">
        <v>7000</v>
      </c>
      <c r="O284" s="5">
        <v>6550</v>
      </c>
      <c r="P284" s="5">
        <v>12500</v>
      </c>
      <c r="Q284" s="5">
        <v>79650</v>
      </c>
      <c r="R284" t="s">
        <v>106</v>
      </c>
      <c r="S284" t="s">
        <v>76</v>
      </c>
      <c r="T284" s="5">
        <v>28580</v>
      </c>
      <c r="U284" s="6">
        <v>4</v>
      </c>
      <c r="V284" t="s">
        <v>77</v>
      </c>
      <c r="W284" s="4">
        <v>46118</v>
      </c>
      <c r="X284" t="s">
        <v>77</v>
      </c>
      <c r="Y284" t="s">
        <v>64</v>
      </c>
      <c r="Z284" t="s">
        <v>78</v>
      </c>
    </row>
    <row r="285" spans="1:26">
      <c r="A285" t="s">
        <v>744</v>
      </c>
      <c r="B285" t="s">
        <v>745</v>
      </c>
      <c r="C285" s="4">
        <v>46055</v>
      </c>
      <c r="D285" t="s">
        <v>149</v>
      </c>
      <c r="E285" t="s">
        <v>177</v>
      </c>
      <c r="F285" s="4"/>
      <c r="G285" s="4"/>
      <c r="H285" t="s">
        <v>138</v>
      </c>
      <c r="I285" t="s">
        <v>352</v>
      </c>
      <c r="J285" t="s">
        <v>140</v>
      </c>
      <c r="K285" t="s">
        <v>73</v>
      </c>
      <c r="L285" t="s">
        <v>61</v>
      </c>
      <c r="M285" s="5"/>
      <c r="N285" s="5"/>
      <c r="O285" s="5"/>
      <c r="P285" s="5"/>
      <c r="Q285" s="5"/>
      <c r="R285" t="s">
        <v>85</v>
      </c>
      <c r="S285" t="s">
        <v>63</v>
      </c>
      <c r="T285" s="5"/>
      <c r="U285" s="6"/>
      <c r="V285" t="s">
        <v>64</v>
      </c>
      <c r="W285" s="4"/>
      <c r="X285" t="s">
        <v>65</v>
      </c>
      <c r="Z285" t="s">
        <v>66</v>
      </c>
    </row>
    <row r="286" spans="1:26">
      <c r="A286" t="s">
        <v>746</v>
      </c>
      <c r="B286" t="s">
        <v>747</v>
      </c>
      <c r="C286" s="4">
        <v>46154</v>
      </c>
      <c r="D286" t="s">
        <v>298</v>
      </c>
      <c r="E286" t="s">
        <v>70</v>
      </c>
      <c r="F286" s="4">
        <v>46155</v>
      </c>
      <c r="G286" s="4">
        <v>46155</v>
      </c>
      <c r="H286" t="s">
        <v>82</v>
      </c>
      <c r="I286" t="s">
        <v>369</v>
      </c>
      <c r="J286" t="s">
        <v>156</v>
      </c>
      <c r="K286" t="s">
        <v>60</v>
      </c>
      <c r="L286" t="s">
        <v>61</v>
      </c>
      <c r="M286" s="5">
        <v>76000</v>
      </c>
      <c r="N286" s="5">
        <v>7500</v>
      </c>
      <c r="O286" s="5">
        <v>15100</v>
      </c>
      <c r="P286" s="5">
        <v>0</v>
      </c>
      <c r="Q286" s="5">
        <v>99400</v>
      </c>
      <c r="R286" t="s">
        <v>106</v>
      </c>
      <c r="S286" t="s">
        <v>163</v>
      </c>
      <c r="T286" s="5">
        <v>35490</v>
      </c>
      <c r="U286" s="6">
        <v>5</v>
      </c>
      <c r="V286" t="s">
        <v>77</v>
      </c>
      <c r="W286" s="4">
        <v>46170</v>
      </c>
      <c r="X286" t="s">
        <v>77</v>
      </c>
      <c r="Y286" t="s">
        <v>64</v>
      </c>
      <c r="Z286" t="s">
        <v>96</v>
      </c>
    </row>
    <row r="287" spans="1:26">
      <c r="A287" t="s">
        <v>748</v>
      </c>
      <c r="B287" t="s">
        <v>457</v>
      </c>
      <c r="C287" s="4">
        <v>46035</v>
      </c>
      <c r="D287" t="s">
        <v>127</v>
      </c>
      <c r="E287" t="s">
        <v>70</v>
      </c>
      <c r="F287" s="4">
        <v>46035</v>
      </c>
      <c r="G287" s="4">
        <v>46038</v>
      </c>
      <c r="H287" t="s">
        <v>150</v>
      </c>
      <c r="I287" t="s">
        <v>228</v>
      </c>
      <c r="J287" t="s">
        <v>152</v>
      </c>
      <c r="K287" t="s">
        <v>73</v>
      </c>
      <c r="L287" t="s">
        <v>94</v>
      </c>
      <c r="M287" s="5">
        <v>24800</v>
      </c>
      <c r="N287" s="5">
        <v>3200</v>
      </c>
      <c r="O287" s="5">
        <v>3750</v>
      </c>
      <c r="P287" s="5">
        <v>18000</v>
      </c>
      <c r="Q287" s="5">
        <v>51250</v>
      </c>
      <c r="R287" t="s">
        <v>141</v>
      </c>
      <c r="S287" t="s">
        <v>163</v>
      </c>
      <c r="T287" s="5">
        <v>8890</v>
      </c>
      <c r="U287" s="6">
        <v>4</v>
      </c>
      <c r="V287" t="s">
        <v>64</v>
      </c>
      <c r="W287" s="4"/>
      <c r="X287" t="s">
        <v>65</v>
      </c>
      <c r="Y287" t="s">
        <v>64</v>
      </c>
      <c r="Z287" t="s">
        <v>96</v>
      </c>
    </row>
    <row r="288" spans="1:26">
      <c r="A288" t="s">
        <v>749</v>
      </c>
      <c r="B288" t="s">
        <v>750</v>
      </c>
      <c r="C288" s="4">
        <v>46163</v>
      </c>
      <c r="D288" t="s">
        <v>132</v>
      </c>
      <c r="E288" t="s">
        <v>70</v>
      </c>
      <c r="F288" s="4">
        <v>46163</v>
      </c>
      <c r="G288" s="4">
        <v>46163</v>
      </c>
      <c r="H288" t="s">
        <v>121</v>
      </c>
      <c r="I288" t="s">
        <v>174</v>
      </c>
      <c r="J288" t="s">
        <v>123</v>
      </c>
      <c r="K288" t="s">
        <v>60</v>
      </c>
      <c r="L288" t="s">
        <v>74</v>
      </c>
      <c r="M288" s="5">
        <v>36000</v>
      </c>
      <c r="N288" s="5">
        <v>4850</v>
      </c>
      <c r="O288" s="5">
        <v>4100</v>
      </c>
      <c r="P288" s="5">
        <v>0</v>
      </c>
      <c r="Q288" s="5">
        <v>46750</v>
      </c>
      <c r="R288" t="s">
        <v>134</v>
      </c>
      <c r="S288" t="s">
        <v>86</v>
      </c>
      <c r="T288" s="5">
        <v>25910</v>
      </c>
      <c r="U288" s="6">
        <v>5</v>
      </c>
      <c r="V288" t="s">
        <v>77</v>
      </c>
      <c r="W288" s="4">
        <v>46181</v>
      </c>
      <c r="X288" t="s">
        <v>77</v>
      </c>
      <c r="Y288" t="s">
        <v>64</v>
      </c>
      <c r="Z288" t="s">
        <v>78</v>
      </c>
    </row>
    <row r="289" spans="1:26">
      <c r="A289" t="s">
        <v>751</v>
      </c>
      <c r="B289" t="s">
        <v>752</v>
      </c>
      <c r="C289" s="4">
        <v>46072</v>
      </c>
      <c r="D289" t="s">
        <v>298</v>
      </c>
      <c r="E289" t="s">
        <v>70</v>
      </c>
      <c r="F289" s="4">
        <v>46072</v>
      </c>
      <c r="G289" s="4">
        <v>46078</v>
      </c>
      <c r="H289" t="s">
        <v>178</v>
      </c>
      <c r="I289" t="s">
        <v>218</v>
      </c>
      <c r="J289" t="s">
        <v>180</v>
      </c>
      <c r="K289" t="s">
        <v>73</v>
      </c>
      <c r="L289" t="s">
        <v>74</v>
      </c>
      <c r="M289" s="5">
        <v>61200</v>
      </c>
      <c r="N289" s="5">
        <v>6300</v>
      </c>
      <c r="O289" s="5">
        <v>14800</v>
      </c>
      <c r="P289" s="5">
        <v>36000</v>
      </c>
      <c r="Q289" s="5">
        <v>119800</v>
      </c>
      <c r="R289" t="s">
        <v>75</v>
      </c>
      <c r="S289" t="s">
        <v>76</v>
      </c>
      <c r="T289" s="5">
        <v>54210</v>
      </c>
      <c r="U289" s="6">
        <v>4</v>
      </c>
      <c r="V289" t="s">
        <v>77</v>
      </c>
      <c r="W289" s="4">
        <v>46095</v>
      </c>
      <c r="X289" t="s">
        <v>77</v>
      </c>
      <c r="Y289" t="s">
        <v>64</v>
      </c>
      <c r="Z289" t="s">
        <v>436</v>
      </c>
    </row>
    <row r="290" spans="1:26">
      <c r="A290" t="s">
        <v>753</v>
      </c>
      <c r="B290" t="s">
        <v>754</v>
      </c>
      <c r="C290" s="4">
        <v>46130</v>
      </c>
      <c r="D290" t="s">
        <v>266</v>
      </c>
      <c r="E290" t="s">
        <v>70</v>
      </c>
      <c r="F290" s="4">
        <v>46130</v>
      </c>
      <c r="G290" s="4">
        <v>46136</v>
      </c>
      <c r="H290" t="s">
        <v>121</v>
      </c>
      <c r="I290" t="s">
        <v>665</v>
      </c>
      <c r="J290" t="s">
        <v>123</v>
      </c>
      <c r="K290" t="s">
        <v>124</v>
      </c>
      <c r="L290" t="s">
        <v>74</v>
      </c>
      <c r="M290" s="5">
        <v>45800</v>
      </c>
      <c r="N290" s="5">
        <v>4600</v>
      </c>
      <c r="O290" s="5">
        <v>9600</v>
      </c>
      <c r="P290" s="5">
        <v>36000</v>
      </c>
      <c r="Q290" s="5">
        <v>97000</v>
      </c>
      <c r="R290" t="s">
        <v>134</v>
      </c>
      <c r="S290" t="s">
        <v>76</v>
      </c>
      <c r="T290" s="5">
        <v>53550</v>
      </c>
      <c r="U290" s="6">
        <v>3</v>
      </c>
      <c r="V290" t="s">
        <v>77</v>
      </c>
      <c r="W290" s="4">
        <v>46145</v>
      </c>
      <c r="X290" t="s">
        <v>77</v>
      </c>
      <c r="Y290" t="s">
        <v>64</v>
      </c>
      <c r="Z290" t="s">
        <v>96</v>
      </c>
    </row>
    <row r="291" spans="1:26">
      <c r="A291" t="s">
        <v>755</v>
      </c>
      <c r="B291" t="s">
        <v>756</v>
      </c>
      <c r="C291" s="4">
        <v>46058</v>
      </c>
      <c r="D291" t="s">
        <v>439</v>
      </c>
      <c r="E291" t="s">
        <v>70</v>
      </c>
      <c r="F291" s="4">
        <v>46058</v>
      </c>
      <c r="G291" s="4">
        <v>46058</v>
      </c>
      <c r="H291" t="s">
        <v>90</v>
      </c>
      <c r="I291" t="s">
        <v>162</v>
      </c>
      <c r="J291" t="s">
        <v>197</v>
      </c>
      <c r="K291" t="s">
        <v>73</v>
      </c>
      <c r="L291" t="s">
        <v>94</v>
      </c>
      <c r="M291" s="5">
        <v>26100</v>
      </c>
      <c r="N291" s="5">
        <v>2100</v>
      </c>
      <c r="O291" s="5">
        <v>3050</v>
      </c>
      <c r="P291" s="5">
        <v>0</v>
      </c>
      <c r="Q291" s="5">
        <v>32450</v>
      </c>
      <c r="R291" t="s">
        <v>106</v>
      </c>
      <c r="S291" t="s">
        <v>76</v>
      </c>
      <c r="T291" s="5">
        <v>12060</v>
      </c>
      <c r="U291" s="6">
        <v>3</v>
      </c>
      <c r="V291" t="s">
        <v>77</v>
      </c>
      <c r="W291" s="4">
        <v>46072</v>
      </c>
      <c r="X291" t="s">
        <v>77</v>
      </c>
      <c r="Y291" t="s">
        <v>64</v>
      </c>
      <c r="Z291" t="s">
        <v>78</v>
      </c>
    </row>
    <row r="292" spans="1:26">
      <c r="A292" t="s">
        <v>757</v>
      </c>
      <c r="B292" t="s">
        <v>758</v>
      </c>
      <c r="C292" s="4">
        <v>46120</v>
      </c>
      <c r="D292" t="s">
        <v>206</v>
      </c>
      <c r="E292" t="s">
        <v>70</v>
      </c>
      <c r="F292" s="4">
        <v>46121</v>
      </c>
      <c r="G292" s="4">
        <v>46124</v>
      </c>
      <c r="H292" t="s">
        <v>201</v>
      </c>
      <c r="I292" t="s">
        <v>421</v>
      </c>
      <c r="J292" t="s">
        <v>203</v>
      </c>
      <c r="K292" t="s">
        <v>124</v>
      </c>
      <c r="L292" t="s">
        <v>94</v>
      </c>
      <c r="M292" s="5">
        <v>30800</v>
      </c>
      <c r="N292" s="5">
        <v>2800</v>
      </c>
      <c r="O292" s="5">
        <v>7700</v>
      </c>
      <c r="P292" s="5">
        <v>18000</v>
      </c>
      <c r="Q292" s="5">
        <v>60300</v>
      </c>
      <c r="R292" t="s">
        <v>134</v>
      </c>
      <c r="S292" t="s">
        <v>86</v>
      </c>
      <c r="T292" s="5">
        <v>33360</v>
      </c>
      <c r="U292" s="6">
        <v>4</v>
      </c>
      <c r="V292" t="s">
        <v>77</v>
      </c>
      <c r="W292" s="4">
        <v>46144</v>
      </c>
      <c r="X292" t="s">
        <v>77</v>
      </c>
      <c r="Y292" t="s">
        <v>64</v>
      </c>
      <c r="Z292" t="s">
        <v>78</v>
      </c>
    </row>
    <row r="293" spans="1:26">
      <c r="A293" t="s">
        <v>759</v>
      </c>
      <c r="B293" t="s">
        <v>760</v>
      </c>
      <c r="C293" s="4">
        <v>46153</v>
      </c>
      <c r="D293" t="s">
        <v>89</v>
      </c>
      <c r="E293" t="s">
        <v>70</v>
      </c>
      <c r="F293" s="4">
        <v>46153</v>
      </c>
      <c r="G293" s="4">
        <v>46153</v>
      </c>
      <c r="H293" t="s">
        <v>150</v>
      </c>
      <c r="I293" t="s">
        <v>247</v>
      </c>
      <c r="J293" t="s">
        <v>229</v>
      </c>
      <c r="K293" t="s">
        <v>60</v>
      </c>
      <c r="L293" t="s">
        <v>74</v>
      </c>
      <c r="M293" s="5">
        <v>48600</v>
      </c>
      <c r="N293" s="5">
        <v>6750</v>
      </c>
      <c r="O293" s="5">
        <v>9700</v>
      </c>
      <c r="P293" s="5">
        <v>0</v>
      </c>
      <c r="Q293" s="5">
        <v>66050</v>
      </c>
      <c r="R293" t="s">
        <v>75</v>
      </c>
      <c r="S293" t="s">
        <v>86</v>
      </c>
      <c r="T293" s="5">
        <v>30020</v>
      </c>
      <c r="U293" s="6">
        <v>5</v>
      </c>
      <c r="V293" t="s">
        <v>77</v>
      </c>
      <c r="W293" s="4">
        <v>46168</v>
      </c>
      <c r="X293" t="s">
        <v>77</v>
      </c>
      <c r="Y293" t="s">
        <v>64</v>
      </c>
      <c r="Z293" t="s">
        <v>436</v>
      </c>
    </row>
    <row r="294" spans="1:26">
      <c r="A294" t="s">
        <v>761</v>
      </c>
      <c r="B294" t="s">
        <v>762</v>
      </c>
      <c r="C294" s="4">
        <v>46084</v>
      </c>
      <c r="D294" t="s">
        <v>89</v>
      </c>
      <c r="E294" t="s">
        <v>314</v>
      </c>
      <c r="F294" s="4"/>
      <c r="G294" s="4"/>
      <c r="H294" t="s">
        <v>103</v>
      </c>
      <c r="I294" t="s">
        <v>214</v>
      </c>
      <c r="J294" t="s">
        <v>105</v>
      </c>
      <c r="K294" t="s">
        <v>60</v>
      </c>
      <c r="L294" t="s">
        <v>94</v>
      </c>
      <c r="M294" s="5"/>
      <c r="N294" s="5"/>
      <c r="O294" s="5"/>
      <c r="P294" s="5"/>
      <c r="Q294" s="5"/>
      <c r="R294" t="s">
        <v>85</v>
      </c>
      <c r="S294" t="s">
        <v>63</v>
      </c>
      <c r="T294" s="5"/>
      <c r="U294" s="6"/>
      <c r="V294" t="s">
        <v>64</v>
      </c>
      <c r="W294" s="4"/>
      <c r="X294" t="s">
        <v>65</v>
      </c>
      <c r="Z294" t="s">
        <v>66</v>
      </c>
    </row>
    <row r="295" spans="1:26">
      <c r="A295" t="s">
        <v>763</v>
      </c>
      <c r="B295" t="s">
        <v>764</v>
      </c>
      <c r="C295" s="4">
        <v>46032</v>
      </c>
      <c r="D295" t="s">
        <v>183</v>
      </c>
      <c r="E295" t="s">
        <v>70</v>
      </c>
      <c r="F295" s="4">
        <v>46032</v>
      </c>
      <c r="G295" s="4">
        <v>46032</v>
      </c>
      <c r="H295" t="s">
        <v>103</v>
      </c>
      <c r="I295" t="s">
        <v>243</v>
      </c>
      <c r="J295" t="s">
        <v>145</v>
      </c>
      <c r="K295" t="s">
        <v>60</v>
      </c>
      <c r="L295" t="s">
        <v>94</v>
      </c>
      <c r="M295" s="5">
        <v>23700</v>
      </c>
      <c r="N295" s="5">
        <v>2600</v>
      </c>
      <c r="O295" s="5">
        <v>3850</v>
      </c>
      <c r="P295" s="5">
        <v>0</v>
      </c>
      <c r="Q295" s="5">
        <v>31950</v>
      </c>
      <c r="R295" t="s">
        <v>75</v>
      </c>
      <c r="S295" t="s">
        <v>76</v>
      </c>
      <c r="T295" s="5">
        <v>14680</v>
      </c>
      <c r="U295" s="6">
        <v>5</v>
      </c>
      <c r="V295" t="s">
        <v>64</v>
      </c>
      <c r="W295" s="4"/>
      <c r="X295" t="s">
        <v>65</v>
      </c>
      <c r="Y295" t="s">
        <v>64</v>
      </c>
      <c r="Z295" t="s">
        <v>436</v>
      </c>
    </row>
    <row r="296" spans="1:26">
      <c r="A296" t="s">
        <v>765</v>
      </c>
      <c r="B296" t="s">
        <v>493</v>
      </c>
      <c r="C296" s="4">
        <v>46076</v>
      </c>
      <c r="D296" t="s">
        <v>337</v>
      </c>
      <c r="E296" t="s">
        <v>70</v>
      </c>
      <c r="F296" s="4">
        <v>46076</v>
      </c>
      <c r="G296" s="4">
        <v>46080</v>
      </c>
      <c r="H296" t="s">
        <v>150</v>
      </c>
      <c r="I296" t="s">
        <v>151</v>
      </c>
      <c r="J296" t="s">
        <v>152</v>
      </c>
      <c r="K296" t="s">
        <v>124</v>
      </c>
      <c r="L296" t="s">
        <v>94</v>
      </c>
      <c r="M296" s="5">
        <v>21900</v>
      </c>
      <c r="N296" s="5">
        <v>3100</v>
      </c>
      <c r="O296" s="5">
        <v>4600</v>
      </c>
      <c r="P296" s="5">
        <v>12000</v>
      </c>
      <c r="Q296" s="5">
        <v>44100</v>
      </c>
      <c r="R296" t="s">
        <v>106</v>
      </c>
      <c r="S296" t="s">
        <v>76</v>
      </c>
      <c r="T296" s="5">
        <v>16130</v>
      </c>
      <c r="U296" s="6">
        <v>4</v>
      </c>
      <c r="V296" t="s">
        <v>77</v>
      </c>
      <c r="W296" s="4">
        <v>46093</v>
      </c>
      <c r="X296" t="s">
        <v>77</v>
      </c>
      <c r="Y296" t="s">
        <v>64</v>
      </c>
      <c r="Z296" t="s">
        <v>96</v>
      </c>
    </row>
    <row r="297" spans="1:26">
      <c r="A297" t="s">
        <v>766</v>
      </c>
      <c r="B297" t="s">
        <v>68</v>
      </c>
      <c r="C297" s="4">
        <v>46066</v>
      </c>
      <c r="D297" t="s">
        <v>168</v>
      </c>
      <c r="E297" t="s">
        <v>70</v>
      </c>
      <c r="F297" s="4">
        <v>46066</v>
      </c>
      <c r="G297" s="4">
        <v>46067</v>
      </c>
      <c r="H297" t="s">
        <v>201</v>
      </c>
      <c r="I297" t="s">
        <v>449</v>
      </c>
      <c r="J297" t="s">
        <v>295</v>
      </c>
      <c r="K297" t="s">
        <v>73</v>
      </c>
      <c r="L297" t="s">
        <v>94</v>
      </c>
      <c r="M297" s="5">
        <v>43900</v>
      </c>
      <c r="N297" s="5">
        <v>5250</v>
      </c>
      <c r="O297" s="5">
        <v>8950</v>
      </c>
      <c r="P297" s="5">
        <v>3000</v>
      </c>
      <c r="Q297" s="5">
        <v>61900</v>
      </c>
      <c r="R297" t="s">
        <v>75</v>
      </c>
      <c r="S297" t="s">
        <v>76</v>
      </c>
      <c r="T297" s="5">
        <v>28150</v>
      </c>
      <c r="U297" s="6">
        <v>5</v>
      </c>
      <c r="V297" t="s">
        <v>64</v>
      </c>
      <c r="W297" s="4"/>
      <c r="X297" t="s">
        <v>65</v>
      </c>
      <c r="Y297" t="s">
        <v>64</v>
      </c>
      <c r="Z297" t="s">
        <v>78</v>
      </c>
    </row>
    <row r="298" spans="1:26">
      <c r="A298" t="s">
        <v>767</v>
      </c>
      <c r="B298" t="s">
        <v>768</v>
      </c>
      <c r="C298" s="4">
        <v>46105</v>
      </c>
      <c r="D298" t="s">
        <v>363</v>
      </c>
      <c r="E298" t="s">
        <v>191</v>
      </c>
      <c r="F298" s="4"/>
      <c r="G298" s="4"/>
      <c r="H298" t="s">
        <v>103</v>
      </c>
      <c r="I298" t="s">
        <v>214</v>
      </c>
      <c r="J298" t="s">
        <v>105</v>
      </c>
      <c r="K298" t="s">
        <v>73</v>
      </c>
      <c r="L298" t="s">
        <v>61</v>
      </c>
      <c r="M298" s="5"/>
      <c r="N298" s="5"/>
      <c r="O298" s="5"/>
      <c r="P298" s="5"/>
      <c r="Q298" s="5"/>
      <c r="R298" t="s">
        <v>85</v>
      </c>
      <c r="S298" t="s">
        <v>63</v>
      </c>
      <c r="T298" s="5"/>
      <c r="U298" s="6"/>
      <c r="V298" t="s">
        <v>64</v>
      </c>
      <c r="W298" s="4"/>
      <c r="X298" t="s">
        <v>65</v>
      </c>
      <c r="Z298" t="s">
        <v>66</v>
      </c>
    </row>
    <row r="299" spans="1:26">
      <c r="A299" t="s">
        <v>769</v>
      </c>
      <c r="B299" t="s">
        <v>512</v>
      </c>
      <c r="C299" s="4">
        <v>46085</v>
      </c>
      <c r="D299" t="s">
        <v>363</v>
      </c>
      <c r="E299" t="s">
        <v>70</v>
      </c>
      <c r="F299" s="4">
        <v>46085</v>
      </c>
      <c r="G299" s="4">
        <v>46085</v>
      </c>
      <c r="H299" t="s">
        <v>57</v>
      </c>
      <c r="I299" t="s">
        <v>71</v>
      </c>
      <c r="J299" t="s">
        <v>170</v>
      </c>
      <c r="K299" t="s">
        <v>60</v>
      </c>
      <c r="L299" t="s">
        <v>61</v>
      </c>
      <c r="M299" s="5">
        <v>69600</v>
      </c>
      <c r="N299" s="5">
        <v>12500</v>
      </c>
      <c r="O299" s="5">
        <v>8950</v>
      </c>
      <c r="P299" s="5">
        <v>0</v>
      </c>
      <c r="Q299" s="5">
        <v>92850</v>
      </c>
      <c r="R299" t="s">
        <v>75</v>
      </c>
      <c r="S299" t="s">
        <v>76</v>
      </c>
      <c r="T299" s="5">
        <v>42080</v>
      </c>
      <c r="U299" s="6">
        <v>3</v>
      </c>
      <c r="V299" t="s">
        <v>77</v>
      </c>
      <c r="W299" s="4">
        <v>46101</v>
      </c>
      <c r="X299" t="s">
        <v>64</v>
      </c>
      <c r="Y299" t="s">
        <v>64</v>
      </c>
      <c r="Z299" t="s">
        <v>219</v>
      </c>
    </row>
    <row r="300" spans="1:26">
      <c r="A300" t="s">
        <v>770</v>
      </c>
      <c r="B300" t="s">
        <v>771</v>
      </c>
      <c r="C300" s="4">
        <v>46042</v>
      </c>
      <c r="D300" t="s">
        <v>259</v>
      </c>
      <c r="E300" t="s">
        <v>314</v>
      </c>
      <c r="F300" s="4"/>
      <c r="G300" s="4"/>
      <c r="H300" t="s">
        <v>111</v>
      </c>
      <c r="I300" t="s">
        <v>355</v>
      </c>
      <c r="J300" t="s">
        <v>113</v>
      </c>
      <c r="K300" t="s">
        <v>60</v>
      </c>
      <c r="L300" t="s">
        <v>74</v>
      </c>
      <c r="M300" s="5"/>
      <c r="N300" s="5"/>
      <c r="O300" s="5"/>
      <c r="P300" s="5"/>
      <c r="Q300" s="5"/>
      <c r="R300" t="s">
        <v>106</v>
      </c>
      <c r="S300" t="s">
        <v>63</v>
      </c>
      <c r="T300" s="5"/>
      <c r="U300" s="6"/>
      <c r="V300" t="s">
        <v>64</v>
      </c>
      <c r="W300" s="4"/>
      <c r="X300" t="s">
        <v>65</v>
      </c>
      <c r="Z300" t="s">
        <v>66</v>
      </c>
    </row>
    <row r="301" spans="1:26">
      <c r="A301" t="s">
        <v>772</v>
      </c>
      <c r="B301" t="s">
        <v>773</v>
      </c>
      <c r="C301" s="4">
        <v>46144</v>
      </c>
      <c r="D301" t="s">
        <v>337</v>
      </c>
      <c r="E301" t="s">
        <v>70</v>
      </c>
      <c r="F301" s="4">
        <v>46144</v>
      </c>
      <c r="G301" s="4">
        <v>46145</v>
      </c>
      <c r="H301" t="s">
        <v>201</v>
      </c>
      <c r="I301" t="s">
        <v>280</v>
      </c>
      <c r="J301" t="s">
        <v>281</v>
      </c>
      <c r="K301" t="s">
        <v>124</v>
      </c>
      <c r="L301" t="s">
        <v>74</v>
      </c>
      <c r="M301" s="5">
        <v>6700</v>
      </c>
      <c r="N301" s="5">
        <v>900</v>
      </c>
      <c r="O301" s="5">
        <v>700</v>
      </c>
      <c r="P301" s="5">
        <v>6000</v>
      </c>
      <c r="Q301" s="5">
        <v>15300</v>
      </c>
      <c r="R301" t="s">
        <v>141</v>
      </c>
      <c r="S301" t="s">
        <v>76</v>
      </c>
      <c r="T301" s="5">
        <v>3500</v>
      </c>
      <c r="U301" s="6">
        <v>3</v>
      </c>
      <c r="V301" t="s">
        <v>77</v>
      </c>
      <c r="W301" s="4">
        <v>46154</v>
      </c>
      <c r="X301" t="s">
        <v>77</v>
      </c>
      <c r="Y301" t="s">
        <v>64</v>
      </c>
      <c r="Z301" t="s">
        <v>78</v>
      </c>
    </row>
    <row r="302" spans="1:26">
      <c r="A302" t="s">
        <v>774</v>
      </c>
      <c r="B302" t="s">
        <v>760</v>
      </c>
      <c r="C302" s="4">
        <v>46030</v>
      </c>
      <c r="D302" t="s">
        <v>242</v>
      </c>
      <c r="E302" t="s">
        <v>70</v>
      </c>
      <c r="F302" s="4">
        <v>46031</v>
      </c>
      <c r="G302" s="4">
        <v>46034</v>
      </c>
      <c r="H302" t="s">
        <v>103</v>
      </c>
      <c r="I302" t="s">
        <v>412</v>
      </c>
      <c r="J302" t="s">
        <v>145</v>
      </c>
      <c r="K302" t="s">
        <v>124</v>
      </c>
      <c r="L302" t="s">
        <v>61</v>
      </c>
      <c r="M302" s="5">
        <v>34000</v>
      </c>
      <c r="N302" s="5">
        <v>5000</v>
      </c>
      <c r="O302" s="5">
        <v>5100</v>
      </c>
      <c r="P302" s="5">
        <v>18000</v>
      </c>
      <c r="Q302" s="5">
        <v>63300</v>
      </c>
      <c r="R302" t="s">
        <v>95</v>
      </c>
      <c r="S302" t="s">
        <v>63</v>
      </c>
      <c r="T302" s="5">
        <v>63300</v>
      </c>
      <c r="U302" s="6">
        <v>5</v>
      </c>
      <c r="V302" t="s">
        <v>77</v>
      </c>
      <c r="W302" s="4">
        <v>46047</v>
      </c>
      <c r="X302" t="s">
        <v>77</v>
      </c>
      <c r="Y302" t="s">
        <v>64</v>
      </c>
      <c r="Z302" t="s">
        <v>96</v>
      </c>
    </row>
    <row r="303" spans="1:26">
      <c r="A303" t="s">
        <v>775</v>
      </c>
      <c r="B303" t="s">
        <v>776</v>
      </c>
      <c r="C303" s="4">
        <v>46039</v>
      </c>
      <c r="D303" t="s">
        <v>284</v>
      </c>
      <c r="E303" t="s">
        <v>70</v>
      </c>
      <c r="F303" s="4">
        <v>46039</v>
      </c>
      <c r="G303" s="4">
        <v>46042</v>
      </c>
      <c r="H303" t="s">
        <v>57</v>
      </c>
      <c r="I303" t="s">
        <v>100</v>
      </c>
      <c r="J303" t="s">
        <v>72</v>
      </c>
      <c r="K303" t="s">
        <v>124</v>
      </c>
      <c r="L303" t="s">
        <v>61</v>
      </c>
      <c r="M303" s="5">
        <v>10200</v>
      </c>
      <c r="N303" s="5">
        <v>850</v>
      </c>
      <c r="O303" s="5">
        <v>2450</v>
      </c>
      <c r="P303" s="5">
        <v>7500</v>
      </c>
      <c r="Q303" s="5">
        <v>23000</v>
      </c>
      <c r="R303" t="s">
        <v>106</v>
      </c>
      <c r="S303" t="s">
        <v>76</v>
      </c>
      <c r="T303" s="5">
        <v>8750</v>
      </c>
      <c r="U303" s="6">
        <v>4</v>
      </c>
      <c r="V303" t="s">
        <v>64</v>
      </c>
      <c r="W303" s="4"/>
      <c r="X303" t="s">
        <v>65</v>
      </c>
      <c r="Y303" t="s">
        <v>64</v>
      </c>
      <c r="Z303" t="s">
        <v>96</v>
      </c>
    </row>
    <row r="304" spans="1:26">
      <c r="A304" t="s">
        <v>777</v>
      </c>
      <c r="B304" t="s">
        <v>745</v>
      </c>
      <c r="C304" s="4">
        <v>46133</v>
      </c>
      <c r="D304" t="s">
        <v>55</v>
      </c>
      <c r="E304" t="s">
        <v>70</v>
      </c>
      <c r="F304" s="4">
        <v>46133</v>
      </c>
      <c r="G304" s="4">
        <v>46133</v>
      </c>
      <c r="H304" t="s">
        <v>111</v>
      </c>
      <c r="I304" t="s">
        <v>116</v>
      </c>
      <c r="J304" t="s">
        <v>384</v>
      </c>
      <c r="K304" t="s">
        <v>60</v>
      </c>
      <c r="L304" t="s">
        <v>61</v>
      </c>
      <c r="M304" s="5">
        <v>40600</v>
      </c>
      <c r="N304" s="5">
        <v>5700</v>
      </c>
      <c r="O304" s="5">
        <v>10050</v>
      </c>
      <c r="P304" s="5">
        <v>0</v>
      </c>
      <c r="Q304" s="5">
        <v>57150</v>
      </c>
      <c r="R304" t="s">
        <v>75</v>
      </c>
      <c r="S304" t="s">
        <v>76</v>
      </c>
      <c r="T304" s="5">
        <v>26020</v>
      </c>
      <c r="U304" s="6"/>
      <c r="V304" t="s">
        <v>77</v>
      </c>
      <c r="W304" s="4">
        <v>46148</v>
      </c>
      <c r="X304" t="s">
        <v>77</v>
      </c>
      <c r="Y304" t="s">
        <v>64</v>
      </c>
      <c r="Z304" t="s">
        <v>107</v>
      </c>
    </row>
    <row r="305" spans="1:26">
      <c r="A305" t="s">
        <v>778</v>
      </c>
      <c r="B305" t="s">
        <v>779</v>
      </c>
      <c r="C305" s="4">
        <v>46069</v>
      </c>
      <c r="D305" t="s">
        <v>469</v>
      </c>
      <c r="E305" t="s">
        <v>177</v>
      </c>
      <c r="F305" s="4"/>
      <c r="G305" s="4"/>
      <c r="H305" t="s">
        <v>103</v>
      </c>
      <c r="I305" t="s">
        <v>207</v>
      </c>
      <c r="J305" t="s">
        <v>244</v>
      </c>
      <c r="K305" t="s">
        <v>60</v>
      </c>
      <c r="L305" t="s">
        <v>94</v>
      </c>
      <c r="M305" s="5"/>
      <c r="N305" s="5"/>
      <c r="O305" s="5"/>
      <c r="P305" s="5"/>
      <c r="Q305" s="5"/>
      <c r="R305" t="s">
        <v>106</v>
      </c>
      <c r="S305" t="s">
        <v>63</v>
      </c>
      <c r="T305" s="5"/>
      <c r="U305" s="6"/>
      <c r="V305" t="s">
        <v>64</v>
      </c>
      <c r="W305" s="4"/>
      <c r="X305" t="s">
        <v>65</v>
      </c>
      <c r="Z305" t="s">
        <v>66</v>
      </c>
    </row>
    <row r="306" spans="1:26">
      <c r="A306" t="s">
        <v>780</v>
      </c>
      <c r="B306" t="s">
        <v>781</v>
      </c>
      <c r="C306" s="4">
        <v>46068</v>
      </c>
      <c r="D306" t="s">
        <v>469</v>
      </c>
      <c r="E306" t="s">
        <v>314</v>
      </c>
      <c r="F306" s="4"/>
      <c r="G306" s="4"/>
      <c r="H306" t="s">
        <v>103</v>
      </c>
      <c r="I306" t="s">
        <v>207</v>
      </c>
      <c r="J306" t="s">
        <v>244</v>
      </c>
      <c r="K306" t="s">
        <v>73</v>
      </c>
      <c r="L306" t="s">
        <v>146</v>
      </c>
      <c r="M306" s="5"/>
      <c r="N306" s="5"/>
      <c r="O306" s="5"/>
      <c r="P306" s="5"/>
      <c r="Q306" s="5"/>
      <c r="R306" t="s">
        <v>134</v>
      </c>
      <c r="S306" t="s">
        <v>63</v>
      </c>
      <c r="T306" s="5"/>
      <c r="U306" s="6"/>
      <c r="V306" t="s">
        <v>64</v>
      </c>
      <c r="W306" s="4"/>
      <c r="X306" t="s">
        <v>65</v>
      </c>
      <c r="Z306" t="s">
        <v>66</v>
      </c>
    </row>
    <row r="307" spans="1:26">
      <c r="A307" t="s">
        <v>782</v>
      </c>
      <c r="B307" t="s">
        <v>783</v>
      </c>
      <c r="C307" s="4">
        <v>46097</v>
      </c>
      <c r="D307" t="s">
        <v>294</v>
      </c>
      <c r="E307" t="s">
        <v>70</v>
      </c>
      <c r="F307" s="4">
        <v>46097</v>
      </c>
      <c r="G307" s="4">
        <v>46102</v>
      </c>
      <c r="H307" t="s">
        <v>150</v>
      </c>
      <c r="I307" t="s">
        <v>187</v>
      </c>
      <c r="J307" t="s">
        <v>188</v>
      </c>
      <c r="K307" t="s">
        <v>73</v>
      </c>
      <c r="L307" t="s">
        <v>61</v>
      </c>
      <c r="M307" s="5">
        <v>88300</v>
      </c>
      <c r="N307" s="5">
        <v>15850</v>
      </c>
      <c r="O307" s="5">
        <v>21000</v>
      </c>
      <c r="P307" s="5">
        <v>22500</v>
      </c>
      <c r="Q307" s="5">
        <v>150150</v>
      </c>
      <c r="R307" t="s">
        <v>62</v>
      </c>
      <c r="S307" t="s">
        <v>76</v>
      </c>
      <c r="T307" s="5">
        <v>45450</v>
      </c>
      <c r="U307" s="6">
        <v>2</v>
      </c>
      <c r="V307" t="s">
        <v>77</v>
      </c>
      <c r="W307" s="4">
        <v>46116</v>
      </c>
      <c r="X307" t="s">
        <v>64</v>
      </c>
      <c r="Y307" t="s">
        <v>64</v>
      </c>
      <c r="Z307" t="s">
        <v>96</v>
      </c>
    </row>
    <row r="308" spans="1:26">
      <c r="A308" t="s">
        <v>784</v>
      </c>
      <c r="B308" t="s">
        <v>743</v>
      </c>
      <c r="C308" s="4">
        <v>46145</v>
      </c>
      <c r="D308" t="s">
        <v>173</v>
      </c>
      <c r="E308" t="s">
        <v>255</v>
      </c>
      <c r="F308" s="4"/>
      <c r="G308" s="4"/>
      <c r="H308" t="s">
        <v>90</v>
      </c>
      <c r="I308" t="s">
        <v>388</v>
      </c>
      <c r="J308" t="s">
        <v>92</v>
      </c>
      <c r="K308" t="s">
        <v>93</v>
      </c>
      <c r="L308" t="s">
        <v>94</v>
      </c>
      <c r="M308" s="5"/>
      <c r="N308" s="5"/>
      <c r="O308" s="5"/>
      <c r="P308" s="5"/>
      <c r="Q308" s="5"/>
      <c r="R308" t="s">
        <v>62</v>
      </c>
      <c r="S308" t="s">
        <v>63</v>
      </c>
      <c r="T308" s="5"/>
      <c r="U308" s="6"/>
      <c r="V308" t="s">
        <v>64</v>
      </c>
      <c r="W308" s="4"/>
      <c r="X308" t="s">
        <v>65</v>
      </c>
      <c r="Z308" t="s">
        <v>66</v>
      </c>
    </row>
    <row r="309" spans="1:26">
      <c r="A309" t="s">
        <v>785</v>
      </c>
      <c r="B309" t="s">
        <v>786</v>
      </c>
      <c r="C309" s="4">
        <v>46074</v>
      </c>
      <c r="D309" t="s">
        <v>200</v>
      </c>
      <c r="E309" t="s">
        <v>70</v>
      </c>
      <c r="F309" s="4">
        <v>46075</v>
      </c>
      <c r="G309" s="4">
        <v>46080</v>
      </c>
      <c r="H309" t="s">
        <v>178</v>
      </c>
      <c r="I309" t="s">
        <v>218</v>
      </c>
      <c r="J309" t="s">
        <v>180</v>
      </c>
      <c r="K309" t="s">
        <v>93</v>
      </c>
      <c r="L309" t="s">
        <v>94</v>
      </c>
      <c r="M309" s="5">
        <v>68000</v>
      </c>
      <c r="N309" s="5">
        <v>8750</v>
      </c>
      <c r="O309" s="5">
        <v>10750</v>
      </c>
      <c r="P309" s="5">
        <v>22500</v>
      </c>
      <c r="Q309" s="5">
        <v>111500</v>
      </c>
      <c r="R309" t="s">
        <v>134</v>
      </c>
      <c r="S309" t="s">
        <v>76</v>
      </c>
      <c r="T309" s="5">
        <v>61530</v>
      </c>
      <c r="U309" s="6">
        <v>4</v>
      </c>
      <c r="V309" t="s">
        <v>77</v>
      </c>
      <c r="W309" s="4">
        <v>46098</v>
      </c>
      <c r="X309" t="s">
        <v>77</v>
      </c>
      <c r="Y309" t="s">
        <v>64</v>
      </c>
      <c r="Z309" t="s">
        <v>96</v>
      </c>
    </row>
    <row r="310" spans="1:26">
      <c r="A310" t="s">
        <v>787</v>
      </c>
      <c r="B310" t="s">
        <v>719</v>
      </c>
      <c r="C310" s="4">
        <v>46030</v>
      </c>
      <c r="D310" t="s">
        <v>120</v>
      </c>
      <c r="E310" t="s">
        <v>70</v>
      </c>
      <c r="F310" s="4">
        <v>46031</v>
      </c>
      <c r="G310" s="4">
        <v>46031</v>
      </c>
      <c r="H310" t="s">
        <v>57</v>
      </c>
      <c r="I310" t="s">
        <v>211</v>
      </c>
      <c r="J310" t="s">
        <v>72</v>
      </c>
      <c r="K310" t="s">
        <v>60</v>
      </c>
      <c r="L310" t="s">
        <v>74</v>
      </c>
      <c r="M310" s="5">
        <v>8800</v>
      </c>
      <c r="N310" s="5">
        <v>850</v>
      </c>
      <c r="O310" s="5">
        <v>1350</v>
      </c>
      <c r="P310" s="5">
        <v>0</v>
      </c>
      <c r="Q310" s="5">
        <v>13000</v>
      </c>
      <c r="R310" t="s">
        <v>95</v>
      </c>
      <c r="S310" t="s">
        <v>63</v>
      </c>
      <c r="T310" s="5">
        <v>13000</v>
      </c>
      <c r="U310" s="6">
        <v>5</v>
      </c>
      <c r="V310" t="s">
        <v>64</v>
      </c>
      <c r="W310" s="4"/>
      <c r="X310" t="s">
        <v>65</v>
      </c>
      <c r="Y310" t="s">
        <v>64</v>
      </c>
      <c r="Z310" t="s">
        <v>78</v>
      </c>
    </row>
    <row r="311" spans="1:26">
      <c r="A311" t="s">
        <v>788</v>
      </c>
      <c r="B311" t="s">
        <v>789</v>
      </c>
      <c r="C311" s="4">
        <v>46075</v>
      </c>
      <c r="D311" t="s">
        <v>294</v>
      </c>
      <c r="E311" t="s">
        <v>70</v>
      </c>
      <c r="F311" s="4">
        <v>46075</v>
      </c>
      <c r="G311" s="4">
        <v>46076</v>
      </c>
      <c r="H311" t="s">
        <v>90</v>
      </c>
      <c r="I311" t="s">
        <v>128</v>
      </c>
      <c r="J311" t="s">
        <v>197</v>
      </c>
      <c r="K311" t="s">
        <v>60</v>
      </c>
      <c r="L311" t="s">
        <v>94</v>
      </c>
      <c r="M311" s="5">
        <v>21500</v>
      </c>
      <c r="N311" s="5">
        <v>3500</v>
      </c>
      <c r="O311" s="5">
        <v>2300</v>
      </c>
      <c r="P311" s="5">
        <v>3000</v>
      </c>
      <c r="Q311" s="5">
        <v>32300</v>
      </c>
      <c r="R311" t="s">
        <v>85</v>
      </c>
      <c r="S311" t="s">
        <v>76</v>
      </c>
      <c r="T311" s="5">
        <v>8980</v>
      </c>
      <c r="U311" s="6">
        <v>5</v>
      </c>
      <c r="V311" t="s">
        <v>77</v>
      </c>
      <c r="W311" s="4">
        <v>46097</v>
      </c>
      <c r="X311" t="s">
        <v>77</v>
      </c>
      <c r="Y311" t="s">
        <v>64</v>
      </c>
      <c r="Z311" t="s">
        <v>107</v>
      </c>
    </row>
    <row r="312" spans="1:26">
      <c r="A312" t="s">
        <v>790</v>
      </c>
      <c r="B312" t="s">
        <v>182</v>
      </c>
      <c r="C312" s="4">
        <v>46094</v>
      </c>
      <c r="D312" t="s">
        <v>363</v>
      </c>
      <c r="E312" t="s">
        <v>70</v>
      </c>
      <c r="F312" s="4">
        <v>46094</v>
      </c>
      <c r="G312" s="4">
        <v>46094</v>
      </c>
      <c r="H312" t="s">
        <v>57</v>
      </c>
      <c r="I312" t="s">
        <v>58</v>
      </c>
      <c r="J312" t="s">
        <v>72</v>
      </c>
      <c r="K312" t="s">
        <v>60</v>
      </c>
      <c r="L312" t="s">
        <v>94</v>
      </c>
      <c r="M312" s="5">
        <v>8400</v>
      </c>
      <c r="N312" s="5">
        <v>1250</v>
      </c>
      <c r="O312" s="5">
        <v>1100</v>
      </c>
      <c r="P312" s="5">
        <v>0</v>
      </c>
      <c r="Q312" s="5">
        <v>13250</v>
      </c>
      <c r="R312" t="s">
        <v>85</v>
      </c>
      <c r="S312" t="s">
        <v>76</v>
      </c>
      <c r="T312" s="5">
        <v>4210</v>
      </c>
      <c r="U312" s="6">
        <v>5</v>
      </c>
      <c r="V312" t="s">
        <v>64</v>
      </c>
      <c r="W312" s="4"/>
      <c r="X312" t="s">
        <v>65</v>
      </c>
      <c r="Y312" t="s">
        <v>64</v>
      </c>
      <c r="Z312" t="s">
        <v>96</v>
      </c>
    </row>
    <row r="313" spans="1:26">
      <c r="A313" t="s">
        <v>791</v>
      </c>
      <c r="B313" t="s">
        <v>441</v>
      </c>
      <c r="C313" s="4">
        <v>46095</v>
      </c>
      <c r="D313" t="s">
        <v>144</v>
      </c>
      <c r="E313" t="s">
        <v>70</v>
      </c>
      <c r="F313" s="4">
        <v>46095</v>
      </c>
      <c r="G313" s="4">
        <v>46095</v>
      </c>
      <c r="H313" t="s">
        <v>121</v>
      </c>
      <c r="I313" t="s">
        <v>251</v>
      </c>
      <c r="J313" t="s">
        <v>123</v>
      </c>
      <c r="K313" t="s">
        <v>60</v>
      </c>
      <c r="L313" t="s">
        <v>94</v>
      </c>
      <c r="M313" s="5">
        <v>52900</v>
      </c>
      <c r="N313" s="5">
        <v>6700</v>
      </c>
      <c r="O313" s="5">
        <v>6150</v>
      </c>
      <c r="P313" s="5">
        <v>0</v>
      </c>
      <c r="Q313" s="5">
        <v>67750</v>
      </c>
      <c r="R313" t="s">
        <v>75</v>
      </c>
      <c r="S313" t="s">
        <v>86</v>
      </c>
      <c r="T313" s="5">
        <v>30790</v>
      </c>
      <c r="U313" s="6">
        <v>3</v>
      </c>
      <c r="V313" t="s">
        <v>77</v>
      </c>
      <c r="W313" s="4">
        <v>46114</v>
      </c>
      <c r="X313" t="s">
        <v>77</v>
      </c>
      <c r="Y313" t="s">
        <v>77</v>
      </c>
      <c r="Z313" t="s">
        <v>78</v>
      </c>
    </row>
    <row r="314" spans="1:26">
      <c r="A314" t="s">
        <v>792</v>
      </c>
      <c r="B314" t="s">
        <v>297</v>
      </c>
      <c r="C314" s="4">
        <v>46076</v>
      </c>
      <c r="D314" t="s">
        <v>168</v>
      </c>
      <c r="E314" t="s">
        <v>70</v>
      </c>
      <c r="F314" s="4">
        <v>46076</v>
      </c>
      <c r="G314" s="4">
        <v>46077</v>
      </c>
      <c r="H314" t="s">
        <v>57</v>
      </c>
      <c r="I314" t="s">
        <v>71</v>
      </c>
      <c r="J314" t="s">
        <v>72</v>
      </c>
      <c r="K314" t="s">
        <v>93</v>
      </c>
      <c r="L314" t="s">
        <v>74</v>
      </c>
      <c r="M314" s="5">
        <v>10600</v>
      </c>
      <c r="N314" s="5">
        <v>1200</v>
      </c>
      <c r="O314" s="5">
        <v>1400</v>
      </c>
      <c r="P314" s="5">
        <v>2500</v>
      </c>
      <c r="Q314" s="5">
        <v>17500</v>
      </c>
      <c r="R314" t="s">
        <v>106</v>
      </c>
      <c r="S314" t="s">
        <v>76</v>
      </c>
      <c r="T314" s="5">
        <v>6820</v>
      </c>
      <c r="U314" s="6">
        <v>4</v>
      </c>
      <c r="V314" t="s">
        <v>77</v>
      </c>
      <c r="W314" s="4">
        <v>46085</v>
      </c>
      <c r="X314" t="s">
        <v>77</v>
      </c>
      <c r="Y314" t="s">
        <v>64</v>
      </c>
      <c r="Z314" t="s">
        <v>78</v>
      </c>
    </row>
    <row r="315" spans="1:26">
      <c r="A315" t="s">
        <v>793</v>
      </c>
      <c r="B315" t="s">
        <v>794</v>
      </c>
      <c r="C315" s="4">
        <v>46059</v>
      </c>
      <c r="D315" t="s">
        <v>337</v>
      </c>
      <c r="E315" t="s">
        <v>70</v>
      </c>
      <c r="F315" s="4">
        <v>46059</v>
      </c>
      <c r="G315" s="4">
        <v>46066</v>
      </c>
      <c r="H315" t="s">
        <v>82</v>
      </c>
      <c r="I315" t="s">
        <v>369</v>
      </c>
      <c r="J315" t="s">
        <v>156</v>
      </c>
      <c r="K315" t="s">
        <v>73</v>
      </c>
      <c r="L315" t="s">
        <v>74</v>
      </c>
      <c r="M315" s="5">
        <v>82600</v>
      </c>
      <c r="N315" s="5">
        <v>7800</v>
      </c>
      <c r="O315" s="5">
        <v>9550</v>
      </c>
      <c r="P315" s="5">
        <v>21000</v>
      </c>
      <c r="Q315" s="5">
        <v>121750</v>
      </c>
      <c r="R315" t="s">
        <v>75</v>
      </c>
      <c r="S315" t="s">
        <v>76</v>
      </c>
      <c r="T315" s="5">
        <v>55090</v>
      </c>
      <c r="U315" s="6">
        <v>2</v>
      </c>
      <c r="V315" t="s">
        <v>77</v>
      </c>
      <c r="W315" s="4">
        <v>46079</v>
      </c>
      <c r="X315" t="s">
        <v>64</v>
      </c>
      <c r="Y315" t="s">
        <v>77</v>
      </c>
      <c r="Z315" t="s">
        <v>96</v>
      </c>
    </row>
    <row r="316" spans="1:26">
      <c r="A316" t="s">
        <v>795</v>
      </c>
      <c r="B316" t="s">
        <v>102</v>
      </c>
      <c r="C316" s="4">
        <v>46121</v>
      </c>
      <c r="D316" t="s">
        <v>55</v>
      </c>
      <c r="E316" t="s">
        <v>70</v>
      </c>
      <c r="F316" s="4">
        <v>46121</v>
      </c>
      <c r="G316" s="4">
        <v>46123</v>
      </c>
      <c r="H316" t="s">
        <v>201</v>
      </c>
      <c r="I316" t="s">
        <v>515</v>
      </c>
      <c r="J316" t="s">
        <v>203</v>
      </c>
      <c r="K316" t="s">
        <v>124</v>
      </c>
      <c r="L316" t="s">
        <v>94</v>
      </c>
      <c r="M316" s="5">
        <v>43700</v>
      </c>
      <c r="N316" s="5">
        <v>5600</v>
      </c>
      <c r="O316" s="5">
        <v>10250</v>
      </c>
      <c r="P316" s="5">
        <v>9000</v>
      </c>
      <c r="Q316" s="5">
        <v>69750</v>
      </c>
      <c r="R316" t="s">
        <v>141</v>
      </c>
      <c r="S316" t="s">
        <v>76</v>
      </c>
      <c r="T316" s="5">
        <v>11660</v>
      </c>
      <c r="U316" s="6">
        <v>3</v>
      </c>
      <c r="V316" t="s">
        <v>77</v>
      </c>
      <c r="W316" s="4">
        <v>46140</v>
      </c>
      <c r="X316" t="s">
        <v>64</v>
      </c>
      <c r="Y316" t="s">
        <v>64</v>
      </c>
      <c r="Z316" t="s">
        <v>107</v>
      </c>
    </row>
    <row r="317" spans="1:26">
      <c r="A317" t="s">
        <v>796</v>
      </c>
      <c r="B317" t="s">
        <v>196</v>
      </c>
      <c r="C317" s="4">
        <v>46161</v>
      </c>
      <c r="D317" t="s">
        <v>363</v>
      </c>
      <c r="E317" t="s">
        <v>70</v>
      </c>
      <c r="F317" s="4">
        <v>46162</v>
      </c>
      <c r="G317" s="4">
        <v>46166</v>
      </c>
      <c r="H317" t="s">
        <v>90</v>
      </c>
      <c r="I317" t="s">
        <v>128</v>
      </c>
      <c r="J317" t="s">
        <v>92</v>
      </c>
      <c r="K317" t="s">
        <v>73</v>
      </c>
      <c r="L317" t="s">
        <v>61</v>
      </c>
      <c r="M317" s="5">
        <v>48800</v>
      </c>
      <c r="N317" s="5">
        <v>5800</v>
      </c>
      <c r="O317" s="5">
        <v>7550</v>
      </c>
      <c r="P317" s="5">
        <v>14000</v>
      </c>
      <c r="Q317" s="5">
        <v>78150</v>
      </c>
      <c r="R317" t="s">
        <v>85</v>
      </c>
      <c r="S317" t="s">
        <v>76</v>
      </c>
      <c r="T317" s="5">
        <v>20440</v>
      </c>
      <c r="U317" s="6">
        <v>4</v>
      </c>
      <c r="V317" t="s">
        <v>77</v>
      </c>
      <c r="W317" s="4">
        <v>46176</v>
      </c>
      <c r="X317" t="s">
        <v>77</v>
      </c>
      <c r="Y317" t="s">
        <v>64</v>
      </c>
      <c r="Z317" t="s">
        <v>78</v>
      </c>
    </row>
    <row r="318" spans="1:26">
      <c r="A318" t="s">
        <v>797</v>
      </c>
      <c r="B318" t="s">
        <v>443</v>
      </c>
      <c r="C318" s="4">
        <v>46077</v>
      </c>
      <c r="D318" t="s">
        <v>432</v>
      </c>
      <c r="E318" t="s">
        <v>70</v>
      </c>
      <c r="F318" s="4">
        <v>46078</v>
      </c>
      <c r="G318" s="4">
        <v>46081</v>
      </c>
      <c r="H318" t="s">
        <v>138</v>
      </c>
      <c r="I318" t="s">
        <v>352</v>
      </c>
      <c r="J318" t="s">
        <v>140</v>
      </c>
      <c r="K318" t="s">
        <v>73</v>
      </c>
      <c r="L318" t="s">
        <v>74</v>
      </c>
      <c r="M318" s="5">
        <v>11500</v>
      </c>
      <c r="N318" s="5">
        <v>1150</v>
      </c>
      <c r="O318" s="5">
        <v>2100</v>
      </c>
      <c r="P318" s="5">
        <v>9000</v>
      </c>
      <c r="Q318" s="5">
        <v>25550</v>
      </c>
      <c r="R318" t="s">
        <v>85</v>
      </c>
      <c r="S318" t="s">
        <v>86</v>
      </c>
      <c r="T318" s="5">
        <v>7290</v>
      </c>
      <c r="U318" s="6">
        <v>4</v>
      </c>
      <c r="V318" t="s">
        <v>64</v>
      </c>
      <c r="W318" s="4"/>
      <c r="X318" t="s">
        <v>65</v>
      </c>
      <c r="Y318" t="s">
        <v>64</v>
      </c>
      <c r="Z318" t="s">
        <v>96</v>
      </c>
    </row>
    <row r="319" spans="1:26">
      <c r="A319" t="s">
        <v>798</v>
      </c>
      <c r="B319" t="s">
        <v>799</v>
      </c>
      <c r="C319" s="4">
        <v>46125</v>
      </c>
      <c r="D319" t="s">
        <v>279</v>
      </c>
      <c r="E319" t="s">
        <v>70</v>
      </c>
      <c r="F319" s="4">
        <v>46125</v>
      </c>
      <c r="G319" s="4">
        <v>46125</v>
      </c>
      <c r="H319" t="s">
        <v>150</v>
      </c>
      <c r="I319" t="s">
        <v>247</v>
      </c>
      <c r="J319" t="s">
        <v>152</v>
      </c>
      <c r="K319" t="s">
        <v>60</v>
      </c>
      <c r="L319" t="s">
        <v>61</v>
      </c>
      <c r="M319" s="5">
        <v>27200</v>
      </c>
      <c r="N319" s="5">
        <v>3600</v>
      </c>
      <c r="O319" s="5">
        <v>5300</v>
      </c>
      <c r="P319" s="5">
        <v>0</v>
      </c>
      <c r="Q319" s="5">
        <v>37100</v>
      </c>
      <c r="R319" t="s">
        <v>75</v>
      </c>
      <c r="S319" t="s">
        <v>76</v>
      </c>
      <c r="T319" s="5">
        <v>17000</v>
      </c>
      <c r="U319" s="6">
        <v>4</v>
      </c>
      <c r="V319" t="s">
        <v>77</v>
      </c>
      <c r="W319" s="4">
        <v>46132</v>
      </c>
      <c r="X319" t="s">
        <v>77</v>
      </c>
      <c r="Y319" t="s">
        <v>64</v>
      </c>
      <c r="Z319" t="s">
        <v>96</v>
      </c>
    </row>
    <row r="320" spans="1:26">
      <c r="A320" t="s">
        <v>800</v>
      </c>
      <c r="B320" t="s">
        <v>801</v>
      </c>
      <c r="C320" s="4">
        <v>46115</v>
      </c>
      <c r="D320" t="s">
        <v>144</v>
      </c>
      <c r="E320" t="s">
        <v>70</v>
      </c>
      <c r="F320" s="4">
        <v>46115</v>
      </c>
      <c r="G320" s="4">
        <v>46117</v>
      </c>
      <c r="H320" t="s">
        <v>111</v>
      </c>
      <c r="I320" t="s">
        <v>267</v>
      </c>
      <c r="J320" t="s">
        <v>113</v>
      </c>
      <c r="K320" t="s">
        <v>124</v>
      </c>
      <c r="L320" t="s">
        <v>74</v>
      </c>
      <c r="M320" s="5">
        <v>19600</v>
      </c>
      <c r="N320" s="5">
        <v>1750</v>
      </c>
      <c r="O320" s="5">
        <v>3600</v>
      </c>
      <c r="P320" s="5">
        <v>6000</v>
      </c>
      <c r="Q320" s="5">
        <v>32150</v>
      </c>
      <c r="R320" t="s">
        <v>75</v>
      </c>
      <c r="S320" t="s">
        <v>76</v>
      </c>
      <c r="T320" s="5">
        <v>14770</v>
      </c>
      <c r="U320" s="6">
        <v>5</v>
      </c>
      <c r="V320" t="s">
        <v>64</v>
      </c>
      <c r="W320" s="4"/>
      <c r="X320" t="s">
        <v>65</v>
      </c>
      <c r="Y320" t="s">
        <v>64</v>
      </c>
      <c r="Z320" t="s">
        <v>78</v>
      </c>
    </row>
    <row r="321" spans="1:26">
      <c r="A321" t="s">
        <v>802</v>
      </c>
      <c r="B321" t="s">
        <v>667</v>
      </c>
      <c r="C321" s="4">
        <v>46136</v>
      </c>
      <c r="D321" t="s">
        <v>81</v>
      </c>
      <c r="E321" t="s">
        <v>70</v>
      </c>
      <c r="F321" s="4">
        <v>46136</v>
      </c>
      <c r="G321" s="4">
        <v>46136</v>
      </c>
      <c r="H321" t="s">
        <v>103</v>
      </c>
      <c r="I321" t="s">
        <v>104</v>
      </c>
      <c r="J321" t="s">
        <v>244</v>
      </c>
      <c r="K321" t="s">
        <v>60</v>
      </c>
      <c r="L321" t="s">
        <v>74</v>
      </c>
      <c r="M321" s="5">
        <v>66000</v>
      </c>
      <c r="N321" s="5">
        <v>9050</v>
      </c>
      <c r="O321" s="5">
        <v>11050</v>
      </c>
      <c r="P321" s="5">
        <v>0</v>
      </c>
      <c r="Q321" s="5">
        <v>87900</v>
      </c>
      <c r="R321" t="s">
        <v>75</v>
      </c>
      <c r="S321" t="s">
        <v>76</v>
      </c>
      <c r="T321" s="5">
        <v>39850</v>
      </c>
      <c r="U321" s="6">
        <v>4</v>
      </c>
      <c r="V321" t="s">
        <v>77</v>
      </c>
      <c r="W321" s="4">
        <v>46148</v>
      </c>
      <c r="X321" t="s">
        <v>64</v>
      </c>
      <c r="Y321" t="s">
        <v>64</v>
      </c>
      <c r="Z321" t="s">
        <v>96</v>
      </c>
    </row>
    <row r="322" spans="1:26">
      <c r="A322" t="s">
        <v>803</v>
      </c>
      <c r="B322" t="s">
        <v>401</v>
      </c>
      <c r="C322" s="4">
        <v>46097</v>
      </c>
      <c r="D322" t="s">
        <v>294</v>
      </c>
      <c r="E322" t="s">
        <v>70</v>
      </c>
      <c r="F322" s="4">
        <v>46098</v>
      </c>
      <c r="G322" s="4">
        <v>46098</v>
      </c>
      <c r="H322" t="s">
        <v>201</v>
      </c>
      <c r="I322" t="s">
        <v>327</v>
      </c>
      <c r="J322" t="s">
        <v>281</v>
      </c>
      <c r="K322" t="s">
        <v>124</v>
      </c>
      <c r="L322" t="s">
        <v>94</v>
      </c>
      <c r="M322" s="5">
        <v>9700</v>
      </c>
      <c r="N322" s="5">
        <v>1150</v>
      </c>
      <c r="O322" s="5">
        <v>1350</v>
      </c>
      <c r="P322" s="5">
        <v>0</v>
      </c>
      <c r="Q322" s="5">
        <v>13200</v>
      </c>
      <c r="R322" t="s">
        <v>141</v>
      </c>
      <c r="S322" t="s">
        <v>163</v>
      </c>
      <c r="T322" s="5">
        <v>3180</v>
      </c>
      <c r="U322" s="6">
        <v>4</v>
      </c>
      <c r="V322" t="s">
        <v>64</v>
      </c>
      <c r="W322" s="4"/>
      <c r="X322" t="s">
        <v>65</v>
      </c>
      <c r="Y322" t="s">
        <v>77</v>
      </c>
      <c r="Z322" t="s">
        <v>96</v>
      </c>
    </row>
    <row r="323" spans="1:26">
      <c r="A323" t="s">
        <v>804</v>
      </c>
      <c r="B323" t="s">
        <v>805</v>
      </c>
      <c r="C323" s="4">
        <v>46140</v>
      </c>
      <c r="D323" t="s">
        <v>294</v>
      </c>
      <c r="E323" t="s">
        <v>70</v>
      </c>
      <c r="F323" s="4">
        <v>46140</v>
      </c>
      <c r="G323" s="4">
        <v>46141</v>
      </c>
      <c r="H323" t="s">
        <v>111</v>
      </c>
      <c r="I323" t="s">
        <v>355</v>
      </c>
      <c r="J323" t="s">
        <v>384</v>
      </c>
      <c r="K323" t="s">
        <v>60</v>
      </c>
      <c r="L323" t="s">
        <v>146</v>
      </c>
      <c r="M323" s="5">
        <v>50500</v>
      </c>
      <c r="N323" s="5">
        <v>4200</v>
      </c>
      <c r="O323" s="5">
        <v>10150</v>
      </c>
      <c r="P323" s="5">
        <v>4500</v>
      </c>
      <c r="Q323" s="5">
        <v>70850</v>
      </c>
      <c r="R323" t="s">
        <v>106</v>
      </c>
      <c r="S323" t="s">
        <v>86</v>
      </c>
      <c r="T323" s="5">
        <v>25500</v>
      </c>
      <c r="U323" s="6">
        <v>5</v>
      </c>
      <c r="V323" t="s">
        <v>64</v>
      </c>
      <c r="W323" s="4"/>
      <c r="X323" t="s">
        <v>65</v>
      </c>
      <c r="Y323" t="s">
        <v>64</v>
      </c>
      <c r="Z323" t="s">
        <v>96</v>
      </c>
    </row>
    <row r="324" spans="1:26">
      <c r="A324" t="s">
        <v>806</v>
      </c>
      <c r="B324" t="s">
        <v>249</v>
      </c>
      <c r="C324" s="4">
        <v>46044</v>
      </c>
      <c r="D324" t="s">
        <v>168</v>
      </c>
      <c r="E324" t="s">
        <v>70</v>
      </c>
      <c r="F324" s="4">
        <v>46044</v>
      </c>
      <c r="G324" s="4">
        <v>46047</v>
      </c>
      <c r="H324" t="s">
        <v>201</v>
      </c>
      <c r="I324" t="s">
        <v>515</v>
      </c>
      <c r="J324" t="s">
        <v>295</v>
      </c>
      <c r="K324" t="s">
        <v>73</v>
      </c>
      <c r="L324" t="s">
        <v>61</v>
      </c>
      <c r="M324" s="5">
        <v>45500</v>
      </c>
      <c r="N324" s="5">
        <v>7300</v>
      </c>
      <c r="O324" s="5">
        <v>9850</v>
      </c>
      <c r="P324" s="5">
        <v>7500</v>
      </c>
      <c r="Q324" s="5">
        <v>71350</v>
      </c>
      <c r="R324" t="s">
        <v>75</v>
      </c>
      <c r="S324" t="s">
        <v>76</v>
      </c>
      <c r="T324" s="5">
        <v>32410</v>
      </c>
      <c r="U324" s="6">
        <v>4</v>
      </c>
      <c r="V324" t="s">
        <v>64</v>
      </c>
      <c r="W324" s="4"/>
      <c r="X324" t="s">
        <v>65</v>
      </c>
      <c r="Y324" t="s">
        <v>64</v>
      </c>
      <c r="Z324" t="s">
        <v>436</v>
      </c>
    </row>
    <row r="325" spans="1:26">
      <c r="A325" t="s">
        <v>807</v>
      </c>
      <c r="B325" t="s">
        <v>640</v>
      </c>
      <c r="C325" s="4">
        <v>46058</v>
      </c>
      <c r="D325" t="s">
        <v>69</v>
      </c>
      <c r="E325" t="s">
        <v>70</v>
      </c>
      <c r="F325" s="4">
        <v>46059</v>
      </c>
      <c r="G325" s="4">
        <v>46066</v>
      </c>
      <c r="H325" t="s">
        <v>103</v>
      </c>
      <c r="I325" t="s">
        <v>214</v>
      </c>
      <c r="J325" t="s">
        <v>244</v>
      </c>
      <c r="K325" t="s">
        <v>124</v>
      </c>
      <c r="L325" t="s">
        <v>61</v>
      </c>
      <c r="M325" s="5"/>
      <c r="N325" s="5">
        <v>8050</v>
      </c>
      <c r="O325" s="5">
        <v>7250</v>
      </c>
      <c r="P325" s="5">
        <v>21000</v>
      </c>
      <c r="Q325" s="5">
        <v>93500</v>
      </c>
      <c r="R325" t="s">
        <v>95</v>
      </c>
      <c r="S325" t="s">
        <v>63</v>
      </c>
      <c r="T325" s="5">
        <v>93500</v>
      </c>
      <c r="U325" s="6">
        <v>5</v>
      </c>
      <c r="V325" t="s">
        <v>77</v>
      </c>
      <c r="W325" s="4">
        <v>46084</v>
      </c>
      <c r="X325" t="s">
        <v>77</v>
      </c>
      <c r="Y325" t="s">
        <v>64</v>
      </c>
      <c r="Z325" t="s">
        <v>96</v>
      </c>
    </row>
    <row r="326" spans="1:26">
      <c r="A326" t="s">
        <v>808</v>
      </c>
      <c r="B326" t="s">
        <v>809</v>
      </c>
      <c r="C326" s="4">
        <v>46170</v>
      </c>
      <c r="D326" t="s">
        <v>69</v>
      </c>
      <c r="E326" t="s">
        <v>70</v>
      </c>
      <c r="F326" s="4">
        <v>46170</v>
      </c>
      <c r="G326" s="4">
        <v>46170</v>
      </c>
      <c r="H326" t="s">
        <v>82</v>
      </c>
      <c r="I326" t="s">
        <v>83</v>
      </c>
      <c r="J326" t="s">
        <v>156</v>
      </c>
      <c r="K326" t="s">
        <v>60</v>
      </c>
      <c r="L326" t="s">
        <v>61</v>
      </c>
      <c r="M326" s="5">
        <v>83700</v>
      </c>
      <c r="N326" s="5">
        <v>13700</v>
      </c>
      <c r="O326" s="5">
        <v>12100</v>
      </c>
      <c r="P326" s="5">
        <v>0</v>
      </c>
      <c r="Q326" s="5">
        <v>111300</v>
      </c>
      <c r="R326" t="s">
        <v>141</v>
      </c>
      <c r="S326" t="s">
        <v>76</v>
      </c>
      <c r="T326" s="5">
        <v>17900</v>
      </c>
      <c r="U326" s="6"/>
      <c r="V326" t="s">
        <v>77</v>
      </c>
      <c r="W326" s="4">
        <v>46181</v>
      </c>
      <c r="X326" t="s">
        <v>64</v>
      </c>
      <c r="Y326" t="s">
        <v>64</v>
      </c>
      <c r="Z326" t="s">
        <v>107</v>
      </c>
    </row>
    <row r="327" spans="1:26">
      <c r="A327" t="s">
        <v>810</v>
      </c>
      <c r="B327" t="s">
        <v>811</v>
      </c>
      <c r="C327" s="4">
        <v>46038</v>
      </c>
      <c r="D327" t="s">
        <v>242</v>
      </c>
      <c r="E327" t="s">
        <v>70</v>
      </c>
      <c r="F327" s="4">
        <v>46038</v>
      </c>
      <c r="G327" s="4">
        <v>46046</v>
      </c>
      <c r="H327" t="s">
        <v>90</v>
      </c>
      <c r="I327" t="s">
        <v>162</v>
      </c>
      <c r="J327" t="s">
        <v>129</v>
      </c>
      <c r="K327" t="s">
        <v>124</v>
      </c>
      <c r="L327" t="s">
        <v>94</v>
      </c>
      <c r="M327" s="5">
        <v>45000</v>
      </c>
      <c r="N327" s="5">
        <v>6300</v>
      </c>
      <c r="O327" s="5">
        <v>11000</v>
      </c>
      <c r="P327" s="5">
        <v>48000</v>
      </c>
      <c r="Q327" s="5">
        <v>111500</v>
      </c>
      <c r="R327" t="s">
        <v>106</v>
      </c>
      <c r="S327" t="s">
        <v>86</v>
      </c>
      <c r="T327" s="5">
        <v>39720</v>
      </c>
      <c r="U327" s="6">
        <v>2</v>
      </c>
      <c r="V327" t="s">
        <v>77</v>
      </c>
      <c r="W327" s="4">
        <v>46064</v>
      </c>
      <c r="X327" t="s">
        <v>64</v>
      </c>
      <c r="Y327" t="s">
        <v>64</v>
      </c>
      <c r="Z327" t="s">
        <v>96</v>
      </c>
    </row>
    <row r="328" spans="1:26">
      <c r="A328" t="s">
        <v>812</v>
      </c>
      <c r="B328" t="s">
        <v>186</v>
      </c>
      <c r="C328" s="4">
        <v>46142</v>
      </c>
      <c r="D328" t="s">
        <v>383</v>
      </c>
      <c r="E328" t="s">
        <v>56</v>
      </c>
      <c r="F328" s="4"/>
      <c r="G328" s="4"/>
      <c r="H328" t="s">
        <v>57</v>
      </c>
      <c r="I328" t="s">
        <v>58</v>
      </c>
      <c r="J328" t="s">
        <v>170</v>
      </c>
      <c r="K328" t="s">
        <v>93</v>
      </c>
      <c r="L328" t="s">
        <v>74</v>
      </c>
      <c r="M328" s="5"/>
      <c r="N328" s="5"/>
      <c r="O328" s="5"/>
      <c r="P328" s="5"/>
      <c r="Q328" s="5"/>
      <c r="R328" t="s">
        <v>85</v>
      </c>
      <c r="S328" t="s">
        <v>63</v>
      </c>
      <c r="T328" s="5"/>
      <c r="U328" s="6"/>
      <c r="V328" t="s">
        <v>64</v>
      </c>
      <c r="W328" s="4"/>
      <c r="X328" t="s">
        <v>65</v>
      </c>
      <c r="Z328" t="s">
        <v>66</v>
      </c>
    </row>
    <row r="329" spans="1:26">
      <c r="A329" t="s">
        <v>813</v>
      </c>
      <c r="B329" t="s">
        <v>573</v>
      </c>
      <c r="C329" s="4">
        <v>46121</v>
      </c>
      <c r="D329" t="s">
        <v>439</v>
      </c>
      <c r="E329" t="s">
        <v>56</v>
      </c>
      <c r="F329" s="4"/>
      <c r="G329" s="4"/>
      <c r="H329" t="s">
        <v>121</v>
      </c>
      <c r="I329" t="s">
        <v>122</v>
      </c>
      <c r="J329" t="s">
        <v>256</v>
      </c>
      <c r="K329" t="s">
        <v>60</v>
      </c>
      <c r="L329" t="s">
        <v>94</v>
      </c>
      <c r="M329" s="5"/>
      <c r="N329" s="5"/>
      <c r="O329" s="5"/>
      <c r="P329" s="5"/>
      <c r="Q329" s="5"/>
      <c r="R329" t="s">
        <v>106</v>
      </c>
      <c r="S329" t="s">
        <v>63</v>
      </c>
      <c r="T329" s="5"/>
      <c r="U329" s="6"/>
      <c r="V329" t="s">
        <v>64</v>
      </c>
      <c r="W329" s="4"/>
      <c r="X329" t="s">
        <v>65</v>
      </c>
      <c r="Z329" t="s">
        <v>66</v>
      </c>
    </row>
    <row r="330" spans="1:26">
      <c r="A330" t="s">
        <v>814</v>
      </c>
      <c r="B330" t="s">
        <v>815</v>
      </c>
      <c r="C330" s="4">
        <v>46067</v>
      </c>
      <c r="D330" t="s">
        <v>298</v>
      </c>
      <c r="E330" t="s">
        <v>70</v>
      </c>
      <c r="F330" s="4">
        <v>46067</v>
      </c>
      <c r="G330" s="4">
        <v>46073</v>
      </c>
      <c r="H330" t="s">
        <v>178</v>
      </c>
      <c r="I330" t="s">
        <v>622</v>
      </c>
      <c r="J330" t="s">
        <v>180</v>
      </c>
      <c r="K330" t="s">
        <v>93</v>
      </c>
      <c r="L330" t="s">
        <v>61</v>
      </c>
      <c r="M330" s="5">
        <v>54300</v>
      </c>
      <c r="N330" s="5">
        <v>8850</v>
      </c>
      <c r="O330" s="5">
        <v>12400</v>
      </c>
      <c r="P330" s="5">
        <v>21000</v>
      </c>
      <c r="Q330" s="5">
        <v>98050</v>
      </c>
      <c r="R330" t="s">
        <v>75</v>
      </c>
      <c r="S330" t="s">
        <v>76</v>
      </c>
      <c r="T330" s="5">
        <v>44420</v>
      </c>
      <c r="U330" s="6">
        <v>5</v>
      </c>
      <c r="V330" t="s">
        <v>77</v>
      </c>
      <c r="W330" s="4">
        <v>46086</v>
      </c>
      <c r="X330" t="s">
        <v>77</v>
      </c>
      <c r="Y330" t="s">
        <v>64</v>
      </c>
      <c r="Z330" t="s">
        <v>96</v>
      </c>
    </row>
    <row r="331" spans="1:26">
      <c r="A331" t="s">
        <v>816</v>
      </c>
      <c r="B331" t="s">
        <v>817</v>
      </c>
      <c r="C331" s="4">
        <v>46083</v>
      </c>
      <c r="D331" t="s">
        <v>284</v>
      </c>
      <c r="E331" t="s">
        <v>314</v>
      </c>
      <c r="F331" s="4"/>
      <c r="G331" s="4"/>
      <c r="H331" t="s">
        <v>138</v>
      </c>
      <c r="I331" t="s">
        <v>260</v>
      </c>
      <c r="J331" t="s">
        <v>261</v>
      </c>
      <c r="K331" t="s">
        <v>60</v>
      </c>
      <c r="L331" t="s">
        <v>74</v>
      </c>
      <c r="M331" s="5"/>
      <c r="N331" s="5"/>
      <c r="O331" s="5"/>
      <c r="P331" s="5"/>
      <c r="Q331" s="5"/>
      <c r="R331" t="s">
        <v>106</v>
      </c>
      <c r="S331" t="s">
        <v>63</v>
      </c>
      <c r="T331" s="5"/>
      <c r="U331" s="6"/>
      <c r="V331" t="s">
        <v>64</v>
      </c>
      <c r="W331" s="4"/>
      <c r="X331" t="s">
        <v>65</v>
      </c>
      <c r="Z331" t="s">
        <v>66</v>
      </c>
    </row>
    <row r="332" spans="1:26">
      <c r="A332" t="s">
        <v>818</v>
      </c>
      <c r="B332" t="s">
        <v>819</v>
      </c>
      <c r="C332" s="4">
        <v>46132</v>
      </c>
      <c r="D332" t="s">
        <v>173</v>
      </c>
      <c r="E332" t="s">
        <v>70</v>
      </c>
      <c r="F332" s="4">
        <v>46132</v>
      </c>
      <c r="G332" s="4">
        <v>46137</v>
      </c>
      <c r="H332" t="s">
        <v>57</v>
      </c>
      <c r="I332" t="s">
        <v>169</v>
      </c>
      <c r="J332" t="s">
        <v>59</v>
      </c>
      <c r="K332" t="s">
        <v>73</v>
      </c>
      <c r="L332" t="s">
        <v>74</v>
      </c>
      <c r="M332" s="5">
        <v>56500</v>
      </c>
      <c r="N332" s="5">
        <v>4900</v>
      </c>
      <c r="O332" s="5">
        <v>9450</v>
      </c>
      <c r="P332" s="5">
        <v>22500</v>
      </c>
      <c r="Q332" s="5">
        <v>94150</v>
      </c>
      <c r="R332" t="s">
        <v>106</v>
      </c>
      <c r="S332" t="s">
        <v>163</v>
      </c>
      <c r="T332" s="5">
        <v>33650</v>
      </c>
      <c r="U332" s="6">
        <v>3</v>
      </c>
      <c r="V332" t="s">
        <v>77</v>
      </c>
      <c r="W332" s="4">
        <v>46158</v>
      </c>
      <c r="X332" t="s">
        <v>64</v>
      </c>
      <c r="Y332" t="s">
        <v>64</v>
      </c>
      <c r="Z332" t="s">
        <v>78</v>
      </c>
    </row>
    <row r="333" spans="1:26">
      <c r="A333" t="s">
        <v>820</v>
      </c>
      <c r="B333" t="s">
        <v>455</v>
      </c>
      <c r="C333" s="4">
        <v>46169</v>
      </c>
      <c r="D333" t="s">
        <v>127</v>
      </c>
      <c r="E333" t="s">
        <v>255</v>
      </c>
      <c r="F333" s="4"/>
      <c r="G333" s="4"/>
      <c r="H333" t="s">
        <v>201</v>
      </c>
      <c r="I333" t="s">
        <v>515</v>
      </c>
      <c r="J333" t="s">
        <v>281</v>
      </c>
      <c r="K333" t="s">
        <v>124</v>
      </c>
      <c r="L333" t="s">
        <v>94</v>
      </c>
      <c r="M333" s="5"/>
      <c r="N333" s="5"/>
      <c r="O333" s="5"/>
      <c r="P333" s="5"/>
      <c r="Q333" s="5"/>
      <c r="R333" t="s">
        <v>85</v>
      </c>
      <c r="S333" t="s">
        <v>63</v>
      </c>
      <c r="T333" s="5"/>
      <c r="U333" s="6"/>
      <c r="V333" t="s">
        <v>64</v>
      </c>
      <c r="W333" s="4"/>
      <c r="X333" t="s">
        <v>65</v>
      </c>
      <c r="Z333" t="s">
        <v>66</v>
      </c>
    </row>
    <row r="334" spans="1:26">
      <c r="A334" t="s">
        <v>821</v>
      </c>
      <c r="B334" t="s">
        <v>822</v>
      </c>
      <c r="C334" s="4">
        <v>46158</v>
      </c>
      <c r="D334" t="s">
        <v>266</v>
      </c>
      <c r="E334" t="s">
        <v>70</v>
      </c>
      <c r="F334" s="4">
        <v>46158</v>
      </c>
      <c r="G334" s="4">
        <v>46161</v>
      </c>
      <c r="H334" t="s">
        <v>57</v>
      </c>
      <c r="I334" t="s">
        <v>100</v>
      </c>
      <c r="J334" t="s">
        <v>59</v>
      </c>
      <c r="K334" t="s">
        <v>124</v>
      </c>
      <c r="L334" t="s">
        <v>146</v>
      </c>
      <c r="M334" s="5">
        <v>52000</v>
      </c>
      <c r="N334" s="5">
        <v>8250</v>
      </c>
      <c r="O334" s="5">
        <v>7350</v>
      </c>
      <c r="P334" s="5">
        <v>9000</v>
      </c>
      <c r="Q334" s="5">
        <v>78600</v>
      </c>
      <c r="R334" t="s">
        <v>106</v>
      </c>
      <c r="S334" t="s">
        <v>76</v>
      </c>
      <c r="T334" s="5">
        <v>28210</v>
      </c>
      <c r="U334" s="6">
        <v>5</v>
      </c>
      <c r="V334" t="s">
        <v>77</v>
      </c>
      <c r="W334" s="4">
        <v>46171</v>
      </c>
      <c r="X334" t="s">
        <v>77</v>
      </c>
      <c r="Y334" t="s">
        <v>64</v>
      </c>
      <c r="Z334" t="s">
        <v>96</v>
      </c>
    </row>
    <row r="335" spans="1:26">
      <c r="A335" t="s">
        <v>823</v>
      </c>
      <c r="B335" t="s">
        <v>80</v>
      </c>
      <c r="C335" s="4">
        <v>46071</v>
      </c>
      <c r="D335" t="s">
        <v>173</v>
      </c>
      <c r="E335" t="s">
        <v>70</v>
      </c>
      <c r="F335" s="4">
        <v>46071</v>
      </c>
      <c r="G335" s="4">
        <v>46071</v>
      </c>
      <c r="H335" t="s">
        <v>111</v>
      </c>
      <c r="I335" t="s">
        <v>116</v>
      </c>
      <c r="J335" t="s">
        <v>113</v>
      </c>
      <c r="K335" t="s">
        <v>60</v>
      </c>
      <c r="L335" t="s">
        <v>94</v>
      </c>
      <c r="M335" s="5">
        <v>25900</v>
      </c>
      <c r="N335" s="5">
        <v>2850</v>
      </c>
      <c r="O335" s="5">
        <v>3400</v>
      </c>
      <c r="P335" s="5">
        <v>0</v>
      </c>
      <c r="Q335" s="5">
        <v>32950</v>
      </c>
      <c r="R335" t="s">
        <v>106</v>
      </c>
      <c r="S335" t="s">
        <v>76</v>
      </c>
      <c r="T335" s="5">
        <v>12230</v>
      </c>
      <c r="U335" s="6">
        <v>5</v>
      </c>
      <c r="V335" t="s">
        <v>64</v>
      </c>
      <c r="W335" s="4"/>
      <c r="X335" t="s">
        <v>65</v>
      </c>
      <c r="Y335" t="s">
        <v>64</v>
      </c>
      <c r="Z335" t="s">
        <v>107</v>
      </c>
    </row>
    <row r="336" spans="1:26">
      <c r="A336" t="s">
        <v>824</v>
      </c>
      <c r="B336" t="s">
        <v>621</v>
      </c>
      <c r="C336" s="4">
        <v>46093</v>
      </c>
      <c r="D336" t="s">
        <v>383</v>
      </c>
      <c r="E336" t="s">
        <v>70</v>
      </c>
      <c r="F336" s="4">
        <v>46093</v>
      </c>
      <c r="G336" s="4">
        <v>46101</v>
      </c>
      <c r="H336" t="s">
        <v>57</v>
      </c>
      <c r="I336" t="s">
        <v>100</v>
      </c>
      <c r="J336" t="s">
        <v>170</v>
      </c>
      <c r="K336" t="s">
        <v>73</v>
      </c>
      <c r="L336" t="s">
        <v>74</v>
      </c>
      <c r="M336" s="5">
        <v>48300</v>
      </c>
      <c r="N336" s="5">
        <v>8050</v>
      </c>
      <c r="O336" s="5">
        <v>8850</v>
      </c>
      <c r="P336" s="5">
        <v>28000</v>
      </c>
      <c r="Q336" s="5">
        <v>95200</v>
      </c>
      <c r="R336" t="s">
        <v>75</v>
      </c>
      <c r="S336" t="s">
        <v>86</v>
      </c>
      <c r="T336" s="5">
        <v>43140</v>
      </c>
      <c r="U336" s="6">
        <v>3</v>
      </c>
      <c r="V336" t="s">
        <v>77</v>
      </c>
      <c r="W336" s="4">
        <v>46108</v>
      </c>
      <c r="X336" t="s">
        <v>77</v>
      </c>
      <c r="Y336" t="s">
        <v>64</v>
      </c>
      <c r="Z336" t="s">
        <v>78</v>
      </c>
    </row>
    <row r="337" spans="1:26">
      <c r="A337" t="s">
        <v>825</v>
      </c>
      <c r="B337" t="s">
        <v>826</v>
      </c>
      <c r="C337" s="4">
        <v>46037</v>
      </c>
      <c r="D337" t="s">
        <v>110</v>
      </c>
      <c r="E337" t="s">
        <v>70</v>
      </c>
      <c r="F337" s="4">
        <v>46037</v>
      </c>
      <c r="G337" s="4">
        <v>46037</v>
      </c>
      <c r="H337" t="s">
        <v>90</v>
      </c>
      <c r="I337" t="s">
        <v>133</v>
      </c>
      <c r="J337" t="s">
        <v>197</v>
      </c>
      <c r="K337" t="s">
        <v>60</v>
      </c>
      <c r="L337" t="s">
        <v>61</v>
      </c>
      <c r="M337" s="5">
        <v>28700</v>
      </c>
      <c r="N337" s="5">
        <v>3250</v>
      </c>
      <c r="O337" s="5">
        <v>4650</v>
      </c>
      <c r="P337" s="5">
        <v>0</v>
      </c>
      <c r="Q337" s="5">
        <v>38600</v>
      </c>
      <c r="R337" t="s">
        <v>95</v>
      </c>
      <c r="S337" t="s">
        <v>63</v>
      </c>
      <c r="T337" s="5">
        <v>38600</v>
      </c>
      <c r="U337" s="6">
        <v>4</v>
      </c>
      <c r="V337" t="s">
        <v>77</v>
      </c>
      <c r="W337" s="4">
        <v>46052</v>
      </c>
      <c r="X337" t="s">
        <v>77</v>
      </c>
      <c r="Y337" t="s">
        <v>64</v>
      </c>
      <c r="Z337" t="s">
        <v>78</v>
      </c>
    </row>
    <row r="338" spans="1:26">
      <c r="A338" t="s">
        <v>827</v>
      </c>
      <c r="B338" t="s">
        <v>828</v>
      </c>
      <c r="C338" s="4">
        <v>46165</v>
      </c>
      <c r="D338" t="s">
        <v>225</v>
      </c>
      <c r="E338" t="s">
        <v>70</v>
      </c>
      <c r="F338" s="4">
        <v>46165</v>
      </c>
      <c r="G338" s="4">
        <v>46166</v>
      </c>
      <c r="H338" t="s">
        <v>121</v>
      </c>
      <c r="I338" t="s">
        <v>386</v>
      </c>
      <c r="J338" t="s">
        <v>256</v>
      </c>
      <c r="K338" t="s">
        <v>124</v>
      </c>
      <c r="L338" t="s">
        <v>74</v>
      </c>
      <c r="M338" s="5">
        <v>15500</v>
      </c>
      <c r="N338" s="5">
        <v>1600</v>
      </c>
      <c r="O338" s="5">
        <v>1900</v>
      </c>
      <c r="P338" s="5">
        <v>3000</v>
      </c>
      <c r="Q338" s="5">
        <v>24500</v>
      </c>
      <c r="R338" t="s">
        <v>141</v>
      </c>
      <c r="S338" t="s">
        <v>76</v>
      </c>
      <c r="T338" s="5">
        <v>4880</v>
      </c>
      <c r="U338" s="6">
        <v>4</v>
      </c>
      <c r="V338" t="s">
        <v>64</v>
      </c>
      <c r="W338" s="4"/>
      <c r="X338" t="s">
        <v>65</v>
      </c>
      <c r="Y338" t="s">
        <v>64</v>
      </c>
      <c r="Z338" t="s">
        <v>96</v>
      </c>
    </row>
    <row r="339" spans="1:26">
      <c r="A339" t="s">
        <v>829</v>
      </c>
      <c r="B339" t="s">
        <v>830</v>
      </c>
      <c r="C339" s="4">
        <v>46032</v>
      </c>
      <c r="D339" t="s">
        <v>127</v>
      </c>
      <c r="E339" t="s">
        <v>70</v>
      </c>
      <c r="F339" s="4">
        <v>46032</v>
      </c>
      <c r="G339" s="4">
        <v>46032</v>
      </c>
      <c r="H339" t="s">
        <v>90</v>
      </c>
      <c r="I339" t="s">
        <v>133</v>
      </c>
      <c r="J339" t="s">
        <v>92</v>
      </c>
      <c r="K339" t="s">
        <v>60</v>
      </c>
      <c r="L339" t="s">
        <v>94</v>
      </c>
      <c r="M339" s="5">
        <v>42700</v>
      </c>
      <c r="N339" s="5">
        <v>6100</v>
      </c>
      <c r="O339" s="5">
        <v>8250</v>
      </c>
      <c r="P339" s="5">
        <v>0</v>
      </c>
      <c r="Q339" s="5">
        <v>59050</v>
      </c>
      <c r="R339" t="s">
        <v>106</v>
      </c>
      <c r="S339" t="s">
        <v>76</v>
      </c>
      <c r="T339" s="5">
        <v>21370</v>
      </c>
      <c r="U339" s="6">
        <v>5</v>
      </c>
      <c r="V339" t="s">
        <v>77</v>
      </c>
      <c r="W339" s="4">
        <v>46052</v>
      </c>
      <c r="X339" t="s">
        <v>77</v>
      </c>
      <c r="Y339" t="s">
        <v>64</v>
      </c>
      <c r="Z339" t="s">
        <v>107</v>
      </c>
    </row>
    <row r="340" spans="1:26">
      <c r="A340" t="s">
        <v>831</v>
      </c>
      <c r="B340" t="s">
        <v>832</v>
      </c>
      <c r="C340" s="4">
        <v>46154</v>
      </c>
      <c r="D340" t="s">
        <v>432</v>
      </c>
      <c r="E340" t="s">
        <v>70</v>
      </c>
      <c r="F340" s="4">
        <v>46154</v>
      </c>
      <c r="G340" s="4">
        <v>46154</v>
      </c>
      <c r="H340" t="s">
        <v>103</v>
      </c>
      <c r="I340" t="s">
        <v>412</v>
      </c>
      <c r="J340" t="s">
        <v>145</v>
      </c>
      <c r="K340" t="s">
        <v>60</v>
      </c>
      <c r="L340" t="s">
        <v>94</v>
      </c>
      <c r="M340" s="5">
        <v>34500</v>
      </c>
      <c r="N340" s="5">
        <v>5350</v>
      </c>
      <c r="O340" s="5">
        <v>7750</v>
      </c>
      <c r="P340" s="5">
        <v>0</v>
      </c>
      <c r="Q340" s="5">
        <v>48800</v>
      </c>
      <c r="R340" t="s">
        <v>85</v>
      </c>
      <c r="S340" t="s">
        <v>86</v>
      </c>
      <c r="T340" s="5">
        <v>13100</v>
      </c>
      <c r="U340" s="6">
        <v>3</v>
      </c>
      <c r="V340" t="s">
        <v>64</v>
      </c>
      <c r="W340" s="4"/>
      <c r="X340" t="s">
        <v>65</v>
      </c>
      <c r="Y340" t="s">
        <v>77</v>
      </c>
      <c r="Z340" t="s">
        <v>107</v>
      </c>
    </row>
    <row r="341" spans="1:26">
      <c r="A341" t="s">
        <v>833</v>
      </c>
      <c r="B341" t="s">
        <v>617</v>
      </c>
      <c r="C341" s="4">
        <v>46075</v>
      </c>
      <c r="D341" t="s">
        <v>266</v>
      </c>
      <c r="E341" t="s">
        <v>70</v>
      </c>
      <c r="F341" s="4">
        <v>46075</v>
      </c>
      <c r="G341" s="4">
        <v>46082</v>
      </c>
      <c r="H341" t="s">
        <v>57</v>
      </c>
      <c r="I341" t="s">
        <v>184</v>
      </c>
      <c r="J341" t="s">
        <v>170</v>
      </c>
      <c r="K341" t="s">
        <v>73</v>
      </c>
      <c r="L341" t="s">
        <v>74</v>
      </c>
      <c r="M341" s="5">
        <v>77900</v>
      </c>
      <c r="N341" s="5">
        <v>11450</v>
      </c>
      <c r="O341" s="5">
        <v>18750</v>
      </c>
      <c r="P341" s="5">
        <v>17500</v>
      </c>
      <c r="Q341" s="5">
        <v>126800</v>
      </c>
      <c r="R341" t="s">
        <v>85</v>
      </c>
      <c r="S341" t="s">
        <v>86</v>
      </c>
      <c r="T341" s="5">
        <v>32600</v>
      </c>
      <c r="U341" s="6">
        <v>4</v>
      </c>
      <c r="V341" t="s">
        <v>64</v>
      </c>
      <c r="W341" s="4"/>
      <c r="X341" t="s">
        <v>65</v>
      </c>
      <c r="Y341" t="s">
        <v>64</v>
      </c>
      <c r="Z341" t="s">
        <v>96</v>
      </c>
    </row>
    <row r="342" spans="1:26">
      <c r="A342" t="s">
        <v>834</v>
      </c>
      <c r="B342" t="s">
        <v>835</v>
      </c>
      <c r="C342" s="4">
        <v>46071</v>
      </c>
      <c r="D342" t="s">
        <v>250</v>
      </c>
      <c r="E342" t="s">
        <v>70</v>
      </c>
      <c r="F342" s="4">
        <v>46071</v>
      </c>
      <c r="G342" s="4">
        <v>46072</v>
      </c>
      <c r="H342" t="s">
        <v>138</v>
      </c>
      <c r="I342" t="s">
        <v>139</v>
      </c>
      <c r="J342" t="s">
        <v>261</v>
      </c>
      <c r="K342" t="s">
        <v>60</v>
      </c>
      <c r="L342" t="s">
        <v>61</v>
      </c>
      <c r="M342" s="5">
        <v>5000</v>
      </c>
      <c r="N342" s="5">
        <v>550</v>
      </c>
      <c r="O342" s="5">
        <v>1200</v>
      </c>
      <c r="P342" s="5">
        <v>3000</v>
      </c>
      <c r="Q342" s="5">
        <v>11750</v>
      </c>
      <c r="R342" t="s">
        <v>75</v>
      </c>
      <c r="S342" t="s">
        <v>76</v>
      </c>
      <c r="T342" s="5">
        <v>5590</v>
      </c>
      <c r="U342" s="6">
        <v>4</v>
      </c>
      <c r="V342" t="s">
        <v>64</v>
      </c>
      <c r="W342" s="4"/>
      <c r="X342" t="s">
        <v>65</v>
      </c>
      <c r="Y342" t="s">
        <v>64</v>
      </c>
      <c r="Z342" t="s">
        <v>96</v>
      </c>
    </row>
    <row r="343" spans="1:26">
      <c r="A343" t="s">
        <v>836</v>
      </c>
      <c r="B343" t="s">
        <v>213</v>
      </c>
      <c r="C343" s="4">
        <v>46167</v>
      </c>
      <c r="D343" t="s">
        <v>132</v>
      </c>
      <c r="E343" t="s">
        <v>70</v>
      </c>
      <c r="F343" s="4">
        <v>46168</v>
      </c>
      <c r="G343" s="4">
        <v>46168</v>
      </c>
      <c r="H343" t="s">
        <v>121</v>
      </c>
      <c r="I343" t="s">
        <v>386</v>
      </c>
      <c r="J343" t="s">
        <v>123</v>
      </c>
      <c r="K343" t="s">
        <v>60</v>
      </c>
      <c r="L343" t="s">
        <v>61</v>
      </c>
      <c r="M343" s="5">
        <v>59200</v>
      </c>
      <c r="N343" s="5">
        <v>8150</v>
      </c>
      <c r="O343" s="5">
        <v>6300</v>
      </c>
      <c r="P343" s="5">
        <v>0</v>
      </c>
      <c r="Q343" s="5">
        <v>76150</v>
      </c>
      <c r="R343" t="s">
        <v>75</v>
      </c>
      <c r="S343" t="s">
        <v>76</v>
      </c>
      <c r="T343" s="5">
        <v>34570</v>
      </c>
      <c r="U343" s="6"/>
      <c r="V343" t="s">
        <v>77</v>
      </c>
      <c r="W343" s="4">
        <v>46179</v>
      </c>
      <c r="X343" t="s">
        <v>64</v>
      </c>
      <c r="Y343" t="s">
        <v>77</v>
      </c>
      <c r="Z343" t="s">
        <v>96</v>
      </c>
    </row>
    <row r="344" spans="1:26">
      <c r="A344" t="s">
        <v>837</v>
      </c>
      <c r="B344" t="s">
        <v>838</v>
      </c>
      <c r="C344" s="4">
        <v>46167</v>
      </c>
      <c r="D344" t="s">
        <v>183</v>
      </c>
      <c r="E344" t="s">
        <v>314</v>
      </c>
      <c r="F344" s="4"/>
      <c r="G344" s="4"/>
      <c r="H344" t="s">
        <v>201</v>
      </c>
      <c r="I344" t="s">
        <v>421</v>
      </c>
      <c r="J344" t="s">
        <v>281</v>
      </c>
      <c r="K344" t="s">
        <v>124</v>
      </c>
      <c r="L344" t="s">
        <v>61</v>
      </c>
      <c r="M344" s="5"/>
      <c r="N344" s="5"/>
      <c r="O344" s="5"/>
      <c r="P344" s="5"/>
      <c r="Q344" s="5"/>
      <c r="R344" t="s">
        <v>141</v>
      </c>
      <c r="S344" t="s">
        <v>63</v>
      </c>
      <c r="T344" s="5"/>
      <c r="U344" s="6"/>
      <c r="V344" t="s">
        <v>64</v>
      </c>
      <c r="W344" s="4"/>
      <c r="X344" t="s">
        <v>65</v>
      </c>
      <c r="Z344" t="s">
        <v>66</v>
      </c>
    </row>
    <row r="345" spans="1:26">
      <c r="A345" t="s">
        <v>839</v>
      </c>
      <c r="B345" t="s">
        <v>725</v>
      </c>
      <c r="C345" s="4">
        <v>46064</v>
      </c>
      <c r="D345" t="s">
        <v>149</v>
      </c>
      <c r="E345" t="s">
        <v>70</v>
      </c>
      <c r="F345" s="4">
        <v>46064</v>
      </c>
      <c r="G345" s="4">
        <v>46070</v>
      </c>
      <c r="H345" t="s">
        <v>150</v>
      </c>
      <c r="I345" t="s">
        <v>239</v>
      </c>
      <c r="J345" t="s">
        <v>188</v>
      </c>
      <c r="K345" t="s">
        <v>73</v>
      </c>
      <c r="L345" t="s">
        <v>74</v>
      </c>
      <c r="M345" s="5">
        <v>87200</v>
      </c>
      <c r="N345" s="5">
        <v>10200</v>
      </c>
      <c r="O345" s="5">
        <v>21600</v>
      </c>
      <c r="P345" s="5">
        <v>21000</v>
      </c>
      <c r="Q345" s="5">
        <v>141800</v>
      </c>
      <c r="R345" t="s">
        <v>75</v>
      </c>
      <c r="S345" t="s">
        <v>76</v>
      </c>
      <c r="T345" s="5">
        <v>64110</v>
      </c>
      <c r="U345" s="6">
        <v>4</v>
      </c>
      <c r="V345" t="s">
        <v>64</v>
      </c>
      <c r="W345" s="4"/>
      <c r="X345" t="s">
        <v>65</v>
      </c>
      <c r="Y345" t="s">
        <v>64</v>
      </c>
      <c r="Z345" t="s">
        <v>96</v>
      </c>
    </row>
    <row r="346" spans="1:26">
      <c r="A346" t="s">
        <v>840</v>
      </c>
      <c r="B346" t="s">
        <v>841</v>
      </c>
      <c r="C346" s="4">
        <v>46065</v>
      </c>
      <c r="D346" t="s">
        <v>120</v>
      </c>
      <c r="E346" t="s">
        <v>70</v>
      </c>
      <c r="F346" s="4">
        <v>46065</v>
      </c>
      <c r="G346" s="4">
        <v>46070</v>
      </c>
      <c r="H346" t="s">
        <v>57</v>
      </c>
      <c r="I346" t="s">
        <v>169</v>
      </c>
      <c r="J346" t="s">
        <v>59</v>
      </c>
      <c r="K346" t="s">
        <v>124</v>
      </c>
      <c r="L346" t="s">
        <v>94</v>
      </c>
      <c r="M346" s="5">
        <v>47600</v>
      </c>
      <c r="N346" s="5">
        <v>7700</v>
      </c>
      <c r="O346" s="5">
        <v>6250</v>
      </c>
      <c r="P346" s="5">
        <v>22500</v>
      </c>
      <c r="Q346" s="5">
        <v>84850</v>
      </c>
      <c r="R346" t="s">
        <v>75</v>
      </c>
      <c r="S346" t="s">
        <v>76</v>
      </c>
      <c r="T346" s="5">
        <v>38480</v>
      </c>
      <c r="U346" s="6"/>
      <c r="V346" t="s">
        <v>77</v>
      </c>
      <c r="W346" s="4">
        <v>46085</v>
      </c>
      <c r="X346" t="s">
        <v>77</v>
      </c>
      <c r="Y346" t="s">
        <v>64</v>
      </c>
      <c r="Z346" t="s">
        <v>436</v>
      </c>
    </row>
    <row r="347" spans="1:26">
      <c r="A347" t="s">
        <v>842</v>
      </c>
      <c r="B347" t="s">
        <v>843</v>
      </c>
      <c r="C347" s="4">
        <v>46118</v>
      </c>
      <c r="D347" t="s">
        <v>284</v>
      </c>
      <c r="E347" t="s">
        <v>70</v>
      </c>
      <c r="F347" s="4">
        <v>46118</v>
      </c>
      <c r="G347" s="4">
        <v>46122</v>
      </c>
      <c r="H347" t="s">
        <v>138</v>
      </c>
      <c r="I347" t="s">
        <v>352</v>
      </c>
      <c r="J347" t="s">
        <v>236</v>
      </c>
      <c r="K347" t="s">
        <v>124</v>
      </c>
      <c r="L347" t="s">
        <v>61</v>
      </c>
      <c r="M347" s="5">
        <v>36800</v>
      </c>
      <c r="N347" s="5">
        <v>6600</v>
      </c>
      <c r="O347" s="5">
        <v>4950</v>
      </c>
      <c r="P347" s="5">
        <v>18000</v>
      </c>
      <c r="Q347" s="5">
        <v>68150</v>
      </c>
      <c r="R347" t="s">
        <v>75</v>
      </c>
      <c r="S347" t="s">
        <v>76</v>
      </c>
      <c r="T347" s="5">
        <v>30970</v>
      </c>
      <c r="U347" s="6">
        <v>5</v>
      </c>
      <c r="V347" t="s">
        <v>77</v>
      </c>
      <c r="W347" s="4">
        <v>46140</v>
      </c>
      <c r="X347" t="s">
        <v>77</v>
      </c>
      <c r="Y347" t="s">
        <v>64</v>
      </c>
      <c r="Z347" t="s">
        <v>78</v>
      </c>
    </row>
    <row r="348" spans="1:26">
      <c r="A348" t="s">
        <v>844</v>
      </c>
      <c r="B348" t="s">
        <v>845</v>
      </c>
      <c r="C348" s="4">
        <v>46161</v>
      </c>
      <c r="D348" t="s">
        <v>330</v>
      </c>
      <c r="E348" t="s">
        <v>70</v>
      </c>
      <c r="F348" s="4">
        <v>46161</v>
      </c>
      <c r="G348" s="4">
        <v>46161</v>
      </c>
      <c r="H348" t="s">
        <v>111</v>
      </c>
      <c r="I348" t="s">
        <v>112</v>
      </c>
      <c r="J348" t="s">
        <v>117</v>
      </c>
      <c r="K348" t="s">
        <v>60</v>
      </c>
      <c r="L348" t="s">
        <v>61</v>
      </c>
      <c r="M348" s="5">
        <v>5800</v>
      </c>
      <c r="N348" s="5">
        <v>550</v>
      </c>
      <c r="O348" s="5">
        <v>1400</v>
      </c>
      <c r="P348" s="5">
        <v>0</v>
      </c>
      <c r="Q348" s="5">
        <v>8550</v>
      </c>
      <c r="R348" t="s">
        <v>85</v>
      </c>
      <c r="S348" t="s">
        <v>76</v>
      </c>
      <c r="T348" s="5">
        <v>3040</v>
      </c>
      <c r="U348" s="6">
        <v>5</v>
      </c>
      <c r="V348" t="s">
        <v>64</v>
      </c>
      <c r="W348" s="4"/>
      <c r="X348" t="s">
        <v>65</v>
      </c>
      <c r="Y348" t="s">
        <v>64</v>
      </c>
      <c r="Z348" t="s">
        <v>78</v>
      </c>
    </row>
    <row r="349" spans="1:26">
      <c r="A349" t="s">
        <v>846</v>
      </c>
      <c r="B349" t="s">
        <v>847</v>
      </c>
      <c r="C349" s="4">
        <v>46150</v>
      </c>
      <c r="D349" t="s">
        <v>149</v>
      </c>
      <c r="E349" t="s">
        <v>70</v>
      </c>
      <c r="F349" s="4">
        <v>46151</v>
      </c>
      <c r="G349" s="4">
        <v>46153</v>
      </c>
      <c r="H349" t="s">
        <v>103</v>
      </c>
      <c r="I349" t="s">
        <v>214</v>
      </c>
      <c r="J349" t="s">
        <v>105</v>
      </c>
      <c r="K349" t="s">
        <v>124</v>
      </c>
      <c r="L349" t="s">
        <v>94</v>
      </c>
      <c r="M349" s="5">
        <v>57200</v>
      </c>
      <c r="N349" s="5">
        <v>7000</v>
      </c>
      <c r="O349" s="5">
        <v>10750</v>
      </c>
      <c r="P349" s="5">
        <v>7000</v>
      </c>
      <c r="Q349" s="5">
        <v>82750</v>
      </c>
      <c r="R349" t="s">
        <v>62</v>
      </c>
      <c r="S349" t="s">
        <v>76</v>
      </c>
      <c r="T349" s="5">
        <v>25230</v>
      </c>
      <c r="U349" s="6">
        <v>3</v>
      </c>
      <c r="V349" t="s">
        <v>64</v>
      </c>
      <c r="W349" s="4"/>
      <c r="X349" t="s">
        <v>65</v>
      </c>
      <c r="Y349" t="s">
        <v>64</v>
      </c>
      <c r="Z349" t="s">
        <v>78</v>
      </c>
    </row>
    <row r="350" spans="1:26">
      <c r="A350" t="s">
        <v>848</v>
      </c>
      <c r="B350" t="s">
        <v>849</v>
      </c>
      <c r="C350" s="4">
        <v>46109</v>
      </c>
      <c r="D350" t="s">
        <v>363</v>
      </c>
      <c r="E350" t="s">
        <v>70</v>
      </c>
      <c r="F350" s="4">
        <v>46109</v>
      </c>
      <c r="G350" s="4">
        <v>46115</v>
      </c>
      <c r="H350" t="s">
        <v>178</v>
      </c>
      <c r="I350" t="s">
        <v>415</v>
      </c>
      <c r="J350" t="s">
        <v>340</v>
      </c>
      <c r="K350" t="s">
        <v>73</v>
      </c>
      <c r="L350" t="s">
        <v>94</v>
      </c>
      <c r="M350" s="5">
        <v>75300</v>
      </c>
      <c r="N350" s="5">
        <v>11100</v>
      </c>
      <c r="O350" s="5">
        <v>7850</v>
      </c>
      <c r="P350" s="5">
        <v>36000</v>
      </c>
      <c r="Q350" s="5">
        <v>131050</v>
      </c>
      <c r="R350" t="s">
        <v>141</v>
      </c>
      <c r="S350" t="s">
        <v>76</v>
      </c>
      <c r="T350" s="5">
        <v>20860</v>
      </c>
      <c r="U350" s="6">
        <v>5</v>
      </c>
      <c r="V350" t="s">
        <v>77</v>
      </c>
      <c r="W350" s="4">
        <v>46133</v>
      </c>
      <c r="X350" t="s">
        <v>77</v>
      </c>
      <c r="Y350" t="s">
        <v>64</v>
      </c>
      <c r="Z350" t="s">
        <v>96</v>
      </c>
    </row>
    <row r="351" spans="1:26">
      <c r="A351" t="s">
        <v>850</v>
      </c>
      <c r="B351" t="s">
        <v>851</v>
      </c>
      <c r="C351" s="4">
        <v>46033</v>
      </c>
      <c r="D351" t="s">
        <v>200</v>
      </c>
      <c r="E351" t="s">
        <v>70</v>
      </c>
      <c r="F351" s="4">
        <v>46033</v>
      </c>
      <c r="G351" s="4">
        <v>46036</v>
      </c>
      <c r="H351" t="s">
        <v>111</v>
      </c>
      <c r="I351" t="s">
        <v>112</v>
      </c>
      <c r="J351" t="s">
        <v>113</v>
      </c>
      <c r="K351" t="s">
        <v>73</v>
      </c>
      <c r="L351" t="s">
        <v>146</v>
      </c>
      <c r="M351" s="5">
        <v>18500</v>
      </c>
      <c r="N351" s="5">
        <v>2400</v>
      </c>
      <c r="O351" s="5">
        <v>1850</v>
      </c>
      <c r="P351" s="5">
        <v>9000</v>
      </c>
      <c r="Q351" s="5">
        <v>32550</v>
      </c>
      <c r="R351" t="s">
        <v>95</v>
      </c>
      <c r="S351" t="s">
        <v>63</v>
      </c>
      <c r="T351" s="5">
        <v>32550</v>
      </c>
      <c r="U351" s="6">
        <v>5</v>
      </c>
      <c r="V351" t="s">
        <v>77</v>
      </c>
      <c r="W351" s="4">
        <v>46045</v>
      </c>
      <c r="X351" t="s">
        <v>77</v>
      </c>
      <c r="Y351" t="s">
        <v>64</v>
      </c>
      <c r="Z351" t="s">
        <v>96</v>
      </c>
    </row>
    <row r="352" spans="1:26">
      <c r="A352" t="s">
        <v>852</v>
      </c>
      <c r="B352" t="s">
        <v>700</v>
      </c>
      <c r="C352" s="4">
        <v>46167</v>
      </c>
      <c r="D352" t="s">
        <v>234</v>
      </c>
      <c r="E352" t="s">
        <v>70</v>
      </c>
      <c r="F352" s="4">
        <v>46167</v>
      </c>
      <c r="G352" s="4">
        <v>46170</v>
      </c>
      <c r="H352" t="s">
        <v>121</v>
      </c>
      <c r="I352" t="s">
        <v>334</v>
      </c>
      <c r="J352" t="s">
        <v>123</v>
      </c>
      <c r="K352" t="s">
        <v>124</v>
      </c>
      <c r="L352" t="s">
        <v>74</v>
      </c>
      <c r="M352" s="5">
        <v>32900</v>
      </c>
      <c r="N352" s="5">
        <v>4450</v>
      </c>
      <c r="O352" s="5">
        <v>5350</v>
      </c>
      <c r="P352" s="5">
        <v>7500</v>
      </c>
      <c r="Q352" s="5">
        <v>51200</v>
      </c>
      <c r="R352" t="s">
        <v>75</v>
      </c>
      <c r="S352" t="s">
        <v>86</v>
      </c>
      <c r="T352" s="5">
        <v>23340</v>
      </c>
      <c r="U352" s="6">
        <v>5</v>
      </c>
      <c r="V352" t="s">
        <v>77</v>
      </c>
      <c r="W352" s="4">
        <v>46184</v>
      </c>
      <c r="X352" t="s">
        <v>77</v>
      </c>
      <c r="Y352" t="s">
        <v>64</v>
      </c>
      <c r="Z352" t="s">
        <v>96</v>
      </c>
    </row>
    <row r="353" spans="1:26">
      <c r="A353" t="s">
        <v>853</v>
      </c>
      <c r="B353" t="s">
        <v>854</v>
      </c>
      <c r="C353" s="4">
        <v>46145</v>
      </c>
      <c r="D353" t="s">
        <v>330</v>
      </c>
      <c r="E353" t="s">
        <v>70</v>
      </c>
      <c r="F353" s="4">
        <v>46145</v>
      </c>
      <c r="G353" s="4">
        <v>46145</v>
      </c>
      <c r="H353" t="s">
        <v>121</v>
      </c>
      <c r="I353" t="s">
        <v>251</v>
      </c>
      <c r="J353" t="s">
        <v>123</v>
      </c>
      <c r="K353" t="s">
        <v>60</v>
      </c>
      <c r="L353" t="s">
        <v>61</v>
      </c>
      <c r="M353" s="5">
        <v>45000</v>
      </c>
      <c r="N353" s="5">
        <v>5250</v>
      </c>
      <c r="O353" s="5">
        <v>7950</v>
      </c>
      <c r="P353" s="5">
        <v>0</v>
      </c>
      <c r="Q353" s="5">
        <v>60200</v>
      </c>
      <c r="R353" t="s">
        <v>75</v>
      </c>
      <c r="S353" t="s">
        <v>76</v>
      </c>
      <c r="T353" s="5">
        <v>27390</v>
      </c>
      <c r="U353" s="6">
        <v>4</v>
      </c>
      <c r="V353" t="s">
        <v>77</v>
      </c>
      <c r="W353" s="4">
        <v>46160</v>
      </c>
      <c r="X353" t="s">
        <v>77</v>
      </c>
      <c r="Y353" t="s">
        <v>64</v>
      </c>
      <c r="Z353" t="s">
        <v>96</v>
      </c>
    </row>
    <row r="354" spans="1:26">
      <c r="A354" t="s">
        <v>855</v>
      </c>
      <c r="B354" t="s">
        <v>856</v>
      </c>
      <c r="C354" s="4">
        <v>46067</v>
      </c>
      <c r="D354" t="s">
        <v>439</v>
      </c>
      <c r="E354" t="s">
        <v>70</v>
      </c>
      <c r="F354" s="4">
        <v>46067</v>
      </c>
      <c r="G354" s="4">
        <v>46067</v>
      </c>
      <c r="H354" t="s">
        <v>111</v>
      </c>
      <c r="I354" t="s">
        <v>267</v>
      </c>
      <c r="J354" t="s">
        <v>384</v>
      </c>
      <c r="K354" t="s">
        <v>60</v>
      </c>
      <c r="L354" t="s">
        <v>74</v>
      </c>
      <c r="M354" s="5">
        <v>69200</v>
      </c>
      <c r="N354" s="5">
        <v>11350</v>
      </c>
      <c r="O354" s="5">
        <v>10650</v>
      </c>
      <c r="P354" s="5">
        <v>0</v>
      </c>
      <c r="Q354" s="5">
        <v>92400</v>
      </c>
      <c r="R354" t="s">
        <v>75</v>
      </c>
      <c r="S354" t="s">
        <v>76</v>
      </c>
      <c r="T354" s="5">
        <v>41880</v>
      </c>
      <c r="U354" s="6"/>
      <c r="V354" t="s">
        <v>77</v>
      </c>
      <c r="W354" s="4">
        <v>46080</v>
      </c>
      <c r="X354" t="s">
        <v>77</v>
      </c>
      <c r="Y354" t="s">
        <v>64</v>
      </c>
      <c r="Z354" t="s">
        <v>78</v>
      </c>
    </row>
    <row r="355" spans="1:26">
      <c r="A355" t="s">
        <v>857</v>
      </c>
      <c r="B355" t="s">
        <v>858</v>
      </c>
      <c r="C355" s="4">
        <v>46145</v>
      </c>
      <c r="D355" t="s">
        <v>242</v>
      </c>
      <c r="E355" t="s">
        <v>70</v>
      </c>
      <c r="F355" s="4">
        <v>46145</v>
      </c>
      <c r="G355" s="4">
        <v>46147</v>
      </c>
      <c r="H355" t="s">
        <v>57</v>
      </c>
      <c r="I355" t="s">
        <v>71</v>
      </c>
      <c r="J355" t="s">
        <v>72</v>
      </c>
      <c r="K355" t="s">
        <v>124</v>
      </c>
      <c r="L355" t="s">
        <v>61</v>
      </c>
      <c r="M355" s="5">
        <v>7600</v>
      </c>
      <c r="N355" s="5">
        <v>650</v>
      </c>
      <c r="O355" s="5">
        <v>1450</v>
      </c>
      <c r="P355" s="5">
        <v>9000</v>
      </c>
      <c r="Q355" s="5">
        <v>20500</v>
      </c>
      <c r="R355" t="s">
        <v>75</v>
      </c>
      <c r="S355" t="s">
        <v>76</v>
      </c>
      <c r="T355" s="5">
        <v>9520</v>
      </c>
      <c r="U355" s="6">
        <v>3</v>
      </c>
      <c r="V355" t="s">
        <v>64</v>
      </c>
      <c r="W355" s="4"/>
      <c r="X355" t="s">
        <v>65</v>
      </c>
      <c r="Y355" t="s">
        <v>64</v>
      </c>
      <c r="Z355" t="s">
        <v>96</v>
      </c>
    </row>
    <row r="356" spans="1:26">
      <c r="A356" t="s">
        <v>859</v>
      </c>
      <c r="B356" t="s">
        <v>860</v>
      </c>
      <c r="C356" s="4">
        <v>46106</v>
      </c>
      <c r="D356" t="s">
        <v>55</v>
      </c>
      <c r="E356" t="s">
        <v>70</v>
      </c>
      <c r="F356" s="4">
        <v>46106</v>
      </c>
      <c r="G356" s="4">
        <v>46106</v>
      </c>
      <c r="H356" t="s">
        <v>150</v>
      </c>
      <c r="I356" t="s">
        <v>239</v>
      </c>
      <c r="J356" t="s">
        <v>188</v>
      </c>
      <c r="K356" t="s">
        <v>60</v>
      </c>
      <c r="L356" t="s">
        <v>94</v>
      </c>
      <c r="M356" s="5">
        <v>84500</v>
      </c>
      <c r="N356" s="5">
        <v>12100</v>
      </c>
      <c r="O356" s="5">
        <v>11650</v>
      </c>
      <c r="P356" s="5">
        <v>0</v>
      </c>
      <c r="Q356" s="5">
        <v>110050</v>
      </c>
      <c r="R356" t="s">
        <v>106</v>
      </c>
      <c r="S356" t="s">
        <v>76</v>
      </c>
      <c r="T356" s="5">
        <v>39220</v>
      </c>
      <c r="U356" s="6">
        <v>5</v>
      </c>
      <c r="V356" t="s">
        <v>77</v>
      </c>
      <c r="W356" s="4">
        <v>46121</v>
      </c>
      <c r="X356" t="s">
        <v>77</v>
      </c>
      <c r="Y356" t="s">
        <v>64</v>
      </c>
      <c r="Z356" t="s">
        <v>78</v>
      </c>
    </row>
    <row r="357" spans="1:26">
      <c r="A357" t="s">
        <v>861</v>
      </c>
      <c r="B357" t="s">
        <v>373</v>
      </c>
      <c r="C357" s="4">
        <v>46090</v>
      </c>
      <c r="D357" t="s">
        <v>242</v>
      </c>
      <c r="E357" t="s">
        <v>70</v>
      </c>
      <c r="F357" s="4">
        <v>46090</v>
      </c>
      <c r="G357" s="4">
        <v>46090</v>
      </c>
      <c r="H357" t="s">
        <v>57</v>
      </c>
      <c r="I357" t="s">
        <v>184</v>
      </c>
      <c r="J357" t="s">
        <v>59</v>
      </c>
      <c r="K357" t="s">
        <v>60</v>
      </c>
      <c r="L357" t="s">
        <v>94</v>
      </c>
      <c r="M357" s="5">
        <v>38200</v>
      </c>
      <c r="N357" s="5">
        <v>5700</v>
      </c>
      <c r="O357" s="5">
        <v>7900</v>
      </c>
      <c r="P357" s="5">
        <v>0</v>
      </c>
      <c r="Q357" s="5">
        <v>53000</v>
      </c>
      <c r="R357" t="s">
        <v>85</v>
      </c>
      <c r="S357" t="s">
        <v>76</v>
      </c>
      <c r="T357" s="5">
        <v>14150</v>
      </c>
      <c r="U357" s="6">
        <v>5</v>
      </c>
      <c r="V357" t="s">
        <v>77</v>
      </c>
      <c r="W357" s="4">
        <v>46105</v>
      </c>
      <c r="X357" t="s">
        <v>77</v>
      </c>
      <c r="Y357" t="s">
        <v>64</v>
      </c>
      <c r="Z357" t="s">
        <v>96</v>
      </c>
    </row>
    <row r="358" spans="1:26">
      <c r="A358" t="s">
        <v>862</v>
      </c>
      <c r="B358" t="s">
        <v>863</v>
      </c>
      <c r="C358" s="4">
        <v>46146</v>
      </c>
      <c r="D358" t="s">
        <v>55</v>
      </c>
      <c r="E358" t="s">
        <v>70</v>
      </c>
      <c r="F358" s="4">
        <v>46147</v>
      </c>
      <c r="G358" s="4">
        <v>46154</v>
      </c>
      <c r="H358" t="s">
        <v>178</v>
      </c>
      <c r="I358" t="s">
        <v>622</v>
      </c>
      <c r="J358" t="s">
        <v>180</v>
      </c>
      <c r="K358" t="s">
        <v>73</v>
      </c>
      <c r="L358" t="s">
        <v>61</v>
      </c>
      <c r="M358" s="5">
        <v>76400</v>
      </c>
      <c r="N358" s="5">
        <v>8050</v>
      </c>
      <c r="O358" s="5">
        <v>13300</v>
      </c>
      <c r="P358" s="5">
        <v>42000</v>
      </c>
      <c r="Q358" s="5">
        <v>141250</v>
      </c>
      <c r="R358" t="s">
        <v>85</v>
      </c>
      <c r="S358" t="s">
        <v>76</v>
      </c>
      <c r="T358" s="5">
        <v>36210</v>
      </c>
      <c r="U358" s="6">
        <v>3</v>
      </c>
      <c r="V358" t="s">
        <v>77</v>
      </c>
      <c r="W358" s="4">
        <v>46164</v>
      </c>
      <c r="X358" t="s">
        <v>77</v>
      </c>
      <c r="Y358" t="s">
        <v>64</v>
      </c>
      <c r="Z358" t="s">
        <v>78</v>
      </c>
    </row>
    <row r="359" spans="1:26">
      <c r="A359" t="s">
        <v>864</v>
      </c>
      <c r="B359" t="s">
        <v>317</v>
      </c>
      <c r="C359" s="4">
        <v>46033</v>
      </c>
      <c r="D359" t="s">
        <v>294</v>
      </c>
      <c r="E359" t="s">
        <v>70</v>
      </c>
      <c r="F359" s="4">
        <v>46033</v>
      </c>
      <c r="G359" s="4">
        <v>46034</v>
      </c>
      <c r="H359" t="s">
        <v>57</v>
      </c>
      <c r="I359" t="s">
        <v>100</v>
      </c>
      <c r="J359" t="s">
        <v>170</v>
      </c>
      <c r="K359" t="s">
        <v>73</v>
      </c>
      <c r="L359" t="s">
        <v>61</v>
      </c>
      <c r="M359" s="5">
        <v>65600</v>
      </c>
      <c r="N359" s="5">
        <v>6600</v>
      </c>
      <c r="O359" s="5">
        <v>15350</v>
      </c>
      <c r="P359" s="5">
        <v>6000</v>
      </c>
      <c r="Q359" s="5">
        <v>95550</v>
      </c>
      <c r="R359" t="s">
        <v>75</v>
      </c>
      <c r="S359" t="s">
        <v>76</v>
      </c>
      <c r="T359" s="5">
        <v>43300</v>
      </c>
      <c r="U359" s="6">
        <v>4</v>
      </c>
      <c r="V359" t="s">
        <v>64</v>
      </c>
      <c r="W359" s="4"/>
      <c r="X359" t="s">
        <v>65</v>
      </c>
      <c r="Y359" t="s">
        <v>64</v>
      </c>
      <c r="Z359" t="s">
        <v>78</v>
      </c>
    </row>
    <row r="360" spans="1:26">
      <c r="A360" t="s">
        <v>865</v>
      </c>
      <c r="B360" t="s">
        <v>866</v>
      </c>
      <c r="C360" s="4">
        <v>46172</v>
      </c>
      <c r="D360" t="s">
        <v>302</v>
      </c>
      <c r="E360" t="s">
        <v>70</v>
      </c>
      <c r="F360" s="4">
        <v>46172</v>
      </c>
      <c r="G360" s="4">
        <v>46176</v>
      </c>
      <c r="H360" t="s">
        <v>121</v>
      </c>
      <c r="I360" t="s">
        <v>665</v>
      </c>
      <c r="J360" t="s">
        <v>123</v>
      </c>
      <c r="K360" t="s">
        <v>93</v>
      </c>
      <c r="L360" t="s">
        <v>74</v>
      </c>
      <c r="M360" s="5">
        <v>46200</v>
      </c>
      <c r="N360" s="5">
        <v>4950</v>
      </c>
      <c r="O360" s="5">
        <v>8000</v>
      </c>
      <c r="P360" s="5">
        <v>10000</v>
      </c>
      <c r="Q360" s="5">
        <v>70150</v>
      </c>
      <c r="R360" t="s">
        <v>106</v>
      </c>
      <c r="S360" t="s">
        <v>76</v>
      </c>
      <c r="T360" s="5">
        <v>25250</v>
      </c>
      <c r="U360" s="6">
        <v>4</v>
      </c>
      <c r="V360" t="s">
        <v>77</v>
      </c>
      <c r="W360" s="4">
        <v>46192</v>
      </c>
      <c r="X360" t="s">
        <v>77</v>
      </c>
      <c r="Y360" t="s">
        <v>64</v>
      </c>
      <c r="Z360" t="s">
        <v>96</v>
      </c>
    </row>
    <row r="361" spans="1:26">
      <c r="A361" t="s">
        <v>867</v>
      </c>
      <c r="B361" t="s">
        <v>176</v>
      </c>
      <c r="C361" s="4">
        <v>46048</v>
      </c>
      <c r="D361" t="s">
        <v>137</v>
      </c>
      <c r="E361" t="s">
        <v>70</v>
      </c>
      <c r="F361" s="4">
        <v>46049</v>
      </c>
      <c r="G361" s="4">
        <v>46051</v>
      </c>
      <c r="H361" t="s">
        <v>138</v>
      </c>
      <c r="I361" t="s">
        <v>260</v>
      </c>
      <c r="J361" t="s">
        <v>140</v>
      </c>
      <c r="K361" t="s">
        <v>73</v>
      </c>
      <c r="L361" t="s">
        <v>94</v>
      </c>
      <c r="M361" s="5">
        <v>17700</v>
      </c>
      <c r="N361" s="5">
        <v>2750</v>
      </c>
      <c r="O361" s="5">
        <v>1850</v>
      </c>
      <c r="P361" s="5">
        <v>7000</v>
      </c>
      <c r="Q361" s="5">
        <v>31800</v>
      </c>
      <c r="R361" t="s">
        <v>75</v>
      </c>
      <c r="S361" t="s">
        <v>76</v>
      </c>
      <c r="T361" s="5">
        <v>14610</v>
      </c>
      <c r="U361" s="6">
        <v>4</v>
      </c>
      <c r="V361" t="s">
        <v>64</v>
      </c>
      <c r="W361" s="4"/>
      <c r="X361" t="s">
        <v>65</v>
      </c>
      <c r="Y361" t="s">
        <v>64</v>
      </c>
      <c r="Z361" t="s">
        <v>78</v>
      </c>
    </row>
    <row r="362" spans="1:26">
      <c r="A362" t="s">
        <v>868</v>
      </c>
      <c r="B362" t="s">
        <v>474</v>
      </c>
      <c r="C362" s="4">
        <v>46119</v>
      </c>
      <c r="D362" t="s">
        <v>110</v>
      </c>
      <c r="E362" t="s">
        <v>70</v>
      </c>
      <c r="F362" s="4">
        <v>46119</v>
      </c>
      <c r="G362" s="4">
        <v>46119</v>
      </c>
      <c r="H362" t="s">
        <v>82</v>
      </c>
      <c r="I362" t="s">
        <v>194</v>
      </c>
      <c r="J362" t="s">
        <v>291</v>
      </c>
      <c r="K362" t="s">
        <v>60</v>
      </c>
      <c r="L362" t="s">
        <v>74</v>
      </c>
      <c r="M362" s="5">
        <v>47400</v>
      </c>
      <c r="N362" s="5">
        <v>8350</v>
      </c>
      <c r="O362" s="5">
        <v>9600</v>
      </c>
      <c r="P362" s="5">
        <v>0</v>
      </c>
      <c r="Q362" s="5">
        <v>67150</v>
      </c>
      <c r="R362" t="s">
        <v>85</v>
      </c>
      <c r="S362" t="s">
        <v>76</v>
      </c>
      <c r="T362" s="5">
        <v>17690</v>
      </c>
      <c r="U362" s="6">
        <v>3</v>
      </c>
      <c r="V362" t="s">
        <v>77</v>
      </c>
      <c r="W362" s="4">
        <v>46137</v>
      </c>
      <c r="X362" t="s">
        <v>64</v>
      </c>
      <c r="Y362" t="s">
        <v>64</v>
      </c>
      <c r="Z362" t="s">
        <v>96</v>
      </c>
    </row>
    <row r="363" spans="1:26">
      <c r="A363" t="s">
        <v>869</v>
      </c>
      <c r="B363" t="s">
        <v>870</v>
      </c>
      <c r="C363" s="4">
        <v>46091</v>
      </c>
      <c r="D363" t="s">
        <v>149</v>
      </c>
      <c r="E363" t="s">
        <v>70</v>
      </c>
      <c r="F363" s="4">
        <v>46091</v>
      </c>
      <c r="G363" s="4">
        <v>46091</v>
      </c>
      <c r="H363" t="s">
        <v>178</v>
      </c>
      <c r="I363" t="s">
        <v>462</v>
      </c>
      <c r="J363" t="s">
        <v>358</v>
      </c>
      <c r="K363" t="s">
        <v>73</v>
      </c>
      <c r="L363" t="s">
        <v>94</v>
      </c>
      <c r="M363" s="5">
        <v>64100</v>
      </c>
      <c r="N363" s="5">
        <v>11400</v>
      </c>
      <c r="O363" s="5">
        <v>9900</v>
      </c>
      <c r="P363" s="5">
        <v>0</v>
      </c>
      <c r="Q363" s="5">
        <v>87900</v>
      </c>
      <c r="R363" t="s">
        <v>95</v>
      </c>
      <c r="S363" t="s">
        <v>63</v>
      </c>
      <c r="T363" s="5">
        <v>87900</v>
      </c>
      <c r="U363" s="6">
        <v>5</v>
      </c>
      <c r="V363" t="s">
        <v>77</v>
      </c>
      <c r="W363" s="4">
        <v>46112</v>
      </c>
      <c r="X363" t="s">
        <v>77</v>
      </c>
      <c r="Y363" t="s">
        <v>64</v>
      </c>
      <c r="Z363" t="s">
        <v>96</v>
      </c>
    </row>
    <row r="364" spans="1:26">
      <c r="A364" t="s">
        <v>871</v>
      </c>
      <c r="B364" t="s">
        <v>872</v>
      </c>
      <c r="C364" s="4">
        <v>46081</v>
      </c>
      <c r="D364" t="s">
        <v>250</v>
      </c>
      <c r="E364" t="s">
        <v>70</v>
      </c>
      <c r="F364" s="4">
        <v>46081</v>
      </c>
      <c r="G364" s="4">
        <v>46082</v>
      </c>
      <c r="H364" t="s">
        <v>121</v>
      </c>
      <c r="I364" t="s">
        <v>334</v>
      </c>
      <c r="J364" t="s">
        <v>256</v>
      </c>
      <c r="K364" t="s">
        <v>60</v>
      </c>
      <c r="L364" t="s">
        <v>94</v>
      </c>
      <c r="M364" s="5">
        <v>21600</v>
      </c>
      <c r="N364" s="5">
        <v>3350</v>
      </c>
      <c r="O364" s="5">
        <v>3100</v>
      </c>
      <c r="P364" s="5">
        <v>4500</v>
      </c>
      <c r="Q364" s="5">
        <v>33550</v>
      </c>
      <c r="R364" t="s">
        <v>62</v>
      </c>
      <c r="S364" t="s">
        <v>86</v>
      </c>
      <c r="T364" s="5">
        <v>10470</v>
      </c>
      <c r="U364" s="6">
        <v>2</v>
      </c>
      <c r="V364" t="s">
        <v>77</v>
      </c>
      <c r="W364" s="4">
        <v>46101</v>
      </c>
      <c r="X364" t="s">
        <v>64</v>
      </c>
      <c r="Y364" t="s">
        <v>64</v>
      </c>
      <c r="Z364" t="s">
        <v>96</v>
      </c>
    </row>
    <row r="365" spans="1:26">
      <c r="A365" t="s">
        <v>873</v>
      </c>
      <c r="B365" t="s">
        <v>874</v>
      </c>
      <c r="C365" s="4">
        <v>46068</v>
      </c>
      <c r="D365" t="s">
        <v>298</v>
      </c>
      <c r="E365" t="s">
        <v>70</v>
      </c>
      <c r="F365" s="4">
        <v>46068</v>
      </c>
      <c r="G365" s="4">
        <v>46068</v>
      </c>
      <c r="H365" t="s">
        <v>138</v>
      </c>
      <c r="I365" t="s">
        <v>352</v>
      </c>
      <c r="J365" t="s">
        <v>261</v>
      </c>
      <c r="K365" t="s">
        <v>60</v>
      </c>
      <c r="L365" t="s">
        <v>94</v>
      </c>
      <c r="M365" s="5">
        <v>4200</v>
      </c>
      <c r="N365" s="5">
        <v>550</v>
      </c>
      <c r="O365" s="5">
        <v>450</v>
      </c>
      <c r="P365" s="5">
        <v>0</v>
      </c>
      <c r="Q365" s="5">
        <v>7000</v>
      </c>
      <c r="R365" t="s">
        <v>75</v>
      </c>
      <c r="S365" t="s">
        <v>76</v>
      </c>
      <c r="T365" s="5">
        <v>3450</v>
      </c>
      <c r="U365" s="6">
        <v>5</v>
      </c>
      <c r="V365" t="s">
        <v>77</v>
      </c>
      <c r="W365" s="4">
        <v>46077</v>
      </c>
      <c r="X365" t="s">
        <v>77</v>
      </c>
      <c r="Y365" t="s">
        <v>64</v>
      </c>
      <c r="Z365" t="s">
        <v>96</v>
      </c>
    </row>
    <row r="366" spans="1:26">
      <c r="A366" t="s">
        <v>875</v>
      </c>
      <c r="B366" t="s">
        <v>427</v>
      </c>
      <c r="C366" s="4">
        <v>46033</v>
      </c>
      <c r="D366" t="s">
        <v>137</v>
      </c>
      <c r="E366" t="s">
        <v>70</v>
      </c>
      <c r="F366" s="4">
        <v>46034</v>
      </c>
      <c r="G366" s="4">
        <v>46034</v>
      </c>
      <c r="H366" t="s">
        <v>82</v>
      </c>
      <c r="I366" t="s">
        <v>83</v>
      </c>
      <c r="J366" t="s">
        <v>291</v>
      </c>
      <c r="K366" t="s">
        <v>60</v>
      </c>
      <c r="L366" t="s">
        <v>74</v>
      </c>
      <c r="M366" s="5">
        <v>37700</v>
      </c>
      <c r="N366" s="5">
        <v>5000</v>
      </c>
      <c r="O366" s="5">
        <v>9200</v>
      </c>
      <c r="P366" s="5">
        <v>0</v>
      </c>
      <c r="Q366" s="5">
        <v>53700</v>
      </c>
      <c r="R366" t="s">
        <v>62</v>
      </c>
      <c r="S366" t="s">
        <v>76</v>
      </c>
      <c r="T366" s="5">
        <v>16510</v>
      </c>
      <c r="U366" s="6">
        <v>5</v>
      </c>
      <c r="V366" t="s">
        <v>64</v>
      </c>
      <c r="W366" s="4"/>
      <c r="X366" t="s">
        <v>65</v>
      </c>
      <c r="Y366" t="s">
        <v>64</v>
      </c>
      <c r="Z366" t="s">
        <v>78</v>
      </c>
    </row>
    <row r="367" spans="1:26">
      <c r="A367" t="s">
        <v>876</v>
      </c>
      <c r="B367" t="s">
        <v>664</v>
      </c>
      <c r="C367" s="4">
        <v>46117</v>
      </c>
      <c r="D367" t="s">
        <v>206</v>
      </c>
      <c r="E367" t="s">
        <v>70</v>
      </c>
      <c r="F367" s="4">
        <v>46117</v>
      </c>
      <c r="G367" s="4">
        <v>46117</v>
      </c>
      <c r="H367" t="s">
        <v>121</v>
      </c>
      <c r="I367" t="s">
        <v>665</v>
      </c>
      <c r="J367" t="s">
        <v>252</v>
      </c>
      <c r="K367" t="s">
        <v>60</v>
      </c>
      <c r="L367" t="s">
        <v>74</v>
      </c>
      <c r="M367" s="5">
        <v>46800</v>
      </c>
      <c r="N367" s="5">
        <v>5800</v>
      </c>
      <c r="O367" s="5">
        <v>9150</v>
      </c>
      <c r="P367" s="5">
        <v>0</v>
      </c>
      <c r="Q367" s="5">
        <v>62750</v>
      </c>
      <c r="R367" t="s">
        <v>75</v>
      </c>
      <c r="S367" t="s">
        <v>86</v>
      </c>
      <c r="T367" s="5">
        <v>28540</v>
      </c>
      <c r="U367" s="6">
        <v>5</v>
      </c>
      <c r="V367" t="s">
        <v>64</v>
      </c>
      <c r="W367" s="4"/>
      <c r="X367" t="s">
        <v>65</v>
      </c>
      <c r="Y367" t="s">
        <v>64</v>
      </c>
      <c r="Z367" t="s">
        <v>96</v>
      </c>
    </row>
    <row r="368" spans="1:26">
      <c r="A368" t="s">
        <v>877</v>
      </c>
      <c r="B368" t="s">
        <v>878</v>
      </c>
      <c r="C368" s="4">
        <v>46118</v>
      </c>
      <c r="D368" t="s">
        <v>363</v>
      </c>
      <c r="E368" t="s">
        <v>70</v>
      </c>
      <c r="F368" s="4">
        <v>46118</v>
      </c>
      <c r="G368" s="4">
        <v>46123</v>
      </c>
      <c r="H368" t="s">
        <v>138</v>
      </c>
      <c r="I368" t="s">
        <v>235</v>
      </c>
      <c r="J368" t="s">
        <v>140</v>
      </c>
      <c r="K368" t="s">
        <v>93</v>
      </c>
      <c r="L368" t="s">
        <v>61</v>
      </c>
      <c r="M368" s="5">
        <v>15200</v>
      </c>
      <c r="N368" s="5">
        <v>1300</v>
      </c>
      <c r="O368" s="5">
        <v>2600</v>
      </c>
      <c r="P368" s="5">
        <v>22500</v>
      </c>
      <c r="Q368" s="5">
        <v>42600</v>
      </c>
      <c r="R368" t="s">
        <v>62</v>
      </c>
      <c r="S368" t="s">
        <v>86</v>
      </c>
      <c r="T368" s="5">
        <v>13180</v>
      </c>
      <c r="U368" s="6">
        <v>3</v>
      </c>
      <c r="V368" t="s">
        <v>77</v>
      </c>
      <c r="W368" s="4">
        <v>46134</v>
      </c>
      <c r="X368" t="s">
        <v>77</v>
      </c>
      <c r="Y368" t="s">
        <v>64</v>
      </c>
      <c r="Z368" t="s">
        <v>219</v>
      </c>
    </row>
    <row r="369" spans="1:26">
      <c r="A369" t="s">
        <v>879</v>
      </c>
      <c r="B369" t="s">
        <v>409</v>
      </c>
      <c r="C369" s="4">
        <v>46025</v>
      </c>
      <c r="D369" t="s">
        <v>330</v>
      </c>
      <c r="E369" t="s">
        <v>70</v>
      </c>
      <c r="F369" s="4">
        <v>46025</v>
      </c>
      <c r="G369" s="4">
        <v>46027</v>
      </c>
      <c r="H369" t="s">
        <v>201</v>
      </c>
      <c r="I369" t="s">
        <v>449</v>
      </c>
      <c r="J369" t="s">
        <v>203</v>
      </c>
      <c r="K369" t="s">
        <v>124</v>
      </c>
      <c r="L369" t="s">
        <v>74</v>
      </c>
      <c r="M369" s="5">
        <v>37300</v>
      </c>
      <c r="N369" s="5">
        <v>5250</v>
      </c>
      <c r="O369" s="5">
        <v>5650</v>
      </c>
      <c r="P369" s="5">
        <v>7000</v>
      </c>
      <c r="Q369" s="5">
        <v>56000</v>
      </c>
      <c r="R369" t="s">
        <v>106</v>
      </c>
      <c r="S369" t="s">
        <v>76</v>
      </c>
      <c r="T369" s="5">
        <v>20300</v>
      </c>
      <c r="U369" s="6">
        <v>3</v>
      </c>
      <c r="V369" t="s">
        <v>77</v>
      </c>
      <c r="W369" s="4">
        <v>46035</v>
      </c>
      <c r="X369" t="s">
        <v>64</v>
      </c>
      <c r="Y369" t="s">
        <v>64</v>
      </c>
      <c r="Z369" t="s">
        <v>96</v>
      </c>
    </row>
    <row r="370" spans="1:26">
      <c r="A370" t="s">
        <v>880</v>
      </c>
      <c r="B370" t="s">
        <v>881</v>
      </c>
      <c r="C370" s="4">
        <v>46119</v>
      </c>
      <c r="D370" t="s">
        <v>89</v>
      </c>
      <c r="E370" t="s">
        <v>70</v>
      </c>
      <c r="F370" s="4">
        <v>46119</v>
      </c>
      <c r="G370" s="4">
        <v>46122</v>
      </c>
      <c r="H370" t="s">
        <v>201</v>
      </c>
      <c r="J370" t="s">
        <v>281</v>
      </c>
      <c r="K370" t="s">
        <v>124</v>
      </c>
      <c r="L370" t="s">
        <v>94</v>
      </c>
      <c r="M370" s="5">
        <v>8200</v>
      </c>
      <c r="N370" s="5">
        <v>700</v>
      </c>
      <c r="O370" s="5">
        <v>1200</v>
      </c>
      <c r="P370" s="5">
        <v>9000</v>
      </c>
      <c r="Q370" s="5">
        <v>19900</v>
      </c>
      <c r="R370" t="s">
        <v>75</v>
      </c>
      <c r="S370" t="s">
        <v>76</v>
      </c>
      <c r="T370" s="5">
        <v>9260</v>
      </c>
      <c r="U370" s="6">
        <v>4</v>
      </c>
      <c r="V370" t="s">
        <v>77</v>
      </c>
      <c r="W370" s="4">
        <v>46142</v>
      </c>
      <c r="X370" t="s">
        <v>64</v>
      </c>
      <c r="Y370" t="s">
        <v>64</v>
      </c>
      <c r="Z370" t="s">
        <v>107</v>
      </c>
    </row>
    <row r="371" spans="1:26">
      <c r="A371" t="s">
        <v>882</v>
      </c>
      <c r="B371" t="s">
        <v>883</v>
      </c>
      <c r="C371" s="4">
        <v>46079</v>
      </c>
      <c r="D371" t="s">
        <v>307</v>
      </c>
      <c r="E371" t="s">
        <v>56</v>
      </c>
      <c r="F371" s="4"/>
      <c r="G371" s="4"/>
      <c r="H371" t="s">
        <v>103</v>
      </c>
      <c r="I371" t="s">
        <v>214</v>
      </c>
      <c r="J371" t="s">
        <v>105</v>
      </c>
      <c r="K371" t="s">
        <v>60</v>
      </c>
      <c r="L371" t="s">
        <v>74</v>
      </c>
      <c r="M371" s="5"/>
      <c r="N371" s="5"/>
      <c r="O371" s="5"/>
      <c r="P371" s="5"/>
      <c r="Q371" s="5"/>
      <c r="R371" t="s">
        <v>141</v>
      </c>
      <c r="S371" t="s">
        <v>63</v>
      </c>
      <c r="T371" s="5"/>
      <c r="U371" s="6"/>
      <c r="V371" t="s">
        <v>64</v>
      </c>
      <c r="W371" s="4"/>
      <c r="X371" t="s">
        <v>65</v>
      </c>
      <c r="Z371" t="s">
        <v>66</v>
      </c>
    </row>
    <row r="372" spans="1:26">
      <c r="A372" t="s">
        <v>884</v>
      </c>
      <c r="B372" t="s">
        <v>474</v>
      </c>
      <c r="C372" s="4">
        <v>46170</v>
      </c>
      <c r="D372" t="s">
        <v>337</v>
      </c>
      <c r="E372" t="s">
        <v>70</v>
      </c>
      <c r="F372" s="4">
        <v>46170</v>
      </c>
      <c r="G372" s="4">
        <v>46171</v>
      </c>
      <c r="H372" t="s">
        <v>150</v>
      </c>
      <c r="I372" t="s">
        <v>187</v>
      </c>
      <c r="J372" t="s">
        <v>188</v>
      </c>
      <c r="K372" t="s">
        <v>60</v>
      </c>
      <c r="L372" t="s">
        <v>61</v>
      </c>
      <c r="M372" s="5">
        <v>82800</v>
      </c>
      <c r="N372" s="5">
        <v>13350</v>
      </c>
      <c r="O372" s="5">
        <v>13650</v>
      </c>
      <c r="P372" s="5">
        <v>3500</v>
      </c>
      <c r="Q372" s="5">
        <v>115800</v>
      </c>
      <c r="R372" t="s">
        <v>106</v>
      </c>
      <c r="S372" t="s">
        <v>76</v>
      </c>
      <c r="T372" s="5">
        <v>41230</v>
      </c>
      <c r="U372" s="6">
        <v>4</v>
      </c>
      <c r="V372" t="s">
        <v>77</v>
      </c>
      <c r="W372" s="4">
        <v>46189</v>
      </c>
      <c r="X372" t="s">
        <v>64</v>
      </c>
      <c r="Y372" t="s">
        <v>77</v>
      </c>
      <c r="Z372" t="s">
        <v>107</v>
      </c>
    </row>
    <row r="373" spans="1:26">
      <c r="A373" t="s">
        <v>885</v>
      </c>
      <c r="B373" t="s">
        <v>886</v>
      </c>
      <c r="C373" s="4">
        <v>46141</v>
      </c>
      <c r="D373" t="s">
        <v>217</v>
      </c>
      <c r="E373" t="s">
        <v>70</v>
      </c>
      <c r="F373" s="4">
        <v>46141</v>
      </c>
      <c r="G373" s="4">
        <v>46143</v>
      </c>
      <c r="H373" t="s">
        <v>201</v>
      </c>
      <c r="I373" t="s">
        <v>449</v>
      </c>
      <c r="J373" t="s">
        <v>203</v>
      </c>
      <c r="K373" t="s">
        <v>124</v>
      </c>
      <c r="L373" t="s">
        <v>74</v>
      </c>
      <c r="M373" s="5">
        <v>56800</v>
      </c>
      <c r="N373" s="5">
        <v>8300</v>
      </c>
      <c r="O373" s="5">
        <v>12300</v>
      </c>
      <c r="P373" s="5">
        <v>5000</v>
      </c>
      <c r="Q373" s="5">
        <v>83200</v>
      </c>
      <c r="R373" t="s">
        <v>141</v>
      </c>
      <c r="S373" t="s">
        <v>86</v>
      </c>
      <c r="T373" s="5">
        <v>13680</v>
      </c>
      <c r="U373" s="6">
        <v>3</v>
      </c>
      <c r="V373" t="s">
        <v>77</v>
      </c>
      <c r="W373" s="4">
        <v>46157</v>
      </c>
      <c r="X373" t="s">
        <v>64</v>
      </c>
      <c r="Y373" t="s">
        <v>64</v>
      </c>
      <c r="Z373" t="s">
        <v>96</v>
      </c>
    </row>
    <row r="374" spans="1:26">
      <c r="A374" t="s">
        <v>887</v>
      </c>
      <c r="B374" t="s">
        <v>675</v>
      </c>
      <c r="C374" s="4">
        <v>46096</v>
      </c>
      <c r="D374" t="s">
        <v>127</v>
      </c>
      <c r="E374" t="s">
        <v>70</v>
      </c>
      <c r="F374" s="4">
        <v>46096</v>
      </c>
      <c r="G374" s="4">
        <v>46103</v>
      </c>
      <c r="H374" t="s">
        <v>111</v>
      </c>
      <c r="I374" t="s">
        <v>112</v>
      </c>
      <c r="J374" t="s">
        <v>384</v>
      </c>
      <c r="K374" t="s">
        <v>73</v>
      </c>
      <c r="L374" t="s">
        <v>94</v>
      </c>
      <c r="M374" s="5">
        <v>62100</v>
      </c>
      <c r="N374" s="5">
        <v>5000</v>
      </c>
      <c r="O374" s="5">
        <v>11250</v>
      </c>
      <c r="P374" s="5">
        <v>31500</v>
      </c>
      <c r="Q374" s="5">
        <v>110650</v>
      </c>
      <c r="R374" t="s">
        <v>62</v>
      </c>
      <c r="S374" t="s">
        <v>86</v>
      </c>
      <c r="T374" s="5">
        <v>33600</v>
      </c>
      <c r="U374" s="6"/>
      <c r="V374" t="s">
        <v>64</v>
      </c>
      <c r="W374" s="4"/>
      <c r="X374" t="s">
        <v>65</v>
      </c>
      <c r="Y374" t="s">
        <v>64</v>
      </c>
      <c r="Z374" t="s">
        <v>96</v>
      </c>
    </row>
    <row r="375" spans="1:26">
      <c r="A375" t="s">
        <v>888</v>
      </c>
      <c r="B375" t="s">
        <v>530</v>
      </c>
      <c r="C375" s="4">
        <v>46033</v>
      </c>
      <c r="D375" t="s">
        <v>259</v>
      </c>
      <c r="E375" t="s">
        <v>70</v>
      </c>
      <c r="F375" s="4">
        <v>46033</v>
      </c>
      <c r="G375" s="4">
        <v>46034</v>
      </c>
      <c r="H375" t="s">
        <v>57</v>
      </c>
      <c r="I375" t="s">
        <v>100</v>
      </c>
      <c r="J375" t="s">
        <v>59</v>
      </c>
      <c r="K375" t="s">
        <v>60</v>
      </c>
      <c r="L375" t="s">
        <v>94</v>
      </c>
      <c r="M375" s="5">
        <v>53100</v>
      </c>
      <c r="N375" s="5">
        <v>6850</v>
      </c>
      <c r="O375" s="5">
        <v>7450</v>
      </c>
      <c r="P375" s="5">
        <v>3500</v>
      </c>
      <c r="Q375" s="5">
        <v>72900</v>
      </c>
      <c r="R375" t="s">
        <v>85</v>
      </c>
      <c r="S375" t="s">
        <v>76</v>
      </c>
      <c r="T375" s="5">
        <v>19120</v>
      </c>
      <c r="U375" s="6">
        <v>4</v>
      </c>
      <c r="V375" t="s">
        <v>77</v>
      </c>
      <c r="W375" s="4">
        <v>46042</v>
      </c>
      <c r="X375" t="s">
        <v>77</v>
      </c>
      <c r="Y375" t="s">
        <v>64</v>
      </c>
      <c r="Z375" t="s">
        <v>78</v>
      </c>
    </row>
    <row r="376" spans="1:26">
      <c r="A376" t="s">
        <v>889</v>
      </c>
      <c r="B376" t="s">
        <v>890</v>
      </c>
      <c r="C376" s="4">
        <v>46064</v>
      </c>
      <c r="D376" t="s">
        <v>266</v>
      </c>
      <c r="E376" t="s">
        <v>70</v>
      </c>
      <c r="F376" s="4">
        <v>46065</v>
      </c>
      <c r="G376" s="4">
        <v>46066</v>
      </c>
      <c r="H376" t="s">
        <v>178</v>
      </c>
      <c r="I376" t="s">
        <v>179</v>
      </c>
      <c r="J376" t="s">
        <v>358</v>
      </c>
      <c r="K376" t="s">
        <v>93</v>
      </c>
      <c r="L376" t="s">
        <v>94</v>
      </c>
      <c r="M376" s="5">
        <v>45900</v>
      </c>
      <c r="N376" s="5">
        <v>7950</v>
      </c>
      <c r="O376" s="5">
        <v>10050</v>
      </c>
      <c r="P376" s="5">
        <v>3500</v>
      </c>
      <c r="Q376" s="5">
        <v>68400</v>
      </c>
      <c r="R376" t="s">
        <v>85</v>
      </c>
      <c r="S376" t="s">
        <v>76</v>
      </c>
      <c r="T376" s="5">
        <v>18000</v>
      </c>
      <c r="U376" s="6">
        <v>4</v>
      </c>
      <c r="V376" t="s">
        <v>64</v>
      </c>
      <c r="W376" s="4"/>
      <c r="X376" t="s">
        <v>65</v>
      </c>
      <c r="Y376" t="s">
        <v>64</v>
      </c>
      <c r="Z376" t="s">
        <v>78</v>
      </c>
    </row>
    <row r="377" spans="1:26">
      <c r="A377" t="s">
        <v>891</v>
      </c>
      <c r="B377" t="s">
        <v>892</v>
      </c>
      <c r="C377" s="4">
        <v>46108</v>
      </c>
      <c r="D377" t="s">
        <v>302</v>
      </c>
      <c r="E377" t="s">
        <v>70</v>
      </c>
      <c r="F377" s="4">
        <v>46108</v>
      </c>
      <c r="G377" s="4">
        <v>46113</v>
      </c>
      <c r="H377" t="s">
        <v>103</v>
      </c>
      <c r="I377" t="s">
        <v>364</v>
      </c>
      <c r="J377" t="s">
        <v>105</v>
      </c>
      <c r="K377" t="s">
        <v>73</v>
      </c>
      <c r="L377" t="s">
        <v>61</v>
      </c>
      <c r="M377" s="5">
        <v>43500</v>
      </c>
      <c r="N377" s="5">
        <v>4150</v>
      </c>
      <c r="O377" s="5">
        <v>5600</v>
      </c>
      <c r="P377" s="5">
        <v>12500</v>
      </c>
      <c r="Q377" s="5">
        <v>66550</v>
      </c>
      <c r="R377" t="s">
        <v>75</v>
      </c>
      <c r="S377" t="s">
        <v>86</v>
      </c>
      <c r="T377" s="5">
        <v>30250</v>
      </c>
      <c r="U377" s="6">
        <v>5</v>
      </c>
      <c r="V377" t="s">
        <v>64</v>
      </c>
      <c r="W377" s="4"/>
      <c r="X377" t="s">
        <v>65</v>
      </c>
      <c r="Y377" t="s">
        <v>64</v>
      </c>
      <c r="Z377" t="s">
        <v>96</v>
      </c>
    </row>
    <row r="378" spans="1:26">
      <c r="A378" t="s">
        <v>893</v>
      </c>
      <c r="B378" t="s">
        <v>894</v>
      </c>
      <c r="C378" s="4">
        <v>46131</v>
      </c>
      <c r="D378" t="s">
        <v>302</v>
      </c>
      <c r="E378" t="s">
        <v>70</v>
      </c>
      <c r="F378" s="4">
        <v>46132</v>
      </c>
      <c r="G378" s="4">
        <v>46138</v>
      </c>
      <c r="H378" t="s">
        <v>57</v>
      </c>
      <c r="I378" t="s">
        <v>169</v>
      </c>
      <c r="J378" t="s">
        <v>59</v>
      </c>
      <c r="K378" t="s">
        <v>124</v>
      </c>
      <c r="L378" t="s">
        <v>146</v>
      </c>
      <c r="M378" s="5"/>
      <c r="N378" s="5">
        <v>7150</v>
      </c>
      <c r="O378" s="5">
        <v>5750</v>
      </c>
      <c r="P378" s="5">
        <v>36000</v>
      </c>
      <c r="Q378" s="5">
        <v>92100</v>
      </c>
      <c r="R378" t="s">
        <v>141</v>
      </c>
      <c r="S378" t="s">
        <v>76</v>
      </c>
      <c r="T378" s="5">
        <v>15020</v>
      </c>
      <c r="U378" s="6">
        <v>4</v>
      </c>
      <c r="V378" t="s">
        <v>77</v>
      </c>
      <c r="W378" s="4">
        <v>46147</v>
      </c>
      <c r="X378" t="s">
        <v>77</v>
      </c>
      <c r="Y378" t="s">
        <v>64</v>
      </c>
      <c r="Z378" t="s">
        <v>107</v>
      </c>
    </row>
    <row r="379" spans="1:26">
      <c r="A379" t="s">
        <v>895</v>
      </c>
      <c r="B379" t="s">
        <v>896</v>
      </c>
      <c r="C379" s="4">
        <v>46108</v>
      </c>
      <c r="D379" t="s">
        <v>337</v>
      </c>
      <c r="E379" t="s">
        <v>70</v>
      </c>
      <c r="F379" s="4">
        <v>46108</v>
      </c>
      <c r="G379" s="4">
        <v>46109</v>
      </c>
      <c r="H379" t="s">
        <v>82</v>
      </c>
      <c r="I379" t="s">
        <v>369</v>
      </c>
      <c r="J379" t="s">
        <v>291</v>
      </c>
      <c r="K379" t="s">
        <v>124</v>
      </c>
      <c r="L379" t="s">
        <v>146</v>
      </c>
      <c r="M379" s="5">
        <v>40300</v>
      </c>
      <c r="N379" s="5">
        <v>5050</v>
      </c>
      <c r="O379" s="5">
        <v>8400</v>
      </c>
      <c r="P379" s="5">
        <v>6000</v>
      </c>
      <c r="Q379" s="5">
        <v>60550</v>
      </c>
      <c r="R379" t="s">
        <v>106</v>
      </c>
      <c r="S379" t="s">
        <v>163</v>
      </c>
      <c r="T379" s="5">
        <v>21890</v>
      </c>
      <c r="U379" s="6">
        <v>4</v>
      </c>
      <c r="V379" t="s">
        <v>64</v>
      </c>
      <c r="W379" s="4"/>
      <c r="X379" t="s">
        <v>65</v>
      </c>
      <c r="Y379" t="s">
        <v>64</v>
      </c>
      <c r="Z379" t="s">
        <v>78</v>
      </c>
    </row>
    <row r="380" spans="1:26">
      <c r="A380" t="s">
        <v>897</v>
      </c>
      <c r="B380" t="s">
        <v>898</v>
      </c>
      <c r="C380" s="4">
        <v>46169</v>
      </c>
      <c r="D380" t="s">
        <v>210</v>
      </c>
      <c r="E380" t="s">
        <v>255</v>
      </c>
      <c r="F380" s="4"/>
      <c r="G380" s="4"/>
      <c r="H380" t="s">
        <v>201</v>
      </c>
      <c r="I380" t="s">
        <v>280</v>
      </c>
      <c r="J380" t="s">
        <v>203</v>
      </c>
      <c r="K380" t="s">
        <v>124</v>
      </c>
      <c r="L380" t="s">
        <v>61</v>
      </c>
      <c r="M380" s="5"/>
      <c r="N380" s="5"/>
      <c r="O380" s="5"/>
      <c r="P380" s="5"/>
      <c r="Q380" s="5"/>
      <c r="R380" t="s">
        <v>106</v>
      </c>
      <c r="S380" t="s">
        <v>63</v>
      </c>
      <c r="T380" s="5"/>
      <c r="U380" s="6"/>
      <c r="V380" t="s">
        <v>64</v>
      </c>
      <c r="W380" s="4"/>
      <c r="X380" t="s">
        <v>65</v>
      </c>
      <c r="Z380" t="s">
        <v>66</v>
      </c>
    </row>
    <row r="381" spans="1:26">
      <c r="A381" t="s">
        <v>899</v>
      </c>
      <c r="B381" t="s">
        <v>624</v>
      </c>
      <c r="C381" s="4">
        <v>46024</v>
      </c>
      <c r="D381" t="s">
        <v>469</v>
      </c>
      <c r="E381" t="s">
        <v>70</v>
      </c>
      <c r="F381" s="4">
        <v>46025</v>
      </c>
      <c r="G381" s="4">
        <v>46035</v>
      </c>
      <c r="H381" t="s">
        <v>82</v>
      </c>
      <c r="I381" t="s">
        <v>331</v>
      </c>
      <c r="J381" t="s">
        <v>156</v>
      </c>
      <c r="K381" t="s">
        <v>93</v>
      </c>
      <c r="L381" t="s">
        <v>74</v>
      </c>
      <c r="M381" s="5">
        <v>96200</v>
      </c>
      <c r="N381" s="5">
        <v>15400</v>
      </c>
      <c r="O381" s="5">
        <v>13550</v>
      </c>
      <c r="P381" s="5">
        <v>60000</v>
      </c>
      <c r="Q381" s="5">
        <v>186650</v>
      </c>
      <c r="R381" t="s">
        <v>62</v>
      </c>
      <c r="S381" t="s">
        <v>76</v>
      </c>
      <c r="T381" s="5">
        <v>56400</v>
      </c>
      <c r="U381" s="6">
        <v>3</v>
      </c>
      <c r="V381" t="s">
        <v>64</v>
      </c>
      <c r="W381" s="4"/>
      <c r="X381" t="s">
        <v>65</v>
      </c>
      <c r="Y381" t="s">
        <v>64</v>
      </c>
      <c r="Z381" t="s">
        <v>78</v>
      </c>
    </row>
    <row r="382" spans="1:26">
      <c r="A382" t="s">
        <v>900</v>
      </c>
      <c r="B382" t="s">
        <v>403</v>
      </c>
      <c r="C382" s="4">
        <v>46083</v>
      </c>
      <c r="D382" t="s">
        <v>250</v>
      </c>
      <c r="E382" t="s">
        <v>70</v>
      </c>
      <c r="F382" s="4">
        <v>46084</v>
      </c>
      <c r="G382" s="4">
        <v>46087</v>
      </c>
      <c r="H382" t="s">
        <v>111</v>
      </c>
      <c r="I382" t="s">
        <v>267</v>
      </c>
      <c r="J382" t="s">
        <v>117</v>
      </c>
      <c r="K382" t="s">
        <v>73</v>
      </c>
      <c r="L382" t="s">
        <v>61</v>
      </c>
      <c r="M382" s="5">
        <v>7300</v>
      </c>
      <c r="N382" s="5">
        <v>600</v>
      </c>
      <c r="O382" s="5">
        <v>850</v>
      </c>
      <c r="P382" s="5">
        <v>10500</v>
      </c>
      <c r="Q382" s="5">
        <v>20450</v>
      </c>
      <c r="R382" t="s">
        <v>75</v>
      </c>
      <c r="S382" t="s">
        <v>76</v>
      </c>
      <c r="T382" s="5">
        <v>9500</v>
      </c>
      <c r="U382" s="6">
        <v>3</v>
      </c>
      <c r="V382" t="s">
        <v>77</v>
      </c>
      <c r="W382" s="4">
        <v>46096</v>
      </c>
      <c r="X382" t="s">
        <v>64</v>
      </c>
      <c r="Y382" t="s">
        <v>64</v>
      </c>
      <c r="Z382" t="s">
        <v>107</v>
      </c>
    </row>
    <row r="383" spans="1:26">
      <c r="A383" t="s">
        <v>901</v>
      </c>
      <c r="B383" t="s">
        <v>382</v>
      </c>
      <c r="C383" s="4">
        <v>46054</v>
      </c>
      <c r="D383" t="s">
        <v>99</v>
      </c>
      <c r="E383" t="s">
        <v>70</v>
      </c>
      <c r="F383" s="4">
        <v>46054</v>
      </c>
      <c r="G383" s="4">
        <v>46061</v>
      </c>
      <c r="H383" t="s">
        <v>121</v>
      </c>
      <c r="I383" t="s">
        <v>334</v>
      </c>
      <c r="J383" t="s">
        <v>252</v>
      </c>
      <c r="K383" t="s">
        <v>124</v>
      </c>
      <c r="L383" t="s">
        <v>94</v>
      </c>
      <c r="M383" s="5">
        <v>56700</v>
      </c>
      <c r="N383" s="5">
        <v>7100</v>
      </c>
      <c r="O383" s="5">
        <v>6700</v>
      </c>
      <c r="P383" s="5">
        <v>42000</v>
      </c>
      <c r="Q383" s="5">
        <v>113500</v>
      </c>
      <c r="R383" t="s">
        <v>141</v>
      </c>
      <c r="S383" t="s">
        <v>76</v>
      </c>
      <c r="T383" s="5">
        <v>18230</v>
      </c>
      <c r="U383" s="6">
        <v>2</v>
      </c>
      <c r="V383" t="s">
        <v>77</v>
      </c>
      <c r="W383" s="4">
        <v>46072</v>
      </c>
      <c r="X383" t="s">
        <v>64</v>
      </c>
      <c r="Y383" t="s">
        <v>64</v>
      </c>
      <c r="Z383" t="s">
        <v>96</v>
      </c>
    </row>
    <row r="384" spans="1:26">
      <c r="A384" t="s">
        <v>902</v>
      </c>
      <c r="B384" t="s">
        <v>903</v>
      </c>
      <c r="C384" s="4">
        <v>46060</v>
      </c>
      <c r="D384" t="s">
        <v>302</v>
      </c>
      <c r="E384" t="s">
        <v>70</v>
      </c>
      <c r="F384" s="4">
        <v>46060</v>
      </c>
      <c r="G384" s="4">
        <v>46064</v>
      </c>
      <c r="H384" t="s">
        <v>201</v>
      </c>
      <c r="I384" t="s">
        <v>449</v>
      </c>
      <c r="J384" t="s">
        <v>281</v>
      </c>
      <c r="K384" t="s">
        <v>124</v>
      </c>
      <c r="L384" t="s">
        <v>146</v>
      </c>
      <c r="M384" s="5">
        <v>7800</v>
      </c>
      <c r="N384" s="5">
        <v>950</v>
      </c>
      <c r="O384" s="5">
        <v>1700</v>
      </c>
      <c r="P384" s="5">
        <v>18000</v>
      </c>
      <c r="Q384" s="5">
        <v>29250</v>
      </c>
      <c r="R384" t="s">
        <v>75</v>
      </c>
      <c r="S384" t="s">
        <v>76</v>
      </c>
      <c r="T384" s="5">
        <v>13460</v>
      </c>
      <c r="U384" s="6">
        <v>3</v>
      </c>
      <c r="V384" t="s">
        <v>77</v>
      </c>
      <c r="W384" s="4">
        <v>46083</v>
      </c>
      <c r="X384" t="s">
        <v>77</v>
      </c>
      <c r="Y384" t="s">
        <v>64</v>
      </c>
      <c r="Z384" t="s">
        <v>436</v>
      </c>
    </row>
    <row r="385" spans="1:26">
      <c r="A385" t="s">
        <v>904</v>
      </c>
      <c r="B385" t="s">
        <v>905</v>
      </c>
      <c r="C385" s="4">
        <v>46033</v>
      </c>
      <c r="D385" t="s">
        <v>234</v>
      </c>
      <c r="E385" t="s">
        <v>70</v>
      </c>
      <c r="F385" s="4">
        <v>46033</v>
      </c>
      <c r="G385" s="4">
        <v>46038</v>
      </c>
      <c r="H385" t="s">
        <v>103</v>
      </c>
      <c r="I385" t="s">
        <v>104</v>
      </c>
      <c r="J385" t="s">
        <v>105</v>
      </c>
      <c r="K385" t="s">
        <v>73</v>
      </c>
      <c r="L385" t="s">
        <v>61</v>
      </c>
      <c r="M385" s="5">
        <v>61800</v>
      </c>
      <c r="N385" s="5">
        <v>10100</v>
      </c>
      <c r="O385" s="5">
        <v>15150</v>
      </c>
      <c r="P385" s="5">
        <v>22500</v>
      </c>
      <c r="Q385" s="5">
        <v>111350</v>
      </c>
      <c r="R385" t="s">
        <v>75</v>
      </c>
      <c r="S385" t="s">
        <v>86</v>
      </c>
      <c r="T385" s="5">
        <v>50410</v>
      </c>
      <c r="U385" s="6">
        <v>3</v>
      </c>
      <c r="V385" t="s">
        <v>77</v>
      </c>
      <c r="W385" s="4">
        <v>46053</v>
      </c>
      <c r="X385" t="s">
        <v>64</v>
      </c>
      <c r="Y385" t="s">
        <v>64</v>
      </c>
      <c r="Z385" t="s">
        <v>219</v>
      </c>
    </row>
    <row r="386" spans="1:26">
      <c r="A386" t="s">
        <v>906</v>
      </c>
      <c r="B386" t="s">
        <v>907</v>
      </c>
      <c r="C386" s="4">
        <v>46104</v>
      </c>
      <c r="D386" t="s">
        <v>210</v>
      </c>
      <c r="E386" t="s">
        <v>70</v>
      </c>
      <c r="F386" s="4">
        <v>46104</v>
      </c>
      <c r="G386" s="4">
        <v>46110</v>
      </c>
      <c r="H386" t="s">
        <v>57</v>
      </c>
      <c r="I386" t="s">
        <v>169</v>
      </c>
      <c r="J386" t="s">
        <v>170</v>
      </c>
      <c r="K386" t="s">
        <v>73</v>
      </c>
      <c r="L386" t="s">
        <v>61</v>
      </c>
      <c r="M386" s="5">
        <v>55000</v>
      </c>
      <c r="N386" s="5">
        <v>5800</v>
      </c>
      <c r="O386" s="5">
        <v>8650</v>
      </c>
      <c r="P386" s="5">
        <v>18000</v>
      </c>
      <c r="Q386" s="5">
        <v>88250</v>
      </c>
      <c r="R386" t="s">
        <v>106</v>
      </c>
      <c r="S386" t="s">
        <v>86</v>
      </c>
      <c r="T386" s="5">
        <v>31590</v>
      </c>
      <c r="U386" s="6">
        <v>4</v>
      </c>
      <c r="V386" t="s">
        <v>64</v>
      </c>
      <c r="W386" s="4"/>
      <c r="X386" t="s">
        <v>65</v>
      </c>
      <c r="Y386" t="s">
        <v>64</v>
      </c>
      <c r="Z386" t="s">
        <v>96</v>
      </c>
    </row>
    <row r="387" spans="1:26">
      <c r="A387" t="s">
        <v>908</v>
      </c>
      <c r="B387" t="s">
        <v>909</v>
      </c>
      <c r="C387" s="4">
        <v>46048</v>
      </c>
      <c r="D387" t="s">
        <v>168</v>
      </c>
      <c r="E387" t="s">
        <v>70</v>
      </c>
      <c r="F387" s="4">
        <v>46048</v>
      </c>
      <c r="G387" s="4">
        <v>46048</v>
      </c>
      <c r="H387" t="s">
        <v>150</v>
      </c>
      <c r="I387" t="s">
        <v>239</v>
      </c>
      <c r="J387" t="s">
        <v>188</v>
      </c>
      <c r="K387" t="s">
        <v>60</v>
      </c>
      <c r="L387" t="s">
        <v>74</v>
      </c>
      <c r="M387" s="5">
        <v>65600</v>
      </c>
      <c r="N387" s="5">
        <v>5550</v>
      </c>
      <c r="O387" s="5">
        <v>9650</v>
      </c>
      <c r="P387" s="5">
        <v>0</v>
      </c>
      <c r="Q387" s="5">
        <v>82600</v>
      </c>
      <c r="R387" t="s">
        <v>95</v>
      </c>
      <c r="S387" t="s">
        <v>63</v>
      </c>
      <c r="T387" s="5">
        <v>82600</v>
      </c>
      <c r="U387" s="6">
        <v>5</v>
      </c>
      <c r="V387" t="s">
        <v>77</v>
      </c>
      <c r="W387" s="4">
        <v>46069</v>
      </c>
      <c r="X387" t="s">
        <v>64</v>
      </c>
      <c r="Y387" t="s">
        <v>64</v>
      </c>
      <c r="Z387" t="s">
        <v>107</v>
      </c>
    </row>
    <row r="388" spans="1:26">
      <c r="A388" t="s">
        <v>910</v>
      </c>
      <c r="B388" t="s">
        <v>451</v>
      </c>
      <c r="C388" s="4">
        <v>46102</v>
      </c>
      <c r="D388" t="s">
        <v>439</v>
      </c>
      <c r="E388" t="s">
        <v>70</v>
      </c>
      <c r="F388" s="4">
        <v>46102</v>
      </c>
      <c r="G388" s="4">
        <v>46106</v>
      </c>
      <c r="H388" t="s">
        <v>201</v>
      </c>
      <c r="I388" t="s">
        <v>421</v>
      </c>
      <c r="J388" t="s">
        <v>203</v>
      </c>
      <c r="K388" t="s">
        <v>124</v>
      </c>
      <c r="L388" t="s">
        <v>61</v>
      </c>
      <c r="M388" s="5">
        <v>37900</v>
      </c>
      <c r="N388" s="5">
        <v>5100</v>
      </c>
      <c r="O388" s="5">
        <v>5300</v>
      </c>
      <c r="P388" s="5">
        <v>24000</v>
      </c>
      <c r="Q388" s="5">
        <v>73300</v>
      </c>
      <c r="R388" t="s">
        <v>62</v>
      </c>
      <c r="S388" t="s">
        <v>86</v>
      </c>
      <c r="T388" s="5">
        <v>22390</v>
      </c>
      <c r="U388" s="6">
        <v>5</v>
      </c>
      <c r="V388" t="s">
        <v>77</v>
      </c>
      <c r="W388" s="4">
        <v>46118</v>
      </c>
      <c r="X388" t="s">
        <v>77</v>
      </c>
      <c r="Y388" t="s">
        <v>64</v>
      </c>
      <c r="Z388" t="s">
        <v>96</v>
      </c>
    </row>
    <row r="389" spans="1:26">
      <c r="A389" t="s">
        <v>911</v>
      </c>
      <c r="B389" t="s">
        <v>559</v>
      </c>
      <c r="C389" s="4">
        <v>46153</v>
      </c>
      <c r="D389" t="s">
        <v>363</v>
      </c>
      <c r="E389" t="s">
        <v>70</v>
      </c>
      <c r="F389" s="4">
        <v>46153</v>
      </c>
      <c r="G389" s="4">
        <v>46157</v>
      </c>
      <c r="H389" t="s">
        <v>121</v>
      </c>
      <c r="I389" t="s">
        <v>122</v>
      </c>
      <c r="J389" t="s">
        <v>123</v>
      </c>
      <c r="K389" t="s">
        <v>73</v>
      </c>
      <c r="L389" t="s">
        <v>61</v>
      </c>
      <c r="M389" s="5">
        <v>32100</v>
      </c>
      <c r="N389" s="5">
        <v>3950</v>
      </c>
      <c r="O389" s="5">
        <v>6150</v>
      </c>
      <c r="P389" s="5">
        <v>18000</v>
      </c>
      <c r="Q389" s="5">
        <v>61200</v>
      </c>
      <c r="R389" t="s">
        <v>75</v>
      </c>
      <c r="S389" t="s">
        <v>76</v>
      </c>
      <c r="T389" s="5">
        <v>27840</v>
      </c>
      <c r="U389" s="6">
        <v>4</v>
      </c>
      <c r="V389" t="s">
        <v>77</v>
      </c>
      <c r="W389" s="4">
        <v>46170</v>
      </c>
      <c r="X389" t="s">
        <v>64</v>
      </c>
      <c r="Y389" t="s">
        <v>64</v>
      </c>
      <c r="Z389" t="s">
        <v>96</v>
      </c>
    </row>
    <row r="390" spans="1:26">
      <c r="A390" t="s">
        <v>912</v>
      </c>
      <c r="B390" t="s">
        <v>913</v>
      </c>
      <c r="C390" s="4">
        <v>46126</v>
      </c>
      <c r="D390" t="s">
        <v>279</v>
      </c>
      <c r="E390" t="s">
        <v>70</v>
      </c>
      <c r="F390" s="4">
        <v>46126</v>
      </c>
      <c r="G390" s="4">
        <v>46129</v>
      </c>
      <c r="H390" t="s">
        <v>90</v>
      </c>
      <c r="I390" t="s">
        <v>388</v>
      </c>
      <c r="J390" t="s">
        <v>197</v>
      </c>
      <c r="K390" t="s">
        <v>124</v>
      </c>
      <c r="L390" t="s">
        <v>94</v>
      </c>
      <c r="M390" s="5">
        <v>25600</v>
      </c>
      <c r="N390" s="5">
        <v>2650</v>
      </c>
      <c r="O390" s="5">
        <v>3500</v>
      </c>
      <c r="P390" s="5">
        <v>7500</v>
      </c>
      <c r="Q390" s="5">
        <v>40750</v>
      </c>
      <c r="R390" t="s">
        <v>95</v>
      </c>
      <c r="S390" t="s">
        <v>63</v>
      </c>
      <c r="T390" s="5">
        <v>40750</v>
      </c>
      <c r="U390" s="6">
        <v>2</v>
      </c>
      <c r="V390" t="s">
        <v>77</v>
      </c>
      <c r="W390" s="4">
        <v>46138</v>
      </c>
      <c r="X390" t="s">
        <v>64</v>
      </c>
      <c r="Y390" t="s">
        <v>64</v>
      </c>
      <c r="Z390" t="s">
        <v>78</v>
      </c>
    </row>
    <row r="391" spans="1:26">
      <c r="A391" t="s">
        <v>914</v>
      </c>
      <c r="B391" t="s">
        <v>254</v>
      </c>
      <c r="C391" s="4">
        <v>46059</v>
      </c>
      <c r="D391" t="s">
        <v>217</v>
      </c>
      <c r="E391" t="s">
        <v>314</v>
      </c>
      <c r="F391" s="4"/>
      <c r="G391" s="4"/>
      <c r="H391" t="s">
        <v>178</v>
      </c>
      <c r="I391" t="s">
        <v>622</v>
      </c>
      <c r="J391" t="s">
        <v>180</v>
      </c>
      <c r="K391" t="s">
        <v>73</v>
      </c>
      <c r="L391" t="s">
        <v>94</v>
      </c>
      <c r="M391" s="5"/>
      <c r="N391" s="5"/>
      <c r="O391" s="5"/>
      <c r="P391" s="5"/>
      <c r="Q391" s="5"/>
      <c r="R391" t="s">
        <v>85</v>
      </c>
      <c r="S391" t="s">
        <v>63</v>
      </c>
      <c r="T391" s="5"/>
      <c r="U391" s="6"/>
      <c r="V391" t="s">
        <v>64</v>
      </c>
      <c r="W391" s="4"/>
      <c r="X391" t="s">
        <v>65</v>
      </c>
      <c r="Z391" t="s">
        <v>66</v>
      </c>
    </row>
    <row r="392" spans="1:26">
      <c r="A392" t="s">
        <v>915</v>
      </c>
      <c r="B392" t="s">
        <v>499</v>
      </c>
      <c r="C392" s="4">
        <v>46075</v>
      </c>
      <c r="D392" t="s">
        <v>250</v>
      </c>
      <c r="E392" t="s">
        <v>70</v>
      </c>
      <c r="F392" s="4">
        <v>46075</v>
      </c>
      <c r="G392" s="4">
        <v>46080</v>
      </c>
      <c r="H392" t="s">
        <v>150</v>
      </c>
      <c r="I392" t="s">
        <v>151</v>
      </c>
      <c r="J392" t="s">
        <v>188</v>
      </c>
      <c r="K392" t="s">
        <v>73</v>
      </c>
      <c r="L392" t="s">
        <v>146</v>
      </c>
      <c r="M392" s="5">
        <v>117300</v>
      </c>
      <c r="N392" s="5">
        <v>14500</v>
      </c>
      <c r="O392" s="5">
        <v>16150</v>
      </c>
      <c r="P392" s="5">
        <v>22500</v>
      </c>
      <c r="Q392" s="5">
        <v>172950</v>
      </c>
      <c r="R392" t="s">
        <v>141</v>
      </c>
      <c r="S392" t="s">
        <v>76</v>
      </c>
      <c r="T392" s="5">
        <v>27140</v>
      </c>
      <c r="U392" s="6">
        <v>3</v>
      </c>
      <c r="V392" t="s">
        <v>77</v>
      </c>
      <c r="W392" s="4">
        <v>46094</v>
      </c>
      <c r="X392" t="s">
        <v>77</v>
      </c>
      <c r="Y392" t="s">
        <v>64</v>
      </c>
      <c r="Z392" t="s">
        <v>96</v>
      </c>
    </row>
    <row r="393" spans="1:26">
      <c r="A393" t="s">
        <v>916</v>
      </c>
      <c r="B393" t="s">
        <v>319</v>
      </c>
      <c r="C393" s="4">
        <v>46112</v>
      </c>
      <c r="D393" t="s">
        <v>161</v>
      </c>
      <c r="E393" t="s">
        <v>70</v>
      </c>
      <c r="F393" s="4">
        <v>46113</v>
      </c>
      <c r="G393" s="4">
        <v>46117</v>
      </c>
      <c r="H393" t="s">
        <v>90</v>
      </c>
      <c r="I393" t="s">
        <v>128</v>
      </c>
      <c r="J393" t="s">
        <v>129</v>
      </c>
      <c r="K393" t="s">
        <v>73</v>
      </c>
      <c r="L393" t="s">
        <v>61</v>
      </c>
      <c r="M393" s="5">
        <v>34800</v>
      </c>
      <c r="N393" s="5">
        <v>3250</v>
      </c>
      <c r="O393" s="5">
        <v>7550</v>
      </c>
      <c r="P393" s="5">
        <v>18000</v>
      </c>
      <c r="Q393" s="5">
        <v>65600</v>
      </c>
      <c r="R393" t="s">
        <v>106</v>
      </c>
      <c r="S393" t="s">
        <v>163</v>
      </c>
      <c r="T393" s="5">
        <v>23660</v>
      </c>
      <c r="U393" s="6">
        <v>2</v>
      </c>
      <c r="V393" t="s">
        <v>77</v>
      </c>
      <c r="W393" s="4">
        <v>46134</v>
      </c>
      <c r="X393" t="s">
        <v>64</v>
      </c>
      <c r="Y393" t="s">
        <v>77</v>
      </c>
      <c r="Z393" t="s">
        <v>78</v>
      </c>
    </row>
    <row r="394" spans="1:26">
      <c r="A394" t="s">
        <v>917</v>
      </c>
      <c r="B394" t="s">
        <v>743</v>
      </c>
      <c r="C394" s="4">
        <v>46050</v>
      </c>
      <c r="D394" t="s">
        <v>210</v>
      </c>
      <c r="E394" t="s">
        <v>70</v>
      </c>
      <c r="F394" s="4">
        <v>46050</v>
      </c>
      <c r="G394" s="4">
        <v>46050</v>
      </c>
      <c r="H394" t="s">
        <v>90</v>
      </c>
      <c r="I394" t="s">
        <v>133</v>
      </c>
      <c r="J394" t="s">
        <v>197</v>
      </c>
      <c r="K394" t="s">
        <v>60</v>
      </c>
      <c r="L394" t="s">
        <v>146</v>
      </c>
      <c r="M394" s="5">
        <v>22400</v>
      </c>
      <c r="N394" s="5">
        <v>1800</v>
      </c>
      <c r="O394" s="5">
        <v>5450</v>
      </c>
      <c r="P394" s="5">
        <v>0</v>
      </c>
      <c r="Q394" s="5">
        <v>31650</v>
      </c>
      <c r="R394" t="s">
        <v>106</v>
      </c>
      <c r="S394" t="s">
        <v>76</v>
      </c>
      <c r="T394" s="5">
        <v>11780</v>
      </c>
      <c r="U394" s="6">
        <v>4</v>
      </c>
      <c r="V394" t="s">
        <v>64</v>
      </c>
      <c r="W394" s="4"/>
      <c r="X394" t="s">
        <v>65</v>
      </c>
      <c r="Y394" t="s">
        <v>64</v>
      </c>
      <c r="Z394" t="s">
        <v>96</v>
      </c>
    </row>
    <row r="395" spans="1:26">
      <c r="A395" t="s">
        <v>918</v>
      </c>
      <c r="B395" t="s">
        <v>919</v>
      </c>
      <c r="C395" s="4">
        <v>46125</v>
      </c>
      <c r="D395" t="s">
        <v>144</v>
      </c>
      <c r="E395" t="s">
        <v>70</v>
      </c>
      <c r="F395" s="4">
        <v>46125</v>
      </c>
      <c r="G395" s="4">
        <v>46126</v>
      </c>
      <c r="H395" t="s">
        <v>103</v>
      </c>
      <c r="I395" t="s">
        <v>412</v>
      </c>
      <c r="J395" t="s">
        <v>145</v>
      </c>
      <c r="K395" t="s">
        <v>73</v>
      </c>
      <c r="L395" t="s">
        <v>61</v>
      </c>
      <c r="M395" s="5">
        <v>30900</v>
      </c>
      <c r="N395" s="5">
        <v>4800</v>
      </c>
      <c r="O395" s="5">
        <v>5550</v>
      </c>
      <c r="P395" s="5">
        <v>4500</v>
      </c>
      <c r="Q395" s="5">
        <v>46950</v>
      </c>
      <c r="R395" t="s">
        <v>75</v>
      </c>
      <c r="S395" t="s">
        <v>163</v>
      </c>
      <c r="T395" s="5">
        <v>21430</v>
      </c>
      <c r="U395" s="6">
        <v>4</v>
      </c>
      <c r="V395" t="s">
        <v>77</v>
      </c>
      <c r="W395" s="4">
        <v>46134</v>
      </c>
      <c r="X395" t="s">
        <v>77</v>
      </c>
      <c r="Y395" t="s">
        <v>64</v>
      </c>
      <c r="Z395" t="s">
        <v>96</v>
      </c>
    </row>
    <row r="396" spans="1:26">
      <c r="A396" t="s">
        <v>920</v>
      </c>
      <c r="B396" t="s">
        <v>921</v>
      </c>
      <c r="C396" s="4">
        <v>46135</v>
      </c>
      <c r="D396" t="s">
        <v>298</v>
      </c>
      <c r="E396" t="s">
        <v>70</v>
      </c>
      <c r="F396" s="4">
        <v>46135</v>
      </c>
      <c r="G396" s="4">
        <v>46135</v>
      </c>
      <c r="H396" t="s">
        <v>103</v>
      </c>
      <c r="I396" t="s">
        <v>243</v>
      </c>
      <c r="J396" t="s">
        <v>105</v>
      </c>
      <c r="K396" t="s">
        <v>60</v>
      </c>
      <c r="L396" t="s">
        <v>61</v>
      </c>
      <c r="M396" s="5">
        <v>71600</v>
      </c>
      <c r="N396" s="5">
        <v>10350</v>
      </c>
      <c r="O396" s="5">
        <v>16700</v>
      </c>
      <c r="P396" s="5">
        <v>0</v>
      </c>
      <c r="Q396" s="5">
        <v>100450</v>
      </c>
      <c r="R396" t="s">
        <v>62</v>
      </c>
      <c r="S396" t="s">
        <v>76</v>
      </c>
      <c r="T396" s="5">
        <v>30540</v>
      </c>
      <c r="U396" s="6">
        <v>3</v>
      </c>
      <c r="V396" t="s">
        <v>64</v>
      </c>
      <c r="W396" s="4"/>
      <c r="X396" t="s">
        <v>65</v>
      </c>
      <c r="Y396" t="s">
        <v>77</v>
      </c>
      <c r="Z396" t="s">
        <v>78</v>
      </c>
    </row>
    <row r="397" spans="1:26">
      <c r="A397" t="s">
        <v>922</v>
      </c>
      <c r="B397" t="s">
        <v>596</v>
      </c>
      <c r="C397" s="4">
        <v>46024</v>
      </c>
      <c r="D397" t="s">
        <v>307</v>
      </c>
      <c r="E397" t="s">
        <v>314</v>
      </c>
      <c r="F397" s="4"/>
      <c r="G397" s="4"/>
      <c r="H397" t="s">
        <v>103</v>
      </c>
      <c r="I397" t="s">
        <v>412</v>
      </c>
      <c r="J397" t="s">
        <v>105</v>
      </c>
      <c r="K397" t="s">
        <v>60</v>
      </c>
      <c r="L397" t="s">
        <v>74</v>
      </c>
      <c r="M397" s="5"/>
      <c r="N397" s="5"/>
      <c r="O397" s="5"/>
      <c r="P397" s="5"/>
      <c r="Q397" s="5"/>
      <c r="R397" t="s">
        <v>106</v>
      </c>
      <c r="S397" t="s">
        <v>63</v>
      </c>
      <c r="T397" s="5"/>
      <c r="U397" s="6"/>
      <c r="V397" t="s">
        <v>64</v>
      </c>
      <c r="W397" s="4"/>
      <c r="X397" t="s">
        <v>65</v>
      </c>
      <c r="Z397" t="s">
        <v>66</v>
      </c>
    </row>
    <row r="398" spans="1:26">
      <c r="A398" t="s">
        <v>923</v>
      </c>
      <c r="B398" t="s">
        <v>598</v>
      </c>
      <c r="C398" s="4">
        <v>46112</v>
      </c>
      <c r="D398" t="s">
        <v>89</v>
      </c>
      <c r="E398" t="s">
        <v>70</v>
      </c>
      <c r="F398" s="4">
        <v>46112</v>
      </c>
      <c r="G398" s="4">
        <v>46112</v>
      </c>
      <c r="H398" t="s">
        <v>121</v>
      </c>
      <c r="I398" t="s">
        <v>174</v>
      </c>
      <c r="J398" t="s">
        <v>123</v>
      </c>
      <c r="K398" t="s">
        <v>60</v>
      </c>
      <c r="L398" t="s">
        <v>94</v>
      </c>
      <c r="M398" s="5">
        <v>36500</v>
      </c>
      <c r="N398" s="5">
        <v>3550</v>
      </c>
      <c r="O398" s="5">
        <v>8200</v>
      </c>
      <c r="P398" s="5">
        <v>0</v>
      </c>
      <c r="Q398" s="5">
        <v>50050</v>
      </c>
      <c r="R398" t="s">
        <v>75</v>
      </c>
      <c r="S398" t="s">
        <v>76</v>
      </c>
      <c r="T398" s="5">
        <v>22820</v>
      </c>
      <c r="U398" s="6">
        <v>3</v>
      </c>
      <c r="V398" t="s">
        <v>77</v>
      </c>
      <c r="W398" s="4">
        <v>46126</v>
      </c>
      <c r="X398" t="s">
        <v>77</v>
      </c>
      <c r="Y398" t="s">
        <v>77</v>
      </c>
      <c r="Z398" t="s">
        <v>78</v>
      </c>
    </row>
    <row r="399" spans="1:26">
      <c r="A399" t="s">
        <v>924</v>
      </c>
      <c r="B399" t="s">
        <v>411</v>
      </c>
      <c r="C399" s="4">
        <v>46063</v>
      </c>
      <c r="D399" t="s">
        <v>266</v>
      </c>
      <c r="E399" t="s">
        <v>70</v>
      </c>
      <c r="F399" s="4">
        <v>46064</v>
      </c>
      <c r="G399" s="4">
        <v>46064</v>
      </c>
      <c r="H399" t="s">
        <v>82</v>
      </c>
      <c r="I399" t="s">
        <v>194</v>
      </c>
      <c r="J399" t="s">
        <v>291</v>
      </c>
      <c r="K399" t="s">
        <v>60</v>
      </c>
      <c r="L399" t="s">
        <v>74</v>
      </c>
      <c r="M399" s="5">
        <v>45100</v>
      </c>
      <c r="N399" s="5">
        <v>4550</v>
      </c>
      <c r="O399" s="5">
        <v>5550</v>
      </c>
      <c r="P399" s="5">
        <v>0</v>
      </c>
      <c r="Q399" s="5">
        <v>57000</v>
      </c>
      <c r="R399" t="s">
        <v>75</v>
      </c>
      <c r="S399" t="s">
        <v>76</v>
      </c>
      <c r="T399" s="5">
        <v>25950</v>
      </c>
      <c r="U399" s="6">
        <v>5</v>
      </c>
      <c r="V399" t="s">
        <v>64</v>
      </c>
      <c r="W399" s="4"/>
      <c r="X399" t="s">
        <v>65</v>
      </c>
      <c r="Y399" t="s">
        <v>64</v>
      </c>
      <c r="Z399" t="s">
        <v>107</v>
      </c>
    </row>
    <row r="400" spans="1:26">
      <c r="A400" t="s">
        <v>925</v>
      </c>
      <c r="B400" t="s">
        <v>926</v>
      </c>
      <c r="C400" s="4">
        <v>46063</v>
      </c>
      <c r="D400" t="s">
        <v>279</v>
      </c>
      <c r="E400" t="s">
        <v>177</v>
      </c>
      <c r="F400" s="4"/>
      <c r="G400" s="4"/>
      <c r="H400" t="s">
        <v>201</v>
      </c>
      <c r="I400" t="s">
        <v>202</v>
      </c>
      <c r="J400" t="s">
        <v>281</v>
      </c>
      <c r="K400" t="s">
        <v>124</v>
      </c>
      <c r="L400" t="s">
        <v>94</v>
      </c>
      <c r="M400" s="5"/>
      <c r="N400" s="5"/>
      <c r="O400" s="5"/>
      <c r="P400" s="5"/>
      <c r="Q400" s="5"/>
      <c r="R400" t="s">
        <v>141</v>
      </c>
      <c r="S400" t="s">
        <v>63</v>
      </c>
      <c r="T400" s="5"/>
      <c r="U400" s="6"/>
      <c r="V400" t="s">
        <v>64</v>
      </c>
      <c r="W400" s="4"/>
      <c r="X400" t="s">
        <v>65</v>
      </c>
      <c r="Z400" t="s">
        <v>66</v>
      </c>
    </row>
    <row r="401" spans="1:26">
      <c r="A401" t="s">
        <v>927</v>
      </c>
      <c r="B401" t="s">
        <v>283</v>
      </c>
      <c r="C401" s="4">
        <v>46028</v>
      </c>
      <c r="D401" t="s">
        <v>363</v>
      </c>
      <c r="E401" t="s">
        <v>70</v>
      </c>
      <c r="F401" s="4">
        <v>46028</v>
      </c>
      <c r="G401" s="4">
        <v>46032</v>
      </c>
      <c r="H401" t="s">
        <v>111</v>
      </c>
      <c r="I401" t="s">
        <v>112</v>
      </c>
      <c r="J401" t="s">
        <v>113</v>
      </c>
      <c r="K401" t="s">
        <v>124</v>
      </c>
      <c r="L401" t="s">
        <v>74</v>
      </c>
      <c r="M401" s="5">
        <v>27400</v>
      </c>
      <c r="N401" s="5">
        <v>4650</v>
      </c>
      <c r="O401" s="5">
        <v>3700</v>
      </c>
      <c r="P401" s="5">
        <v>24000</v>
      </c>
      <c r="Q401" s="5">
        <v>60550</v>
      </c>
      <c r="R401" t="s">
        <v>62</v>
      </c>
      <c r="S401" t="s">
        <v>76</v>
      </c>
      <c r="T401" s="5">
        <v>18570</v>
      </c>
      <c r="U401" s="6">
        <v>4</v>
      </c>
      <c r="V401" t="s">
        <v>77</v>
      </c>
      <c r="W401" s="4">
        <v>46053</v>
      </c>
      <c r="X401" t="s">
        <v>77</v>
      </c>
      <c r="Y401" t="s">
        <v>64</v>
      </c>
      <c r="Z401" t="s">
        <v>96</v>
      </c>
    </row>
    <row r="402" spans="1:26">
      <c r="A402" t="s">
        <v>928</v>
      </c>
      <c r="B402" t="s">
        <v>929</v>
      </c>
      <c r="C402" s="4">
        <v>46162</v>
      </c>
      <c r="D402" t="s">
        <v>330</v>
      </c>
      <c r="E402" t="s">
        <v>70</v>
      </c>
      <c r="F402" s="4">
        <v>46162</v>
      </c>
      <c r="G402" s="4">
        <v>46162</v>
      </c>
      <c r="H402" t="s">
        <v>138</v>
      </c>
      <c r="I402" t="s">
        <v>444</v>
      </c>
      <c r="J402" t="s">
        <v>261</v>
      </c>
      <c r="K402" t="s">
        <v>60</v>
      </c>
      <c r="L402" t="s">
        <v>74</v>
      </c>
      <c r="M402" s="5">
        <v>5000</v>
      </c>
      <c r="N402" s="5">
        <v>450</v>
      </c>
      <c r="O402" s="5">
        <v>650</v>
      </c>
      <c r="P402" s="5">
        <v>0</v>
      </c>
      <c r="Q402" s="5">
        <v>7600</v>
      </c>
      <c r="R402" t="s">
        <v>141</v>
      </c>
      <c r="S402" t="s">
        <v>86</v>
      </c>
      <c r="T402" s="5">
        <v>2340</v>
      </c>
      <c r="U402" s="6">
        <v>3</v>
      </c>
      <c r="V402" t="s">
        <v>77</v>
      </c>
      <c r="W402" s="4">
        <v>46181</v>
      </c>
      <c r="X402" t="s">
        <v>64</v>
      </c>
      <c r="Y402" t="s">
        <v>64</v>
      </c>
      <c r="Z402" t="s">
        <v>78</v>
      </c>
    </row>
    <row r="403" spans="1:26">
      <c r="A403" t="s">
        <v>930</v>
      </c>
      <c r="B403" t="s">
        <v>905</v>
      </c>
      <c r="C403" s="4">
        <v>46093</v>
      </c>
      <c r="D403" t="s">
        <v>168</v>
      </c>
      <c r="E403" t="s">
        <v>70</v>
      </c>
      <c r="F403" s="4">
        <v>46093</v>
      </c>
      <c r="G403" s="4">
        <v>46093</v>
      </c>
      <c r="H403" t="s">
        <v>138</v>
      </c>
      <c r="I403" t="s">
        <v>139</v>
      </c>
      <c r="J403" t="s">
        <v>261</v>
      </c>
      <c r="K403" t="s">
        <v>60</v>
      </c>
      <c r="L403" t="s">
        <v>61</v>
      </c>
      <c r="M403" s="5">
        <v>5900</v>
      </c>
      <c r="N403" s="5">
        <v>900</v>
      </c>
      <c r="O403" s="5">
        <v>1150</v>
      </c>
      <c r="P403" s="5">
        <v>0</v>
      </c>
      <c r="Q403" s="5">
        <v>9950</v>
      </c>
      <c r="R403" t="s">
        <v>75</v>
      </c>
      <c r="S403" t="s">
        <v>76</v>
      </c>
      <c r="T403" s="5">
        <v>4780</v>
      </c>
      <c r="U403" s="6">
        <v>5</v>
      </c>
      <c r="V403" t="s">
        <v>77</v>
      </c>
      <c r="W403" s="4">
        <v>46112</v>
      </c>
      <c r="X403" t="s">
        <v>77</v>
      </c>
      <c r="Y403" t="s">
        <v>64</v>
      </c>
      <c r="Z403" t="s">
        <v>96</v>
      </c>
    </row>
    <row r="404" spans="1:26">
      <c r="A404" t="s">
        <v>931</v>
      </c>
      <c r="B404" t="s">
        <v>514</v>
      </c>
      <c r="C404" s="4">
        <v>46120</v>
      </c>
      <c r="D404" t="s">
        <v>294</v>
      </c>
      <c r="E404" t="s">
        <v>70</v>
      </c>
      <c r="F404" s="4">
        <v>46121</v>
      </c>
      <c r="G404" s="4">
        <v>46121</v>
      </c>
      <c r="H404" t="s">
        <v>201</v>
      </c>
      <c r="I404" t="s">
        <v>327</v>
      </c>
      <c r="J404" t="s">
        <v>281</v>
      </c>
      <c r="K404" t="s">
        <v>124</v>
      </c>
      <c r="L404" t="s">
        <v>94</v>
      </c>
      <c r="M404" s="5">
        <v>6000</v>
      </c>
      <c r="N404" s="5">
        <v>800</v>
      </c>
      <c r="O404" s="5">
        <v>1300</v>
      </c>
      <c r="P404" s="5">
        <v>0</v>
      </c>
      <c r="Q404" s="5">
        <v>9100</v>
      </c>
      <c r="R404" t="s">
        <v>75</v>
      </c>
      <c r="S404" t="s">
        <v>86</v>
      </c>
      <c r="T404" s="5">
        <v>4400</v>
      </c>
      <c r="U404" s="6">
        <v>4</v>
      </c>
      <c r="V404" t="s">
        <v>77</v>
      </c>
      <c r="W404" s="4">
        <v>46137</v>
      </c>
      <c r="Y404" t="s">
        <v>64</v>
      </c>
      <c r="Z404" t="s">
        <v>78</v>
      </c>
    </row>
    <row r="405" spans="1:26">
      <c r="A405" t="s">
        <v>932</v>
      </c>
      <c r="B405" t="s">
        <v>828</v>
      </c>
      <c r="C405" s="4">
        <v>46111</v>
      </c>
      <c r="D405" t="s">
        <v>168</v>
      </c>
      <c r="E405" t="s">
        <v>70</v>
      </c>
      <c r="F405" s="4">
        <v>46112</v>
      </c>
      <c r="G405" s="4">
        <v>46115</v>
      </c>
      <c r="H405" t="s">
        <v>150</v>
      </c>
      <c r="I405" t="s">
        <v>228</v>
      </c>
      <c r="J405" t="s">
        <v>229</v>
      </c>
      <c r="K405" t="s">
        <v>73</v>
      </c>
      <c r="L405" t="s">
        <v>74</v>
      </c>
      <c r="M405" s="5">
        <v>41200</v>
      </c>
      <c r="N405" s="5">
        <v>6600</v>
      </c>
      <c r="O405" s="5">
        <v>7300</v>
      </c>
      <c r="P405" s="5">
        <v>10500</v>
      </c>
      <c r="Q405" s="5">
        <v>67100</v>
      </c>
      <c r="R405" t="s">
        <v>106</v>
      </c>
      <c r="S405" t="s">
        <v>76</v>
      </c>
      <c r="T405" s="5">
        <v>24180</v>
      </c>
      <c r="U405" s="6">
        <v>3</v>
      </c>
      <c r="V405" t="s">
        <v>77</v>
      </c>
      <c r="W405" s="4">
        <v>46124</v>
      </c>
      <c r="X405" t="s">
        <v>64</v>
      </c>
      <c r="Y405" t="s">
        <v>64</v>
      </c>
      <c r="Z405" t="s">
        <v>96</v>
      </c>
    </row>
    <row r="406" spans="1:26">
      <c r="A406" t="s">
        <v>933</v>
      </c>
      <c r="B406" t="s">
        <v>934</v>
      </c>
      <c r="C406" s="4">
        <v>46027</v>
      </c>
      <c r="D406" t="s">
        <v>279</v>
      </c>
      <c r="E406" t="s">
        <v>70</v>
      </c>
      <c r="F406" s="4">
        <v>46027</v>
      </c>
      <c r="G406" s="4">
        <v>46028</v>
      </c>
      <c r="H406" t="s">
        <v>138</v>
      </c>
      <c r="I406" t="s">
        <v>352</v>
      </c>
      <c r="J406" t="s">
        <v>261</v>
      </c>
      <c r="K406" t="s">
        <v>60</v>
      </c>
      <c r="L406" t="s">
        <v>94</v>
      </c>
      <c r="M406" s="5">
        <v>4800</v>
      </c>
      <c r="N406" s="5">
        <v>650</v>
      </c>
      <c r="O406" s="5">
        <v>1100</v>
      </c>
      <c r="P406" s="5">
        <v>6000</v>
      </c>
      <c r="Q406" s="5">
        <v>14350</v>
      </c>
      <c r="R406" t="s">
        <v>95</v>
      </c>
      <c r="S406" t="s">
        <v>63</v>
      </c>
      <c r="T406" s="5">
        <v>14350</v>
      </c>
      <c r="U406" s="6">
        <v>4</v>
      </c>
      <c r="V406" t="s">
        <v>77</v>
      </c>
      <c r="W406" s="4">
        <v>46046</v>
      </c>
      <c r="X406" t="s">
        <v>77</v>
      </c>
      <c r="Y406" t="s">
        <v>64</v>
      </c>
      <c r="Z406" t="s">
        <v>78</v>
      </c>
    </row>
    <row r="407" spans="1:26">
      <c r="A407" t="s">
        <v>935</v>
      </c>
      <c r="B407" t="s">
        <v>936</v>
      </c>
      <c r="C407" s="4">
        <v>46125</v>
      </c>
      <c r="D407" t="s">
        <v>161</v>
      </c>
      <c r="E407" t="s">
        <v>70</v>
      </c>
      <c r="F407" s="4">
        <v>46125</v>
      </c>
      <c r="G407" s="4">
        <v>46125</v>
      </c>
      <c r="H407" t="s">
        <v>138</v>
      </c>
      <c r="I407" t="s">
        <v>343</v>
      </c>
      <c r="J407" t="s">
        <v>236</v>
      </c>
      <c r="K407" t="s">
        <v>60</v>
      </c>
      <c r="L407" t="s">
        <v>94</v>
      </c>
      <c r="M407" s="5">
        <v>30200</v>
      </c>
      <c r="N407" s="5">
        <v>3300</v>
      </c>
      <c r="O407" s="5">
        <v>3100</v>
      </c>
      <c r="P407" s="5">
        <v>0</v>
      </c>
      <c r="Q407" s="5">
        <v>38400</v>
      </c>
      <c r="R407" t="s">
        <v>95</v>
      </c>
      <c r="S407" t="s">
        <v>63</v>
      </c>
      <c r="T407" s="5">
        <v>38400</v>
      </c>
      <c r="U407" s="6">
        <v>5</v>
      </c>
      <c r="V407" t="s">
        <v>77</v>
      </c>
      <c r="W407" s="4">
        <v>46134</v>
      </c>
      <c r="X407" t="s">
        <v>77</v>
      </c>
      <c r="Y407" t="s">
        <v>64</v>
      </c>
      <c r="Z407" t="s">
        <v>96</v>
      </c>
    </row>
    <row r="408" spans="1:26">
      <c r="A408" t="s">
        <v>937</v>
      </c>
      <c r="B408" t="s">
        <v>342</v>
      </c>
      <c r="C408" s="4">
        <v>46122</v>
      </c>
      <c r="D408" t="s">
        <v>259</v>
      </c>
      <c r="E408" t="s">
        <v>177</v>
      </c>
      <c r="F408" s="4"/>
      <c r="G408" s="4"/>
      <c r="H408" t="s">
        <v>150</v>
      </c>
      <c r="I408" t="s">
        <v>187</v>
      </c>
      <c r="J408" t="s">
        <v>188</v>
      </c>
      <c r="K408" t="s">
        <v>60</v>
      </c>
      <c r="L408" t="s">
        <v>74</v>
      </c>
      <c r="M408" s="5"/>
      <c r="N408" s="5"/>
      <c r="O408" s="5"/>
      <c r="P408" s="5"/>
      <c r="Q408" s="5"/>
      <c r="R408" t="s">
        <v>134</v>
      </c>
      <c r="S408" t="s">
        <v>63</v>
      </c>
      <c r="T408" s="5"/>
      <c r="U408" s="6"/>
      <c r="V408" t="s">
        <v>64</v>
      </c>
      <c r="W408" s="4"/>
      <c r="X408" t="s">
        <v>65</v>
      </c>
      <c r="Z408" t="s">
        <v>66</v>
      </c>
    </row>
    <row r="409" spans="1:26">
      <c r="A409" t="s">
        <v>938</v>
      </c>
      <c r="B409" t="s">
        <v>186</v>
      </c>
      <c r="C409" s="4">
        <v>46117</v>
      </c>
      <c r="D409" t="s">
        <v>302</v>
      </c>
      <c r="E409" t="s">
        <v>70</v>
      </c>
      <c r="F409" s="4">
        <v>46117</v>
      </c>
      <c r="G409" s="4">
        <v>46119</v>
      </c>
      <c r="H409" t="s">
        <v>82</v>
      </c>
      <c r="I409" t="s">
        <v>369</v>
      </c>
      <c r="J409" t="s">
        <v>291</v>
      </c>
      <c r="K409" t="s">
        <v>93</v>
      </c>
      <c r="L409" t="s">
        <v>94</v>
      </c>
      <c r="M409" s="5">
        <v>37900</v>
      </c>
      <c r="N409" s="5">
        <v>4800</v>
      </c>
      <c r="O409" s="5">
        <v>5550</v>
      </c>
      <c r="P409" s="5">
        <v>7000</v>
      </c>
      <c r="Q409" s="5">
        <v>56050</v>
      </c>
      <c r="R409" t="s">
        <v>95</v>
      </c>
      <c r="S409" t="s">
        <v>63</v>
      </c>
      <c r="T409" s="5">
        <v>56050</v>
      </c>
      <c r="U409" s="6">
        <v>5</v>
      </c>
      <c r="V409" t="s">
        <v>64</v>
      </c>
      <c r="W409" s="4"/>
      <c r="X409" t="s">
        <v>65</v>
      </c>
      <c r="Y409" t="s">
        <v>64</v>
      </c>
      <c r="Z409" t="s">
        <v>107</v>
      </c>
    </row>
    <row r="410" spans="1:26">
      <c r="A410" t="s">
        <v>939</v>
      </c>
      <c r="B410" t="s">
        <v>360</v>
      </c>
      <c r="C410" s="4">
        <v>46068</v>
      </c>
      <c r="D410" t="s">
        <v>200</v>
      </c>
      <c r="E410" t="s">
        <v>70</v>
      </c>
      <c r="F410" s="4">
        <v>46068</v>
      </c>
      <c r="G410" s="4">
        <v>46068</v>
      </c>
      <c r="H410" t="s">
        <v>57</v>
      </c>
      <c r="I410" t="s">
        <v>211</v>
      </c>
      <c r="J410" t="s">
        <v>72</v>
      </c>
      <c r="K410" t="s">
        <v>60</v>
      </c>
      <c r="L410" t="s">
        <v>94</v>
      </c>
      <c r="M410" s="5">
        <v>8200</v>
      </c>
      <c r="N410" s="5">
        <v>1450</v>
      </c>
      <c r="O410" s="5">
        <v>1200</v>
      </c>
      <c r="P410" s="5">
        <v>0</v>
      </c>
      <c r="Q410" s="5">
        <v>12850</v>
      </c>
      <c r="R410" t="s">
        <v>75</v>
      </c>
      <c r="S410" t="s">
        <v>76</v>
      </c>
      <c r="T410" s="5">
        <v>6080</v>
      </c>
      <c r="U410" s="6">
        <v>5</v>
      </c>
      <c r="V410" t="s">
        <v>64</v>
      </c>
      <c r="W410" s="4"/>
      <c r="X410" t="s">
        <v>65</v>
      </c>
      <c r="Y410" t="s">
        <v>64</v>
      </c>
      <c r="Z410" t="s">
        <v>96</v>
      </c>
    </row>
    <row r="411" spans="1:26">
      <c r="A411" t="s">
        <v>940</v>
      </c>
      <c r="B411" t="s">
        <v>941</v>
      </c>
      <c r="C411" s="4">
        <v>46046</v>
      </c>
      <c r="D411" t="s">
        <v>137</v>
      </c>
      <c r="E411" t="s">
        <v>70</v>
      </c>
      <c r="F411" s="4">
        <v>46046</v>
      </c>
      <c r="G411" s="4">
        <v>46047</v>
      </c>
      <c r="H411" t="s">
        <v>150</v>
      </c>
      <c r="I411" t="s">
        <v>304</v>
      </c>
      <c r="J411" t="s">
        <v>152</v>
      </c>
      <c r="K411" t="s">
        <v>124</v>
      </c>
      <c r="L411" t="s">
        <v>94</v>
      </c>
      <c r="M411" s="5">
        <v>25300</v>
      </c>
      <c r="N411" s="5">
        <v>2550</v>
      </c>
      <c r="O411" s="5">
        <v>4800</v>
      </c>
      <c r="P411" s="5">
        <v>3000</v>
      </c>
      <c r="Q411" s="5">
        <v>36850</v>
      </c>
      <c r="R411" t="s">
        <v>141</v>
      </c>
      <c r="S411" t="s">
        <v>76</v>
      </c>
      <c r="T411" s="5">
        <v>6730</v>
      </c>
      <c r="U411" s="6">
        <v>4</v>
      </c>
      <c r="V411" t="s">
        <v>64</v>
      </c>
      <c r="W411" s="4"/>
      <c r="X411" t="s">
        <v>65</v>
      </c>
      <c r="Y411" t="s">
        <v>64</v>
      </c>
      <c r="Z411" t="s">
        <v>107</v>
      </c>
    </row>
    <row r="412" spans="1:26">
      <c r="A412" t="s">
        <v>942</v>
      </c>
      <c r="B412" t="s">
        <v>943</v>
      </c>
      <c r="C412" s="4">
        <v>46122</v>
      </c>
      <c r="D412" t="s">
        <v>137</v>
      </c>
      <c r="E412" t="s">
        <v>177</v>
      </c>
      <c r="F412" s="4"/>
      <c r="G412" s="4"/>
      <c r="H412" t="s">
        <v>178</v>
      </c>
      <c r="I412" t="s">
        <v>179</v>
      </c>
      <c r="J412" t="s">
        <v>340</v>
      </c>
      <c r="K412" t="s">
        <v>73</v>
      </c>
      <c r="L412" t="s">
        <v>94</v>
      </c>
      <c r="M412" s="5"/>
      <c r="N412" s="5"/>
      <c r="O412" s="5"/>
      <c r="P412" s="5"/>
      <c r="Q412" s="5"/>
      <c r="R412" t="s">
        <v>95</v>
      </c>
      <c r="S412" t="s">
        <v>63</v>
      </c>
      <c r="T412" s="5"/>
      <c r="U412" s="6"/>
      <c r="V412" t="s">
        <v>64</v>
      </c>
      <c r="W412" s="4"/>
      <c r="X412" t="s">
        <v>65</v>
      </c>
      <c r="Z412" t="s">
        <v>66</v>
      </c>
    </row>
    <row r="413" spans="1:26">
      <c r="A413" t="s">
        <v>944</v>
      </c>
      <c r="B413" t="s">
        <v>945</v>
      </c>
      <c r="C413" s="4">
        <v>46076</v>
      </c>
      <c r="D413" t="s">
        <v>225</v>
      </c>
      <c r="E413" t="s">
        <v>70</v>
      </c>
      <c r="F413" s="4">
        <v>46076</v>
      </c>
      <c r="G413" s="4">
        <v>46076</v>
      </c>
      <c r="H413" t="s">
        <v>90</v>
      </c>
      <c r="I413" t="s">
        <v>91</v>
      </c>
      <c r="J413" t="s">
        <v>197</v>
      </c>
      <c r="K413" t="s">
        <v>60</v>
      </c>
      <c r="L413" t="s">
        <v>74</v>
      </c>
      <c r="M413" s="5">
        <v>19700</v>
      </c>
      <c r="N413" s="5">
        <v>2250</v>
      </c>
      <c r="O413" s="5">
        <v>3850</v>
      </c>
      <c r="P413" s="5">
        <v>0</v>
      </c>
      <c r="Q413" s="5">
        <v>27000</v>
      </c>
      <c r="R413" t="s">
        <v>141</v>
      </c>
      <c r="S413" t="s">
        <v>76</v>
      </c>
      <c r="T413" s="5">
        <v>5250</v>
      </c>
      <c r="U413" s="6">
        <v>5</v>
      </c>
      <c r="V413" t="s">
        <v>64</v>
      </c>
      <c r="W413" s="4"/>
      <c r="X413" t="s">
        <v>65</v>
      </c>
      <c r="Y413" t="s">
        <v>64</v>
      </c>
      <c r="Z413" t="s">
        <v>107</v>
      </c>
    </row>
    <row r="414" spans="1:26">
      <c r="A414" t="s">
        <v>946</v>
      </c>
      <c r="B414" t="s">
        <v>704</v>
      </c>
      <c r="C414" s="4">
        <v>46042</v>
      </c>
      <c r="D414" t="s">
        <v>206</v>
      </c>
      <c r="E414" t="s">
        <v>314</v>
      </c>
      <c r="F414" s="4"/>
      <c r="G414" s="4"/>
      <c r="H414" t="s">
        <v>121</v>
      </c>
      <c r="I414" t="s">
        <v>386</v>
      </c>
      <c r="J414" t="s">
        <v>256</v>
      </c>
      <c r="K414" t="s">
        <v>73</v>
      </c>
      <c r="L414" t="s">
        <v>94</v>
      </c>
      <c r="M414" s="5"/>
      <c r="N414" s="5"/>
      <c r="O414" s="5"/>
      <c r="P414" s="5"/>
      <c r="Q414" s="5"/>
      <c r="R414" t="s">
        <v>75</v>
      </c>
      <c r="S414" t="s">
        <v>63</v>
      </c>
      <c r="T414" s="5"/>
      <c r="U414" s="6"/>
      <c r="V414" t="s">
        <v>64</v>
      </c>
      <c r="W414" s="4"/>
      <c r="X414" t="s">
        <v>65</v>
      </c>
      <c r="Z414" t="s">
        <v>66</v>
      </c>
    </row>
    <row r="415" spans="1:26">
      <c r="A415" t="s">
        <v>947</v>
      </c>
      <c r="B415" t="s">
        <v>653</v>
      </c>
      <c r="C415" s="4">
        <v>46124</v>
      </c>
      <c r="D415" t="s">
        <v>284</v>
      </c>
      <c r="E415" t="s">
        <v>70</v>
      </c>
      <c r="F415" s="4">
        <v>46125</v>
      </c>
      <c r="G415" s="4">
        <v>46125</v>
      </c>
      <c r="H415" t="s">
        <v>111</v>
      </c>
      <c r="I415" t="s">
        <v>112</v>
      </c>
      <c r="J415" t="s">
        <v>117</v>
      </c>
      <c r="K415" t="s">
        <v>60</v>
      </c>
      <c r="L415" t="s">
        <v>61</v>
      </c>
      <c r="M415" s="5">
        <v>6900</v>
      </c>
      <c r="N415" s="5">
        <v>650</v>
      </c>
      <c r="O415" s="5">
        <v>900</v>
      </c>
      <c r="P415" s="5">
        <v>0</v>
      </c>
      <c r="Q415" s="5">
        <v>9250</v>
      </c>
      <c r="R415" t="s">
        <v>85</v>
      </c>
      <c r="S415" t="s">
        <v>76</v>
      </c>
      <c r="T415" s="5">
        <v>3210</v>
      </c>
      <c r="U415" s="6">
        <v>4</v>
      </c>
      <c r="V415" t="s">
        <v>77</v>
      </c>
      <c r="W415" s="4">
        <v>46136</v>
      </c>
      <c r="X415" t="s">
        <v>77</v>
      </c>
      <c r="Y415" t="s">
        <v>64</v>
      </c>
      <c r="Z415" t="s">
        <v>96</v>
      </c>
    </row>
    <row r="416" spans="1:26">
      <c r="A416" t="s">
        <v>948</v>
      </c>
      <c r="B416" t="s">
        <v>540</v>
      </c>
      <c r="C416" s="4">
        <v>46033</v>
      </c>
      <c r="D416" t="s">
        <v>168</v>
      </c>
      <c r="E416" t="s">
        <v>70</v>
      </c>
      <c r="F416" s="4">
        <v>46034</v>
      </c>
      <c r="G416" s="4">
        <v>46040</v>
      </c>
      <c r="H416" t="s">
        <v>178</v>
      </c>
      <c r="I416" t="s">
        <v>415</v>
      </c>
      <c r="J416" t="s">
        <v>358</v>
      </c>
      <c r="K416" t="s">
        <v>93</v>
      </c>
      <c r="L416" t="s">
        <v>74</v>
      </c>
      <c r="M416" s="5">
        <v>48400</v>
      </c>
      <c r="N416" s="5">
        <v>4350</v>
      </c>
      <c r="O416" s="5">
        <v>10250</v>
      </c>
      <c r="P416" s="5">
        <v>27000</v>
      </c>
      <c r="Q416" s="5">
        <v>90800</v>
      </c>
      <c r="R416" t="s">
        <v>95</v>
      </c>
      <c r="S416" t="s">
        <v>63</v>
      </c>
      <c r="T416" s="5">
        <v>90800</v>
      </c>
      <c r="U416" s="6">
        <v>1</v>
      </c>
      <c r="V416" t="s">
        <v>77</v>
      </c>
      <c r="W416" s="4">
        <v>46047</v>
      </c>
      <c r="X416" t="s">
        <v>64</v>
      </c>
      <c r="Y416" t="s">
        <v>64</v>
      </c>
      <c r="Z416" t="s">
        <v>96</v>
      </c>
    </row>
    <row r="417" spans="1:26">
      <c r="A417" t="s">
        <v>949</v>
      </c>
      <c r="B417" t="s">
        <v>950</v>
      </c>
      <c r="C417" s="4">
        <v>46139</v>
      </c>
      <c r="D417" t="s">
        <v>294</v>
      </c>
      <c r="E417" t="s">
        <v>177</v>
      </c>
      <c r="F417" s="4"/>
      <c r="G417" s="4"/>
      <c r="H417" t="s">
        <v>178</v>
      </c>
      <c r="I417" t="s">
        <v>415</v>
      </c>
      <c r="J417" t="s">
        <v>180</v>
      </c>
      <c r="K417" t="s">
        <v>60</v>
      </c>
      <c r="L417" t="s">
        <v>94</v>
      </c>
      <c r="M417" s="5"/>
      <c r="N417" s="5"/>
      <c r="O417" s="5"/>
      <c r="P417" s="5"/>
      <c r="Q417" s="5"/>
      <c r="R417" t="s">
        <v>141</v>
      </c>
      <c r="S417" t="s">
        <v>63</v>
      </c>
      <c r="T417" s="5"/>
      <c r="U417" s="6"/>
      <c r="V417" t="s">
        <v>64</v>
      </c>
      <c r="W417" s="4"/>
      <c r="X417" t="s">
        <v>65</v>
      </c>
      <c r="Z417" t="s">
        <v>66</v>
      </c>
    </row>
    <row r="418" spans="1:26">
      <c r="A418" t="s">
        <v>951</v>
      </c>
      <c r="B418" t="s">
        <v>313</v>
      </c>
      <c r="C418" s="4">
        <v>46153</v>
      </c>
      <c r="D418" t="s">
        <v>469</v>
      </c>
      <c r="E418" t="s">
        <v>70</v>
      </c>
      <c r="F418" s="4">
        <v>46154</v>
      </c>
      <c r="G418" s="4">
        <v>46154</v>
      </c>
      <c r="H418" t="s">
        <v>111</v>
      </c>
      <c r="I418" t="s">
        <v>222</v>
      </c>
      <c r="J418" t="s">
        <v>384</v>
      </c>
      <c r="K418" t="s">
        <v>60</v>
      </c>
      <c r="L418" t="s">
        <v>94</v>
      </c>
      <c r="M418" s="5">
        <v>65000</v>
      </c>
      <c r="N418" s="5">
        <v>9250</v>
      </c>
      <c r="O418" s="5">
        <v>16100</v>
      </c>
      <c r="P418" s="5">
        <v>0</v>
      </c>
      <c r="Q418" s="5">
        <v>91350</v>
      </c>
      <c r="R418" t="s">
        <v>95</v>
      </c>
      <c r="S418" t="s">
        <v>63</v>
      </c>
      <c r="T418" s="5">
        <v>91350</v>
      </c>
      <c r="U418" s="6"/>
      <c r="V418" t="s">
        <v>77</v>
      </c>
      <c r="W418" s="4">
        <v>46161</v>
      </c>
      <c r="X418" t="s">
        <v>77</v>
      </c>
      <c r="Y418" t="s">
        <v>64</v>
      </c>
      <c r="Z418" t="s">
        <v>78</v>
      </c>
    </row>
    <row r="419" spans="1:26">
      <c r="A419" t="s">
        <v>952</v>
      </c>
      <c r="B419" t="s">
        <v>817</v>
      </c>
      <c r="C419" s="4">
        <v>46158</v>
      </c>
      <c r="D419" t="s">
        <v>110</v>
      </c>
      <c r="E419" t="s">
        <v>70</v>
      </c>
      <c r="F419" s="4">
        <v>46158</v>
      </c>
      <c r="G419" s="4">
        <v>46158</v>
      </c>
      <c r="H419" t="s">
        <v>150</v>
      </c>
      <c r="I419" t="s">
        <v>239</v>
      </c>
      <c r="J419" t="s">
        <v>188</v>
      </c>
      <c r="K419" t="s">
        <v>60</v>
      </c>
      <c r="L419" t="s">
        <v>74</v>
      </c>
      <c r="M419" s="5">
        <v>100400</v>
      </c>
      <c r="N419" s="5">
        <v>8500</v>
      </c>
      <c r="O419" s="5">
        <v>15600</v>
      </c>
      <c r="P419" s="5">
        <v>0</v>
      </c>
      <c r="Q419" s="5">
        <v>126300</v>
      </c>
      <c r="R419" t="s">
        <v>85</v>
      </c>
      <c r="S419" t="s">
        <v>76</v>
      </c>
      <c r="T419" s="5">
        <v>32480</v>
      </c>
      <c r="U419" s="6">
        <v>3</v>
      </c>
      <c r="V419" t="s">
        <v>77</v>
      </c>
      <c r="W419" s="4">
        <v>46167</v>
      </c>
      <c r="X419" t="s">
        <v>64</v>
      </c>
      <c r="Y419" t="s">
        <v>64</v>
      </c>
      <c r="Z419" t="s">
        <v>78</v>
      </c>
    </row>
    <row r="420" spans="1:26">
      <c r="A420" t="s">
        <v>953</v>
      </c>
      <c r="B420" t="s">
        <v>954</v>
      </c>
      <c r="C420" s="4">
        <v>46119</v>
      </c>
      <c r="D420" t="s">
        <v>55</v>
      </c>
      <c r="E420" t="s">
        <v>70</v>
      </c>
      <c r="F420" s="4">
        <v>46119</v>
      </c>
      <c r="G420" s="4">
        <v>46125</v>
      </c>
      <c r="H420" t="s">
        <v>57</v>
      </c>
      <c r="I420" t="s">
        <v>211</v>
      </c>
      <c r="J420" t="s">
        <v>170</v>
      </c>
      <c r="K420" t="s">
        <v>73</v>
      </c>
      <c r="L420" t="s">
        <v>61</v>
      </c>
      <c r="M420" s="5">
        <v>64100</v>
      </c>
      <c r="N420" s="5">
        <v>8750</v>
      </c>
      <c r="O420" s="5">
        <v>7800</v>
      </c>
      <c r="P420" s="5">
        <v>36000</v>
      </c>
      <c r="Q420" s="5">
        <v>118650</v>
      </c>
      <c r="R420" t="s">
        <v>75</v>
      </c>
      <c r="S420" t="s">
        <v>76</v>
      </c>
      <c r="T420" s="5">
        <v>53690</v>
      </c>
      <c r="U420" s="6">
        <v>4</v>
      </c>
      <c r="V420" t="s">
        <v>77</v>
      </c>
      <c r="W420" s="4">
        <v>46136</v>
      </c>
      <c r="X420" t="s">
        <v>77</v>
      </c>
      <c r="Y420" t="s">
        <v>64</v>
      </c>
      <c r="Z420" t="s">
        <v>107</v>
      </c>
    </row>
    <row r="421" spans="1:26">
      <c r="A421" t="s">
        <v>955</v>
      </c>
      <c r="B421" t="s">
        <v>956</v>
      </c>
      <c r="C421" s="4">
        <v>46133</v>
      </c>
      <c r="D421" t="s">
        <v>439</v>
      </c>
      <c r="E421" t="s">
        <v>70</v>
      </c>
      <c r="F421" s="4">
        <v>46134</v>
      </c>
      <c r="G421" s="4">
        <v>46139</v>
      </c>
      <c r="H421" t="s">
        <v>111</v>
      </c>
      <c r="I421" t="s">
        <v>112</v>
      </c>
      <c r="J421" t="s">
        <v>113</v>
      </c>
      <c r="K421" t="s">
        <v>124</v>
      </c>
      <c r="L421" t="s">
        <v>146</v>
      </c>
      <c r="M421" s="5">
        <v>21500</v>
      </c>
      <c r="N421" s="5">
        <v>2600</v>
      </c>
      <c r="O421" s="5">
        <v>5050</v>
      </c>
      <c r="P421" s="5">
        <v>22500</v>
      </c>
      <c r="Q421" s="5">
        <v>52450</v>
      </c>
      <c r="R421" t="s">
        <v>75</v>
      </c>
      <c r="S421" t="s">
        <v>76</v>
      </c>
      <c r="T421" s="5">
        <v>23900</v>
      </c>
      <c r="U421" s="6">
        <v>4</v>
      </c>
      <c r="V421" t="s">
        <v>77</v>
      </c>
      <c r="W421" s="4">
        <v>46157</v>
      </c>
      <c r="X421" t="s">
        <v>77</v>
      </c>
      <c r="Y421" t="s">
        <v>64</v>
      </c>
      <c r="Z421" t="s">
        <v>78</v>
      </c>
    </row>
    <row r="422" spans="1:26">
      <c r="A422" t="s">
        <v>957</v>
      </c>
      <c r="B422" t="s">
        <v>709</v>
      </c>
      <c r="C422" s="4">
        <v>46027</v>
      </c>
      <c r="D422" t="s">
        <v>206</v>
      </c>
      <c r="E422" t="s">
        <v>56</v>
      </c>
      <c r="F422" s="4"/>
      <c r="G422" s="4"/>
      <c r="H422" t="s">
        <v>57</v>
      </c>
      <c r="I422" t="s">
        <v>211</v>
      </c>
      <c r="J422" t="s">
        <v>59</v>
      </c>
      <c r="K422" t="s">
        <v>124</v>
      </c>
      <c r="L422" t="s">
        <v>61</v>
      </c>
      <c r="M422" s="5"/>
      <c r="N422" s="5"/>
      <c r="O422" s="5"/>
      <c r="P422" s="5"/>
      <c r="Q422" s="5"/>
      <c r="R422" t="s">
        <v>106</v>
      </c>
      <c r="S422" t="s">
        <v>63</v>
      </c>
      <c r="T422" s="5"/>
      <c r="U422" s="6"/>
      <c r="V422" t="s">
        <v>64</v>
      </c>
      <c r="W422" s="4"/>
      <c r="X422" t="s">
        <v>65</v>
      </c>
      <c r="Z422" t="s">
        <v>66</v>
      </c>
    </row>
    <row r="423" spans="1:26">
      <c r="A423" t="s">
        <v>958</v>
      </c>
      <c r="B423" t="s">
        <v>371</v>
      </c>
      <c r="C423" s="4">
        <v>46030</v>
      </c>
      <c r="D423" t="s">
        <v>469</v>
      </c>
      <c r="E423" t="s">
        <v>70</v>
      </c>
      <c r="F423" s="4">
        <v>46030</v>
      </c>
      <c r="G423" s="4">
        <v>46037</v>
      </c>
      <c r="H423" t="s">
        <v>103</v>
      </c>
      <c r="I423" t="s">
        <v>364</v>
      </c>
      <c r="J423" t="s">
        <v>244</v>
      </c>
      <c r="K423" t="s">
        <v>124</v>
      </c>
      <c r="L423" t="s">
        <v>74</v>
      </c>
      <c r="M423" s="5">
        <v>52600</v>
      </c>
      <c r="N423" s="5">
        <v>8350</v>
      </c>
      <c r="O423" s="5">
        <v>8300</v>
      </c>
      <c r="P423" s="5">
        <v>31500</v>
      </c>
      <c r="Q423" s="5">
        <v>101550</v>
      </c>
      <c r="R423" t="s">
        <v>106</v>
      </c>
      <c r="S423" t="s">
        <v>76</v>
      </c>
      <c r="T423" s="5">
        <v>36240</v>
      </c>
      <c r="U423" s="6">
        <v>4</v>
      </c>
      <c r="V423" t="s">
        <v>77</v>
      </c>
      <c r="W423" s="4">
        <v>46052</v>
      </c>
      <c r="X423" t="s">
        <v>77</v>
      </c>
      <c r="Y423" t="s">
        <v>64</v>
      </c>
      <c r="Z423" t="s">
        <v>107</v>
      </c>
    </row>
    <row r="424" spans="1:26">
      <c r="A424" t="s">
        <v>959</v>
      </c>
      <c r="B424" t="s">
        <v>783</v>
      </c>
      <c r="C424" s="4">
        <v>46091</v>
      </c>
      <c r="D424" t="s">
        <v>432</v>
      </c>
      <c r="E424" t="s">
        <v>70</v>
      </c>
      <c r="F424" s="4">
        <v>46091</v>
      </c>
      <c r="G424" s="4">
        <v>46099</v>
      </c>
      <c r="H424" t="s">
        <v>82</v>
      </c>
      <c r="I424" t="s">
        <v>369</v>
      </c>
      <c r="J424" t="s">
        <v>156</v>
      </c>
      <c r="K424" t="s">
        <v>124</v>
      </c>
      <c r="L424" t="s">
        <v>74</v>
      </c>
      <c r="M424" s="5">
        <v>76900</v>
      </c>
      <c r="N424" s="5">
        <v>7850</v>
      </c>
      <c r="O424" s="5">
        <v>7750</v>
      </c>
      <c r="P424" s="5">
        <v>48000</v>
      </c>
      <c r="Q424" s="5">
        <v>141300</v>
      </c>
      <c r="R424" t="s">
        <v>141</v>
      </c>
      <c r="S424" t="s">
        <v>76</v>
      </c>
      <c r="T424" s="5">
        <v>22400</v>
      </c>
      <c r="U424" s="6">
        <v>4</v>
      </c>
      <c r="V424" t="s">
        <v>77</v>
      </c>
      <c r="W424" s="4">
        <v>46106</v>
      </c>
      <c r="X424" t="s">
        <v>77</v>
      </c>
      <c r="Y424" t="s">
        <v>64</v>
      </c>
      <c r="Z424" t="s">
        <v>96</v>
      </c>
    </row>
    <row r="425" spans="1:26">
      <c r="A425" t="s">
        <v>960</v>
      </c>
      <c r="B425" t="s">
        <v>627</v>
      </c>
      <c r="C425" s="4">
        <v>46119</v>
      </c>
      <c r="D425" t="s">
        <v>419</v>
      </c>
      <c r="E425" t="s">
        <v>70</v>
      </c>
      <c r="F425" s="4">
        <v>46119</v>
      </c>
      <c r="G425" s="4">
        <v>46119</v>
      </c>
      <c r="H425" t="s">
        <v>90</v>
      </c>
      <c r="I425" t="s">
        <v>388</v>
      </c>
      <c r="J425" t="s">
        <v>92</v>
      </c>
      <c r="K425" t="s">
        <v>60</v>
      </c>
      <c r="L425" t="s">
        <v>74</v>
      </c>
      <c r="M425" s="5">
        <v>55800</v>
      </c>
      <c r="N425" s="5">
        <v>8800</v>
      </c>
      <c r="O425" s="5">
        <v>12800</v>
      </c>
      <c r="P425" s="5">
        <v>0</v>
      </c>
      <c r="Q425" s="5">
        <v>78900</v>
      </c>
      <c r="R425" t="s">
        <v>141</v>
      </c>
      <c r="S425" t="s">
        <v>86</v>
      </c>
      <c r="T425" s="5">
        <v>13040</v>
      </c>
      <c r="U425" s="6">
        <v>3</v>
      </c>
      <c r="V425" t="s">
        <v>64</v>
      </c>
      <c r="W425" s="4"/>
      <c r="X425" t="s">
        <v>65</v>
      </c>
      <c r="Y425" t="s">
        <v>64</v>
      </c>
      <c r="Z425" t="s">
        <v>96</v>
      </c>
    </row>
    <row r="426" spans="1:26">
      <c r="A426" t="s">
        <v>961</v>
      </c>
      <c r="B426" t="s">
        <v>962</v>
      </c>
      <c r="C426" s="4">
        <v>46064</v>
      </c>
      <c r="D426" t="s">
        <v>234</v>
      </c>
      <c r="E426" t="s">
        <v>56</v>
      </c>
      <c r="F426" s="4"/>
      <c r="G426" s="4"/>
      <c r="H426" t="s">
        <v>103</v>
      </c>
      <c r="I426" t="s">
        <v>207</v>
      </c>
      <c r="J426" t="s">
        <v>244</v>
      </c>
      <c r="K426" t="s">
        <v>124</v>
      </c>
      <c r="L426" t="s">
        <v>74</v>
      </c>
      <c r="M426" s="5"/>
      <c r="N426" s="5"/>
      <c r="O426" s="5"/>
      <c r="P426" s="5"/>
      <c r="Q426" s="5"/>
      <c r="R426" t="s">
        <v>106</v>
      </c>
      <c r="S426" t="s">
        <v>63</v>
      </c>
      <c r="T426" s="5"/>
      <c r="U426" s="6"/>
      <c r="V426" t="s">
        <v>64</v>
      </c>
      <c r="W426" s="4"/>
      <c r="X426" t="s">
        <v>65</v>
      </c>
      <c r="Z426" t="s">
        <v>66</v>
      </c>
    </row>
    <row r="427" spans="1:26">
      <c r="A427" t="s">
        <v>963</v>
      </c>
      <c r="B427" t="s">
        <v>964</v>
      </c>
      <c r="C427" s="4">
        <v>46046</v>
      </c>
      <c r="D427" t="s">
        <v>266</v>
      </c>
      <c r="E427" t="s">
        <v>56</v>
      </c>
      <c r="F427" s="4"/>
      <c r="G427" s="4"/>
      <c r="H427" t="s">
        <v>111</v>
      </c>
      <c r="I427" t="s">
        <v>397</v>
      </c>
      <c r="J427" t="s">
        <v>384</v>
      </c>
      <c r="K427" t="s">
        <v>93</v>
      </c>
      <c r="L427" t="s">
        <v>94</v>
      </c>
      <c r="M427" s="5"/>
      <c r="N427" s="5"/>
      <c r="O427" s="5"/>
      <c r="P427" s="5"/>
      <c r="Q427" s="5"/>
      <c r="R427" t="s">
        <v>95</v>
      </c>
      <c r="S427" t="s">
        <v>63</v>
      </c>
      <c r="T427" s="5"/>
      <c r="U427" s="6"/>
      <c r="V427" t="s">
        <v>64</v>
      </c>
      <c r="W427" s="4"/>
      <c r="X427" t="s">
        <v>65</v>
      </c>
      <c r="Z427" t="s">
        <v>66</v>
      </c>
    </row>
    <row r="428" spans="1:26">
      <c r="A428" t="s">
        <v>965</v>
      </c>
      <c r="B428" t="s">
        <v>881</v>
      </c>
      <c r="C428" s="4">
        <v>46028</v>
      </c>
      <c r="D428" t="s">
        <v>250</v>
      </c>
      <c r="E428" t="s">
        <v>70</v>
      </c>
      <c r="F428" s="4">
        <v>46028</v>
      </c>
      <c r="G428" s="4">
        <v>46028</v>
      </c>
      <c r="H428" t="s">
        <v>57</v>
      </c>
      <c r="I428" t="s">
        <v>184</v>
      </c>
      <c r="J428" t="s">
        <v>59</v>
      </c>
      <c r="K428" t="s">
        <v>60</v>
      </c>
      <c r="L428" t="s">
        <v>61</v>
      </c>
      <c r="M428" s="5">
        <v>71300</v>
      </c>
      <c r="N428" s="5">
        <v>7150</v>
      </c>
      <c r="O428" s="5">
        <v>16900</v>
      </c>
      <c r="P428" s="5">
        <v>0</v>
      </c>
      <c r="Q428" s="5">
        <v>96550</v>
      </c>
      <c r="R428" t="s">
        <v>141</v>
      </c>
      <c r="S428" t="s">
        <v>76</v>
      </c>
      <c r="T428" s="5">
        <v>15680</v>
      </c>
      <c r="U428" s="6">
        <v>4</v>
      </c>
      <c r="V428" t="s">
        <v>64</v>
      </c>
      <c r="W428" s="4"/>
      <c r="X428" t="s">
        <v>65</v>
      </c>
      <c r="Y428" t="s">
        <v>64</v>
      </c>
      <c r="Z428" t="s">
        <v>96</v>
      </c>
    </row>
    <row r="429" spans="1:26">
      <c r="A429" t="s">
        <v>966</v>
      </c>
      <c r="B429" t="s">
        <v>233</v>
      </c>
      <c r="C429" s="4">
        <v>46104</v>
      </c>
      <c r="D429" t="s">
        <v>110</v>
      </c>
      <c r="E429" t="s">
        <v>70</v>
      </c>
      <c r="F429" s="4">
        <v>46104</v>
      </c>
      <c r="G429" s="4">
        <v>46106</v>
      </c>
      <c r="H429" t="s">
        <v>111</v>
      </c>
      <c r="I429" t="s">
        <v>397</v>
      </c>
      <c r="J429" t="s">
        <v>117</v>
      </c>
      <c r="K429" t="s">
        <v>73</v>
      </c>
      <c r="L429" t="s">
        <v>74</v>
      </c>
      <c r="M429" s="5">
        <v>5700</v>
      </c>
      <c r="N429" s="5">
        <v>700</v>
      </c>
      <c r="O429" s="5">
        <v>1350</v>
      </c>
      <c r="P429" s="5">
        <v>12000</v>
      </c>
      <c r="Q429" s="5">
        <v>21750</v>
      </c>
      <c r="R429" t="s">
        <v>106</v>
      </c>
      <c r="S429" t="s">
        <v>76</v>
      </c>
      <c r="T429" s="5">
        <v>8310</v>
      </c>
      <c r="U429" s="6">
        <v>3</v>
      </c>
      <c r="V429" t="s">
        <v>77</v>
      </c>
      <c r="W429" s="4">
        <v>46115</v>
      </c>
      <c r="X429" t="s">
        <v>64</v>
      </c>
      <c r="Y429" t="s">
        <v>64</v>
      </c>
      <c r="Z429" t="s">
        <v>96</v>
      </c>
    </row>
    <row r="430" spans="1:26">
      <c r="A430" t="s">
        <v>967</v>
      </c>
      <c r="B430" t="s">
        <v>968</v>
      </c>
      <c r="C430" s="4">
        <v>46138</v>
      </c>
      <c r="D430" t="s">
        <v>210</v>
      </c>
      <c r="E430" t="s">
        <v>314</v>
      </c>
      <c r="F430" s="4"/>
      <c r="G430" s="4"/>
      <c r="H430" t="s">
        <v>201</v>
      </c>
      <c r="I430" t="s">
        <v>449</v>
      </c>
      <c r="J430" t="s">
        <v>281</v>
      </c>
      <c r="K430" t="s">
        <v>60</v>
      </c>
      <c r="L430" t="s">
        <v>94</v>
      </c>
      <c r="M430" s="5"/>
      <c r="N430" s="5"/>
      <c r="O430" s="5"/>
      <c r="P430" s="5"/>
      <c r="Q430" s="5"/>
      <c r="R430" t="s">
        <v>62</v>
      </c>
      <c r="S430" t="s">
        <v>63</v>
      </c>
      <c r="T430" s="5"/>
      <c r="U430" s="6"/>
      <c r="V430" t="s">
        <v>64</v>
      </c>
      <c r="W430" s="4"/>
      <c r="X430" t="s">
        <v>65</v>
      </c>
      <c r="Z430" t="s">
        <v>66</v>
      </c>
    </row>
    <row r="431" spans="1:26">
      <c r="A431" t="s">
        <v>969</v>
      </c>
      <c r="B431" t="s">
        <v>970</v>
      </c>
      <c r="C431" s="4">
        <v>46070</v>
      </c>
      <c r="D431" t="s">
        <v>81</v>
      </c>
      <c r="E431" t="s">
        <v>314</v>
      </c>
      <c r="F431" s="4"/>
      <c r="G431" s="4"/>
      <c r="H431" t="s">
        <v>57</v>
      </c>
      <c r="I431" t="s">
        <v>71</v>
      </c>
      <c r="J431" t="s">
        <v>59</v>
      </c>
      <c r="K431" t="s">
        <v>124</v>
      </c>
      <c r="L431" t="s">
        <v>94</v>
      </c>
      <c r="M431" s="5"/>
      <c r="N431" s="5"/>
      <c r="O431" s="5"/>
      <c r="P431" s="5"/>
      <c r="Q431" s="5"/>
      <c r="R431" t="s">
        <v>95</v>
      </c>
      <c r="S431" t="s">
        <v>63</v>
      </c>
      <c r="T431" s="5"/>
      <c r="U431" s="6"/>
      <c r="V431" t="s">
        <v>64</v>
      </c>
      <c r="W431" s="4"/>
      <c r="X431" t="s">
        <v>65</v>
      </c>
      <c r="Z431" t="s">
        <v>66</v>
      </c>
    </row>
    <row r="432" spans="1:26">
      <c r="A432" t="s">
        <v>971</v>
      </c>
      <c r="B432" t="s">
        <v>80</v>
      </c>
      <c r="C432" s="4">
        <v>46072</v>
      </c>
      <c r="D432" t="s">
        <v>55</v>
      </c>
      <c r="E432" t="s">
        <v>70</v>
      </c>
      <c r="F432" s="4">
        <v>46073</v>
      </c>
      <c r="G432" s="4">
        <v>46075</v>
      </c>
      <c r="H432" t="s">
        <v>57</v>
      </c>
      <c r="I432" t="s">
        <v>100</v>
      </c>
      <c r="J432" t="s">
        <v>72</v>
      </c>
      <c r="K432" t="s">
        <v>73</v>
      </c>
      <c r="L432" t="s">
        <v>94</v>
      </c>
      <c r="M432" s="5">
        <v>7400</v>
      </c>
      <c r="N432" s="5">
        <v>1150</v>
      </c>
      <c r="O432" s="5">
        <v>1700</v>
      </c>
      <c r="P432" s="5">
        <v>6000</v>
      </c>
      <c r="Q432" s="5">
        <v>18250</v>
      </c>
      <c r="R432" t="s">
        <v>95</v>
      </c>
      <c r="S432" t="s">
        <v>63</v>
      </c>
      <c r="T432" s="5">
        <v>18250</v>
      </c>
      <c r="U432" s="6">
        <v>5</v>
      </c>
      <c r="V432" t="s">
        <v>64</v>
      </c>
      <c r="W432" s="4"/>
      <c r="X432" t="s">
        <v>65</v>
      </c>
      <c r="Y432" t="s">
        <v>64</v>
      </c>
      <c r="Z432" t="s">
        <v>78</v>
      </c>
    </row>
    <row r="433" spans="1:26">
      <c r="A433" t="s">
        <v>972</v>
      </c>
      <c r="B433" t="s">
        <v>973</v>
      </c>
      <c r="C433" s="4">
        <v>46149</v>
      </c>
      <c r="D433" t="s">
        <v>242</v>
      </c>
      <c r="E433" t="s">
        <v>70</v>
      </c>
      <c r="F433" s="4">
        <v>46149</v>
      </c>
      <c r="G433" s="4">
        <v>46150</v>
      </c>
      <c r="H433" t="s">
        <v>201</v>
      </c>
      <c r="I433" t="s">
        <v>421</v>
      </c>
      <c r="J433" t="s">
        <v>295</v>
      </c>
      <c r="K433" t="s">
        <v>124</v>
      </c>
      <c r="L433" t="s">
        <v>74</v>
      </c>
      <c r="M433" s="5">
        <v>67800</v>
      </c>
      <c r="N433" s="5">
        <v>7000</v>
      </c>
      <c r="O433" s="5">
        <v>10900</v>
      </c>
      <c r="P433" s="5">
        <v>3000</v>
      </c>
      <c r="Q433" s="5">
        <v>89700</v>
      </c>
      <c r="R433" t="s">
        <v>95</v>
      </c>
      <c r="S433" t="s">
        <v>63</v>
      </c>
      <c r="T433" s="5">
        <v>89700</v>
      </c>
      <c r="U433" s="6">
        <v>3</v>
      </c>
      <c r="V433" t="s">
        <v>77</v>
      </c>
      <c r="W433" s="4">
        <v>46169</v>
      </c>
      <c r="X433" t="s">
        <v>77</v>
      </c>
      <c r="Y433" t="s">
        <v>64</v>
      </c>
      <c r="Z433" t="s">
        <v>96</v>
      </c>
    </row>
    <row r="434" spans="1:26">
      <c r="A434" t="s">
        <v>974</v>
      </c>
      <c r="B434" t="s">
        <v>903</v>
      </c>
      <c r="C434" s="4">
        <v>46116</v>
      </c>
      <c r="D434" t="s">
        <v>120</v>
      </c>
      <c r="E434" t="s">
        <v>70</v>
      </c>
      <c r="F434" s="4">
        <v>46116</v>
      </c>
      <c r="G434" s="4">
        <v>46117</v>
      </c>
      <c r="H434" t="s">
        <v>201</v>
      </c>
      <c r="I434" t="s">
        <v>515</v>
      </c>
      <c r="J434" t="s">
        <v>281</v>
      </c>
      <c r="K434" t="s">
        <v>124</v>
      </c>
      <c r="L434" t="s">
        <v>61</v>
      </c>
      <c r="M434" s="5">
        <v>7700</v>
      </c>
      <c r="N434" s="5">
        <v>750</v>
      </c>
      <c r="O434" s="5">
        <v>1900</v>
      </c>
      <c r="P434" s="5">
        <v>3000</v>
      </c>
      <c r="Q434" s="5">
        <v>14550</v>
      </c>
      <c r="R434" t="s">
        <v>106</v>
      </c>
      <c r="S434" t="s">
        <v>76</v>
      </c>
      <c r="T434" s="5">
        <v>5790</v>
      </c>
      <c r="U434" s="6">
        <v>3</v>
      </c>
      <c r="V434" t="s">
        <v>64</v>
      </c>
      <c r="W434" s="4"/>
      <c r="X434" t="s">
        <v>65</v>
      </c>
      <c r="Y434" t="s">
        <v>64</v>
      </c>
      <c r="Z434" t="s">
        <v>78</v>
      </c>
    </row>
    <row r="435" spans="1:26">
      <c r="A435" t="s">
        <v>975</v>
      </c>
      <c r="B435" t="s">
        <v>976</v>
      </c>
      <c r="C435" s="4">
        <v>46027</v>
      </c>
      <c r="D435" t="s">
        <v>298</v>
      </c>
      <c r="E435" t="s">
        <v>338</v>
      </c>
      <c r="F435" s="4"/>
      <c r="G435" s="4"/>
      <c r="H435" t="s">
        <v>121</v>
      </c>
      <c r="I435" t="s">
        <v>665</v>
      </c>
      <c r="J435" t="s">
        <v>252</v>
      </c>
      <c r="K435" t="s">
        <v>60</v>
      </c>
      <c r="L435" t="s">
        <v>61</v>
      </c>
      <c r="M435" s="5"/>
      <c r="N435" s="5"/>
      <c r="O435" s="5"/>
      <c r="P435" s="5"/>
      <c r="Q435" s="5"/>
      <c r="R435" t="s">
        <v>95</v>
      </c>
      <c r="S435" t="s">
        <v>63</v>
      </c>
      <c r="T435" s="5"/>
      <c r="U435" s="6"/>
      <c r="V435" t="s">
        <v>64</v>
      </c>
      <c r="W435" s="4"/>
      <c r="X435" t="s">
        <v>65</v>
      </c>
      <c r="Z435" t="s">
        <v>66</v>
      </c>
    </row>
    <row r="436" spans="1:26">
      <c r="A436" t="s">
        <v>977</v>
      </c>
      <c r="B436" t="s">
        <v>978</v>
      </c>
      <c r="C436" s="4">
        <v>46133</v>
      </c>
      <c r="D436" t="s">
        <v>144</v>
      </c>
      <c r="E436" t="s">
        <v>70</v>
      </c>
      <c r="F436" s="4">
        <v>46133</v>
      </c>
      <c r="G436" s="4">
        <v>46134</v>
      </c>
      <c r="H436" t="s">
        <v>103</v>
      </c>
      <c r="I436" t="s">
        <v>243</v>
      </c>
      <c r="J436" t="s">
        <v>145</v>
      </c>
      <c r="K436" t="s">
        <v>60</v>
      </c>
      <c r="L436" t="s">
        <v>61</v>
      </c>
      <c r="M436" s="5">
        <v>31100</v>
      </c>
      <c r="N436" s="5">
        <v>4200</v>
      </c>
      <c r="O436" s="5">
        <v>3400</v>
      </c>
      <c r="P436" s="5">
        <v>2500</v>
      </c>
      <c r="Q436" s="5">
        <v>43000</v>
      </c>
      <c r="R436" t="s">
        <v>106</v>
      </c>
      <c r="S436" t="s">
        <v>76</v>
      </c>
      <c r="T436" s="5">
        <v>15750</v>
      </c>
      <c r="U436" s="6">
        <v>4</v>
      </c>
      <c r="V436" t="s">
        <v>64</v>
      </c>
      <c r="W436" s="4"/>
      <c r="X436" t="s">
        <v>65</v>
      </c>
      <c r="Y436" t="s">
        <v>64</v>
      </c>
      <c r="Z436" t="s">
        <v>78</v>
      </c>
    </row>
    <row r="437" spans="1:26">
      <c r="A437" t="s">
        <v>979</v>
      </c>
      <c r="B437" t="s">
        <v>980</v>
      </c>
      <c r="C437" s="4">
        <v>46073</v>
      </c>
      <c r="D437" t="s">
        <v>469</v>
      </c>
      <c r="E437" t="s">
        <v>70</v>
      </c>
      <c r="F437" s="4">
        <v>46073</v>
      </c>
      <c r="G437" s="4">
        <v>46076</v>
      </c>
      <c r="H437" t="s">
        <v>138</v>
      </c>
      <c r="I437" t="s">
        <v>235</v>
      </c>
      <c r="J437" t="s">
        <v>140</v>
      </c>
      <c r="K437" t="s">
        <v>73</v>
      </c>
      <c r="L437" t="s">
        <v>61</v>
      </c>
      <c r="M437" s="5">
        <v>15900</v>
      </c>
      <c r="N437" s="5">
        <v>2800</v>
      </c>
      <c r="O437" s="5">
        <v>2750</v>
      </c>
      <c r="P437" s="5">
        <v>18000</v>
      </c>
      <c r="Q437" s="5">
        <v>40450</v>
      </c>
      <c r="R437" t="s">
        <v>141</v>
      </c>
      <c r="S437" t="s">
        <v>76</v>
      </c>
      <c r="T437" s="5">
        <v>7270</v>
      </c>
      <c r="U437" s="6">
        <v>4</v>
      </c>
      <c r="V437" t="s">
        <v>64</v>
      </c>
      <c r="W437" s="4"/>
      <c r="X437" t="s">
        <v>65</v>
      </c>
      <c r="Y437" t="s">
        <v>64</v>
      </c>
      <c r="Z437" t="s">
        <v>78</v>
      </c>
    </row>
    <row r="438" spans="1:26">
      <c r="A438" t="s">
        <v>981</v>
      </c>
      <c r="B438" t="s">
        <v>982</v>
      </c>
      <c r="C438" s="4">
        <v>46032</v>
      </c>
      <c r="D438" t="s">
        <v>337</v>
      </c>
      <c r="E438" t="s">
        <v>70</v>
      </c>
      <c r="F438" s="4">
        <v>46032</v>
      </c>
      <c r="G438" s="4">
        <v>46032</v>
      </c>
      <c r="H438" t="s">
        <v>82</v>
      </c>
      <c r="I438" t="s">
        <v>272</v>
      </c>
      <c r="J438" t="s">
        <v>156</v>
      </c>
      <c r="K438" t="s">
        <v>60</v>
      </c>
      <c r="L438" t="s">
        <v>94</v>
      </c>
      <c r="M438" s="5">
        <v>93100</v>
      </c>
      <c r="N438" s="5">
        <v>13650</v>
      </c>
      <c r="O438" s="5">
        <v>21450</v>
      </c>
      <c r="P438" s="5">
        <v>0</v>
      </c>
      <c r="Q438" s="5">
        <v>130000</v>
      </c>
      <c r="R438" t="s">
        <v>95</v>
      </c>
      <c r="S438" t="s">
        <v>63</v>
      </c>
      <c r="T438" s="5">
        <v>130000</v>
      </c>
      <c r="U438" s="6">
        <v>5</v>
      </c>
      <c r="V438" t="s">
        <v>77</v>
      </c>
      <c r="W438" s="4">
        <v>46050</v>
      </c>
      <c r="X438" t="s">
        <v>77</v>
      </c>
      <c r="Y438" t="s">
        <v>64</v>
      </c>
      <c r="Z438" t="s">
        <v>78</v>
      </c>
    </row>
    <row r="439" spans="1:26">
      <c r="A439" t="s">
        <v>983</v>
      </c>
      <c r="B439" t="s">
        <v>984</v>
      </c>
      <c r="C439" s="4">
        <v>46087</v>
      </c>
      <c r="D439" t="s">
        <v>110</v>
      </c>
      <c r="E439" t="s">
        <v>70</v>
      </c>
      <c r="F439" s="4">
        <v>46087</v>
      </c>
      <c r="G439" s="4">
        <v>46088</v>
      </c>
      <c r="H439" t="s">
        <v>57</v>
      </c>
      <c r="I439" t="s">
        <v>184</v>
      </c>
      <c r="J439" t="s">
        <v>72</v>
      </c>
      <c r="K439" t="s">
        <v>60</v>
      </c>
      <c r="L439" t="s">
        <v>61</v>
      </c>
      <c r="M439" s="5">
        <v>8400</v>
      </c>
      <c r="N439" s="5">
        <v>1300</v>
      </c>
      <c r="O439" s="5">
        <v>1900</v>
      </c>
      <c r="P439" s="5">
        <v>4500</v>
      </c>
      <c r="Q439" s="5">
        <v>17300</v>
      </c>
      <c r="R439" t="s">
        <v>95</v>
      </c>
      <c r="S439" t="s">
        <v>63</v>
      </c>
      <c r="T439" s="5">
        <v>17300</v>
      </c>
      <c r="U439" s="6">
        <v>5</v>
      </c>
      <c r="V439" t="s">
        <v>77</v>
      </c>
      <c r="W439" s="4">
        <v>46098</v>
      </c>
      <c r="X439" t="s">
        <v>77</v>
      </c>
      <c r="Y439" t="s">
        <v>64</v>
      </c>
      <c r="Z439" t="s">
        <v>96</v>
      </c>
    </row>
    <row r="440" spans="1:26">
      <c r="A440" t="s">
        <v>985</v>
      </c>
      <c r="B440" t="s">
        <v>986</v>
      </c>
      <c r="C440" s="4">
        <v>46146</v>
      </c>
      <c r="D440" t="s">
        <v>259</v>
      </c>
      <c r="E440" t="s">
        <v>70</v>
      </c>
      <c r="F440" s="4">
        <v>46146</v>
      </c>
      <c r="G440" s="4">
        <v>46150</v>
      </c>
      <c r="H440" t="s">
        <v>90</v>
      </c>
      <c r="I440" t="s">
        <v>162</v>
      </c>
      <c r="J440" t="s">
        <v>129</v>
      </c>
      <c r="K440" t="s">
        <v>93</v>
      </c>
      <c r="L440" t="s">
        <v>61</v>
      </c>
      <c r="M440" s="5">
        <v>30800</v>
      </c>
      <c r="N440" s="5">
        <v>4100</v>
      </c>
      <c r="O440" s="5">
        <v>6700</v>
      </c>
      <c r="P440" s="5">
        <v>14000</v>
      </c>
      <c r="Q440" s="5">
        <v>56800</v>
      </c>
      <c r="R440" t="s">
        <v>75</v>
      </c>
      <c r="S440" t="s">
        <v>86</v>
      </c>
      <c r="T440" s="5">
        <v>25860</v>
      </c>
      <c r="U440" s="6">
        <v>4</v>
      </c>
      <c r="V440" t="s">
        <v>77</v>
      </c>
      <c r="W440" s="4">
        <v>46168</v>
      </c>
      <c r="X440" t="s">
        <v>77</v>
      </c>
      <c r="Y440" t="s">
        <v>64</v>
      </c>
      <c r="Z440" t="s">
        <v>436</v>
      </c>
    </row>
    <row r="441" spans="1:26">
      <c r="A441" t="s">
        <v>987</v>
      </c>
      <c r="B441" t="s">
        <v>988</v>
      </c>
      <c r="C441" s="4">
        <v>46096</v>
      </c>
      <c r="D441" t="s">
        <v>161</v>
      </c>
      <c r="E441" t="s">
        <v>70</v>
      </c>
      <c r="F441" s="4">
        <v>46096</v>
      </c>
      <c r="G441" s="4">
        <v>46096</v>
      </c>
      <c r="H441" t="s">
        <v>57</v>
      </c>
      <c r="I441" t="s">
        <v>169</v>
      </c>
      <c r="J441" t="s">
        <v>59</v>
      </c>
      <c r="K441" t="s">
        <v>60</v>
      </c>
      <c r="L441" t="s">
        <v>94</v>
      </c>
      <c r="M441" s="5">
        <v>44800</v>
      </c>
      <c r="N441" s="5">
        <v>5900</v>
      </c>
      <c r="O441" s="5">
        <v>9200</v>
      </c>
      <c r="P441" s="5">
        <v>0</v>
      </c>
      <c r="Q441" s="5">
        <v>60700</v>
      </c>
      <c r="R441" t="s">
        <v>85</v>
      </c>
      <c r="S441" t="s">
        <v>76</v>
      </c>
      <c r="T441" s="5">
        <v>16080</v>
      </c>
      <c r="U441" s="6">
        <v>4</v>
      </c>
      <c r="V441" t="s">
        <v>77</v>
      </c>
      <c r="W441" s="4">
        <v>46116</v>
      </c>
      <c r="X441" t="s">
        <v>77</v>
      </c>
      <c r="Y441" t="s">
        <v>64</v>
      </c>
      <c r="Z441" t="s">
        <v>78</v>
      </c>
    </row>
    <row r="442" spans="1:26">
      <c r="A442" t="s">
        <v>989</v>
      </c>
      <c r="B442" t="s">
        <v>990</v>
      </c>
      <c r="C442" s="4">
        <v>46130</v>
      </c>
      <c r="D442" t="s">
        <v>132</v>
      </c>
      <c r="E442" t="s">
        <v>70</v>
      </c>
      <c r="F442" s="4">
        <v>46130</v>
      </c>
      <c r="G442" s="4">
        <v>46133</v>
      </c>
      <c r="H442" t="s">
        <v>111</v>
      </c>
      <c r="I442" t="s">
        <v>112</v>
      </c>
      <c r="J442" t="s">
        <v>113</v>
      </c>
      <c r="K442" t="s">
        <v>73</v>
      </c>
      <c r="L442" t="s">
        <v>94</v>
      </c>
      <c r="M442" s="5">
        <v>21200</v>
      </c>
      <c r="N442" s="5">
        <v>3000</v>
      </c>
      <c r="O442" s="5">
        <v>5150</v>
      </c>
      <c r="P442" s="5">
        <v>9000</v>
      </c>
      <c r="Q442" s="5">
        <v>39150</v>
      </c>
      <c r="R442" t="s">
        <v>95</v>
      </c>
      <c r="S442" t="s">
        <v>63</v>
      </c>
      <c r="T442" s="5">
        <v>39150</v>
      </c>
      <c r="U442" s="6">
        <v>4</v>
      </c>
      <c r="V442" t="s">
        <v>77</v>
      </c>
      <c r="W442" s="4">
        <v>46141</v>
      </c>
      <c r="X442" t="s">
        <v>77</v>
      </c>
      <c r="Y442" t="s">
        <v>64</v>
      </c>
      <c r="Z442" t="s">
        <v>96</v>
      </c>
    </row>
    <row r="443" spans="1:26">
      <c r="A443" t="s">
        <v>991</v>
      </c>
      <c r="B443" t="s">
        <v>992</v>
      </c>
      <c r="C443" s="4">
        <v>46144</v>
      </c>
      <c r="D443" t="s">
        <v>419</v>
      </c>
      <c r="E443" t="s">
        <v>70</v>
      </c>
      <c r="F443" s="4">
        <v>46144</v>
      </c>
      <c r="G443" s="4">
        <v>46148</v>
      </c>
      <c r="H443" t="s">
        <v>103</v>
      </c>
      <c r="I443" t="s">
        <v>243</v>
      </c>
      <c r="J443" t="s">
        <v>105</v>
      </c>
      <c r="K443" t="s">
        <v>124</v>
      </c>
      <c r="L443" t="s">
        <v>94</v>
      </c>
      <c r="M443" s="5">
        <v>57900</v>
      </c>
      <c r="N443" s="5">
        <v>9600</v>
      </c>
      <c r="O443" s="5">
        <v>8800</v>
      </c>
      <c r="P443" s="5">
        <v>12000</v>
      </c>
      <c r="Q443" s="5">
        <v>90100</v>
      </c>
      <c r="R443" t="s">
        <v>62</v>
      </c>
      <c r="S443" t="s">
        <v>86</v>
      </c>
      <c r="T443" s="5">
        <v>27430</v>
      </c>
      <c r="U443" s="6">
        <v>2</v>
      </c>
      <c r="V443" t="s">
        <v>77</v>
      </c>
      <c r="W443" s="4">
        <v>46169</v>
      </c>
      <c r="X443" t="s">
        <v>64</v>
      </c>
      <c r="Y443" t="s">
        <v>64</v>
      </c>
      <c r="Z443" t="s">
        <v>107</v>
      </c>
    </row>
    <row r="444" spans="1:26">
      <c r="A444" t="s">
        <v>993</v>
      </c>
      <c r="B444" t="s">
        <v>994</v>
      </c>
      <c r="C444" s="4">
        <v>46065</v>
      </c>
      <c r="D444" t="s">
        <v>110</v>
      </c>
      <c r="E444" t="s">
        <v>70</v>
      </c>
      <c r="F444" s="4">
        <v>46065</v>
      </c>
      <c r="G444" s="4">
        <v>46067</v>
      </c>
      <c r="H444" t="s">
        <v>138</v>
      </c>
      <c r="I444" t="s">
        <v>352</v>
      </c>
      <c r="J444" t="s">
        <v>261</v>
      </c>
      <c r="K444" t="s">
        <v>73</v>
      </c>
      <c r="L444" t="s">
        <v>146</v>
      </c>
      <c r="M444" s="5">
        <v>6400</v>
      </c>
      <c r="N444" s="5">
        <v>750</v>
      </c>
      <c r="O444" s="5">
        <v>1200</v>
      </c>
      <c r="P444" s="5">
        <v>7000</v>
      </c>
      <c r="Q444" s="5">
        <v>17150</v>
      </c>
      <c r="R444" t="s">
        <v>95</v>
      </c>
      <c r="S444" t="s">
        <v>63</v>
      </c>
      <c r="T444" s="5">
        <v>17150</v>
      </c>
      <c r="U444" s="6">
        <v>4</v>
      </c>
      <c r="V444" t="s">
        <v>77</v>
      </c>
      <c r="W444" s="4">
        <v>46085</v>
      </c>
      <c r="X444" t="s">
        <v>64</v>
      </c>
      <c r="Y444" t="s">
        <v>64</v>
      </c>
      <c r="Z444" t="s">
        <v>436</v>
      </c>
    </row>
    <row r="445" spans="1:26">
      <c r="A445" t="s">
        <v>995</v>
      </c>
      <c r="B445" t="s">
        <v>996</v>
      </c>
      <c r="C445" s="4">
        <v>46057</v>
      </c>
      <c r="D445" t="s">
        <v>225</v>
      </c>
      <c r="E445" t="s">
        <v>70</v>
      </c>
      <c r="F445" s="4">
        <v>46057</v>
      </c>
      <c r="G445" s="4">
        <v>46059</v>
      </c>
      <c r="H445" t="s">
        <v>201</v>
      </c>
      <c r="I445" t="s">
        <v>421</v>
      </c>
      <c r="J445" t="s">
        <v>281</v>
      </c>
      <c r="K445" t="s">
        <v>124</v>
      </c>
      <c r="L445" t="s">
        <v>61</v>
      </c>
      <c r="M445" s="5">
        <v>7300</v>
      </c>
      <c r="N445" s="5">
        <v>1200</v>
      </c>
      <c r="O445" s="5">
        <v>1800</v>
      </c>
      <c r="P445" s="5">
        <v>5000</v>
      </c>
      <c r="Q445" s="5">
        <v>16300</v>
      </c>
      <c r="R445" t="s">
        <v>95</v>
      </c>
      <c r="S445" t="s">
        <v>63</v>
      </c>
      <c r="T445" s="5">
        <v>16300</v>
      </c>
      <c r="U445" s="6">
        <v>3</v>
      </c>
      <c r="V445" t="s">
        <v>64</v>
      </c>
      <c r="W445" s="4"/>
      <c r="X445" t="s">
        <v>65</v>
      </c>
      <c r="Y445" t="s">
        <v>64</v>
      </c>
      <c r="Z445" t="s">
        <v>78</v>
      </c>
    </row>
    <row r="446" spans="1:26">
      <c r="A446" t="s">
        <v>997</v>
      </c>
      <c r="B446" t="s">
        <v>752</v>
      </c>
      <c r="C446" s="4">
        <v>46100</v>
      </c>
      <c r="D446" t="s">
        <v>55</v>
      </c>
      <c r="E446" t="s">
        <v>70</v>
      </c>
      <c r="F446" s="4">
        <v>46100</v>
      </c>
      <c r="G446" s="4">
        <v>46106</v>
      </c>
      <c r="H446" t="s">
        <v>57</v>
      </c>
      <c r="I446" t="s">
        <v>184</v>
      </c>
      <c r="J446" t="s">
        <v>170</v>
      </c>
      <c r="K446" t="s">
        <v>73</v>
      </c>
      <c r="L446" t="s">
        <v>94</v>
      </c>
      <c r="M446" s="5">
        <v>62200</v>
      </c>
      <c r="N446" s="5">
        <v>11150</v>
      </c>
      <c r="O446" s="5">
        <v>8300</v>
      </c>
      <c r="P446" s="5">
        <v>27000</v>
      </c>
      <c r="Q446" s="5">
        <v>109850</v>
      </c>
      <c r="R446" t="s">
        <v>62</v>
      </c>
      <c r="S446" t="s">
        <v>86</v>
      </c>
      <c r="T446" s="5">
        <v>33360</v>
      </c>
      <c r="U446" s="6">
        <v>3</v>
      </c>
      <c r="V446" t="s">
        <v>77</v>
      </c>
      <c r="W446" s="4">
        <v>46117</v>
      </c>
      <c r="X446" t="s">
        <v>77</v>
      </c>
      <c r="Y446" t="s">
        <v>64</v>
      </c>
      <c r="Z446" t="s">
        <v>107</v>
      </c>
    </row>
    <row r="447" spans="1:26">
      <c r="A447" t="s">
        <v>998</v>
      </c>
      <c r="B447" t="s">
        <v>999</v>
      </c>
      <c r="C447" s="4">
        <v>46157</v>
      </c>
      <c r="D447" t="s">
        <v>127</v>
      </c>
      <c r="E447" t="s">
        <v>70</v>
      </c>
      <c r="F447" s="4">
        <v>46157</v>
      </c>
      <c r="G447" s="4">
        <v>46161</v>
      </c>
      <c r="H447" t="s">
        <v>82</v>
      </c>
      <c r="I447" t="s">
        <v>194</v>
      </c>
      <c r="J447" t="s">
        <v>291</v>
      </c>
      <c r="K447" t="s">
        <v>124</v>
      </c>
      <c r="L447" t="s">
        <v>61</v>
      </c>
      <c r="M447" s="5">
        <v>29500</v>
      </c>
      <c r="N447" s="5">
        <v>2800</v>
      </c>
      <c r="O447" s="5">
        <v>6650</v>
      </c>
      <c r="P447" s="5">
        <v>10000</v>
      </c>
      <c r="Q447" s="5">
        <v>50750</v>
      </c>
      <c r="R447" t="s">
        <v>85</v>
      </c>
      <c r="S447" t="s">
        <v>76</v>
      </c>
      <c r="T447" s="5">
        <v>13590</v>
      </c>
      <c r="U447" s="6">
        <v>5</v>
      </c>
      <c r="V447" t="s">
        <v>77</v>
      </c>
      <c r="W447" s="4">
        <v>46179</v>
      </c>
      <c r="X447" t="s">
        <v>77</v>
      </c>
      <c r="Y447" t="s">
        <v>64</v>
      </c>
      <c r="Z447" t="s">
        <v>78</v>
      </c>
    </row>
    <row r="448" spans="1:26">
      <c r="A448" t="s">
        <v>1000</v>
      </c>
      <c r="B448" t="s">
        <v>481</v>
      </c>
      <c r="C448" s="4">
        <v>46126</v>
      </c>
      <c r="D448" t="s">
        <v>419</v>
      </c>
      <c r="E448" t="s">
        <v>70</v>
      </c>
      <c r="F448" s="4">
        <v>46126</v>
      </c>
      <c r="G448" s="4">
        <v>46126</v>
      </c>
      <c r="H448" t="s">
        <v>82</v>
      </c>
      <c r="I448" t="s">
        <v>155</v>
      </c>
      <c r="J448" t="s">
        <v>84</v>
      </c>
      <c r="K448" t="s">
        <v>60</v>
      </c>
      <c r="L448" t="s">
        <v>61</v>
      </c>
      <c r="M448" s="5">
        <v>7400</v>
      </c>
      <c r="N448" s="5">
        <v>1150</v>
      </c>
      <c r="O448" s="5">
        <v>1150</v>
      </c>
      <c r="P448" s="5">
        <v>0</v>
      </c>
      <c r="Q448" s="5">
        <v>12200</v>
      </c>
      <c r="R448" t="s">
        <v>85</v>
      </c>
      <c r="S448" t="s">
        <v>76</v>
      </c>
      <c r="T448" s="5">
        <v>3950</v>
      </c>
      <c r="U448" s="6">
        <v>4</v>
      </c>
      <c r="V448" t="s">
        <v>64</v>
      </c>
      <c r="W448" s="4"/>
      <c r="X448" t="s">
        <v>65</v>
      </c>
      <c r="Y448" t="s">
        <v>64</v>
      </c>
      <c r="Z448" t="s">
        <v>78</v>
      </c>
    </row>
    <row r="449" spans="1:26">
      <c r="A449" t="s">
        <v>1001</v>
      </c>
      <c r="B449" t="s">
        <v>583</v>
      </c>
      <c r="C449" s="4">
        <v>46164</v>
      </c>
      <c r="D449" t="s">
        <v>69</v>
      </c>
      <c r="E449" t="s">
        <v>70</v>
      </c>
      <c r="F449" s="4">
        <v>46164</v>
      </c>
      <c r="G449" s="4">
        <v>46167</v>
      </c>
      <c r="H449" t="s">
        <v>178</v>
      </c>
      <c r="I449" t="s">
        <v>415</v>
      </c>
      <c r="J449" t="s">
        <v>358</v>
      </c>
      <c r="K449" t="s">
        <v>93</v>
      </c>
      <c r="L449" t="s">
        <v>74</v>
      </c>
      <c r="M449" s="5">
        <v>46800</v>
      </c>
      <c r="N449" s="5">
        <v>4750</v>
      </c>
      <c r="O449" s="5">
        <v>7800</v>
      </c>
      <c r="P449" s="5">
        <v>9000</v>
      </c>
      <c r="Q449" s="5">
        <v>69150</v>
      </c>
      <c r="R449" t="s">
        <v>62</v>
      </c>
      <c r="S449" t="s">
        <v>76</v>
      </c>
      <c r="T449" s="5">
        <v>21150</v>
      </c>
      <c r="U449" s="6">
        <v>4</v>
      </c>
      <c r="V449" t="s">
        <v>64</v>
      </c>
      <c r="W449" s="4"/>
      <c r="X449" t="s">
        <v>65</v>
      </c>
      <c r="Y449" t="s">
        <v>64</v>
      </c>
      <c r="Z449" t="s">
        <v>96</v>
      </c>
    </row>
    <row r="450" spans="1:26">
      <c r="A450" t="s">
        <v>1002</v>
      </c>
      <c r="B450" t="s">
        <v>547</v>
      </c>
      <c r="C450" s="4">
        <v>46132</v>
      </c>
      <c r="D450" t="s">
        <v>168</v>
      </c>
      <c r="E450" t="s">
        <v>70</v>
      </c>
      <c r="F450" s="4">
        <v>46132</v>
      </c>
      <c r="G450" s="4">
        <v>46136</v>
      </c>
      <c r="H450" t="s">
        <v>201</v>
      </c>
      <c r="I450" t="s">
        <v>421</v>
      </c>
      <c r="J450" t="s">
        <v>203</v>
      </c>
      <c r="K450" t="s">
        <v>124</v>
      </c>
      <c r="L450" t="s">
        <v>61</v>
      </c>
      <c r="M450" s="5">
        <v>39600</v>
      </c>
      <c r="N450" s="5">
        <v>4150</v>
      </c>
      <c r="O450" s="5">
        <v>7400</v>
      </c>
      <c r="P450" s="5">
        <v>24000</v>
      </c>
      <c r="Q450" s="5">
        <v>76150</v>
      </c>
      <c r="R450" t="s">
        <v>75</v>
      </c>
      <c r="S450" t="s">
        <v>76</v>
      </c>
      <c r="T450" s="5">
        <v>34570</v>
      </c>
      <c r="U450" s="6">
        <v>4</v>
      </c>
      <c r="V450" t="s">
        <v>77</v>
      </c>
      <c r="W450" s="4">
        <v>46149</v>
      </c>
      <c r="X450" t="s">
        <v>77</v>
      </c>
      <c r="Y450" t="s">
        <v>64</v>
      </c>
      <c r="Z450" t="s">
        <v>107</v>
      </c>
    </row>
    <row r="451" spans="1:26">
      <c r="A451" t="s">
        <v>1003</v>
      </c>
      <c r="B451" t="s">
        <v>659</v>
      </c>
      <c r="C451" s="4">
        <v>46087</v>
      </c>
      <c r="D451" t="s">
        <v>242</v>
      </c>
      <c r="E451" t="s">
        <v>70</v>
      </c>
      <c r="F451" s="4">
        <v>46088</v>
      </c>
      <c r="G451" s="4">
        <v>46091</v>
      </c>
      <c r="H451" t="s">
        <v>103</v>
      </c>
      <c r="I451" t="s">
        <v>364</v>
      </c>
      <c r="J451" t="s">
        <v>244</v>
      </c>
      <c r="K451" t="s">
        <v>124</v>
      </c>
      <c r="L451" t="s">
        <v>61</v>
      </c>
      <c r="M451" s="5">
        <v>44500</v>
      </c>
      <c r="N451" s="5">
        <v>6100</v>
      </c>
      <c r="O451" s="5">
        <v>7400</v>
      </c>
      <c r="P451" s="5">
        <v>9000</v>
      </c>
      <c r="Q451" s="5">
        <v>67800</v>
      </c>
      <c r="R451" t="s">
        <v>75</v>
      </c>
      <c r="S451" t="s">
        <v>76</v>
      </c>
      <c r="T451" s="5">
        <v>30810</v>
      </c>
      <c r="U451" s="6">
        <v>5</v>
      </c>
      <c r="V451" t="s">
        <v>64</v>
      </c>
      <c r="W451" s="4"/>
      <c r="X451" t="s">
        <v>65</v>
      </c>
      <c r="Y451" t="s">
        <v>64</v>
      </c>
      <c r="Z451" t="s">
        <v>96</v>
      </c>
    </row>
    <row r="452" spans="1:26">
      <c r="A452" t="s">
        <v>1004</v>
      </c>
      <c r="B452" t="s">
        <v>934</v>
      </c>
      <c r="C452" s="4">
        <v>46085</v>
      </c>
      <c r="D452" t="s">
        <v>298</v>
      </c>
      <c r="E452" t="s">
        <v>70</v>
      </c>
      <c r="F452" s="4">
        <v>46085</v>
      </c>
      <c r="G452" s="4">
        <v>46086</v>
      </c>
      <c r="H452" t="s">
        <v>201</v>
      </c>
      <c r="I452" t="s">
        <v>280</v>
      </c>
      <c r="J452" t="s">
        <v>295</v>
      </c>
      <c r="K452" t="s">
        <v>60</v>
      </c>
      <c r="L452" t="s">
        <v>61</v>
      </c>
      <c r="M452" s="5">
        <v>51100</v>
      </c>
      <c r="N452" s="5">
        <v>6900</v>
      </c>
      <c r="O452" s="5">
        <v>6450</v>
      </c>
      <c r="P452" s="5">
        <v>2500</v>
      </c>
      <c r="Q452" s="5">
        <v>67950</v>
      </c>
      <c r="R452" t="s">
        <v>106</v>
      </c>
      <c r="S452" t="s">
        <v>76</v>
      </c>
      <c r="T452" s="5">
        <v>24480</v>
      </c>
      <c r="U452" s="6">
        <v>4</v>
      </c>
      <c r="V452" t="s">
        <v>77</v>
      </c>
      <c r="W452" s="4">
        <v>46103</v>
      </c>
      <c r="X452" t="s">
        <v>64</v>
      </c>
      <c r="Y452" t="s">
        <v>64</v>
      </c>
      <c r="Z452" t="s">
        <v>78</v>
      </c>
    </row>
    <row r="453" spans="1:26">
      <c r="A453" t="s">
        <v>1005</v>
      </c>
      <c r="B453" t="s">
        <v>474</v>
      </c>
      <c r="C453" s="4">
        <v>46070</v>
      </c>
      <c r="D453" t="s">
        <v>363</v>
      </c>
      <c r="E453" t="s">
        <v>56</v>
      </c>
      <c r="F453" s="4"/>
      <c r="G453" s="4"/>
      <c r="H453" t="s">
        <v>57</v>
      </c>
      <c r="I453" t="s">
        <v>184</v>
      </c>
      <c r="J453" t="s">
        <v>72</v>
      </c>
      <c r="K453" t="s">
        <v>93</v>
      </c>
      <c r="L453" t="s">
        <v>94</v>
      </c>
      <c r="M453" s="5"/>
      <c r="N453" s="5"/>
      <c r="O453" s="5"/>
      <c r="P453" s="5"/>
      <c r="Q453" s="5"/>
      <c r="R453" t="s">
        <v>134</v>
      </c>
      <c r="S453" t="s">
        <v>63</v>
      </c>
      <c r="T453" s="5"/>
      <c r="U453" s="6"/>
      <c r="V453" t="s">
        <v>64</v>
      </c>
      <c r="W453" s="4"/>
      <c r="X453" t="s">
        <v>65</v>
      </c>
      <c r="Z453" t="s">
        <v>66</v>
      </c>
    </row>
    <row r="454" spans="1:26">
      <c r="A454" t="s">
        <v>1006</v>
      </c>
      <c r="B454" t="s">
        <v>342</v>
      </c>
      <c r="C454" s="4">
        <v>46100</v>
      </c>
      <c r="D454" t="s">
        <v>363</v>
      </c>
      <c r="E454" t="s">
        <v>70</v>
      </c>
      <c r="F454" s="4">
        <v>46100</v>
      </c>
      <c r="G454" s="4">
        <v>46105</v>
      </c>
      <c r="H454" t="s">
        <v>82</v>
      </c>
      <c r="I454" t="s">
        <v>331</v>
      </c>
      <c r="J454" t="s">
        <v>291</v>
      </c>
      <c r="K454" t="s">
        <v>124</v>
      </c>
      <c r="L454" t="s">
        <v>94</v>
      </c>
      <c r="M454" s="5">
        <v>40900</v>
      </c>
      <c r="N454" s="5">
        <v>3950</v>
      </c>
      <c r="O454" s="5">
        <v>5400</v>
      </c>
      <c r="P454" s="5">
        <v>30000</v>
      </c>
      <c r="Q454" s="5">
        <v>81750</v>
      </c>
      <c r="R454" t="s">
        <v>62</v>
      </c>
      <c r="S454" t="s">
        <v>86</v>
      </c>
      <c r="T454" s="5">
        <v>24930</v>
      </c>
      <c r="U454" s="6">
        <v>5</v>
      </c>
      <c r="V454" t="s">
        <v>77</v>
      </c>
      <c r="W454" s="4">
        <v>46114</v>
      </c>
      <c r="X454" t="s">
        <v>77</v>
      </c>
      <c r="Y454" t="s">
        <v>64</v>
      </c>
      <c r="Z454" t="s">
        <v>78</v>
      </c>
    </row>
    <row r="455" spans="1:26">
      <c r="A455" t="s">
        <v>1007</v>
      </c>
      <c r="B455" t="s">
        <v>715</v>
      </c>
      <c r="C455" s="4">
        <v>46073</v>
      </c>
      <c r="D455" t="s">
        <v>234</v>
      </c>
      <c r="E455" t="s">
        <v>177</v>
      </c>
      <c r="F455" s="4"/>
      <c r="G455" s="4"/>
      <c r="H455" t="s">
        <v>82</v>
      </c>
      <c r="I455" t="s">
        <v>83</v>
      </c>
      <c r="J455" t="s">
        <v>291</v>
      </c>
      <c r="K455" t="s">
        <v>60</v>
      </c>
      <c r="L455" t="s">
        <v>94</v>
      </c>
      <c r="M455" s="5"/>
      <c r="N455" s="5"/>
      <c r="O455" s="5"/>
      <c r="P455" s="5"/>
      <c r="Q455" s="5"/>
      <c r="R455" t="s">
        <v>85</v>
      </c>
      <c r="S455" t="s">
        <v>63</v>
      </c>
      <c r="T455" s="5"/>
      <c r="U455" s="6"/>
      <c r="V455" t="s">
        <v>64</v>
      </c>
      <c r="W455" s="4"/>
      <c r="X455" t="s">
        <v>65</v>
      </c>
      <c r="Z455" t="s">
        <v>66</v>
      </c>
    </row>
    <row r="456" spans="1:26">
      <c r="A456" t="s">
        <v>1008</v>
      </c>
      <c r="B456" t="s">
        <v>909</v>
      </c>
      <c r="C456" s="4">
        <v>46060</v>
      </c>
      <c r="D456" t="s">
        <v>439</v>
      </c>
      <c r="E456" t="s">
        <v>70</v>
      </c>
      <c r="F456" s="4">
        <v>46060</v>
      </c>
      <c r="G456" s="4">
        <v>46069</v>
      </c>
      <c r="H456" t="s">
        <v>103</v>
      </c>
      <c r="I456" t="s">
        <v>214</v>
      </c>
      <c r="J456" t="s">
        <v>244</v>
      </c>
      <c r="K456" t="s">
        <v>124</v>
      </c>
      <c r="L456" t="s">
        <v>61</v>
      </c>
      <c r="M456" s="5">
        <v>72900</v>
      </c>
      <c r="N456" s="5">
        <v>12850</v>
      </c>
      <c r="O456" s="5">
        <v>11750</v>
      </c>
      <c r="P456" s="5">
        <v>27000</v>
      </c>
      <c r="Q456" s="5">
        <v>125300</v>
      </c>
      <c r="R456" t="s">
        <v>75</v>
      </c>
      <c r="S456" t="s">
        <v>76</v>
      </c>
      <c r="T456" s="5">
        <v>56680</v>
      </c>
      <c r="U456" s="6">
        <v>2</v>
      </c>
      <c r="V456" t="s">
        <v>77</v>
      </c>
      <c r="W456" s="4">
        <v>46077</v>
      </c>
      <c r="X456" t="s">
        <v>77</v>
      </c>
      <c r="Y456" t="s">
        <v>64</v>
      </c>
      <c r="Z456" t="s">
        <v>96</v>
      </c>
    </row>
    <row r="457" spans="1:26">
      <c r="A457" t="s">
        <v>1009</v>
      </c>
      <c r="B457" t="s">
        <v>224</v>
      </c>
      <c r="C457" s="4">
        <v>46135</v>
      </c>
      <c r="D457" t="s">
        <v>127</v>
      </c>
      <c r="E457" t="s">
        <v>56</v>
      </c>
      <c r="F457" s="4"/>
      <c r="G457" s="4"/>
      <c r="H457" t="s">
        <v>103</v>
      </c>
      <c r="I457" t="s">
        <v>243</v>
      </c>
      <c r="J457" t="s">
        <v>244</v>
      </c>
      <c r="K457" t="s">
        <v>60</v>
      </c>
      <c r="L457" t="s">
        <v>74</v>
      </c>
      <c r="M457" s="5"/>
      <c r="N457" s="5"/>
      <c r="O457" s="5"/>
      <c r="P457" s="5"/>
      <c r="Q457" s="5"/>
      <c r="R457" t="s">
        <v>106</v>
      </c>
      <c r="S457" t="s">
        <v>63</v>
      </c>
      <c r="T457" s="5"/>
      <c r="U457" s="6"/>
      <c r="V457" t="s">
        <v>64</v>
      </c>
      <c r="W457" s="4"/>
      <c r="X457" t="s">
        <v>65</v>
      </c>
      <c r="Z457" t="s">
        <v>66</v>
      </c>
    </row>
    <row r="458" spans="1:26">
      <c r="A458" t="s">
        <v>1010</v>
      </c>
      <c r="B458" t="s">
        <v>1011</v>
      </c>
      <c r="C458" s="4">
        <v>46160</v>
      </c>
      <c r="D458" t="s">
        <v>99</v>
      </c>
      <c r="E458" t="s">
        <v>70</v>
      </c>
      <c r="F458" s="4">
        <v>46160</v>
      </c>
      <c r="G458" s="4">
        <v>46166</v>
      </c>
      <c r="H458" t="s">
        <v>121</v>
      </c>
      <c r="I458" t="s">
        <v>334</v>
      </c>
      <c r="J458" t="s">
        <v>123</v>
      </c>
      <c r="K458" t="s">
        <v>124</v>
      </c>
      <c r="L458" t="s">
        <v>94</v>
      </c>
      <c r="M458" s="5">
        <v>42400</v>
      </c>
      <c r="N458" s="5">
        <v>6750</v>
      </c>
      <c r="O458" s="5">
        <v>8600</v>
      </c>
      <c r="P458" s="5">
        <v>36000</v>
      </c>
      <c r="Q458" s="5">
        <v>94750</v>
      </c>
      <c r="R458" t="s">
        <v>75</v>
      </c>
      <c r="S458" t="s">
        <v>76</v>
      </c>
      <c r="T458" s="5">
        <v>42940</v>
      </c>
      <c r="U458" s="6">
        <v>3</v>
      </c>
      <c r="V458" t="s">
        <v>77</v>
      </c>
      <c r="W458" s="4">
        <v>46183</v>
      </c>
      <c r="X458" t="s">
        <v>77</v>
      </c>
      <c r="Y458" t="s">
        <v>77</v>
      </c>
      <c r="Z458" t="s">
        <v>96</v>
      </c>
    </row>
    <row r="459" spans="1:26">
      <c r="A459" t="s">
        <v>1012</v>
      </c>
      <c r="B459" t="s">
        <v>1013</v>
      </c>
      <c r="C459" s="4">
        <v>46120</v>
      </c>
      <c r="D459" t="s">
        <v>81</v>
      </c>
      <c r="E459" t="s">
        <v>255</v>
      </c>
      <c r="F459" s="4"/>
      <c r="G459" s="4"/>
      <c r="H459" t="s">
        <v>201</v>
      </c>
      <c r="I459" t="s">
        <v>327</v>
      </c>
      <c r="J459" t="s">
        <v>281</v>
      </c>
      <c r="K459" t="s">
        <v>124</v>
      </c>
      <c r="L459" t="s">
        <v>74</v>
      </c>
      <c r="M459" s="5"/>
      <c r="N459" s="5"/>
      <c r="O459" s="5"/>
      <c r="P459" s="5"/>
      <c r="Q459" s="5"/>
      <c r="R459" t="s">
        <v>75</v>
      </c>
      <c r="S459" t="s">
        <v>63</v>
      </c>
      <c r="T459" s="5"/>
      <c r="U459" s="6"/>
      <c r="V459" t="s">
        <v>64</v>
      </c>
      <c r="W459" s="4"/>
      <c r="X459" t="s">
        <v>65</v>
      </c>
      <c r="Z459" t="s">
        <v>66</v>
      </c>
    </row>
    <row r="460" spans="1:26">
      <c r="A460" t="s">
        <v>1014</v>
      </c>
      <c r="B460" t="s">
        <v>375</v>
      </c>
      <c r="C460" s="4">
        <v>46053</v>
      </c>
      <c r="D460" t="s">
        <v>259</v>
      </c>
      <c r="E460" t="s">
        <v>70</v>
      </c>
      <c r="F460" s="4">
        <v>46053</v>
      </c>
      <c r="G460" s="4">
        <v>46056</v>
      </c>
      <c r="H460" t="s">
        <v>121</v>
      </c>
      <c r="I460" t="s">
        <v>174</v>
      </c>
      <c r="J460" t="s">
        <v>256</v>
      </c>
      <c r="K460" t="s">
        <v>93</v>
      </c>
      <c r="L460" t="s">
        <v>74</v>
      </c>
      <c r="M460" s="5">
        <v>17100</v>
      </c>
      <c r="N460" s="5">
        <v>2650</v>
      </c>
      <c r="O460" s="5">
        <v>2050</v>
      </c>
      <c r="P460" s="5">
        <v>7500</v>
      </c>
      <c r="Q460" s="5">
        <v>31100</v>
      </c>
      <c r="R460" t="s">
        <v>106</v>
      </c>
      <c r="S460" t="s">
        <v>76</v>
      </c>
      <c r="T460" s="5">
        <v>11580</v>
      </c>
      <c r="U460" s="6">
        <v>4</v>
      </c>
      <c r="V460" t="s">
        <v>64</v>
      </c>
      <c r="W460" s="4"/>
      <c r="X460" t="s">
        <v>65</v>
      </c>
      <c r="Y460" t="s">
        <v>64</v>
      </c>
      <c r="Z460" t="s">
        <v>436</v>
      </c>
    </row>
    <row r="461" spans="1:26">
      <c r="A461" t="s">
        <v>1015</v>
      </c>
      <c r="B461" t="s">
        <v>495</v>
      </c>
      <c r="C461" s="4">
        <v>46038</v>
      </c>
      <c r="D461" t="s">
        <v>217</v>
      </c>
      <c r="E461" t="s">
        <v>70</v>
      </c>
      <c r="F461" s="4">
        <v>46038</v>
      </c>
      <c r="G461" s="4">
        <v>46042</v>
      </c>
      <c r="H461" t="s">
        <v>178</v>
      </c>
      <c r="I461" t="s">
        <v>179</v>
      </c>
      <c r="J461" t="s">
        <v>180</v>
      </c>
      <c r="K461" t="s">
        <v>93</v>
      </c>
      <c r="L461" t="s">
        <v>74</v>
      </c>
      <c r="M461" s="5">
        <v>66900</v>
      </c>
      <c r="N461" s="5">
        <v>11700</v>
      </c>
      <c r="O461" s="5">
        <v>7750</v>
      </c>
      <c r="P461" s="5">
        <v>14000</v>
      </c>
      <c r="Q461" s="5">
        <v>101350</v>
      </c>
      <c r="R461" t="s">
        <v>106</v>
      </c>
      <c r="S461" t="s">
        <v>86</v>
      </c>
      <c r="T461" s="5">
        <v>36170</v>
      </c>
      <c r="U461" s="6">
        <v>4</v>
      </c>
      <c r="V461" t="s">
        <v>64</v>
      </c>
      <c r="W461" s="4"/>
      <c r="X461" t="s">
        <v>65</v>
      </c>
      <c r="Y461" t="s">
        <v>64</v>
      </c>
      <c r="Z461" t="s">
        <v>107</v>
      </c>
    </row>
    <row r="462" spans="1:26">
      <c r="A462" t="s">
        <v>1016</v>
      </c>
      <c r="B462" t="s">
        <v>528</v>
      </c>
      <c r="C462" s="4">
        <v>46150</v>
      </c>
      <c r="D462" t="s">
        <v>242</v>
      </c>
      <c r="E462" t="s">
        <v>70</v>
      </c>
      <c r="F462" s="4">
        <v>46151</v>
      </c>
      <c r="G462" s="4">
        <v>46154</v>
      </c>
      <c r="H462" t="s">
        <v>201</v>
      </c>
      <c r="I462" t="s">
        <v>202</v>
      </c>
      <c r="J462" t="s">
        <v>203</v>
      </c>
      <c r="K462" t="s">
        <v>124</v>
      </c>
      <c r="L462" t="s">
        <v>61</v>
      </c>
      <c r="M462" s="5">
        <v>46700</v>
      </c>
      <c r="N462" s="5">
        <v>5350</v>
      </c>
      <c r="O462" s="5">
        <v>6650</v>
      </c>
      <c r="P462" s="5">
        <v>9000</v>
      </c>
      <c r="Q462" s="5">
        <v>70200</v>
      </c>
      <c r="R462" t="s">
        <v>62</v>
      </c>
      <c r="S462" t="s">
        <v>76</v>
      </c>
      <c r="T462" s="5">
        <v>21460</v>
      </c>
      <c r="U462" s="6">
        <v>3</v>
      </c>
      <c r="V462" t="s">
        <v>77</v>
      </c>
      <c r="W462" s="4">
        <v>46173</v>
      </c>
      <c r="X462" t="s">
        <v>77</v>
      </c>
      <c r="Y462" t="s">
        <v>64</v>
      </c>
      <c r="Z462" t="s">
        <v>96</v>
      </c>
    </row>
    <row r="463" spans="1:26">
      <c r="A463" t="s">
        <v>1017</v>
      </c>
      <c r="B463" t="s">
        <v>555</v>
      </c>
      <c r="C463" s="4">
        <v>46128</v>
      </c>
      <c r="D463" t="s">
        <v>469</v>
      </c>
      <c r="E463" t="s">
        <v>70</v>
      </c>
      <c r="F463" s="4">
        <v>46128</v>
      </c>
      <c r="G463" s="4">
        <v>46128</v>
      </c>
      <c r="H463" t="s">
        <v>90</v>
      </c>
      <c r="I463" t="s">
        <v>299</v>
      </c>
      <c r="J463" t="s">
        <v>197</v>
      </c>
      <c r="K463" t="s">
        <v>60</v>
      </c>
      <c r="L463" t="s">
        <v>94</v>
      </c>
      <c r="M463" s="5">
        <v>15300</v>
      </c>
      <c r="N463" s="5">
        <v>1350</v>
      </c>
      <c r="O463" s="5">
        <v>3200</v>
      </c>
      <c r="P463" s="5">
        <v>0</v>
      </c>
      <c r="Q463" s="5">
        <v>21350</v>
      </c>
      <c r="R463" t="s">
        <v>106</v>
      </c>
      <c r="S463" t="s">
        <v>76</v>
      </c>
      <c r="T463" s="5">
        <v>8170</v>
      </c>
      <c r="U463" s="6">
        <v>4</v>
      </c>
      <c r="V463" t="s">
        <v>64</v>
      </c>
      <c r="W463" s="4"/>
      <c r="X463" t="s">
        <v>65</v>
      </c>
      <c r="Y463" t="s">
        <v>64</v>
      </c>
      <c r="Z463" t="s">
        <v>78</v>
      </c>
    </row>
    <row r="464" spans="1:26">
      <c r="A464" t="s">
        <v>1018</v>
      </c>
      <c r="B464" t="s">
        <v>573</v>
      </c>
      <c r="C464" s="4">
        <v>46141</v>
      </c>
      <c r="D464" t="s">
        <v>210</v>
      </c>
      <c r="E464" t="s">
        <v>70</v>
      </c>
      <c r="F464" s="4">
        <v>46141</v>
      </c>
      <c r="G464" s="4">
        <v>46142</v>
      </c>
      <c r="H464" t="s">
        <v>121</v>
      </c>
      <c r="I464" t="s">
        <v>386</v>
      </c>
      <c r="J464" t="s">
        <v>252</v>
      </c>
      <c r="K464" t="s">
        <v>60</v>
      </c>
      <c r="L464" t="s">
        <v>94</v>
      </c>
      <c r="M464" s="5">
        <v>70500</v>
      </c>
      <c r="N464" s="5">
        <v>7050</v>
      </c>
      <c r="O464" s="5">
        <v>11300</v>
      </c>
      <c r="P464" s="5">
        <v>2500</v>
      </c>
      <c r="Q464" s="5">
        <v>93850</v>
      </c>
      <c r="R464" t="s">
        <v>95</v>
      </c>
      <c r="S464" t="s">
        <v>63</v>
      </c>
      <c r="T464" s="5">
        <v>93850</v>
      </c>
      <c r="U464" s="6">
        <v>5</v>
      </c>
      <c r="V464" t="s">
        <v>77</v>
      </c>
      <c r="W464" s="4">
        <v>46158</v>
      </c>
      <c r="X464" t="s">
        <v>77</v>
      </c>
      <c r="Y464" t="s">
        <v>64</v>
      </c>
      <c r="Z464" t="s">
        <v>78</v>
      </c>
    </row>
    <row r="465" spans="1:26">
      <c r="A465" t="s">
        <v>1019</v>
      </c>
      <c r="B465" t="s">
        <v>1020</v>
      </c>
      <c r="C465" s="4">
        <v>46108</v>
      </c>
      <c r="D465" t="s">
        <v>127</v>
      </c>
      <c r="E465" t="s">
        <v>70</v>
      </c>
      <c r="F465" s="4">
        <v>46109</v>
      </c>
      <c r="G465" s="4">
        <v>46110</v>
      </c>
      <c r="H465" t="s">
        <v>121</v>
      </c>
      <c r="I465" t="s">
        <v>386</v>
      </c>
      <c r="J465" t="s">
        <v>256</v>
      </c>
      <c r="K465" t="s">
        <v>60</v>
      </c>
      <c r="L465" t="s">
        <v>94</v>
      </c>
      <c r="M465" s="5">
        <v>15400</v>
      </c>
      <c r="N465" s="5">
        <v>1450</v>
      </c>
      <c r="O465" s="5">
        <v>2350</v>
      </c>
      <c r="P465" s="5">
        <v>2500</v>
      </c>
      <c r="Q465" s="5">
        <v>24200</v>
      </c>
      <c r="R465" t="s">
        <v>141</v>
      </c>
      <c r="S465" t="s">
        <v>86</v>
      </c>
      <c r="T465" s="5">
        <v>4830</v>
      </c>
      <c r="U465" s="6">
        <v>4</v>
      </c>
      <c r="V465" t="s">
        <v>64</v>
      </c>
      <c r="W465" s="4"/>
      <c r="X465" t="s">
        <v>65</v>
      </c>
      <c r="Y465" t="s">
        <v>64</v>
      </c>
      <c r="Z465" t="s">
        <v>96</v>
      </c>
    </row>
    <row r="466" spans="1:26">
      <c r="A466" t="s">
        <v>1021</v>
      </c>
      <c r="B466" t="s">
        <v>1022</v>
      </c>
      <c r="C466" s="4">
        <v>46035</v>
      </c>
      <c r="D466" t="s">
        <v>266</v>
      </c>
      <c r="E466" t="s">
        <v>70</v>
      </c>
      <c r="F466" s="4">
        <v>46035</v>
      </c>
      <c r="G466" s="4">
        <v>46035</v>
      </c>
      <c r="H466" t="s">
        <v>150</v>
      </c>
      <c r="I466" t="s">
        <v>304</v>
      </c>
      <c r="J466" t="s">
        <v>152</v>
      </c>
      <c r="K466" t="s">
        <v>60</v>
      </c>
      <c r="L466" t="s">
        <v>61</v>
      </c>
      <c r="M466" s="5">
        <v>21000</v>
      </c>
      <c r="N466" s="5">
        <v>2200</v>
      </c>
      <c r="O466" s="5">
        <v>4500</v>
      </c>
      <c r="P466" s="5">
        <v>0</v>
      </c>
      <c r="Q466" s="5">
        <v>28900</v>
      </c>
      <c r="R466" t="s">
        <v>85</v>
      </c>
      <c r="S466" t="s">
        <v>86</v>
      </c>
      <c r="T466" s="5">
        <v>8120</v>
      </c>
      <c r="U466" s="6">
        <v>5</v>
      </c>
      <c r="V466" t="s">
        <v>64</v>
      </c>
      <c r="W466" s="4"/>
      <c r="X466" t="s">
        <v>65</v>
      </c>
      <c r="Y466" t="s">
        <v>64</v>
      </c>
      <c r="Z466" t="s">
        <v>96</v>
      </c>
    </row>
    <row r="467" spans="1:26">
      <c r="A467" t="s">
        <v>1023</v>
      </c>
      <c r="B467" t="s">
        <v>690</v>
      </c>
      <c r="C467" s="4">
        <v>46151</v>
      </c>
      <c r="D467" t="s">
        <v>120</v>
      </c>
      <c r="E467" t="s">
        <v>70</v>
      </c>
      <c r="F467" s="4">
        <v>46152</v>
      </c>
      <c r="G467" s="4">
        <v>46156</v>
      </c>
      <c r="H467" t="s">
        <v>90</v>
      </c>
      <c r="I467" t="s">
        <v>133</v>
      </c>
      <c r="J467" t="s">
        <v>129</v>
      </c>
      <c r="K467" t="s">
        <v>73</v>
      </c>
      <c r="L467" t="s">
        <v>74</v>
      </c>
      <c r="M467" s="5">
        <v>30800</v>
      </c>
      <c r="N467" s="5">
        <v>2650</v>
      </c>
      <c r="O467" s="5">
        <v>5200</v>
      </c>
      <c r="P467" s="5">
        <v>18000</v>
      </c>
      <c r="Q467" s="5">
        <v>58650</v>
      </c>
      <c r="R467" t="s">
        <v>95</v>
      </c>
      <c r="S467" t="s">
        <v>63</v>
      </c>
      <c r="T467" s="5">
        <v>58650</v>
      </c>
      <c r="U467" s="6">
        <v>4</v>
      </c>
      <c r="V467" t="s">
        <v>64</v>
      </c>
      <c r="W467" s="4"/>
      <c r="X467" t="s">
        <v>65</v>
      </c>
      <c r="Y467" t="s">
        <v>64</v>
      </c>
      <c r="Z467" t="s">
        <v>107</v>
      </c>
    </row>
    <row r="468" spans="1:26">
      <c r="A468" t="s">
        <v>1024</v>
      </c>
      <c r="B468" t="s">
        <v>655</v>
      </c>
      <c r="C468" s="4">
        <v>46091</v>
      </c>
      <c r="D468" t="s">
        <v>127</v>
      </c>
      <c r="E468" t="s">
        <v>314</v>
      </c>
      <c r="F468" s="4"/>
      <c r="G468" s="4"/>
      <c r="H468" t="s">
        <v>138</v>
      </c>
      <c r="I468" t="s">
        <v>444</v>
      </c>
      <c r="J468" t="s">
        <v>236</v>
      </c>
      <c r="K468" t="s">
        <v>73</v>
      </c>
      <c r="L468" t="s">
        <v>61</v>
      </c>
      <c r="M468" s="5"/>
      <c r="N468" s="5"/>
      <c r="O468" s="5"/>
      <c r="P468" s="5"/>
      <c r="Q468" s="5"/>
      <c r="R468" t="s">
        <v>62</v>
      </c>
      <c r="S468" t="s">
        <v>63</v>
      </c>
      <c r="T468" s="5"/>
      <c r="U468" s="6"/>
      <c r="V468" t="s">
        <v>64</v>
      </c>
      <c r="W468" s="4"/>
      <c r="X468" t="s">
        <v>65</v>
      </c>
      <c r="Z468" t="s">
        <v>66</v>
      </c>
    </row>
    <row r="469" spans="1:26">
      <c r="A469" t="s">
        <v>1025</v>
      </c>
      <c r="B469" t="s">
        <v>1026</v>
      </c>
      <c r="C469" s="4">
        <v>46097</v>
      </c>
      <c r="D469" t="s">
        <v>173</v>
      </c>
      <c r="E469" t="s">
        <v>177</v>
      </c>
      <c r="F469" s="4"/>
      <c r="G469" s="4"/>
      <c r="H469" t="s">
        <v>57</v>
      </c>
      <c r="I469" t="s">
        <v>211</v>
      </c>
      <c r="J469" t="s">
        <v>72</v>
      </c>
      <c r="K469" t="s">
        <v>73</v>
      </c>
      <c r="L469" t="s">
        <v>61</v>
      </c>
      <c r="M469" s="5"/>
      <c r="N469" s="5"/>
      <c r="O469" s="5"/>
      <c r="P469" s="5"/>
      <c r="Q469" s="5"/>
      <c r="R469" t="s">
        <v>62</v>
      </c>
      <c r="S469" t="s">
        <v>63</v>
      </c>
      <c r="T469" s="5"/>
      <c r="U469" s="6"/>
      <c r="V469" t="s">
        <v>64</v>
      </c>
      <c r="W469" s="4"/>
      <c r="X469" t="s">
        <v>65</v>
      </c>
      <c r="Z469" t="s">
        <v>66</v>
      </c>
    </row>
    <row r="470" spans="1:26">
      <c r="A470" t="s">
        <v>1027</v>
      </c>
      <c r="B470" t="s">
        <v>549</v>
      </c>
      <c r="C470" s="4">
        <v>46058</v>
      </c>
      <c r="D470" t="s">
        <v>99</v>
      </c>
      <c r="E470" t="s">
        <v>70</v>
      </c>
      <c r="F470" s="4">
        <v>46058</v>
      </c>
      <c r="G470" s="4">
        <v>46061</v>
      </c>
      <c r="H470" t="s">
        <v>121</v>
      </c>
      <c r="I470" t="s">
        <v>174</v>
      </c>
      <c r="J470" t="s">
        <v>123</v>
      </c>
      <c r="K470" t="s">
        <v>73</v>
      </c>
      <c r="L470" t="s">
        <v>94</v>
      </c>
      <c r="M470" s="5">
        <v>28600</v>
      </c>
      <c r="N470" s="5">
        <v>2750</v>
      </c>
      <c r="O470" s="5">
        <v>5700</v>
      </c>
      <c r="P470" s="5">
        <v>7500</v>
      </c>
      <c r="Q470" s="5">
        <v>46350</v>
      </c>
      <c r="R470" t="s">
        <v>85</v>
      </c>
      <c r="S470" t="s">
        <v>76</v>
      </c>
      <c r="T470" s="5">
        <v>12490</v>
      </c>
      <c r="U470" s="6">
        <v>3</v>
      </c>
      <c r="V470" t="s">
        <v>77</v>
      </c>
      <c r="W470" s="4">
        <v>46081</v>
      </c>
      <c r="X470" t="s">
        <v>64</v>
      </c>
      <c r="Y470" t="s">
        <v>64</v>
      </c>
      <c r="Z470" t="s">
        <v>78</v>
      </c>
    </row>
    <row r="471" spans="1:26">
      <c r="A471" t="s">
        <v>1028</v>
      </c>
      <c r="B471" t="s">
        <v>589</v>
      </c>
      <c r="C471" s="4">
        <v>46051</v>
      </c>
      <c r="D471" t="s">
        <v>137</v>
      </c>
      <c r="E471" t="s">
        <v>177</v>
      </c>
      <c r="F471" s="4"/>
      <c r="G471" s="4"/>
      <c r="H471" t="s">
        <v>178</v>
      </c>
      <c r="I471" t="s">
        <v>462</v>
      </c>
      <c r="J471" t="s">
        <v>180</v>
      </c>
      <c r="K471" t="s">
        <v>93</v>
      </c>
      <c r="L471" t="s">
        <v>94</v>
      </c>
      <c r="M471" s="5"/>
      <c r="N471" s="5"/>
      <c r="O471" s="5"/>
      <c r="P471" s="5"/>
      <c r="Q471" s="5"/>
      <c r="R471" t="s">
        <v>141</v>
      </c>
      <c r="S471" t="s">
        <v>63</v>
      </c>
      <c r="T471" s="5"/>
      <c r="U471" s="6"/>
      <c r="V471" t="s">
        <v>64</v>
      </c>
      <c r="W471" s="4"/>
      <c r="X471" t="s">
        <v>65</v>
      </c>
      <c r="Z471" t="s">
        <v>66</v>
      </c>
    </row>
    <row r="472" spans="1:26">
      <c r="A472" t="s">
        <v>1029</v>
      </c>
      <c r="B472" t="s">
        <v>394</v>
      </c>
      <c r="C472" s="4">
        <v>46162</v>
      </c>
      <c r="D472" t="s">
        <v>250</v>
      </c>
      <c r="E472" t="s">
        <v>70</v>
      </c>
      <c r="F472" s="4">
        <v>46163</v>
      </c>
      <c r="G472" s="4">
        <v>46163</v>
      </c>
      <c r="H472" t="s">
        <v>90</v>
      </c>
      <c r="I472" t="s">
        <v>388</v>
      </c>
      <c r="J472" t="s">
        <v>92</v>
      </c>
      <c r="K472" t="s">
        <v>60</v>
      </c>
      <c r="L472" t="s">
        <v>94</v>
      </c>
      <c r="M472" s="5">
        <v>49300</v>
      </c>
      <c r="N472" s="5">
        <v>8800</v>
      </c>
      <c r="O472" s="5">
        <v>12100</v>
      </c>
      <c r="P472" s="5">
        <v>0</v>
      </c>
      <c r="Q472" s="5">
        <v>71700</v>
      </c>
      <c r="R472" t="s">
        <v>106</v>
      </c>
      <c r="S472" t="s">
        <v>86</v>
      </c>
      <c r="T472" s="5">
        <v>25800</v>
      </c>
      <c r="U472" s="6">
        <v>3</v>
      </c>
      <c r="V472" t="s">
        <v>77</v>
      </c>
      <c r="W472" s="4">
        <v>46170</v>
      </c>
      <c r="X472" t="s">
        <v>64</v>
      </c>
      <c r="Y472" t="s">
        <v>64</v>
      </c>
      <c r="Z472" t="s">
        <v>96</v>
      </c>
    </row>
    <row r="473" spans="1:26">
      <c r="A473" t="s">
        <v>1030</v>
      </c>
      <c r="B473" t="s">
        <v>779</v>
      </c>
      <c r="C473" s="4">
        <v>46099</v>
      </c>
      <c r="D473" t="s">
        <v>242</v>
      </c>
      <c r="E473" t="s">
        <v>70</v>
      </c>
      <c r="F473" s="4">
        <v>46099</v>
      </c>
      <c r="G473" s="4">
        <v>46103</v>
      </c>
      <c r="H473" t="s">
        <v>111</v>
      </c>
      <c r="I473" t="s">
        <v>267</v>
      </c>
      <c r="J473" t="s">
        <v>384</v>
      </c>
      <c r="K473" t="s">
        <v>73</v>
      </c>
      <c r="L473" t="s">
        <v>61</v>
      </c>
      <c r="M473" s="5">
        <v>69200</v>
      </c>
      <c r="N473" s="5">
        <v>11200</v>
      </c>
      <c r="O473" s="5">
        <v>9750</v>
      </c>
      <c r="P473" s="5">
        <v>12000</v>
      </c>
      <c r="Q473" s="5">
        <v>103350</v>
      </c>
      <c r="R473" t="s">
        <v>85</v>
      </c>
      <c r="S473" t="s">
        <v>76</v>
      </c>
      <c r="T473" s="5">
        <v>26740</v>
      </c>
      <c r="U473" s="6">
        <v>3</v>
      </c>
      <c r="V473" t="s">
        <v>77</v>
      </c>
      <c r="W473" s="4">
        <v>46121</v>
      </c>
      <c r="X473" t="s">
        <v>64</v>
      </c>
      <c r="Y473" t="s">
        <v>64</v>
      </c>
      <c r="Z473" t="s">
        <v>96</v>
      </c>
    </row>
    <row r="474" spans="1:26">
      <c r="A474" t="s">
        <v>1031</v>
      </c>
      <c r="B474" t="s">
        <v>190</v>
      </c>
      <c r="C474" s="4">
        <v>46171</v>
      </c>
      <c r="D474" t="s">
        <v>439</v>
      </c>
      <c r="E474" t="s">
        <v>70</v>
      </c>
      <c r="F474" s="4">
        <v>46171</v>
      </c>
      <c r="G474" s="4">
        <v>46172</v>
      </c>
      <c r="H474" t="s">
        <v>201</v>
      </c>
      <c r="I474" t="s">
        <v>421</v>
      </c>
      <c r="J474" t="s">
        <v>295</v>
      </c>
      <c r="K474" t="s">
        <v>73</v>
      </c>
      <c r="L474" t="s">
        <v>94</v>
      </c>
      <c r="M474" s="5">
        <v>44300</v>
      </c>
      <c r="N474" s="5">
        <v>4550</v>
      </c>
      <c r="O474" s="5">
        <v>9250</v>
      </c>
      <c r="P474" s="5">
        <v>3500</v>
      </c>
      <c r="Q474" s="5">
        <v>62600</v>
      </c>
      <c r="R474" t="s">
        <v>75</v>
      </c>
      <c r="S474" t="s">
        <v>86</v>
      </c>
      <c r="T474" s="5">
        <v>28470</v>
      </c>
      <c r="U474" s="6">
        <v>4</v>
      </c>
      <c r="V474" t="s">
        <v>77</v>
      </c>
      <c r="W474" s="4">
        <v>46192</v>
      </c>
      <c r="X474" t="s">
        <v>64</v>
      </c>
      <c r="Y474" t="s">
        <v>64</v>
      </c>
      <c r="Z474" t="s">
        <v>78</v>
      </c>
    </row>
    <row r="475" spans="1:26">
      <c r="A475" t="s">
        <v>1032</v>
      </c>
      <c r="B475" t="s">
        <v>692</v>
      </c>
      <c r="C475" s="4">
        <v>46121</v>
      </c>
      <c r="D475" t="s">
        <v>469</v>
      </c>
      <c r="E475" t="s">
        <v>70</v>
      </c>
      <c r="F475" s="4">
        <v>46121</v>
      </c>
      <c r="G475" s="4">
        <v>46126</v>
      </c>
      <c r="H475" t="s">
        <v>57</v>
      </c>
      <c r="J475" t="s">
        <v>170</v>
      </c>
      <c r="K475" t="s">
        <v>93</v>
      </c>
      <c r="L475" t="s">
        <v>74</v>
      </c>
      <c r="M475" s="5">
        <v>54100</v>
      </c>
      <c r="N475" s="5">
        <v>4700</v>
      </c>
      <c r="O475" s="5">
        <v>5500</v>
      </c>
      <c r="P475" s="5">
        <v>30000</v>
      </c>
      <c r="Q475" s="5">
        <v>96800</v>
      </c>
      <c r="R475" t="s">
        <v>106</v>
      </c>
      <c r="S475" t="s">
        <v>76</v>
      </c>
      <c r="T475" s="5">
        <v>34580</v>
      </c>
      <c r="U475" s="6">
        <v>4</v>
      </c>
      <c r="V475" t="s">
        <v>77</v>
      </c>
      <c r="W475" s="4">
        <v>46147</v>
      </c>
      <c r="X475" t="s">
        <v>77</v>
      </c>
      <c r="Y475" t="s">
        <v>64</v>
      </c>
      <c r="Z475" t="s">
        <v>78</v>
      </c>
    </row>
    <row r="476" spans="1:26">
      <c r="A476" t="s">
        <v>1033</v>
      </c>
      <c r="B476" t="s">
        <v>941</v>
      </c>
      <c r="C476" s="4">
        <v>46159</v>
      </c>
      <c r="D476" t="s">
        <v>469</v>
      </c>
      <c r="E476" t="s">
        <v>70</v>
      </c>
      <c r="F476" s="4">
        <v>46160</v>
      </c>
      <c r="G476" s="4">
        <v>46169</v>
      </c>
      <c r="H476" t="s">
        <v>178</v>
      </c>
      <c r="I476" t="s">
        <v>622</v>
      </c>
      <c r="J476" t="s">
        <v>340</v>
      </c>
      <c r="K476" t="s">
        <v>93</v>
      </c>
      <c r="L476" t="s">
        <v>61</v>
      </c>
      <c r="M476" s="5">
        <v>75600</v>
      </c>
      <c r="N476" s="5">
        <v>6550</v>
      </c>
      <c r="O476" s="5">
        <v>7800</v>
      </c>
      <c r="P476" s="5">
        <v>22500</v>
      </c>
      <c r="Q476" s="5">
        <v>113950</v>
      </c>
      <c r="R476" t="s">
        <v>75</v>
      </c>
      <c r="S476" t="s">
        <v>76</v>
      </c>
      <c r="T476" s="5">
        <v>51580</v>
      </c>
      <c r="U476" s="6">
        <v>2</v>
      </c>
      <c r="V476" t="s">
        <v>77</v>
      </c>
      <c r="W476" s="4">
        <v>46190</v>
      </c>
      <c r="X476" t="s">
        <v>64</v>
      </c>
      <c r="Y476" t="s">
        <v>64</v>
      </c>
      <c r="Z476" t="s">
        <v>219</v>
      </c>
    </row>
    <row r="477" spans="1:26">
      <c r="A477" t="s">
        <v>1034</v>
      </c>
      <c r="B477" t="s">
        <v>1020</v>
      </c>
      <c r="C477" s="4">
        <v>46082</v>
      </c>
      <c r="D477" t="s">
        <v>363</v>
      </c>
      <c r="E477" t="s">
        <v>70</v>
      </c>
      <c r="F477" s="4">
        <v>46082</v>
      </c>
      <c r="G477" s="4">
        <v>46088</v>
      </c>
      <c r="H477" t="s">
        <v>150</v>
      </c>
      <c r="I477" t="s">
        <v>304</v>
      </c>
      <c r="J477" t="s">
        <v>152</v>
      </c>
      <c r="K477" t="s">
        <v>124</v>
      </c>
      <c r="L477" t="s">
        <v>74</v>
      </c>
      <c r="M477" s="5">
        <v>18300</v>
      </c>
      <c r="N477" s="5">
        <v>1950</v>
      </c>
      <c r="O477" s="5">
        <v>3350</v>
      </c>
      <c r="P477" s="5">
        <v>15000</v>
      </c>
      <c r="Q477" s="5">
        <v>39800</v>
      </c>
      <c r="R477" t="s">
        <v>141</v>
      </c>
      <c r="S477" t="s">
        <v>76</v>
      </c>
      <c r="T477" s="5">
        <v>7170</v>
      </c>
      <c r="U477" s="6">
        <v>4</v>
      </c>
      <c r="V477" t="s">
        <v>77</v>
      </c>
      <c r="W477" s="4">
        <v>46109</v>
      </c>
      <c r="X477" t="s">
        <v>77</v>
      </c>
      <c r="Y477" t="s">
        <v>64</v>
      </c>
      <c r="Z477" t="s">
        <v>78</v>
      </c>
    </row>
    <row r="478" spans="1:26">
      <c r="A478" t="s">
        <v>1035</v>
      </c>
      <c r="B478" t="s">
        <v>890</v>
      </c>
      <c r="C478" s="4">
        <v>46097</v>
      </c>
      <c r="D478" t="s">
        <v>206</v>
      </c>
      <c r="E478" t="s">
        <v>314</v>
      </c>
      <c r="F478" s="4"/>
      <c r="G478" s="4"/>
      <c r="H478" t="s">
        <v>201</v>
      </c>
      <c r="I478" t="s">
        <v>515</v>
      </c>
      <c r="J478" t="s">
        <v>203</v>
      </c>
      <c r="K478" t="s">
        <v>124</v>
      </c>
      <c r="L478" t="s">
        <v>94</v>
      </c>
      <c r="M478" s="5"/>
      <c r="N478" s="5"/>
      <c r="O478" s="5"/>
      <c r="P478" s="5"/>
      <c r="Q478" s="5"/>
      <c r="R478" t="s">
        <v>62</v>
      </c>
      <c r="S478" t="s">
        <v>63</v>
      </c>
      <c r="T478" s="5"/>
      <c r="U478" s="6"/>
      <c r="V478" t="s">
        <v>64</v>
      </c>
      <c r="W478" s="4"/>
      <c r="X478" t="s">
        <v>65</v>
      </c>
      <c r="Z478" t="s">
        <v>66</v>
      </c>
    </row>
    <row r="479" spans="1:26">
      <c r="A479" t="s">
        <v>1036</v>
      </c>
      <c r="B479" t="s">
        <v>740</v>
      </c>
      <c r="C479" s="4">
        <v>46089</v>
      </c>
      <c r="D479" t="s">
        <v>173</v>
      </c>
      <c r="E479" t="s">
        <v>70</v>
      </c>
      <c r="F479" s="4">
        <v>46090</v>
      </c>
      <c r="G479" s="4">
        <v>46091</v>
      </c>
      <c r="H479" t="s">
        <v>150</v>
      </c>
      <c r="I479" t="s">
        <v>151</v>
      </c>
      <c r="J479" t="s">
        <v>229</v>
      </c>
      <c r="K479" t="s">
        <v>93</v>
      </c>
      <c r="L479" t="s">
        <v>94</v>
      </c>
      <c r="M479" s="5">
        <v>34200</v>
      </c>
      <c r="N479" s="5">
        <v>3000</v>
      </c>
      <c r="O479" s="5">
        <v>4800</v>
      </c>
      <c r="P479" s="5">
        <v>6000</v>
      </c>
      <c r="Q479" s="5">
        <v>50500</v>
      </c>
      <c r="R479" t="s">
        <v>95</v>
      </c>
      <c r="S479" t="s">
        <v>63</v>
      </c>
      <c r="T479" s="5">
        <v>50500</v>
      </c>
      <c r="U479" s="6">
        <v>4</v>
      </c>
      <c r="V479" t="s">
        <v>77</v>
      </c>
      <c r="W479" s="4">
        <v>46101</v>
      </c>
      <c r="X479" t="s">
        <v>64</v>
      </c>
      <c r="Y479" t="s">
        <v>64</v>
      </c>
      <c r="Z479" t="s">
        <v>436</v>
      </c>
    </row>
    <row r="480" spans="1:26">
      <c r="A480" t="s">
        <v>1037</v>
      </c>
      <c r="B480" t="s">
        <v>427</v>
      </c>
      <c r="C480" s="4">
        <v>46124</v>
      </c>
      <c r="D480" t="s">
        <v>242</v>
      </c>
      <c r="E480" t="s">
        <v>70</v>
      </c>
      <c r="F480" s="4">
        <v>46124</v>
      </c>
      <c r="G480" s="4">
        <v>46133</v>
      </c>
      <c r="H480" t="s">
        <v>103</v>
      </c>
      <c r="I480" t="s">
        <v>243</v>
      </c>
      <c r="J480" t="s">
        <v>244</v>
      </c>
      <c r="K480" t="s">
        <v>73</v>
      </c>
      <c r="L480" t="s">
        <v>94</v>
      </c>
      <c r="M480" s="5">
        <v>59700</v>
      </c>
      <c r="N480" s="5">
        <v>6650</v>
      </c>
      <c r="O480" s="5">
        <v>11900</v>
      </c>
      <c r="P480" s="5">
        <v>22500</v>
      </c>
      <c r="Q480" s="5">
        <v>102550</v>
      </c>
      <c r="R480" t="s">
        <v>75</v>
      </c>
      <c r="S480" t="s">
        <v>76</v>
      </c>
      <c r="T480" s="5">
        <v>46450</v>
      </c>
      <c r="U480" s="6">
        <v>3</v>
      </c>
      <c r="V480" t="s">
        <v>77</v>
      </c>
      <c r="W480" s="4">
        <v>46142</v>
      </c>
      <c r="X480" t="s">
        <v>77</v>
      </c>
      <c r="Y480" t="s">
        <v>64</v>
      </c>
      <c r="Z480" t="s">
        <v>96</v>
      </c>
    </row>
    <row r="481" spans="1:26">
      <c r="A481" t="s">
        <v>1038</v>
      </c>
      <c r="B481" t="s">
        <v>667</v>
      </c>
      <c r="C481" s="4">
        <v>46131</v>
      </c>
      <c r="D481" t="s">
        <v>99</v>
      </c>
      <c r="E481" t="s">
        <v>314</v>
      </c>
      <c r="F481" s="4"/>
      <c r="G481" s="4"/>
      <c r="H481" t="s">
        <v>90</v>
      </c>
      <c r="I481" t="s">
        <v>388</v>
      </c>
      <c r="J481" t="s">
        <v>197</v>
      </c>
      <c r="K481" t="s">
        <v>124</v>
      </c>
      <c r="L481" t="s">
        <v>94</v>
      </c>
      <c r="M481" s="5"/>
      <c r="N481" s="5"/>
      <c r="O481" s="5"/>
      <c r="P481" s="5"/>
      <c r="Q481" s="5"/>
      <c r="R481" t="s">
        <v>106</v>
      </c>
      <c r="S481" t="s">
        <v>63</v>
      </c>
      <c r="T481" s="5"/>
      <c r="U481" s="6"/>
      <c r="V481" t="s">
        <v>64</v>
      </c>
      <c r="W481" s="4"/>
      <c r="X481" t="s">
        <v>65</v>
      </c>
      <c r="Z481" t="s">
        <v>66</v>
      </c>
    </row>
    <row r="482" spans="1:26">
      <c r="A482" t="s">
        <v>1039</v>
      </c>
      <c r="B482" t="s">
        <v>1040</v>
      </c>
      <c r="C482" s="4">
        <v>46055</v>
      </c>
      <c r="D482" t="s">
        <v>294</v>
      </c>
      <c r="E482" t="s">
        <v>70</v>
      </c>
      <c r="F482" s="4">
        <v>46055</v>
      </c>
      <c r="G482" s="4">
        <v>46060</v>
      </c>
      <c r="H482" t="s">
        <v>111</v>
      </c>
      <c r="I482" t="s">
        <v>222</v>
      </c>
      <c r="J482" t="s">
        <v>113</v>
      </c>
      <c r="K482" t="s">
        <v>73</v>
      </c>
      <c r="L482" t="s">
        <v>74</v>
      </c>
      <c r="M482" s="5">
        <v>26900</v>
      </c>
      <c r="N482" s="5">
        <v>2950</v>
      </c>
      <c r="O482" s="5">
        <v>3250</v>
      </c>
      <c r="P482" s="5">
        <v>30000</v>
      </c>
      <c r="Q482" s="5">
        <v>64100</v>
      </c>
      <c r="R482" t="s">
        <v>134</v>
      </c>
      <c r="S482" t="s">
        <v>76</v>
      </c>
      <c r="T482" s="5">
        <v>35460</v>
      </c>
      <c r="U482" s="6">
        <v>4</v>
      </c>
      <c r="V482" t="s">
        <v>77</v>
      </c>
      <c r="W482" s="4">
        <v>46081</v>
      </c>
      <c r="X482" t="s">
        <v>77</v>
      </c>
      <c r="Y482" t="s">
        <v>64</v>
      </c>
      <c r="Z482" t="s">
        <v>107</v>
      </c>
    </row>
    <row r="483" spans="1:26">
      <c r="A483" t="s">
        <v>1041</v>
      </c>
      <c r="B483" t="s">
        <v>929</v>
      </c>
      <c r="C483" s="4">
        <v>46090</v>
      </c>
      <c r="D483" t="s">
        <v>217</v>
      </c>
      <c r="E483" t="s">
        <v>314</v>
      </c>
      <c r="F483" s="4"/>
      <c r="G483" s="4"/>
      <c r="H483" t="s">
        <v>111</v>
      </c>
      <c r="I483" t="s">
        <v>222</v>
      </c>
      <c r="J483" t="s">
        <v>113</v>
      </c>
      <c r="K483" t="s">
        <v>60</v>
      </c>
      <c r="L483" t="s">
        <v>94</v>
      </c>
      <c r="M483" s="5"/>
      <c r="N483" s="5"/>
      <c r="O483" s="5"/>
      <c r="P483" s="5"/>
      <c r="Q483" s="5"/>
      <c r="R483" t="s">
        <v>85</v>
      </c>
      <c r="S483" t="s">
        <v>63</v>
      </c>
      <c r="T483" s="5"/>
      <c r="U483" s="6"/>
      <c r="V483" t="s">
        <v>64</v>
      </c>
      <c r="W483" s="4"/>
      <c r="X483" t="s">
        <v>65</v>
      </c>
      <c r="Z483" t="s">
        <v>66</v>
      </c>
    </row>
    <row r="484" spans="1:26">
      <c r="A484" t="s">
        <v>1042</v>
      </c>
      <c r="B484" t="s">
        <v>962</v>
      </c>
      <c r="C484" s="4">
        <v>46169</v>
      </c>
      <c r="D484" t="s">
        <v>383</v>
      </c>
      <c r="E484" t="s">
        <v>70</v>
      </c>
      <c r="F484" s="4">
        <v>46169</v>
      </c>
      <c r="G484" s="4">
        <v>46175</v>
      </c>
      <c r="H484" t="s">
        <v>111</v>
      </c>
      <c r="I484" t="s">
        <v>267</v>
      </c>
      <c r="J484" t="s">
        <v>384</v>
      </c>
      <c r="K484" t="s">
        <v>93</v>
      </c>
      <c r="L484" t="s">
        <v>61</v>
      </c>
      <c r="M484" s="5">
        <v>46700</v>
      </c>
      <c r="N484" s="5">
        <v>7400</v>
      </c>
      <c r="O484" s="5">
        <v>6500</v>
      </c>
      <c r="P484" s="5">
        <v>27000</v>
      </c>
      <c r="Q484" s="5">
        <v>88800</v>
      </c>
      <c r="R484" t="s">
        <v>95</v>
      </c>
      <c r="S484" t="s">
        <v>63</v>
      </c>
      <c r="T484" s="5">
        <v>88800</v>
      </c>
      <c r="U484" s="6">
        <v>4</v>
      </c>
      <c r="V484" t="s">
        <v>64</v>
      </c>
      <c r="W484" s="4"/>
      <c r="X484" t="s">
        <v>65</v>
      </c>
      <c r="Y484" t="s">
        <v>64</v>
      </c>
      <c r="Z484" t="s">
        <v>96</v>
      </c>
    </row>
    <row r="485" spans="1:26">
      <c r="A485" t="s">
        <v>1043</v>
      </c>
      <c r="B485" t="s">
        <v>1044</v>
      </c>
      <c r="C485" s="4">
        <v>46025</v>
      </c>
      <c r="D485" t="s">
        <v>432</v>
      </c>
      <c r="E485" t="s">
        <v>191</v>
      </c>
      <c r="F485" s="4"/>
      <c r="G485" s="4"/>
      <c r="H485" t="s">
        <v>121</v>
      </c>
      <c r="I485" t="s">
        <v>386</v>
      </c>
      <c r="J485" t="s">
        <v>256</v>
      </c>
      <c r="K485" t="s">
        <v>60</v>
      </c>
      <c r="L485" t="s">
        <v>146</v>
      </c>
      <c r="M485" s="5"/>
      <c r="N485" s="5"/>
      <c r="O485" s="5"/>
      <c r="P485" s="5"/>
      <c r="Q485" s="5"/>
      <c r="R485" t="s">
        <v>134</v>
      </c>
      <c r="S485" t="s">
        <v>63</v>
      </c>
      <c r="T485" s="5"/>
      <c r="U485" s="6"/>
      <c r="V485" t="s">
        <v>64</v>
      </c>
      <c r="W485" s="4"/>
      <c r="X485" t="s">
        <v>65</v>
      </c>
      <c r="Z485" t="s">
        <v>66</v>
      </c>
    </row>
    <row r="486" spans="1:26">
      <c r="A486" t="s">
        <v>1045</v>
      </c>
      <c r="B486" t="s">
        <v>851</v>
      </c>
      <c r="C486" s="4">
        <v>46144</v>
      </c>
      <c r="D486" t="s">
        <v>55</v>
      </c>
      <c r="E486" t="s">
        <v>70</v>
      </c>
      <c r="F486" s="4">
        <v>46144</v>
      </c>
      <c r="G486" s="4">
        <v>46153</v>
      </c>
      <c r="H486" t="s">
        <v>178</v>
      </c>
      <c r="I486" t="s">
        <v>622</v>
      </c>
      <c r="J486" t="s">
        <v>340</v>
      </c>
      <c r="K486" t="s">
        <v>93</v>
      </c>
      <c r="L486" t="s">
        <v>61</v>
      </c>
      <c r="M486" s="5">
        <v>87000</v>
      </c>
      <c r="N486" s="5">
        <v>14350</v>
      </c>
      <c r="O486" s="5">
        <v>19350</v>
      </c>
      <c r="P486" s="5">
        <v>31500</v>
      </c>
      <c r="Q486" s="5">
        <v>153700</v>
      </c>
      <c r="R486" t="s">
        <v>141</v>
      </c>
      <c r="S486" t="s">
        <v>76</v>
      </c>
      <c r="T486" s="5">
        <v>24260</v>
      </c>
      <c r="U486" s="6"/>
      <c r="V486" t="s">
        <v>77</v>
      </c>
      <c r="W486" s="4">
        <v>46160</v>
      </c>
      <c r="X486" t="s">
        <v>77</v>
      </c>
      <c r="Y486" t="s">
        <v>64</v>
      </c>
      <c r="Z486" t="s">
        <v>78</v>
      </c>
    </row>
    <row r="487" spans="1:26">
      <c r="A487" t="s">
        <v>1046</v>
      </c>
      <c r="B487" t="s">
        <v>1047</v>
      </c>
      <c r="C487" s="4">
        <v>46067</v>
      </c>
      <c r="D487" t="s">
        <v>144</v>
      </c>
      <c r="E487" t="s">
        <v>70</v>
      </c>
      <c r="F487" s="4">
        <v>46067</v>
      </c>
      <c r="G487" s="4">
        <v>46072</v>
      </c>
      <c r="H487" t="s">
        <v>121</v>
      </c>
      <c r="I487" t="s">
        <v>386</v>
      </c>
      <c r="J487" t="s">
        <v>123</v>
      </c>
      <c r="K487" t="s">
        <v>124</v>
      </c>
      <c r="L487" t="s">
        <v>61</v>
      </c>
      <c r="M487" s="5">
        <v>59800</v>
      </c>
      <c r="N487" s="5">
        <v>7250</v>
      </c>
      <c r="O487" s="5">
        <v>8350</v>
      </c>
      <c r="P487" s="5">
        <v>15000</v>
      </c>
      <c r="Q487" s="5">
        <v>92900</v>
      </c>
      <c r="R487" t="s">
        <v>85</v>
      </c>
      <c r="S487" t="s">
        <v>76</v>
      </c>
      <c r="T487" s="5">
        <v>24120</v>
      </c>
      <c r="U487" s="6">
        <v>3</v>
      </c>
      <c r="V487" t="s">
        <v>77</v>
      </c>
      <c r="W487" s="4">
        <v>46080</v>
      </c>
      <c r="X487" t="s">
        <v>64</v>
      </c>
      <c r="Y487" t="s">
        <v>77</v>
      </c>
      <c r="Z487" t="s">
        <v>78</v>
      </c>
    </row>
    <row r="488" spans="1:26">
      <c r="A488" t="s">
        <v>1048</v>
      </c>
      <c r="B488" t="s">
        <v>176</v>
      </c>
      <c r="C488" s="4">
        <v>46035</v>
      </c>
      <c r="D488" t="s">
        <v>383</v>
      </c>
      <c r="E488" t="s">
        <v>177</v>
      </c>
      <c r="F488" s="4"/>
      <c r="G488" s="4"/>
      <c r="H488" t="s">
        <v>201</v>
      </c>
      <c r="I488" t="s">
        <v>280</v>
      </c>
      <c r="J488" t="s">
        <v>203</v>
      </c>
      <c r="K488" t="s">
        <v>124</v>
      </c>
      <c r="L488" t="s">
        <v>61</v>
      </c>
      <c r="M488" s="5"/>
      <c r="N488" s="5"/>
      <c r="O488" s="5"/>
      <c r="P488" s="5"/>
      <c r="Q488" s="5"/>
      <c r="R488" t="s">
        <v>95</v>
      </c>
      <c r="S488" t="s">
        <v>63</v>
      </c>
      <c r="T488" s="5"/>
      <c r="U488" s="6"/>
      <c r="V488" t="s">
        <v>64</v>
      </c>
      <c r="W488" s="4"/>
      <c r="X488" t="s">
        <v>65</v>
      </c>
      <c r="Z488" t="s">
        <v>66</v>
      </c>
    </row>
    <row r="489" spans="1:26">
      <c r="A489" t="s">
        <v>1049</v>
      </c>
      <c r="B489" t="s">
        <v>1050</v>
      </c>
      <c r="C489" s="4">
        <v>46165</v>
      </c>
      <c r="D489" t="s">
        <v>210</v>
      </c>
      <c r="E489" t="s">
        <v>56</v>
      </c>
      <c r="F489" s="4"/>
      <c r="G489" s="4"/>
      <c r="H489" t="s">
        <v>121</v>
      </c>
      <c r="I489" t="s">
        <v>386</v>
      </c>
      <c r="J489" t="s">
        <v>252</v>
      </c>
      <c r="K489" t="s">
        <v>124</v>
      </c>
      <c r="L489" t="s">
        <v>146</v>
      </c>
      <c r="M489" s="5"/>
      <c r="N489" s="5"/>
      <c r="O489" s="5"/>
      <c r="P489" s="5"/>
      <c r="Q489" s="5"/>
      <c r="R489" t="s">
        <v>75</v>
      </c>
      <c r="S489" t="s">
        <v>63</v>
      </c>
      <c r="T489" s="5"/>
      <c r="U489" s="6"/>
      <c r="V489" t="s">
        <v>64</v>
      </c>
      <c r="W489" s="4"/>
      <c r="X489" t="s">
        <v>65</v>
      </c>
      <c r="Z489" t="s">
        <v>66</v>
      </c>
    </row>
    <row r="490" spans="1:26">
      <c r="A490" t="s">
        <v>1051</v>
      </c>
      <c r="B490" t="s">
        <v>890</v>
      </c>
      <c r="C490" s="4">
        <v>46088</v>
      </c>
      <c r="D490" t="s">
        <v>200</v>
      </c>
      <c r="E490" t="s">
        <v>70</v>
      </c>
      <c r="F490" s="4">
        <v>46088</v>
      </c>
      <c r="G490" s="4">
        <v>46090</v>
      </c>
      <c r="H490" t="s">
        <v>57</v>
      </c>
      <c r="I490" t="s">
        <v>58</v>
      </c>
      <c r="J490" t="s">
        <v>72</v>
      </c>
      <c r="K490" t="s">
        <v>73</v>
      </c>
      <c r="L490" t="s">
        <v>94</v>
      </c>
      <c r="M490" s="5">
        <v>6200</v>
      </c>
      <c r="N490" s="5">
        <v>600</v>
      </c>
      <c r="O490" s="5">
        <v>1500</v>
      </c>
      <c r="P490" s="5">
        <v>9000</v>
      </c>
      <c r="Q490" s="5">
        <v>19800</v>
      </c>
      <c r="R490" t="s">
        <v>106</v>
      </c>
      <c r="S490" t="s">
        <v>76</v>
      </c>
      <c r="T490" s="5">
        <v>7630</v>
      </c>
      <c r="U490" s="6">
        <v>4</v>
      </c>
      <c r="V490" t="s">
        <v>64</v>
      </c>
      <c r="W490" s="4"/>
      <c r="X490" t="s">
        <v>65</v>
      </c>
      <c r="Y490" t="s">
        <v>64</v>
      </c>
      <c r="Z490" t="s">
        <v>78</v>
      </c>
    </row>
    <row r="491" spans="1:26">
      <c r="A491" t="s">
        <v>1052</v>
      </c>
      <c r="B491" t="s">
        <v>441</v>
      </c>
      <c r="C491" s="4">
        <v>46098</v>
      </c>
      <c r="D491" t="s">
        <v>110</v>
      </c>
      <c r="E491" t="s">
        <v>70</v>
      </c>
      <c r="F491" s="4">
        <v>46099</v>
      </c>
      <c r="G491" s="4">
        <v>46100</v>
      </c>
      <c r="H491" t="s">
        <v>57</v>
      </c>
      <c r="I491" t="s">
        <v>71</v>
      </c>
      <c r="J491" t="s">
        <v>170</v>
      </c>
      <c r="K491" t="s">
        <v>60</v>
      </c>
      <c r="L491" t="s">
        <v>94</v>
      </c>
      <c r="M491" s="5">
        <v>72100</v>
      </c>
      <c r="N491" s="5">
        <v>8300</v>
      </c>
      <c r="O491" s="5">
        <v>7350</v>
      </c>
      <c r="P491" s="5">
        <v>6000</v>
      </c>
      <c r="Q491" s="5">
        <v>95550</v>
      </c>
      <c r="R491" t="s">
        <v>75</v>
      </c>
      <c r="S491" t="s">
        <v>86</v>
      </c>
      <c r="T491" s="5">
        <v>43300</v>
      </c>
      <c r="U491" s="6">
        <v>3</v>
      </c>
      <c r="V491" t="s">
        <v>77</v>
      </c>
      <c r="W491" s="4">
        <v>46113</v>
      </c>
      <c r="X491" t="s">
        <v>64</v>
      </c>
      <c r="Y491" t="s">
        <v>64</v>
      </c>
      <c r="Z491" t="s">
        <v>78</v>
      </c>
    </row>
    <row r="492" spans="1:26">
      <c r="A492" t="s">
        <v>1053</v>
      </c>
      <c r="B492" t="s">
        <v>978</v>
      </c>
      <c r="C492" s="4">
        <v>46151</v>
      </c>
      <c r="D492" t="s">
        <v>259</v>
      </c>
      <c r="E492" t="s">
        <v>70</v>
      </c>
      <c r="F492" s="4">
        <v>46151</v>
      </c>
      <c r="G492" s="4">
        <v>46152</v>
      </c>
      <c r="H492" t="s">
        <v>121</v>
      </c>
      <c r="I492" t="s">
        <v>665</v>
      </c>
      <c r="J492" t="s">
        <v>256</v>
      </c>
      <c r="K492" t="s">
        <v>60</v>
      </c>
      <c r="L492" t="s">
        <v>94</v>
      </c>
      <c r="M492" s="5">
        <v>20800</v>
      </c>
      <c r="N492" s="5">
        <v>3200</v>
      </c>
      <c r="O492" s="5">
        <v>3700</v>
      </c>
      <c r="P492" s="5">
        <v>4500</v>
      </c>
      <c r="Q492" s="5">
        <v>33200</v>
      </c>
      <c r="R492" t="s">
        <v>141</v>
      </c>
      <c r="S492" t="s">
        <v>76</v>
      </c>
      <c r="T492" s="5">
        <v>6180</v>
      </c>
      <c r="U492" s="6">
        <v>4</v>
      </c>
      <c r="V492" t="s">
        <v>64</v>
      </c>
      <c r="W492" s="4"/>
      <c r="X492" t="s">
        <v>65</v>
      </c>
      <c r="Y492" t="s">
        <v>64</v>
      </c>
      <c r="Z492" t="s">
        <v>96</v>
      </c>
    </row>
    <row r="493" spans="1:26">
      <c r="A493" t="s">
        <v>1054</v>
      </c>
      <c r="B493" t="s">
        <v>828</v>
      </c>
      <c r="C493" s="4">
        <v>46159</v>
      </c>
      <c r="D493" t="s">
        <v>210</v>
      </c>
      <c r="E493" t="s">
        <v>70</v>
      </c>
      <c r="F493" s="4">
        <v>46160</v>
      </c>
      <c r="G493" s="4">
        <v>46162</v>
      </c>
      <c r="H493" t="s">
        <v>121</v>
      </c>
      <c r="I493" t="s">
        <v>386</v>
      </c>
      <c r="J493" t="s">
        <v>256</v>
      </c>
      <c r="K493" t="s">
        <v>73</v>
      </c>
      <c r="L493" t="s">
        <v>94</v>
      </c>
      <c r="M493" s="5">
        <v>20100</v>
      </c>
      <c r="N493" s="5">
        <v>2700</v>
      </c>
      <c r="O493" s="5">
        <v>2050</v>
      </c>
      <c r="P493" s="5">
        <v>7000</v>
      </c>
      <c r="Q493" s="5">
        <v>34350</v>
      </c>
      <c r="R493" t="s">
        <v>106</v>
      </c>
      <c r="S493" t="s">
        <v>76</v>
      </c>
      <c r="T493" s="5">
        <v>12720</v>
      </c>
      <c r="U493" s="6">
        <v>3</v>
      </c>
      <c r="V493" t="s">
        <v>77</v>
      </c>
      <c r="W493" s="4">
        <v>46176</v>
      </c>
      <c r="X493" t="s">
        <v>64</v>
      </c>
      <c r="Y493" t="s">
        <v>64</v>
      </c>
      <c r="Z493" t="s">
        <v>78</v>
      </c>
    </row>
    <row r="494" spans="1:26">
      <c r="A494" t="s">
        <v>1055</v>
      </c>
      <c r="B494" t="s">
        <v>322</v>
      </c>
      <c r="C494" s="4">
        <v>46038</v>
      </c>
      <c r="D494" t="s">
        <v>200</v>
      </c>
      <c r="E494" t="s">
        <v>70</v>
      </c>
      <c r="F494" s="4">
        <v>46038</v>
      </c>
      <c r="G494" s="4">
        <v>46044</v>
      </c>
      <c r="H494" t="s">
        <v>138</v>
      </c>
      <c r="I494" t="s">
        <v>260</v>
      </c>
      <c r="J494" t="s">
        <v>236</v>
      </c>
      <c r="K494" t="s">
        <v>124</v>
      </c>
      <c r="L494" t="s">
        <v>94</v>
      </c>
      <c r="M494" s="5">
        <v>28900</v>
      </c>
      <c r="N494" s="5">
        <v>4650</v>
      </c>
      <c r="O494" s="5">
        <v>6650</v>
      </c>
      <c r="P494" s="5">
        <v>36000</v>
      </c>
      <c r="Q494" s="5">
        <v>78700</v>
      </c>
      <c r="R494" t="s">
        <v>85</v>
      </c>
      <c r="S494" t="s">
        <v>163</v>
      </c>
      <c r="T494" s="5">
        <v>20580</v>
      </c>
      <c r="U494" s="6">
        <v>5</v>
      </c>
      <c r="V494" t="s">
        <v>77</v>
      </c>
      <c r="W494" s="4">
        <v>46053</v>
      </c>
      <c r="X494" t="s">
        <v>77</v>
      </c>
      <c r="Y494" t="s">
        <v>64</v>
      </c>
      <c r="Z494" t="s">
        <v>78</v>
      </c>
    </row>
    <row r="495" spans="1:26">
      <c r="A495" t="s">
        <v>1056</v>
      </c>
      <c r="B495" t="s">
        <v>921</v>
      </c>
      <c r="C495" s="4">
        <v>46163</v>
      </c>
      <c r="D495" t="s">
        <v>132</v>
      </c>
      <c r="E495" t="s">
        <v>70</v>
      </c>
      <c r="F495" s="4">
        <v>46163</v>
      </c>
      <c r="G495" s="4">
        <v>46168</v>
      </c>
      <c r="H495" t="s">
        <v>90</v>
      </c>
      <c r="I495" t="s">
        <v>388</v>
      </c>
      <c r="J495" t="s">
        <v>129</v>
      </c>
      <c r="K495" t="s">
        <v>124</v>
      </c>
      <c r="L495" t="s">
        <v>146</v>
      </c>
      <c r="M495" s="5">
        <v>41200</v>
      </c>
      <c r="N495" s="5">
        <v>5400</v>
      </c>
      <c r="O495" s="5">
        <v>4450</v>
      </c>
      <c r="P495" s="5">
        <v>30000</v>
      </c>
      <c r="Q495" s="5">
        <v>82550</v>
      </c>
      <c r="R495" t="s">
        <v>85</v>
      </c>
      <c r="S495" t="s">
        <v>76</v>
      </c>
      <c r="T495" s="5">
        <v>21540</v>
      </c>
      <c r="U495" s="6">
        <v>2</v>
      </c>
      <c r="V495" t="s">
        <v>77</v>
      </c>
      <c r="W495" s="4">
        <v>46175</v>
      </c>
      <c r="X495" t="s">
        <v>64</v>
      </c>
      <c r="Y495" t="s">
        <v>77</v>
      </c>
      <c r="Z495" t="s">
        <v>96</v>
      </c>
    </row>
    <row r="496" spans="1:26">
      <c r="A496" t="s">
        <v>1057</v>
      </c>
      <c r="B496" t="s">
        <v>1058</v>
      </c>
      <c r="C496" s="4">
        <v>46153</v>
      </c>
      <c r="D496" t="s">
        <v>242</v>
      </c>
      <c r="E496" t="s">
        <v>70</v>
      </c>
      <c r="F496" s="4">
        <v>46153</v>
      </c>
      <c r="G496" s="4">
        <v>46154</v>
      </c>
      <c r="H496" t="s">
        <v>90</v>
      </c>
      <c r="I496" t="s">
        <v>388</v>
      </c>
      <c r="J496" t="s">
        <v>92</v>
      </c>
      <c r="K496" t="s">
        <v>60</v>
      </c>
      <c r="L496" t="s">
        <v>74</v>
      </c>
      <c r="M496" s="5">
        <v>49400</v>
      </c>
      <c r="N496" s="5">
        <v>6700</v>
      </c>
      <c r="O496" s="5">
        <v>11800</v>
      </c>
      <c r="P496" s="5">
        <v>3000</v>
      </c>
      <c r="Q496" s="5">
        <v>72400</v>
      </c>
      <c r="R496" t="s">
        <v>85</v>
      </c>
      <c r="S496" t="s">
        <v>76</v>
      </c>
      <c r="T496" s="5">
        <v>19000</v>
      </c>
      <c r="U496" s="6">
        <v>5</v>
      </c>
      <c r="V496" t="s">
        <v>77</v>
      </c>
      <c r="W496" s="4">
        <v>46161</v>
      </c>
      <c r="X496" t="s">
        <v>64</v>
      </c>
      <c r="Y496" t="s">
        <v>64</v>
      </c>
      <c r="Z496" t="s">
        <v>96</v>
      </c>
    </row>
    <row r="497" spans="1:26">
      <c r="A497" t="s">
        <v>1059</v>
      </c>
      <c r="B497" t="s">
        <v>762</v>
      </c>
      <c r="C497" s="4">
        <v>46027</v>
      </c>
      <c r="D497" t="s">
        <v>266</v>
      </c>
      <c r="E497" t="s">
        <v>338</v>
      </c>
      <c r="F497" s="4"/>
      <c r="G497" s="4"/>
      <c r="H497" t="s">
        <v>90</v>
      </c>
      <c r="I497" t="s">
        <v>91</v>
      </c>
      <c r="J497" t="s">
        <v>92</v>
      </c>
      <c r="K497" t="s">
        <v>124</v>
      </c>
      <c r="L497" t="s">
        <v>61</v>
      </c>
      <c r="M497" s="5"/>
      <c r="N497" s="5"/>
      <c r="O497" s="5"/>
      <c r="P497" s="5"/>
      <c r="Q497" s="5"/>
      <c r="R497" t="s">
        <v>141</v>
      </c>
      <c r="S497" t="s">
        <v>63</v>
      </c>
      <c r="T497" s="5"/>
      <c r="U497" s="6"/>
      <c r="V497" t="s">
        <v>64</v>
      </c>
      <c r="W497" s="4"/>
      <c r="X497" t="s">
        <v>65</v>
      </c>
      <c r="Z497" t="s">
        <v>66</v>
      </c>
    </row>
    <row r="498" spans="1:26">
      <c r="A498" t="s">
        <v>1060</v>
      </c>
      <c r="B498" t="s">
        <v>1058</v>
      </c>
      <c r="C498" s="4">
        <v>46107</v>
      </c>
      <c r="D498" t="s">
        <v>225</v>
      </c>
      <c r="E498" t="s">
        <v>70</v>
      </c>
      <c r="F498" s="4">
        <v>46108</v>
      </c>
      <c r="G498" s="4">
        <v>46118</v>
      </c>
      <c r="H498" t="s">
        <v>82</v>
      </c>
      <c r="I498" t="s">
        <v>194</v>
      </c>
      <c r="J498" t="s">
        <v>156</v>
      </c>
      <c r="K498" t="s">
        <v>93</v>
      </c>
      <c r="L498" t="s">
        <v>94</v>
      </c>
      <c r="M498" s="5">
        <v>66300</v>
      </c>
      <c r="N498" s="5">
        <v>9600</v>
      </c>
      <c r="O498" s="5">
        <v>15750</v>
      </c>
      <c r="P498" s="5">
        <v>35000</v>
      </c>
      <c r="Q498" s="5">
        <v>128450</v>
      </c>
      <c r="R498" t="s">
        <v>95</v>
      </c>
      <c r="S498" t="s">
        <v>63</v>
      </c>
      <c r="T498" s="5">
        <v>128450</v>
      </c>
      <c r="U498" s="6">
        <v>2</v>
      </c>
      <c r="V498" t="s">
        <v>77</v>
      </c>
      <c r="W498" s="4">
        <v>46136</v>
      </c>
      <c r="X498" t="s">
        <v>64</v>
      </c>
      <c r="Y498" t="s">
        <v>64</v>
      </c>
      <c r="Z498" t="s">
        <v>96</v>
      </c>
    </row>
    <row r="499" spans="1:26">
      <c r="A499" t="s">
        <v>1061</v>
      </c>
      <c r="B499" t="s">
        <v>288</v>
      </c>
      <c r="C499" s="4">
        <v>46033</v>
      </c>
      <c r="D499" t="s">
        <v>419</v>
      </c>
      <c r="E499" t="s">
        <v>70</v>
      </c>
      <c r="F499" s="4">
        <v>46034</v>
      </c>
      <c r="G499" s="4">
        <v>46036</v>
      </c>
      <c r="H499" t="s">
        <v>150</v>
      </c>
      <c r="I499" t="s">
        <v>228</v>
      </c>
      <c r="J499" t="s">
        <v>229</v>
      </c>
      <c r="K499" t="s">
        <v>73</v>
      </c>
      <c r="L499" t="s">
        <v>61</v>
      </c>
      <c r="M499" s="5">
        <v>30900</v>
      </c>
      <c r="N499" s="5">
        <v>4100</v>
      </c>
      <c r="O499" s="5">
        <v>5700</v>
      </c>
      <c r="P499" s="5">
        <v>12000</v>
      </c>
      <c r="Q499" s="5">
        <v>54200</v>
      </c>
      <c r="R499" t="s">
        <v>141</v>
      </c>
      <c r="S499" t="s">
        <v>76</v>
      </c>
      <c r="T499" s="5">
        <v>9330</v>
      </c>
      <c r="U499" s="6">
        <v>4</v>
      </c>
      <c r="V499" t="s">
        <v>64</v>
      </c>
      <c r="W499" s="4"/>
      <c r="X499" t="s">
        <v>65</v>
      </c>
      <c r="Y499" t="s">
        <v>77</v>
      </c>
      <c r="Z499" t="s">
        <v>78</v>
      </c>
    </row>
    <row r="500" spans="1:26">
      <c r="A500" t="s">
        <v>1062</v>
      </c>
      <c r="B500" t="s">
        <v>794</v>
      </c>
      <c r="C500" s="4">
        <v>46147</v>
      </c>
      <c r="D500" t="s">
        <v>173</v>
      </c>
      <c r="E500" t="s">
        <v>70</v>
      </c>
      <c r="F500" s="4">
        <v>46148</v>
      </c>
      <c r="G500" s="4">
        <v>46149</v>
      </c>
      <c r="H500" t="s">
        <v>201</v>
      </c>
      <c r="I500" t="s">
        <v>515</v>
      </c>
      <c r="J500" t="s">
        <v>281</v>
      </c>
      <c r="K500" t="s">
        <v>124</v>
      </c>
      <c r="L500" t="s">
        <v>61</v>
      </c>
      <c r="M500" s="5">
        <v>9100</v>
      </c>
      <c r="N500" s="5">
        <v>1250</v>
      </c>
      <c r="O500" s="5">
        <v>2150</v>
      </c>
      <c r="P500" s="5">
        <v>2500</v>
      </c>
      <c r="Q500" s="5">
        <v>16200</v>
      </c>
      <c r="R500" t="s">
        <v>95</v>
      </c>
      <c r="S500" t="s">
        <v>63</v>
      </c>
      <c r="T500" s="5">
        <v>16200</v>
      </c>
      <c r="U500" s="6">
        <v>3</v>
      </c>
      <c r="V500" t="s">
        <v>77</v>
      </c>
      <c r="W500" s="4">
        <v>46156</v>
      </c>
      <c r="X500" t="s">
        <v>64</v>
      </c>
      <c r="Y500" t="s">
        <v>64</v>
      </c>
      <c r="Z500" t="s">
        <v>436</v>
      </c>
    </row>
    <row r="501" spans="1:26">
      <c r="A501" t="s">
        <v>1063</v>
      </c>
      <c r="B501" t="s">
        <v>1064</v>
      </c>
      <c r="C501" s="4">
        <v>46164</v>
      </c>
      <c r="D501" t="s">
        <v>120</v>
      </c>
      <c r="E501" t="s">
        <v>56</v>
      </c>
      <c r="F501" s="4"/>
      <c r="G501" s="4"/>
      <c r="H501" t="s">
        <v>90</v>
      </c>
      <c r="I501" t="s">
        <v>388</v>
      </c>
      <c r="J501" t="s">
        <v>197</v>
      </c>
      <c r="K501" t="s">
        <v>124</v>
      </c>
      <c r="L501" t="s">
        <v>74</v>
      </c>
      <c r="M501" s="5"/>
      <c r="N501" s="5"/>
      <c r="O501" s="5"/>
      <c r="P501" s="5"/>
      <c r="Q501" s="5"/>
      <c r="R501" t="s">
        <v>95</v>
      </c>
      <c r="S501" t="s">
        <v>63</v>
      </c>
      <c r="T501" s="5"/>
      <c r="U501" s="6"/>
      <c r="V501" t="s">
        <v>64</v>
      </c>
      <c r="W501" s="4"/>
      <c r="X501" t="s">
        <v>65</v>
      </c>
      <c r="Z501" t="s">
        <v>66</v>
      </c>
    </row>
    <row r="502" spans="1:26">
      <c r="A502" t="s">
        <v>1065</v>
      </c>
      <c r="B502" t="s">
        <v>719</v>
      </c>
      <c r="C502" s="4">
        <v>46140</v>
      </c>
      <c r="D502" t="s">
        <v>266</v>
      </c>
      <c r="E502" t="s">
        <v>70</v>
      </c>
      <c r="F502" s="4">
        <v>46141</v>
      </c>
      <c r="G502" s="4">
        <v>46141</v>
      </c>
      <c r="H502" t="s">
        <v>201</v>
      </c>
      <c r="I502" t="s">
        <v>421</v>
      </c>
      <c r="J502" t="s">
        <v>281</v>
      </c>
      <c r="K502" t="s">
        <v>73</v>
      </c>
      <c r="L502" t="s">
        <v>74</v>
      </c>
      <c r="M502" s="5">
        <v>6100</v>
      </c>
      <c r="N502" s="5">
        <v>900</v>
      </c>
      <c r="O502" s="5">
        <v>1350</v>
      </c>
      <c r="P502" s="5">
        <v>0</v>
      </c>
      <c r="Q502" s="5">
        <v>9350</v>
      </c>
      <c r="R502" t="s">
        <v>85</v>
      </c>
      <c r="S502" t="s">
        <v>76</v>
      </c>
      <c r="T502" s="5">
        <v>3240</v>
      </c>
      <c r="U502" s="6">
        <v>5</v>
      </c>
      <c r="V502" t="s">
        <v>64</v>
      </c>
      <c r="W502" s="4"/>
      <c r="X502" t="s">
        <v>65</v>
      </c>
      <c r="Y502" t="s">
        <v>64</v>
      </c>
      <c r="Z502" t="s">
        <v>96</v>
      </c>
    </row>
    <row r="503" spans="1:26">
      <c r="A503" t="s">
        <v>1066</v>
      </c>
      <c r="B503" t="s">
        <v>1067</v>
      </c>
      <c r="C503" s="4">
        <v>46090</v>
      </c>
      <c r="D503" t="s">
        <v>149</v>
      </c>
      <c r="E503" t="s">
        <v>338</v>
      </c>
      <c r="F503" s="4"/>
      <c r="G503" s="4"/>
      <c r="H503" t="s">
        <v>138</v>
      </c>
      <c r="I503" t="s">
        <v>139</v>
      </c>
      <c r="J503" t="s">
        <v>140</v>
      </c>
      <c r="K503" t="s">
        <v>73</v>
      </c>
      <c r="L503" t="s">
        <v>94</v>
      </c>
      <c r="M503" s="5"/>
      <c r="N503" s="5"/>
      <c r="O503" s="5"/>
      <c r="P503" s="5"/>
      <c r="Q503" s="5"/>
      <c r="R503" t="s">
        <v>141</v>
      </c>
      <c r="S503" t="s">
        <v>63</v>
      </c>
      <c r="T503" s="5"/>
      <c r="U503" s="6"/>
      <c r="V503" t="s">
        <v>64</v>
      </c>
      <c r="W503" s="4"/>
      <c r="X503" t="s">
        <v>65</v>
      </c>
      <c r="Z503" t="s">
        <v>66</v>
      </c>
    </row>
    <row r="504" spans="1:26">
      <c r="A504" t="s">
        <v>1068</v>
      </c>
      <c r="B504" t="s">
        <v>446</v>
      </c>
      <c r="C504" s="4">
        <v>46104</v>
      </c>
      <c r="D504" t="s">
        <v>432</v>
      </c>
      <c r="E504" t="s">
        <v>70</v>
      </c>
      <c r="F504" s="4">
        <v>46105</v>
      </c>
      <c r="G504" s="4">
        <v>46106</v>
      </c>
      <c r="H504" t="s">
        <v>201</v>
      </c>
      <c r="I504" t="s">
        <v>421</v>
      </c>
      <c r="J504" t="s">
        <v>203</v>
      </c>
      <c r="K504" t="s">
        <v>124</v>
      </c>
      <c r="L504" t="s">
        <v>94</v>
      </c>
      <c r="M504" s="5">
        <v>39800</v>
      </c>
      <c r="N504" s="5">
        <v>3250</v>
      </c>
      <c r="O504" s="5">
        <v>8350</v>
      </c>
      <c r="P504" s="5">
        <v>2500</v>
      </c>
      <c r="Q504" s="5">
        <v>54900</v>
      </c>
      <c r="R504" t="s">
        <v>85</v>
      </c>
      <c r="S504" t="s">
        <v>76</v>
      </c>
      <c r="T504" s="5">
        <v>14620</v>
      </c>
      <c r="U504" s="6">
        <v>4</v>
      </c>
      <c r="V504" t="s">
        <v>77</v>
      </c>
      <c r="W504" s="4">
        <v>46118</v>
      </c>
      <c r="X504" t="s">
        <v>77</v>
      </c>
      <c r="Y504" t="s">
        <v>64</v>
      </c>
      <c r="Z504" t="s">
        <v>107</v>
      </c>
    </row>
    <row r="505" spans="1:26">
      <c r="A505" t="s">
        <v>1069</v>
      </c>
      <c r="B505" t="s">
        <v>297</v>
      </c>
      <c r="C505" s="4">
        <v>46106</v>
      </c>
      <c r="D505" t="s">
        <v>206</v>
      </c>
      <c r="E505" t="s">
        <v>70</v>
      </c>
      <c r="F505" s="4">
        <v>46106</v>
      </c>
      <c r="G505" s="4">
        <v>46114</v>
      </c>
      <c r="H505" t="s">
        <v>82</v>
      </c>
      <c r="I505" t="s">
        <v>83</v>
      </c>
      <c r="J505" t="s">
        <v>156</v>
      </c>
      <c r="K505" t="s">
        <v>73</v>
      </c>
      <c r="L505" t="s">
        <v>94</v>
      </c>
      <c r="M505" s="5">
        <v>69800</v>
      </c>
      <c r="N505" s="5">
        <v>12500</v>
      </c>
      <c r="O505" s="5">
        <v>7750</v>
      </c>
      <c r="P505" s="5">
        <v>48000</v>
      </c>
      <c r="Q505" s="5">
        <v>139850</v>
      </c>
      <c r="R505" t="s">
        <v>62</v>
      </c>
      <c r="S505" t="s">
        <v>86</v>
      </c>
      <c r="T505" s="5">
        <v>42360</v>
      </c>
      <c r="U505" s="6">
        <v>5</v>
      </c>
      <c r="V505" t="s">
        <v>77</v>
      </c>
      <c r="W505" s="4">
        <v>46128</v>
      </c>
      <c r="X505" t="s">
        <v>77</v>
      </c>
      <c r="Y505" t="s">
        <v>64</v>
      </c>
      <c r="Z505" t="s">
        <v>107</v>
      </c>
    </row>
    <row r="506" spans="1:26">
      <c r="A506" t="s">
        <v>1070</v>
      </c>
      <c r="B506" t="s">
        <v>838</v>
      </c>
      <c r="C506" s="4">
        <v>46050</v>
      </c>
      <c r="D506" t="s">
        <v>294</v>
      </c>
      <c r="E506" t="s">
        <v>70</v>
      </c>
      <c r="F506" s="4">
        <v>46050</v>
      </c>
      <c r="G506" s="4">
        <v>46050</v>
      </c>
      <c r="H506" t="s">
        <v>103</v>
      </c>
      <c r="I506" t="s">
        <v>207</v>
      </c>
      <c r="J506" t="s">
        <v>244</v>
      </c>
      <c r="K506" t="s">
        <v>60</v>
      </c>
      <c r="L506" t="s">
        <v>94</v>
      </c>
      <c r="M506" s="5">
        <v>79600</v>
      </c>
      <c r="N506" s="5">
        <v>7950</v>
      </c>
      <c r="O506" s="5">
        <v>8350</v>
      </c>
      <c r="P506" s="5">
        <v>0</v>
      </c>
      <c r="Q506" s="5">
        <v>97400</v>
      </c>
      <c r="R506" t="s">
        <v>75</v>
      </c>
      <c r="S506" t="s">
        <v>76</v>
      </c>
      <c r="T506" s="5">
        <v>44130</v>
      </c>
      <c r="U506" s="6">
        <v>3</v>
      </c>
      <c r="V506" t="s">
        <v>77</v>
      </c>
      <c r="W506" s="4">
        <v>46057</v>
      </c>
      <c r="X506" t="s">
        <v>77</v>
      </c>
      <c r="Y506" t="s">
        <v>64</v>
      </c>
      <c r="Z506" t="s">
        <v>78</v>
      </c>
    </row>
    <row r="507" spans="1:26">
      <c r="A507" t="s">
        <v>1071</v>
      </c>
      <c r="B507" t="s">
        <v>1072</v>
      </c>
      <c r="C507" s="4">
        <v>46168</v>
      </c>
      <c r="D507" t="s">
        <v>284</v>
      </c>
      <c r="E507" t="s">
        <v>70</v>
      </c>
      <c r="F507" s="4">
        <v>46169</v>
      </c>
      <c r="G507" s="4">
        <v>46171</v>
      </c>
      <c r="H507" t="s">
        <v>150</v>
      </c>
      <c r="I507" t="s">
        <v>151</v>
      </c>
      <c r="J507" t="s">
        <v>229</v>
      </c>
      <c r="K507" t="s">
        <v>73</v>
      </c>
      <c r="L507" t="s">
        <v>61</v>
      </c>
      <c r="M507" s="5">
        <v>33600</v>
      </c>
      <c r="N507" s="5">
        <v>4250</v>
      </c>
      <c r="O507" s="5">
        <v>3950</v>
      </c>
      <c r="P507" s="5">
        <v>5000</v>
      </c>
      <c r="Q507" s="5">
        <v>49300</v>
      </c>
      <c r="R507" t="s">
        <v>134</v>
      </c>
      <c r="S507" t="s">
        <v>86</v>
      </c>
      <c r="T507" s="5">
        <v>27320</v>
      </c>
      <c r="U507" s="6">
        <v>5</v>
      </c>
      <c r="V507" t="s">
        <v>64</v>
      </c>
      <c r="W507" s="4"/>
      <c r="X507" t="s">
        <v>65</v>
      </c>
      <c r="Y507" t="s">
        <v>64</v>
      </c>
      <c r="Z507" t="s">
        <v>96</v>
      </c>
    </row>
    <row r="508" spans="1:26">
      <c r="A508" t="s">
        <v>1073</v>
      </c>
      <c r="B508" t="s">
        <v>1074</v>
      </c>
      <c r="C508" s="4">
        <v>46034</v>
      </c>
      <c r="D508" t="s">
        <v>259</v>
      </c>
      <c r="E508" t="s">
        <v>70</v>
      </c>
      <c r="F508" s="4">
        <v>46034</v>
      </c>
      <c r="G508" s="4">
        <v>46043</v>
      </c>
      <c r="H508" t="s">
        <v>90</v>
      </c>
      <c r="I508" t="s">
        <v>162</v>
      </c>
      <c r="J508" t="s">
        <v>92</v>
      </c>
      <c r="K508" t="s">
        <v>73</v>
      </c>
      <c r="L508" t="s">
        <v>74</v>
      </c>
      <c r="M508" s="5">
        <v>48700</v>
      </c>
      <c r="N508" s="5">
        <v>8200</v>
      </c>
      <c r="O508" s="5">
        <v>10650</v>
      </c>
      <c r="P508" s="5">
        <v>31500</v>
      </c>
      <c r="Q508" s="5">
        <v>100250</v>
      </c>
      <c r="R508" t="s">
        <v>141</v>
      </c>
      <c r="S508" t="s">
        <v>76</v>
      </c>
      <c r="T508" s="5">
        <v>16240</v>
      </c>
      <c r="U508" s="6">
        <v>1</v>
      </c>
      <c r="V508" t="s">
        <v>77</v>
      </c>
      <c r="W508" s="4">
        <v>46063</v>
      </c>
      <c r="X508" t="s">
        <v>64</v>
      </c>
      <c r="Y508" t="s">
        <v>64</v>
      </c>
      <c r="Z508" t="s">
        <v>96</v>
      </c>
    </row>
    <row r="509" spans="1:26">
      <c r="A509" t="s">
        <v>1075</v>
      </c>
      <c r="B509" t="s">
        <v>1076</v>
      </c>
      <c r="C509" s="4">
        <v>46087</v>
      </c>
      <c r="D509" t="s">
        <v>161</v>
      </c>
      <c r="E509" t="s">
        <v>70</v>
      </c>
      <c r="F509" s="4">
        <v>46087</v>
      </c>
      <c r="G509" s="4">
        <v>46089</v>
      </c>
      <c r="H509" t="s">
        <v>103</v>
      </c>
      <c r="I509" t="s">
        <v>104</v>
      </c>
      <c r="J509" t="s">
        <v>244</v>
      </c>
      <c r="K509" t="s">
        <v>93</v>
      </c>
      <c r="L509" t="s">
        <v>74</v>
      </c>
      <c r="M509" s="5">
        <v>74300</v>
      </c>
      <c r="N509" s="5">
        <v>8150</v>
      </c>
      <c r="O509" s="5">
        <v>17650</v>
      </c>
      <c r="P509" s="5">
        <v>12000</v>
      </c>
      <c r="Q509" s="5">
        <v>113900</v>
      </c>
      <c r="R509" t="s">
        <v>75</v>
      </c>
      <c r="S509" t="s">
        <v>76</v>
      </c>
      <c r="T509" s="5">
        <v>51550</v>
      </c>
      <c r="U509" s="6">
        <v>3</v>
      </c>
      <c r="V509" t="s">
        <v>77</v>
      </c>
      <c r="W509" s="4">
        <v>46103</v>
      </c>
      <c r="X509" t="s">
        <v>64</v>
      </c>
      <c r="Y509" t="s">
        <v>64</v>
      </c>
      <c r="Z509" t="s">
        <v>78</v>
      </c>
    </row>
    <row r="510" spans="1:26">
      <c r="A510" t="s">
        <v>1077</v>
      </c>
      <c r="B510" t="s">
        <v>571</v>
      </c>
      <c r="C510" s="4">
        <v>46025</v>
      </c>
      <c r="D510" t="s">
        <v>173</v>
      </c>
      <c r="E510" t="s">
        <v>70</v>
      </c>
      <c r="F510" s="4">
        <v>46025</v>
      </c>
      <c r="G510" s="4">
        <v>46025</v>
      </c>
      <c r="H510" t="s">
        <v>103</v>
      </c>
      <c r="I510" t="s">
        <v>412</v>
      </c>
      <c r="J510" t="s">
        <v>244</v>
      </c>
      <c r="K510" t="s">
        <v>60</v>
      </c>
      <c r="L510" t="s">
        <v>94</v>
      </c>
      <c r="M510" s="5">
        <v>66900</v>
      </c>
      <c r="N510" s="5">
        <v>9800</v>
      </c>
      <c r="O510" s="5">
        <v>12700</v>
      </c>
      <c r="P510" s="5">
        <v>0</v>
      </c>
      <c r="Q510" s="5">
        <v>90600</v>
      </c>
      <c r="R510" t="s">
        <v>62</v>
      </c>
      <c r="S510" t="s">
        <v>76</v>
      </c>
      <c r="T510" s="5">
        <v>27580</v>
      </c>
      <c r="U510" s="6">
        <v>4</v>
      </c>
      <c r="V510" t="s">
        <v>77</v>
      </c>
      <c r="W510" s="4">
        <v>46033</v>
      </c>
      <c r="X510" t="s">
        <v>77</v>
      </c>
      <c r="Y510" t="s">
        <v>64</v>
      </c>
      <c r="Z510" t="s">
        <v>219</v>
      </c>
    </row>
    <row r="511" spans="1:26">
      <c r="A511" t="s">
        <v>1078</v>
      </c>
      <c r="B511" t="s">
        <v>306</v>
      </c>
      <c r="C511" s="4">
        <v>46068</v>
      </c>
      <c r="D511" t="s">
        <v>217</v>
      </c>
      <c r="E511" t="s">
        <v>70</v>
      </c>
      <c r="F511" s="4">
        <v>46068</v>
      </c>
      <c r="G511" s="4">
        <v>46075</v>
      </c>
      <c r="H511" t="s">
        <v>103</v>
      </c>
      <c r="I511" t="s">
        <v>214</v>
      </c>
      <c r="J511" t="s">
        <v>244</v>
      </c>
      <c r="K511" t="s">
        <v>73</v>
      </c>
      <c r="L511" t="s">
        <v>94</v>
      </c>
      <c r="M511" s="5">
        <v>60400</v>
      </c>
      <c r="N511" s="5">
        <v>5900</v>
      </c>
      <c r="O511" s="5">
        <v>6050</v>
      </c>
      <c r="P511" s="5">
        <v>17500</v>
      </c>
      <c r="Q511" s="5">
        <v>90650</v>
      </c>
      <c r="R511" t="s">
        <v>85</v>
      </c>
      <c r="S511" t="s">
        <v>76</v>
      </c>
      <c r="T511" s="5">
        <v>23560</v>
      </c>
      <c r="U511" s="6">
        <v>4</v>
      </c>
      <c r="V511" t="s">
        <v>64</v>
      </c>
      <c r="W511" s="4"/>
      <c r="X511" t="s">
        <v>65</v>
      </c>
      <c r="Y511" t="s">
        <v>64</v>
      </c>
      <c r="Z511" t="s">
        <v>96</v>
      </c>
    </row>
    <row r="512" spans="1:26">
      <c r="A512" t="s">
        <v>1079</v>
      </c>
      <c r="B512" t="s">
        <v>929</v>
      </c>
      <c r="C512" s="4">
        <v>46109</v>
      </c>
      <c r="D512" t="s">
        <v>127</v>
      </c>
      <c r="E512" t="s">
        <v>56</v>
      </c>
      <c r="F512" s="4"/>
      <c r="G512" s="4"/>
      <c r="H512" t="s">
        <v>90</v>
      </c>
      <c r="I512" t="s">
        <v>388</v>
      </c>
      <c r="J512" t="s">
        <v>129</v>
      </c>
      <c r="K512" t="s">
        <v>124</v>
      </c>
      <c r="L512" t="s">
        <v>94</v>
      </c>
      <c r="M512" s="5"/>
      <c r="N512" s="5"/>
      <c r="O512" s="5"/>
      <c r="P512" s="5"/>
      <c r="Q512" s="5"/>
      <c r="R512" t="s">
        <v>95</v>
      </c>
      <c r="S512" t="s">
        <v>63</v>
      </c>
      <c r="T512" s="5"/>
      <c r="U512" s="6"/>
      <c r="V512" t="s">
        <v>64</v>
      </c>
      <c r="W512" s="4"/>
      <c r="X512" t="s">
        <v>65</v>
      </c>
      <c r="Z512" t="s">
        <v>66</v>
      </c>
    </row>
    <row r="513" spans="1:26">
      <c r="A513" t="s">
        <v>1080</v>
      </c>
      <c r="B513" t="s">
        <v>1081</v>
      </c>
      <c r="C513" s="4">
        <v>46109</v>
      </c>
      <c r="D513" t="s">
        <v>234</v>
      </c>
      <c r="E513" t="s">
        <v>70</v>
      </c>
      <c r="F513" s="4">
        <v>46109</v>
      </c>
      <c r="G513" s="4">
        <v>46112</v>
      </c>
      <c r="H513" t="s">
        <v>178</v>
      </c>
      <c r="I513" t="s">
        <v>218</v>
      </c>
      <c r="J513" t="s">
        <v>340</v>
      </c>
      <c r="K513" t="s">
        <v>93</v>
      </c>
      <c r="L513" t="s">
        <v>94</v>
      </c>
      <c r="M513" s="5">
        <v>70500</v>
      </c>
      <c r="N513" s="5">
        <v>9500</v>
      </c>
      <c r="O513" s="5">
        <v>16900</v>
      </c>
      <c r="P513" s="5">
        <v>18000</v>
      </c>
      <c r="Q513" s="5">
        <v>116400</v>
      </c>
      <c r="R513" t="s">
        <v>85</v>
      </c>
      <c r="S513" t="s">
        <v>76</v>
      </c>
      <c r="T513" s="5">
        <v>30000</v>
      </c>
      <c r="U513" s="6"/>
      <c r="V513" t="s">
        <v>64</v>
      </c>
      <c r="W513" s="4"/>
      <c r="X513" t="s">
        <v>65</v>
      </c>
      <c r="Y513" t="s">
        <v>64</v>
      </c>
      <c r="Z513" t="s">
        <v>96</v>
      </c>
    </row>
    <row r="514" spans="1:26">
      <c r="A514" t="s">
        <v>1082</v>
      </c>
      <c r="B514" t="s">
        <v>1083</v>
      </c>
      <c r="C514" s="4">
        <v>46053</v>
      </c>
      <c r="D514" t="s">
        <v>120</v>
      </c>
      <c r="E514" t="s">
        <v>70</v>
      </c>
      <c r="F514" s="4">
        <v>46054</v>
      </c>
      <c r="G514" s="4">
        <v>46057</v>
      </c>
      <c r="H514" t="s">
        <v>111</v>
      </c>
      <c r="I514" t="s">
        <v>397</v>
      </c>
      <c r="J514" t="s">
        <v>117</v>
      </c>
      <c r="K514" t="s">
        <v>93</v>
      </c>
      <c r="L514" t="s">
        <v>94</v>
      </c>
      <c r="M514" s="5">
        <v>8400</v>
      </c>
      <c r="N514" s="5">
        <v>900</v>
      </c>
      <c r="O514" s="5">
        <v>950</v>
      </c>
      <c r="P514" s="5">
        <v>10500</v>
      </c>
      <c r="Q514" s="5">
        <v>22750</v>
      </c>
      <c r="R514" t="s">
        <v>85</v>
      </c>
      <c r="S514" t="s">
        <v>86</v>
      </c>
      <c r="T514" s="5">
        <v>6590</v>
      </c>
      <c r="U514" s="6">
        <v>4</v>
      </c>
      <c r="V514" t="s">
        <v>64</v>
      </c>
      <c r="W514" s="4"/>
      <c r="X514" t="s">
        <v>65</v>
      </c>
      <c r="Y514" t="s">
        <v>64</v>
      </c>
      <c r="Z514" t="s">
        <v>78</v>
      </c>
    </row>
    <row r="515" spans="1:26">
      <c r="A515" t="s">
        <v>1084</v>
      </c>
      <c r="B515" t="s">
        <v>1085</v>
      </c>
      <c r="C515" s="4">
        <v>46168</v>
      </c>
      <c r="D515" t="s">
        <v>302</v>
      </c>
      <c r="E515" t="s">
        <v>70</v>
      </c>
      <c r="F515" s="4">
        <v>46169</v>
      </c>
      <c r="G515" s="4">
        <v>46172</v>
      </c>
      <c r="H515" t="s">
        <v>201</v>
      </c>
      <c r="I515" t="s">
        <v>515</v>
      </c>
      <c r="J515" t="s">
        <v>203</v>
      </c>
      <c r="K515" t="s">
        <v>124</v>
      </c>
      <c r="L515" t="s">
        <v>74</v>
      </c>
      <c r="M515" s="5">
        <v>42500</v>
      </c>
      <c r="N515" s="5">
        <v>6150</v>
      </c>
      <c r="O515" s="5">
        <v>6800</v>
      </c>
      <c r="P515" s="5">
        <v>13500</v>
      </c>
      <c r="Q515" s="5">
        <v>70150</v>
      </c>
      <c r="R515" t="s">
        <v>62</v>
      </c>
      <c r="S515" t="s">
        <v>86</v>
      </c>
      <c r="T515" s="5">
        <v>21450</v>
      </c>
      <c r="U515" s="6">
        <v>4</v>
      </c>
      <c r="V515" t="s">
        <v>77</v>
      </c>
      <c r="W515" s="4">
        <v>46180</v>
      </c>
      <c r="X515" t="s">
        <v>77</v>
      </c>
      <c r="Y515" t="s">
        <v>64</v>
      </c>
      <c r="Z515" t="s">
        <v>107</v>
      </c>
    </row>
    <row r="516" spans="1:26">
      <c r="A516" t="s">
        <v>1086</v>
      </c>
      <c r="B516" t="s">
        <v>1087</v>
      </c>
      <c r="C516" s="4">
        <v>46072</v>
      </c>
      <c r="D516" t="s">
        <v>144</v>
      </c>
      <c r="E516" t="s">
        <v>70</v>
      </c>
      <c r="F516" s="4">
        <v>46072</v>
      </c>
      <c r="G516" s="4">
        <v>46075</v>
      </c>
      <c r="H516" t="s">
        <v>57</v>
      </c>
      <c r="I516" t="s">
        <v>71</v>
      </c>
      <c r="J516" t="s">
        <v>72</v>
      </c>
      <c r="K516" t="s">
        <v>124</v>
      </c>
      <c r="L516" t="s">
        <v>146</v>
      </c>
      <c r="M516" s="5">
        <v>7500</v>
      </c>
      <c r="N516" s="5">
        <v>1150</v>
      </c>
      <c r="O516" s="5">
        <v>1700</v>
      </c>
      <c r="P516" s="5">
        <v>10500</v>
      </c>
      <c r="Q516" s="5">
        <v>22650</v>
      </c>
      <c r="R516" t="s">
        <v>106</v>
      </c>
      <c r="S516" t="s">
        <v>76</v>
      </c>
      <c r="T516" s="5">
        <v>8630</v>
      </c>
      <c r="U516" s="6">
        <v>3</v>
      </c>
      <c r="V516" t="s">
        <v>64</v>
      </c>
      <c r="W516" s="4"/>
      <c r="X516" t="s">
        <v>65</v>
      </c>
      <c r="Y516" t="s">
        <v>64</v>
      </c>
      <c r="Z516" t="s">
        <v>219</v>
      </c>
    </row>
    <row r="517" spans="1:26">
      <c r="A517" t="s">
        <v>1088</v>
      </c>
      <c r="B517" t="s">
        <v>1089</v>
      </c>
      <c r="C517" s="4">
        <v>46088</v>
      </c>
      <c r="D517" t="s">
        <v>217</v>
      </c>
      <c r="E517" t="s">
        <v>70</v>
      </c>
      <c r="F517" s="4">
        <v>46088</v>
      </c>
      <c r="G517" s="4">
        <v>46095</v>
      </c>
      <c r="H517" t="s">
        <v>121</v>
      </c>
      <c r="I517" t="s">
        <v>665</v>
      </c>
      <c r="J517" t="s">
        <v>252</v>
      </c>
      <c r="K517" t="s">
        <v>73</v>
      </c>
      <c r="L517" t="s">
        <v>94</v>
      </c>
      <c r="M517" s="5">
        <v>63800</v>
      </c>
      <c r="N517" s="5">
        <v>10550</v>
      </c>
      <c r="O517" s="5">
        <v>7050</v>
      </c>
      <c r="P517" s="5">
        <v>17500</v>
      </c>
      <c r="Q517" s="5">
        <v>99900</v>
      </c>
      <c r="R517" t="s">
        <v>85</v>
      </c>
      <c r="S517" t="s">
        <v>76</v>
      </c>
      <c r="T517" s="5">
        <v>25880</v>
      </c>
      <c r="U517" s="6"/>
      <c r="V517" t="s">
        <v>64</v>
      </c>
      <c r="W517" s="4"/>
      <c r="X517" t="s">
        <v>65</v>
      </c>
      <c r="Y517" t="s">
        <v>77</v>
      </c>
      <c r="Z517" t="s">
        <v>107</v>
      </c>
    </row>
    <row r="518" spans="1:26">
      <c r="A518" t="s">
        <v>1090</v>
      </c>
      <c r="B518" t="s">
        <v>1091</v>
      </c>
      <c r="C518" s="4">
        <v>46045</v>
      </c>
      <c r="D518" t="s">
        <v>183</v>
      </c>
      <c r="E518" t="s">
        <v>70</v>
      </c>
      <c r="F518" s="4">
        <v>46045</v>
      </c>
      <c r="G518" s="4">
        <v>46047</v>
      </c>
      <c r="H518" t="s">
        <v>90</v>
      </c>
      <c r="I518" t="s">
        <v>388</v>
      </c>
      <c r="J518" t="s">
        <v>197</v>
      </c>
      <c r="K518" t="s">
        <v>124</v>
      </c>
      <c r="L518" t="s">
        <v>94</v>
      </c>
      <c r="M518" s="5">
        <v>22200</v>
      </c>
      <c r="N518" s="5">
        <v>3850</v>
      </c>
      <c r="O518" s="5">
        <v>3750</v>
      </c>
      <c r="P518" s="5">
        <v>12000</v>
      </c>
      <c r="Q518" s="5">
        <v>43300</v>
      </c>
      <c r="R518" t="s">
        <v>85</v>
      </c>
      <c r="S518" t="s">
        <v>163</v>
      </c>
      <c r="T518" s="5">
        <v>11720</v>
      </c>
      <c r="U518" s="6">
        <v>4</v>
      </c>
      <c r="V518" t="s">
        <v>64</v>
      </c>
      <c r="W518" s="4"/>
      <c r="X518" t="s">
        <v>65</v>
      </c>
      <c r="Y518" t="s">
        <v>64</v>
      </c>
      <c r="Z518" t="s">
        <v>78</v>
      </c>
    </row>
    <row r="519" spans="1:26">
      <c r="A519" t="s">
        <v>1092</v>
      </c>
      <c r="B519" t="s">
        <v>1093</v>
      </c>
      <c r="C519" s="4">
        <v>46130</v>
      </c>
      <c r="D519" t="s">
        <v>217</v>
      </c>
      <c r="E519" t="s">
        <v>338</v>
      </c>
      <c r="F519" s="4"/>
      <c r="G519" s="4"/>
      <c r="H519" t="s">
        <v>82</v>
      </c>
      <c r="I519" t="s">
        <v>369</v>
      </c>
      <c r="J519" t="s">
        <v>84</v>
      </c>
      <c r="K519" t="s">
        <v>60</v>
      </c>
      <c r="L519" t="s">
        <v>74</v>
      </c>
      <c r="M519" s="5"/>
      <c r="N519" s="5"/>
      <c r="O519" s="5"/>
      <c r="P519" s="5"/>
      <c r="Q519" s="5"/>
      <c r="R519" t="s">
        <v>75</v>
      </c>
      <c r="S519" t="s">
        <v>63</v>
      </c>
      <c r="T519" s="5"/>
      <c r="U519" s="6"/>
      <c r="V519" t="s">
        <v>64</v>
      </c>
      <c r="W519" s="4"/>
      <c r="X519" t="s">
        <v>65</v>
      </c>
      <c r="Z519" t="s">
        <v>66</v>
      </c>
    </row>
    <row r="520" spans="1:26">
      <c r="A520" t="s">
        <v>1094</v>
      </c>
      <c r="B520" t="s">
        <v>263</v>
      </c>
      <c r="C520" s="4">
        <v>46029</v>
      </c>
      <c r="D520" t="s">
        <v>279</v>
      </c>
      <c r="E520" t="s">
        <v>70</v>
      </c>
      <c r="F520" s="4">
        <v>46029</v>
      </c>
      <c r="G520" s="4">
        <v>46041</v>
      </c>
      <c r="H520" t="s">
        <v>178</v>
      </c>
      <c r="I520" t="s">
        <v>622</v>
      </c>
      <c r="J520" t="s">
        <v>340</v>
      </c>
      <c r="K520" t="s">
        <v>93</v>
      </c>
      <c r="L520" t="s">
        <v>74</v>
      </c>
      <c r="M520" s="5">
        <v>53600</v>
      </c>
      <c r="N520" s="5">
        <v>5300</v>
      </c>
      <c r="O520" s="5">
        <v>11000</v>
      </c>
      <c r="P520" s="5">
        <v>36000</v>
      </c>
      <c r="Q520" s="5">
        <v>107400</v>
      </c>
      <c r="R520" t="s">
        <v>75</v>
      </c>
      <c r="S520" t="s">
        <v>86</v>
      </c>
      <c r="T520" s="5">
        <v>48630</v>
      </c>
      <c r="U520" s="6">
        <v>5</v>
      </c>
      <c r="V520" t="s">
        <v>77</v>
      </c>
      <c r="W520" s="4">
        <v>46050</v>
      </c>
      <c r="X520" t="s">
        <v>77</v>
      </c>
      <c r="Y520" t="s">
        <v>64</v>
      </c>
      <c r="Z520" t="s">
        <v>78</v>
      </c>
    </row>
    <row r="521" spans="1:26">
      <c r="A521" t="s">
        <v>1095</v>
      </c>
      <c r="B521" t="s">
        <v>371</v>
      </c>
      <c r="C521" s="4">
        <v>46051</v>
      </c>
      <c r="D521" t="s">
        <v>284</v>
      </c>
      <c r="E521" t="s">
        <v>70</v>
      </c>
      <c r="F521" s="4">
        <v>46051</v>
      </c>
      <c r="G521" s="4">
        <v>46051</v>
      </c>
      <c r="H521" t="s">
        <v>121</v>
      </c>
      <c r="I521" t="s">
        <v>386</v>
      </c>
      <c r="J521" t="s">
        <v>252</v>
      </c>
      <c r="K521" t="s">
        <v>60</v>
      </c>
      <c r="L521" t="s">
        <v>94</v>
      </c>
      <c r="M521" s="5">
        <v>77400</v>
      </c>
      <c r="N521" s="5">
        <v>7500</v>
      </c>
      <c r="O521" s="5">
        <v>15750</v>
      </c>
      <c r="P521" s="5">
        <v>0</v>
      </c>
      <c r="Q521" s="5">
        <v>103150</v>
      </c>
      <c r="R521" t="s">
        <v>106</v>
      </c>
      <c r="S521" t="s">
        <v>76</v>
      </c>
      <c r="T521" s="5">
        <v>36800</v>
      </c>
      <c r="U521" s="6">
        <v>3</v>
      </c>
      <c r="V521" t="s">
        <v>77</v>
      </c>
      <c r="W521" s="4">
        <v>46070</v>
      </c>
      <c r="X521" t="s">
        <v>64</v>
      </c>
      <c r="Y521" t="s">
        <v>64</v>
      </c>
      <c r="Z521" t="s">
        <v>107</v>
      </c>
    </row>
    <row r="522" spans="1:26">
      <c r="A522" t="s">
        <v>1096</v>
      </c>
      <c r="B522" t="s">
        <v>434</v>
      </c>
      <c r="C522" s="4">
        <v>46153</v>
      </c>
      <c r="D522" t="s">
        <v>242</v>
      </c>
      <c r="E522" t="s">
        <v>56</v>
      </c>
      <c r="F522" s="4"/>
      <c r="G522" s="4"/>
      <c r="H522" t="s">
        <v>103</v>
      </c>
      <c r="I522" t="s">
        <v>104</v>
      </c>
      <c r="J522" t="s">
        <v>244</v>
      </c>
      <c r="K522" t="s">
        <v>60</v>
      </c>
      <c r="L522" t="s">
        <v>146</v>
      </c>
      <c r="M522" s="5"/>
      <c r="N522" s="5"/>
      <c r="O522" s="5"/>
      <c r="P522" s="5"/>
      <c r="Q522" s="5"/>
      <c r="R522" t="s">
        <v>141</v>
      </c>
      <c r="S522" t="s">
        <v>63</v>
      </c>
      <c r="T522" s="5"/>
      <c r="U522" s="6"/>
      <c r="V522" t="s">
        <v>64</v>
      </c>
      <c r="W522" s="4"/>
      <c r="X522" t="s">
        <v>65</v>
      </c>
      <c r="Z522" t="s">
        <v>66</v>
      </c>
    </row>
    <row r="523" spans="1:26">
      <c r="A523" t="s">
        <v>1097</v>
      </c>
      <c r="B523" t="s">
        <v>835</v>
      </c>
      <c r="C523" s="4">
        <v>46058</v>
      </c>
      <c r="D523" t="s">
        <v>110</v>
      </c>
      <c r="E523" t="s">
        <v>70</v>
      </c>
      <c r="F523" s="4">
        <v>46058</v>
      </c>
      <c r="G523" s="4">
        <v>46058</v>
      </c>
      <c r="H523" t="s">
        <v>103</v>
      </c>
      <c r="I523" t="s">
        <v>243</v>
      </c>
      <c r="J523" t="s">
        <v>105</v>
      </c>
      <c r="K523" t="s">
        <v>60</v>
      </c>
      <c r="L523" t="s">
        <v>94</v>
      </c>
      <c r="M523" s="5">
        <v>59000</v>
      </c>
      <c r="N523" s="5">
        <v>6050</v>
      </c>
      <c r="O523" s="5">
        <v>11750</v>
      </c>
      <c r="P523" s="5">
        <v>0</v>
      </c>
      <c r="Q523" s="5">
        <v>78600</v>
      </c>
      <c r="R523" t="s">
        <v>75</v>
      </c>
      <c r="S523" t="s">
        <v>76</v>
      </c>
      <c r="T523" s="5">
        <v>35670</v>
      </c>
      <c r="U523" s="6">
        <v>3</v>
      </c>
      <c r="V523" t="s">
        <v>77</v>
      </c>
      <c r="W523" s="4">
        <v>46072</v>
      </c>
      <c r="X523" t="s">
        <v>64</v>
      </c>
      <c r="Y523" t="s">
        <v>64</v>
      </c>
      <c r="Z523" t="s">
        <v>107</v>
      </c>
    </row>
    <row r="524" spans="1:26">
      <c r="A524" t="s">
        <v>1098</v>
      </c>
      <c r="B524" t="s">
        <v>311</v>
      </c>
      <c r="C524" s="4">
        <v>46073</v>
      </c>
      <c r="D524" t="s">
        <v>99</v>
      </c>
      <c r="E524" t="s">
        <v>70</v>
      </c>
      <c r="F524" s="4">
        <v>46073</v>
      </c>
      <c r="G524" s="4">
        <v>46078</v>
      </c>
      <c r="H524" t="s">
        <v>103</v>
      </c>
      <c r="I524" t="s">
        <v>412</v>
      </c>
      <c r="J524" t="s">
        <v>105</v>
      </c>
      <c r="K524" t="s">
        <v>124</v>
      </c>
      <c r="L524" t="s">
        <v>61</v>
      </c>
      <c r="M524" s="5">
        <v>41200</v>
      </c>
      <c r="N524" s="5">
        <v>6800</v>
      </c>
      <c r="O524" s="5">
        <v>4950</v>
      </c>
      <c r="P524" s="5">
        <v>22500</v>
      </c>
      <c r="Q524" s="5">
        <v>76650</v>
      </c>
      <c r="R524" t="s">
        <v>141</v>
      </c>
      <c r="S524" t="s">
        <v>86</v>
      </c>
      <c r="T524" s="5">
        <v>12700</v>
      </c>
      <c r="U524" s="6">
        <v>4</v>
      </c>
      <c r="V524" t="s">
        <v>77</v>
      </c>
      <c r="W524" s="4">
        <v>46099</v>
      </c>
      <c r="X524" t="s">
        <v>77</v>
      </c>
      <c r="Y524" t="s">
        <v>64</v>
      </c>
      <c r="Z524" t="s">
        <v>107</v>
      </c>
    </row>
    <row r="525" spans="1:26">
      <c r="A525" t="s">
        <v>1099</v>
      </c>
      <c r="B525" t="s">
        <v>1100</v>
      </c>
      <c r="C525" s="4">
        <v>46073</v>
      </c>
      <c r="D525" t="s">
        <v>225</v>
      </c>
      <c r="E525" t="s">
        <v>70</v>
      </c>
      <c r="F525" s="4">
        <v>46074</v>
      </c>
      <c r="G525" s="4">
        <v>46076</v>
      </c>
      <c r="H525" t="s">
        <v>138</v>
      </c>
      <c r="I525" t="s">
        <v>235</v>
      </c>
      <c r="J525" t="s">
        <v>140</v>
      </c>
      <c r="K525" t="s">
        <v>124</v>
      </c>
      <c r="L525" t="s">
        <v>61</v>
      </c>
      <c r="M525" s="5">
        <v>18800</v>
      </c>
      <c r="N525" s="5">
        <v>2150</v>
      </c>
      <c r="O525" s="5">
        <v>4450</v>
      </c>
      <c r="P525" s="5">
        <v>5000</v>
      </c>
      <c r="Q525" s="5">
        <v>31400</v>
      </c>
      <c r="R525" t="s">
        <v>85</v>
      </c>
      <c r="S525" t="s">
        <v>76</v>
      </c>
      <c r="T525" s="5">
        <v>8750</v>
      </c>
      <c r="U525" s="6">
        <v>5</v>
      </c>
      <c r="V525" t="s">
        <v>77</v>
      </c>
      <c r="W525" s="4">
        <v>46093</v>
      </c>
      <c r="X525" t="s">
        <v>77</v>
      </c>
      <c r="Y525" t="s">
        <v>64</v>
      </c>
      <c r="Z525" t="s">
        <v>78</v>
      </c>
    </row>
    <row r="526" spans="1:26">
      <c r="A526" t="s">
        <v>1101</v>
      </c>
      <c r="B526" t="s">
        <v>1102</v>
      </c>
      <c r="C526" s="4">
        <v>46033</v>
      </c>
      <c r="D526" t="s">
        <v>298</v>
      </c>
      <c r="E526" t="s">
        <v>70</v>
      </c>
      <c r="F526" s="4">
        <v>46033</v>
      </c>
      <c r="G526" s="4">
        <v>46041</v>
      </c>
      <c r="H526" t="s">
        <v>121</v>
      </c>
      <c r="I526" t="s">
        <v>665</v>
      </c>
      <c r="J526" t="s">
        <v>123</v>
      </c>
      <c r="K526" t="s">
        <v>124</v>
      </c>
      <c r="L526" t="s">
        <v>61</v>
      </c>
      <c r="M526" s="5">
        <v>37400</v>
      </c>
      <c r="N526" s="5">
        <v>6250</v>
      </c>
      <c r="O526" s="5">
        <v>9000</v>
      </c>
      <c r="P526" s="5">
        <v>36000</v>
      </c>
      <c r="Q526" s="5">
        <v>89650</v>
      </c>
      <c r="R526" t="s">
        <v>141</v>
      </c>
      <c r="S526" t="s">
        <v>76</v>
      </c>
      <c r="T526" s="5">
        <v>14650</v>
      </c>
      <c r="U526" s="6">
        <v>2</v>
      </c>
      <c r="V526" t="s">
        <v>77</v>
      </c>
      <c r="W526" s="4">
        <v>46056</v>
      </c>
      <c r="X526" t="s">
        <v>64</v>
      </c>
      <c r="Y526" t="s">
        <v>64</v>
      </c>
      <c r="Z526" t="s">
        <v>107</v>
      </c>
    </row>
    <row r="527" spans="1:26">
      <c r="A527" t="s">
        <v>1103</v>
      </c>
      <c r="B527" t="s">
        <v>1104</v>
      </c>
      <c r="C527" s="4">
        <v>46062</v>
      </c>
      <c r="D527" t="s">
        <v>137</v>
      </c>
      <c r="E527" t="s">
        <v>70</v>
      </c>
      <c r="F527" s="4">
        <v>46062</v>
      </c>
      <c r="G527" s="4">
        <v>46062</v>
      </c>
      <c r="H527" t="s">
        <v>82</v>
      </c>
      <c r="I527" t="s">
        <v>155</v>
      </c>
      <c r="J527" t="s">
        <v>84</v>
      </c>
      <c r="K527" t="s">
        <v>60</v>
      </c>
      <c r="L527" t="s">
        <v>94</v>
      </c>
      <c r="M527" s="5">
        <v>5500</v>
      </c>
      <c r="N527" s="5">
        <v>950</v>
      </c>
      <c r="O527" s="5">
        <v>850</v>
      </c>
      <c r="P527" s="5">
        <v>0</v>
      </c>
      <c r="Q527" s="5">
        <v>9800</v>
      </c>
      <c r="R527" t="s">
        <v>75</v>
      </c>
      <c r="S527" t="s">
        <v>76</v>
      </c>
      <c r="T527" s="5">
        <v>4710</v>
      </c>
      <c r="U527" s="6">
        <v>5</v>
      </c>
      <c r="V527" t="s">
        <v>64</v>
      </c>
      <c r="W527" s="4"/>
      <c r="X527" t="s">
        <v>65</v>
      </c>
      <c r="Y527" t="s">
        <v>64</v>
      </c>
      <c r="Z527" t="s">
        <v>96</v>
      </c>
    </row>
    <row r="528" spans="1:26">
      <c r="A528" t="s">
        <v>1105</v>
      </c>
      <c r="B528" t="s">
        <v>535</v>
      </c>
      <c r="C528" s="4">
        <v>46057</v>
      </c>
      <c r="D528" t="s">
        <v>439</v>
      </c>
      <c r="E528" t="s">
        <v>70</v>
      </c>
      <c r="F528" s="4">
        <v>46057</v>
      </c>
      <c r="G528" s="4">
        <v>46061</v>
      </c>
      <c r="H528" t="s">
        <v>201</v>
      </c>
      <c r="I528" t="s">
        <v>202</v>
      </c>
      <c r="J528" t="s">
        <v>203</v>
      </c>
      <c r="K528" t="s">
        <v>124</v>
      </c>
      <c r="L528" t="s">
        <v>94</v>
      </c>
      <c r="M528" s="5">
        <v>36900</v>
      </c>
      <c r="N528" s="5">
        <v>4150</v>
      </c>
      <c r="O528" s="5">
        <v>7400</v>
      </c>
      <c r="P528" s="5">
        <v>10000</v>
      </c>
      <c r="Q528" s="5">
        <v>60950</v>
      </c>
      <c r="R528" t="s">
        <v>85</v>
      </c>
      <c r="S528" t="s">
        <v>86</v>
      </c>
      <c r="T528" s="5">
        <v>16140</v>
      </c>
      <c r="U528" s="6">
        <v>5</v>
      </c>
      <c r="V528" t="s">
        <v>77</v>
      </c>
      <c r="W528" s="4">
        <v>46068</v>
      </c>
      <c r="X528" t="s">
        <v>77</v>
      </c>
      <c r="Y528" t="s">
        <v>64</v>
      </c>
      <c r="Z528" t="s">
        <v>78</v>
      </c>
    </row>
    <row r="529" spans="1:26">
      <c r="A529" t="s">
        <v>1106</v>
      </c>
      <c r="B529" t="s">
        <v>1107</v>
      </c>
      <c r="C529" s="4">
        <v>46044</v>
      </c>
      <c r="D529" t="s">
        <v>242</v>
      </c>
      <c r="E529" t="s">
        <v>70</v>
      </c>
      <c r="F529" s="4">
        <v>46044</v>
      </c>
      <c r="G529" s="4">
        <v>46045</v>
      </c>
      <c r="H529" t="s">
        <v>57</v>
      </c>
      <c r="I529" t="s">
        <v>169</v>
      </c>
      <c r="J529" t="s">
        <v>72</v>
      </c>
      <c r="K529" t="s">
        <v>60</v>
      </c>
      <c r="L529" t="s">
        <v>74</v>
      </c>
      <c r="M529" s="5">
        <v>8500</v>
      </c>
      <c r="N529" s="5">
        <v>1500</v>
      </c>
      <c r="O529" s="5">
        <v>1200</v>
      </c>
      <c r="P529" s="5">
        <v>4500</v>
      </c>
      <c r="Q529" s="5">
        <v>16500</v>
      </c>
      <c r="R529" t="s">
        <v>134</v>
      </c>
      <c r="S529" t="s">
        <v>76</v>
      </c>
      <c r="T529" s="5">
        <v>9280</v>
      </c>
      <c r="U529" s="6">
        <v>5</v>
      </c>
      <c r="V529" t="s">
        <v>64</v>
      </c>
      <c r="W529" s="4"/>
      <c r="X529" t="s">
        <v>65</v>
      </c>
      <c r="Y529" t="s">
        <v>64</v>
      </c>
      <c r="Z529" t="s">
        <v>96</v>
      </c>
    </row>
    <row r="530" spans="1:26">
      <c r="A530" t="s">
        <v>1108</v>
      </c>
      <c r="B530" t="s">
        <v>466</v>
      </c>
      <c r="C530" s="4">
        <v>46116</v>
      </c>
      <c r="D530" t="s">
        <v>284</v>
      </c>
      <c r="E530" t="s">
        <v>70</v>
      </c>
      <c r="F530" s="4">
        <v>46116</v>
      </c>
      <c r="G530" s="4">
        <v>46116</v>
      </c>
      <c r="H530" t="s">
        <v>90</v>
      </c>
      <c r="I530" t="s">
        <v>299</v>
      </c>
      <c r="J530" t="s">
        <v>92</v>
      </c>
      <c r="K530" t="s">
        <v>60</v>
      </c>
      <c r="L530" t="s">
        <v>94</v>
      </c>
      <c r="M530" s="5">
        <v>62300</v>
      </c>
      <c r="N530" s="5">
        <v>8100</v>
      </c>
      <c r="O530" s="5">
        <v>13650</v>
      </c>
      <c r="P530" s="5">
        <v>0</v>
      </c>
      <c r="Q530" s="5">
        <v>85550</v>
      </c>
      <c r="R530" t="s">
        <v>141</v>
      </c>
      <c r="S530" t="s">
        <v>76</v>
      </c>
      <c r="T530" s="5">
        <v>14030</v>
      </c>
      <c r="U530" s="6">
        <v>3</v>
      </c>
      <c r="V530" t="s">
        <v>77</v>
      </c>
      <c r="W530" s="4">
        <v>46127</v>
      </c>
      <c r="X530" t="s">
        <v>64</v>
      </c>
      <c r="Y530" t="s">
        <v>64</v>
      </c>
      <c r="Z530" t="s">
        <v>96</v>
      </c>
    </row>
    <row r="531" spans="1:26">
      <c r="A531" t="s">
        <v>1109</v>
      </c>
      <c r="B531" t="s">
        <v>1110</v>
      </c>
      <c r="C531" s="4">
        <v>46151</v>
      </c>
      <c r="D531" t="s">
        <v>439</v>
      </c>
      <c r="E531" t="s">
        <v>70</v>
      </c>
      <c r="F531" s="4">
        <v>46151</v>
      </c>
      <c r="G531" s="4">
        <v>46153</v>
      </c>
      <c r="H531" t="s">
        <v>178</v>
      </c>
      <c r="I531" t="s">
        <v>415</v>
      </c>
      <c r="J531" t="s">
        <v>180</v>
      </c>
      <c r="K531" t="s">
        <v>93</v>
      </c>
      <c r="L531" t="s">
        <v>61</v>
      </c>
      <c r="M531" s="5">
        <v>67000</v>
      </c>
      <c r="N531" s="5">
        <v>11450</v>
      </c>
      <c r="O531" s="5">
        <v>12450</v>
      </c>
      <c r="P531" s="5">
        <v>12000</v>
      </c>
      <c r="Q531" s="5">
        <v>103700</v>
      </c>
      <c r="R531" t="s">
        <v>62</v>
      </c>
      <c r="S531" t="s">
        <v>76</v>
      </c>
      <c r="T531" s="5">
        <v>31510</v>
      </c>
      <c r="U531" s="6">
        <v>4</v>
      </c>
      <c r="V531" t="s">
        <v>77</v>
      </c>
      <c r="W531" s="4">
        <v>46165</v>
      </c>
      <c r="X531" t="s">
        <v>77</v>
      </c>
      <c r="Y531" t="s">
        <v>64</v>
      </c>
      <c r="Z531" t="s">
        <v>436</v>
      </c>
    </row>
    <row r="532" spans="1:26">
      <c r="A532" t="s">
        <v>1111</v>
      </c>
      <c r="B532" t="s">
        <v>752</v>
      </c>
      <c r="C532" s="4">
        <v>46026</v>
      </c>
      <c r="D532" t="s">
        <v>383</v>
      </c>
      <c r="E532" t="s">
        <v>70</v>
      </c>
      <c r="F532" s="4">
        <v>46026</v>
      </c>
      <c r="G532" s="4">
        <v>46026</v>
      </c>
      <c r="H532" t="s">
        <v>121</v>
      </c>
      <c r="I532" t="s">
        <v>334</v>
      </c>
      <c r="J532" t="s">
        <v>252</v>
      </c>
      <c r="K532" t="s">
        <v>60</v>
      </c>
      <c r="L532" t="s">
        <v>94</v>
      </c>
      <c r="M532" s="5">
        <v>78200</v>
      </c>
      <c r="N532" s="5">
        <v>13700</v>
      </c>
      <c r="O532" s="5">
        <v>15450</v>
      </c>
      <c r="P532" s="5">
        <v>0</v>
      </c>
      <c r="Q532" s="5">
        <v>108350</v>
      </c>
      <c r="R532" t="s">
        <v>85</v>
      </c>
      <c r="S532" t="s">
        <v>76</v>
      </c>
      <c r="T532" s="5">
        <v>27990</v>
      </c>
      <c r="U532" s="6">
        <v>4</v>
      </c>
      <c r="V532" t="s">
        <v>64</v>
      </c>
      <c r="W532" s="4"/>
      <c r="X532" t="s">
        <v>65</v>
      </c>
      <c r="Y532" t="s">
        <v>64</v>
      </c>
      <c r="Z532" t="s">
        <v>107</v>
      </c>
    </row>
    <row r="533" spans="1:26">
      <c r="A533" t="s">
        <v>1112</v>
      </c>
      <c r="B533" t="s">
        <v>609</v>
      </c>
      <c r="C533" s="4">
        <v>46080</v>
      </c>
      <c r="D533" t="s">
        <v>81</v>
      </c>
      <c r="E533" t="s">
        <v>70</v>
      </c>
      <c r="F533" s="4">
        <v>46081</v>
      </c>
      <c r="G533" s="4">
        <v>46089</v>
      </c>
      <c r="H533" t="s">
        <v>121</v>
      </c>
      <c r="I533" t="s">
        <v>174</v>
      </c>
      <c r="J533" t="s">
        <v>252</v>
      </c>
      <c r="K533" t="s">
        <v>73</v>
      </c>
      <c r="L533" t="s">
        <v>94</v>
      </c>
      <c r="M533" s="5">
        <v>82500</v>
      </c>
      <c r="N533" s="5">
        <v>14200</v>
      </c>
      <c r="O533" s="5">
        <v>10000</v>
      </c>
      <c r="P533" s="5">
        <v>20000</v>
      </c>
      <c r="Q533" s="5">
        <v>128500</v>
      </c>
      <c r="R533" t="s">
        <v>75</v>
      </c>
      <c r="S533" t="s">
        <v>76</v>
      </c>
      <c r="T533" s="5">
        <v>58120</v>
      </c>
      <c r="U533" s="6">
        <v>3</v>
      </c>
      <c r="V533" t="s">
        <v>77</v>
      </c>
      <c r="W533" s="4">
        <v>46110</v>
      </c>
      <c r="X533" t="s">
        <v>64</v>
      </c>
      <c r="Y533" t="s">
        <v>64</v>
      </c>
      <c r="Z533" t="s">
        <v>107</v>
      </c>
    </row>
    <row r="534" spans="1:26">
      <c r="A534" t="s">
        <v>1113</v>
      </c>
      <c r="B534" t="s">
        <v>943</v>
      </c>
      <c r="C534" s="4">
        <v>46091</v>
      </c>
      <c r="D534" t="s">
        <v>132</v>
      </c>
      <c r="E534" t="s">
        <v>70</v>
      </c>
      <c r="F534" s="4">
        <v>46091</v>
      </c>
      <c r="G534" s="4">
        <v>46091</v>
      </c>
      <c r="H534" t="s">
        <v>150</v>
      </c>
      <c r="I534" t="s">
        <v>187</v>
      </c>
      <c r="J534" t="s">
        <v>152</v>
      </c>
      <c r="K534" t="s">
        <v>60</v>
      </c>
      <c r="L534" t="s">
        <v>146</v>
      </c>
      <c r="M534" s="5">
        <v>34600</v>
      </c>
      <c r="N534" s="5">
        <v>3300</v>
      </c>
      <c r="O534" s="5">
        <v>8150</v>
      </c>
      <c r="P534" s="5">
        <v>0</v>
      </c>
      <c r="Q534" s="5">
        <v>48550</v>
      </c>
      <c r="R534" t="s">
        <v>141</v>
      </c>
      <c r="S534" t="s">
        <v>76</v>
      </c>
      <c r="T534" s="5">
        <v>8480</v>
      </c>
      <c r="U534" s="6"/>
      <c r="V534" t="s">
        <v>77</v>
      </c>
      <c r="W534" s="4">
        <v>46108</v>
      </c>
      <c r="X534" t="s">
        <v>77</v>
      </c>
      <c r="Y534" t="s">
        <v>64</v>
      </c>
      <c r="Z534" t="s">
        <v>96</v>
      </c>
    </row>
    <row r="535" spans="1:26">
      <c r="A535" t="s">
        <v>1114</v>
      </c>
      <c r="B535" t="s">
        <v>530</v>
      </c>
      <c r="C535" s="4">
        <v>46160</v>
      </c>
      <c r="D535" t="s">
        <v>81</v>
      </c>
      <c r="E535" t="s">
        <v>56</v>
      </c>
      <c r="F535" s="4"/>
      <c r="G535" s="4"/>
      <c r="H535" t="s">
        <v>150</v>
      </c>
      <c r="I535" t="s">
        <v>228</v>
      </c>
      <c r="J535" t="s">
        <v>188</v>
      </c>
      <c r="K535" t="s">
        <v>73</v>
      </c>
      <c r="L535" t="s">
        <v>94</v>
      </c>
      <c r="M535" s="5"/>
      <c r="N535" s="5"/>
      <c r="O535" s="5"/>
      <c r="P535" s="5"/>
      <c r="Q535" s="5"/>
      <c r="R535" t="s">
        <v>75</v>
      </c>
      <c r="S535" t="s">
        <v>63</v>
      </c>
      <c r="T535" s="5"/>
      <c r="U535" s="6"/>
      <c r="V535" t="s">
        <v>64</v>
      </c>
      <c r="W535" s="4"/>
      <c r="X535" t="s">
        <v>65</v>
      </c>
      <c r="Z535" t="s">
        <v>66</v>
      </c>
    </row>
    <row r="536" spans="1:26">
      <c r="A536" t="s">
        <v>1115</v>
      </c>
      <c r="B536" t="s">
        <v>664</v>
      </c>
      <c r="C536" s="4">
        <v>46146</v>
      </c>
      <c r="D536" t="s">
        <v>298</v>
      </c>
      <c r="E536" t="s">
        <v>70</v>
      </c>
      <c r="F536" s="4">
        <v>46146</v>
      </c>
      <c r="G536" s="4">
        <v>46146</v>
      </c>
      <c r="H536" t="s">
        <v>90</v>
      </c>
      <c r="I536" t="s">
        <v>91</v>
      </c>
      <c r="J536" t="s">
        <v>197</v>
      </c>
      <c r="K536" t="s">
        <v>60</v>
      </c>
      <c r="L536" t="s">
        <v>74</v>
      </c>
      <c r="M536" s="5">
        <v>13600</v>
      </c>
      <c r="N536" s="5">
        <v>1500</v>
      </c>
      <c r="O536" s="5">
        <v>3350</v>
      </c>
      <c r="P536" s="5">
        <v>0</v>
      </c>
      <c r="Q536" s="5">
        <v>19650</v>
      </c>
      <c r="R536" t="s">
        <v>95</v>
      </c>
      <c r="S536" t="s">
        <v>63</v>
      </c>
      <c r="T536" s="5">
        <v>19650</v>
      </c>
      <c r="U536" s="6">
        <v>4</v>
      </c>
      <c r="V536" t="s">
        <v>77</v>
      </c>
      <c r="W536" s="4">
        <v>46167</v>
      </c>
      <c r="X536" t="s">
        <v>77</v>
      </c>
      <c r="Y536" t="s">
        <v>64</v>
      </c>
      <c r="Z536" t="s">
        <v>96</v>
      </c>
    </row>
    <row r="537" spans="1:26">
      <c r="A537" t="s">
        <v>1116</v>
      </c>
      <c r="B537" t="s">
        <v>704</v>
      </c>
      <c r="C537" s="4">
        <v>46155</v>
      </c>
      <c r="D537" t="s">
        <v>432</v>
      </c>
      <c r="E537" t="s">
        <v>338</v>
      </c>
      <c r="F537" s="4"/>
      <c r="G537" s="4"/>
      <c r="H537" t="s">
        <v>111</v>
      </c>
      <c r="I537" t="s">
        <v>112</v>
      </c>
      <c r="J537" t="s">
        <v>384</v>
      </c>
      <c r="K537" t="s">
        <v>73</v>
      </c>
      <c r="L537" t="s">
        <v>94</v>
      </c>
      <c r="M537" s="5"/>
      <c r="N537" s="5"/>
      <c r="O537" s="5"/>
      <c r="P537" s="5"/>
      <c r="Q537" s="5"/>
      <c r="R537" t="s">
        <v>62</v>
      </c>
      <c r="S537" t="s">
        <v>63</v>
      </c>
      <c r="T537" s="5"/>
      <c r="U537" s="6"/>
      <c r="V537" t="s">
        <v>64</v>
      </c>
      <c r="W537" s="4"/>
      <c r="X537" t="s">
        <v>65</v>
      </c>
      <c r="Z537" t="s">
        <v>66</v>
      </c>
    </row>
    <row r="538" spans="1:26">
      <c r="A538" t="s">
        <v>1117</v>
      </c>
      <c r="B538" t="s">
        <v>1118</v>
      </c>
      <c r="C538" s="4">
        <v>46055</v>
      </c>
      <c r="D538" t="s">
        <v>149</v>
      </c>
      <c r="E538" t="s">
        <v>314</v>
      </c>
      <c r="F538" s="4"/>
      <c r="G538" s="4"/>
      <c r="H538" t="s">
        <v>57</v>
      </c>
      <c r="I538" t="s">
        <v>184</v>
      </c>
      <c r="J538" t="s">
        <v>170</v>
      </c>
      <c r="K538" t="s">
        <v>73</v>
      </c>
      <c r="L538" t="s">
        <v>94</v>
      </c>
      <c r="M538" s="5"/>
      <c r="N538" s="5"/>
      <c r="O538" s="5"/>
      <c r="P538" s="5"/>
      <c r="Q538" s="5"/>
      <c r="R538" t="s">
        <v>106</v>
      </c>
      <c r="S538" t="s">
        <v>63</v>
      </c>
      <c r="T538" s="5"/>
      <c r="U538" s="6"/>
      <c r="V538" t="s">
        <v>64</v>
      </c>
      <c r="W538" s="4"/>
      <c r="X538" t="s">
        <v>65</v>
      </c>
      <c r="Z538" t="s">
        <v>66</v>
      </c>
    </row>
    <row r="539" spans="1:26">
      <c r="A539" t="s">
        <v>1119</v>
      </c>
      <c r="B539" t="s">
        <v>682</v>
      </c>
      <c r="C539" s="4">
        <v>46136</v>
      </c>
      <c r="D539" t="s">
        <v>127</v>
      </c>
      <c r="E539" t="s">
        <v>56</v>
      </c>
      <c r="F539" s="4"/>
      <c r="G539" s="4"/>
      <c r="H539" t="s">
        <v>90</v>
      </c>
      <c r="I539" t="s">
        <v>299</v>
      </c>
      <c r="J539" t="s">
        <v>129</v>
      </c>
      <c r="K539" t="s">
        <v>60</v>
      </c>
      <c r="L539" t="s">
        <v>74</v>
      </c>
      <c r="M539" s="5"/>
      <c r="N539" s="5"/>
      <c r="O539" s="5"/>
      <c r="P539" s="5"/>
      <c r="Q539" s="5"/>
      <c r="R539" t="s">
        <v>134</v>
      </c>
      <c r="S539" t="s">
        <v>63</v>
      </c>
      <c r="T539" s="5"/>
      <c r="U539" s="6"/>
      <c r="V539" t="s">
        <v>64</v>
      </c>
      <c r="W539" s="4"/>
      <c r="X539" t="s">
        <v>65</v>
      </c>
      <c r="Z539" t="s">
        <v>66</v>
      </c>
    </row>
    <row r="540" spans="1:26">
      <c r="A540" t="s">
        <v>1120</v>
      </c>
      <c r="B540" t="s">
        <v>1121</v>
      </c>
      <c r="C540" s="4">
        <v>46113</v>
      </c>
      <c r="D540" t="s">
        <v>127</v>
      </c>
      <c r="E540" t="s">
        <v>70</v>
      </c>
      <c r="F540" s="4">
        <v>46113</v>
      </c>
      <c r="G540" s="4">
        <v>46115</v>
      </c>
      <c r="H540" t="s">
        <v>103</v>
      </c>
      <c r="I540" t="s">
        <v>104</v>
      </c>
      <c r="J540" t="s">
        <v>145</v>
      </c>
      <c r="K540" t="s">
        <v>73</v>
      </c>
      <c r="L540" t="s">
        <v>74</v>
      </c>
      <c r="M540" s="5">
        <v>19900</v>
      </c>
      <c r="N540" s="5">
        <v>3550</v>
      </c>
      <c r="O540" s="5">
        <v>2150</v>
      </c>
      <c r="P540" s="5">
        <v>6000</v>
      </c>
      <c r="Q540" s="5">
        <v>33400</v>
      </c>
      <c r="R540" t="s">
        <v>106</v>
      </c>
      <c r="S540" t="s">
        <v>76</v>
      </c>
      <c r="T540" s="5">
        <v>12390</v>
      </c>
      <c r="U540" s="6">
        <v>5</v>
      </c>
      <c r="V540" t="s">
        <v>64</v>
      </c>
      <c r="W540" s="4"/>
      <c r="X540" t="s">
        <v>65</v>
      </c>
      <c r="Y540" t="s">
        <v>64</v>
      </c>
      <c r="Z540" t="s">
        <v>96</v>
      </c>
    </row>
    <row r="541" spans="1:26">
      <c r="A541" t="s">
        <v>1122</v>
      </c>
      <c r="B541" t="s">
        <v>1123</v>
      </c>
      <c r="C541" s="4">
        <v>46164</v>
      </c>
      <c r="D541" t="s">
        <v>127</v>
      </c>
      <c r="E541" t="s">
        <v>70</v>
      </c>
      <c r="F541" s="4">
        <v>46165</v>
      </c>
      <c r="G541" s="4">
        <v>46168</v>
      </c>
      <c r="H541" t="s">
        <v>90</v>
      </c>
      <c r="I541" t="s">
        <v>299</v>
      </c>
      <c r="J541" t="s">
        <v>129</v>
      </c>
      <c r="K541" t="s">
        <v>93</v>
      </c>
      <c r="L541" t="s">
        <v>74</v>
      </c>
      <c r="M541" s="5">
        <v>52300</v>
      </c>
      <c r="N541" s="5">
        <v>7000</v>
      </c>
      <c r="O541" s="5">
        <v>7250</v>
      </c>
      <c r="P541" s="5">
        <v>13500</v>
      </c>
      <c r="Q541" s="5">
        <v>81550</v>
      </c>
      <c r="R541" t="s">
        <v>141</v>
      </c>
      <c r="S541" t="s">
        <v>76</v>
      </c>
      <c r="T541" s="5">
        <v>13430</v>
      </c>
      <c r="U541" s="6">
        <v>4</v>
      </c>
      <c r="V541" t="s">
        <v>77</v>
      </c>
      <c r="W541" s="4">
        <v>46177</v>
      </c>
      <c r="X541" t="s">
        <v>77</v>
      </c>
      <c r="Y541" t="s">
        <v>64</v>
      </c>
      <c r="Z541" t="s">
        <v>219</v>
      </c>
    </row>
    <row r="542" spans="1:26">
      <c r="A542" t="s">
        <v>1124</v>
      </c>
      <c r="B542" t="s">
        <v>1125</v>
      </c>
      <c r="C542" s="4">
        <v>46097</v>
      </c>
      <c r="D542" t="s">
        <v>161</v>
      </c>
      <c r="E542" t="s">
        <v>70</v>
      </c>
      <c r="F542" s="4">
        <v>46097</v>
      </c>
      <c r="G542" s="4">
        <v>46101</v>
      </c>
      <c r="H542" t="s">
        <v>138</v>
      </c>
      <c r="I542" t="s">
        <v>444</v>
      </c>
      <c r="J542" t="s">
        <v>236</v>
      </c>
      <c r="K542" t="s">
        <v>93</v>
      </c>
      <c r="L542" t="s">
        <v>94</v>
      </c>
      <c r="M542" s="5">
        <v>39700</v>
      </c>
      <c r="N542" s="5">
        <v>3900</v>
      </c>
      <c r="O542" s="5">
        <v>9700</v>
      </c>
      <c r="P542" s="5">
        <v>18000</v>
      </c>
      <c r="Q542" s="5">
        <v>72800</v>
      </c>
      <c r="R542" t="s">
        <v>75</v>
      </c>
      <c r="S542" t="s">
        <v>76</v>
      </c>
      <c r="T542" s="5">
        <v>33060</v>
      </c>
      <c r="U542" s="6">
        <v>4</v>
      </c>
      <c r="V542" t="s">
        <v>64</v>
      </c>
      <c r="W542" s="4"/>
      <c r="X542" t="s">
        <v>65</v>
      </c>
      <c r="Y542" t="s">
        <v>64</v>
      </c>
      <c r="Z542" t="s">
        <v>107</v>
      </c>
    </row>
    <row r="543" spans="1:26">
      <c r="A543" t="s">
        <v>1126</v>
      </c>
      <c r="B543" t="s">
        <v>1127</v>
      </c>
      <c r="C543" s="4">
        <v>46040</v>
      </c>
      <c r="D543" t="s">
        <v>81</v>
      </c>
      <c r="E543" t="s">
        <v>70</v>
      </c>
      <c r="F543" s="4">
        <v>46040</v>
      </c>
      <c r="G543" s="4">
        <v>46040</v>
      </c>
      <c r="H543" t="s">
        <v>57</v>
      </c>
      <c r="I543" t="s">
        <v>71</v>
      </c>
      <c r="J543" t="s">
        <v>72</v>
      </c>
      <c r="K543" t="s">
        <v>73</v>
      </c>
      <c r="L543" t="s">
        <v>74</v>
      </c>
      <c r="M543" s="5">
        <v>10100</v>
      </c>
      <c r="N543" s="5">
        <v>800</v>
      </c>
      <c r="O543" s="5">
        <v>2000</v>
      </c>
      <c r="P543" s="5">
        <v>0</v>
      </c>
      <c r="Q543" s="5">
        <v>14700</v>
      </c>
      <c r="R543" t="s">
        <v>75</v>
      </c>
      <c r="S543" t="s">
        <v>76</v>
      </c>
      <c r="T543" s="5">
        <v>6910</v>
      </c>
      <c r="U543" s="6">
        <v>4</v>
      </c>
      <c r="V543" t="s">
        <v>77</v>
      </c>
      <c r="W543" s="4">
        <v>46048</v>
      </c>
      <c r="X543" t="s">
        <v>77</v>
      </c>
      <c r="Y543" t="s">
        <v>64</v>
      </c>
      <c r="Z543" t="s">
        <v>96</v>
      </c>
    </row>
    <row r="544" spans="1:26">
      <c r="A544" t="s">
        <v>1128</v>
      </c>
      <c r="B544" t="s">
        <v>394</v>
      </c>
      <c r="C544" s="4">
        <v>46125</v>
      </c>
      <c r="D544" t="s">
        <v>363</v>
      </c>
      <c r="E544" t="s">
        <v>70</v>
      </c>
      <c r="F544" s="4">
        <v>46125</v>
      </c>
      <c r="G544" s="4">
        <v>46125</v>
      </c>
      <c r="H544" t="s">
        <v>57</v>
      </c>
      <c r="I544" t="s">
        <v>169</v>
      </c>
      <c r="J544" t="s">
        <v>72</v>
      </c>
      <c r="K544" t="s">
        <v>60</v>
      </c>
      <c r="L544" t="s">
        <v>74</v>
      </c>
      <c r="M544" s="5">
        <v>9000</v>
      </c>
      <c r="N544" s="5">
        <v>1450</v>
      </c>
      <c r="O544" s="5">
        <v>2150</v>
      </c>
      <c r="P544" s="5">
        <v>0</v>
      </c>
      <c r="Q544" s="5">
        <v>13400</v>
      </c>
      <c r="R544" t="s">
        <v>85</v>
      </c>
      <c r="S544" t="s">
        <v>76</v>
      </c>
      <c r="T544" s="5">
        <v>4250</v>
      </c>
      <c r="U544" s="6">
        <v>4</v>
      </c>
      <c r="V544" t="s">
        <v>64</v>
      </c>
      <c r="W544" s="4"/>
      <c r="X544" t="s">
        <v>65</v>
      </c>
      <c r="Y544" t="s">
        <v>64</v>
      </c>
      <c r="Z544" t="s">
        <v>107</v>
      </c>
    </row>
    <row r="545" spans="1:26">
      <c r="A545" t="s">
        <v>1129</v>
      </c>
      <c r="B545" t="s">
        <v>1130</v>
      </c>
      <c r="C545" s="4">
        <v>46170</v>
      </c>
      <c r="D545" t="s">
        <v>432</v>
      </c>
      <c r="E545" t="s">
        <v>70</v>
      </c>
      <c r="F545" s="4">
        <v>46170</v>
      </c>
      <c r="G545" s="4">
        <v>46173</v>
      </c>
      <c r="H545" t="s">
        <v>201</v>
      </c>
      <c r="I545" t="s">
        <v>421</v>
      </c>
      <c r="J545" t="s">
        <v>295</v>
      </c>
      <c r="K545" t="s">
        <v>124</v>
      </c>
      <c r="L545" t="s">
        <v>94</v>
      </c>
      <c r="M545" s="5">
        <v>32000</v>
      </c>
      <c r="N545" s="5">
        <v>3000</v>
      </c>
      <c r="O545" s="5">
        <v>4400</v>
      </c>
      <c r="P545" s="5">
        <v>13500</v>
      </c>
      <c r="Q545" s="5">
        <v>53900</v>
      </c>
      <c r="R545" t="s">
        <v>134</v>
      </c>
      <c r="S545" t="s">
        <v>76</v>
      </c>
      <c r="T545" s="5">
        <v>29850</v>
      </c>
      <c r="U545" s="6">
        <v>3</v>
      </c>
      <c r="V545" t="s">
        <v>77</v>
      </c>
      <c r="W545" s="4">
        <v>46193</v>
      </c>
      <c r="X545" t="s">
        <v>77</v>
      </c>
      <c r="Y545" t="s">
        <v>77</v>
      </c>
      <c r="Z545" t="s">
        <v>96</v>
      </c>
    </row>
    <row r="546" spans="1:26">
      <c r="A546" t="s">
        <v>1131</v>
      </c>
      <c r="B546" t="s">
        <v>743</v>
      </c>
      <c r="C546" s="4">
        <v>46139</v>
      </c>
      <c r="D546" t="s">
        <v>439</v>
      </c>
      <c r="E546" t="s">
        <v>70</v>
      </c>
      <c r="F546" s="4">
        <v>46140</v>
      </c>
      <c r="G546" s="4">
        <v>46147</v>
      </c>
      <c r="H546" t="s">
        <v>178</v>
      </c>
      <c r="I546" t="s">
        <v>218</v>
      </c>
      <c r="J546" t="s">
        <v>340</v>
      </c>
      <c r="K546" t="s">
        <v>93</v>
      </c>
      <c r="L546" t="s">
        <v>61</v>
      </c>
      <c r="M546" s="5">
        <v>89700</v>
      </c>
      <c r="N546" s="5">
        <v>8850</v>
      </c>
      <c r="O546" s="5">
        <v>14850</v>
      </c>
      <c r="P546" s="5">
        <v>31500</v>
      </c>
      <c r="Q546" s="5">
        <v>146400</v>
      </c>
      <c r="R546" t="s">
        <v>85</v>
      </c>
      <c r="S546" t="s">
        <v>76</v>
      </c>
      <c r="T546" s="5">
        <v>37500</v>
      </c>
      <c r="U546" s="6">
        <v>5</v>
      </c>
      <c r="V546" t="s">
        <v>64</v>
      </c>
      <c r="W546" s="4"/>
      <c r="X546" t="s">
        <v>65</v>
      </c>
      <c r="Y546" t="s">
        <v>64</v>
      </c>
      <c r="Z546" t="s">
        <v>78</v>
      </c>
    </row>
    <row r="547" spans="1:26">
      <c r="A547" t="s">
        <v>1132</v>
      </c>
      <c r="B547" t="s">
        <v>555</v>
      </c>
      <c r="C547" s="4">
        <v>46169</v>
      </c>
      <c r="D547" t="s">
        <v>161</v>
      </c>
      <c r="E547" t="s">
        <v>70</v>
      </c>
      <c r="F547" s="4">
        <v>46169</v>
      </c>
      <c r="G547" s="4">
        <v>46175</v>
      </c>
      <c r="H547" t="s">
        <v>201</v>
      </c>
      <c r="I547" t="s">
        <v>515</v>
      </c>
      <c r="J547" t="s">
        <v>295</v>
      </c>
      <c r="K547" t="s">
        <v>73</v>
      </c>
      <c r="L547" t="s">
        <v>74</v>
      </c>
      <c r="M547" s="5">
        <v>53300</v>
      </c>
      <c r="N547" s="5">
        <v>8450</v>
      </c>
      <c r="O547" s="5">
        <v>10400</v>
      </c>
      <c r="P547" s="5">
        <v>18000</v>
      </c>
      <c r="Q547" s="5">
        <v>91350</v>
      </c>
      <c r="R547" t="s">
        <v>106</v>
      </c>
      <c r="S547" t="s">
        <v>76</v>
      </c>
      <c r="T547" s="5">
        <v>32670</v>
      </c>
      <c r="U547" s="6">
        <v>3</v>
      </c>
      <c r="V547" t="s">
        <v>77</v>
      </c>
      <c r="W547" s="4">
        <v>46191</v>
      </c>
      <c r="X547" t="s">
        <v>77</v>
      </c>
      <c r="Y547" t="s">
        <v>64</v>
      </c>
      <c r="Z547" t="s">
        <v>96</v>
      </c>
    </row>
    <row r="548" spans="1:26">
      <c r="A548" t="s">
        <v>1133</v>
      </c>
      <c r="B548" t="s">
        <v>1134</v>
      </c>
      <c r="C548" s="4">
        <v>46035</v>
      </c>
      <c r="D548" t="s">
        <v>99</v>
      </c>
      <c r="E548" t="s">
        <v>70</v>
      </c>
      <c r="F548" s="4">
        <v>46036</v>
      </c>
      <c r="G548" s="4">
        <v>46041</v>
      </c>
      <c r="H548" t="s">
        <v>178</v>
      </c>
      <c r="I548" t="s">
        <v>415</v>
      </c>
      <c r="J548" t="s">
        <v>340</v>
      </c>
      <c r="K548" t="s">
        <v>93</v>
      </c>
      <c r="L548" t="s">
        <v>74</v>
      </c>
      <c r="M548" s="5">
        <v>79600</v>
      </c>
      <c r="N548" s="5">
        <v>8850</v>
      </c>
      <c r="O548" s="5">
        <v>19200</v>
      </c>
      <c r="P548" s="5">
        <v>22500</v>
      </c>
      <c r="Q548" s="5">
        <v>130950</v>
      </c>
      <c r="R548" t="s">
        <v>95</v>
      </c>
      <c r="S548" t="s">
        <v>63</v>
      </c>
      <c r="T548" s="5">
        <v>130950</v>
      </c>
      <c r="U548" s="6">
        <v>4</v>
      </c>
      <c r="V548" t="s">
        <v>77</v>
      </c>
      <c r="W548" s="4">
        <v>46053</v>
      </c>
      <c r="X548" t="s">
        <v>77</v>
      </c>
      <c r="Y548" t="s">
        <v>64</v>
      </c>
      <c r="Z548" t="s">
        <v>96</v>
      </c>
    </row>
    <row r="549" spans="1:26">
      <c r="A549" t="s">
        <v>1135</v>
      </c>
      <c r="B549" t="s">
        <v>1136</v>
      </c>
      <c r="C549" s="4">
        <v>46121</v>
      </c>
      <c r="D549" t="s">
        <v>55</v>
      </c>
      <c r="E549" t="s">
        <v>70</v>
      </c>
      <c r="F549" s="4">
        <v>46121</v>
      </c>
      <c r="G549" s="4">
        <v>46128</v>
      </c>
      <c r="H549" t="s">
        <v>82</v>
      </c>
      <c r="I549" t="s">
        <v>83</v>
      </c>
      <c r="J549" t="s">
        <v>156</v>
      </c>
      <c r="K549" t="s">
        <v>93</v>
      </c>
      <c r="L549" t="s">
        <v>74</v>
      </c>
      <c r="M549" s="5">
        <v>91400</v>
      </c>
      <c r="N549" s="5">
        <v>10600</v>
      </c>
      <c r="O549" s="5">
        <v>16950</v>
      </c>
      <c r="P549" s="5">
        <v>31500</v>
      </c>
      <c r="Q549" s="5">
        <v>152250</v>
      </c>
      <c r="R549" t="s">
        <v>75</v>
      </c>
      <c r="S549" t="s">
        <v>76</v>
      </c>
      <c r="T549" s="5">
        <v>68810</v>
      </c>
      <c r="U549" s="6">
        <v>3</v>
      </c>
      <c r="V549" t="s">
        <v>77</v>
      </c>
      <c r="W549" s="4">
        <v>46144</v>
      </c>
      <c r="X549" t="s">
        <v>77</v>
      </c>
      <c r="Y549" t="s">
        <v>77</v>
      </c>
      <c r="Z549" t="s">
        <v>96</v>
      </c>
    </row>
    <row r="550" spans="1:26">
      <c r="A550" t="s">
        <v>1137</v>
      </c>
      <c r="B550" t="s">
        <v>405</v>
      </c>
      <c r="C550" s="4">
        <v>46103</v>
      </c>
      <c r="D550" t="s">
        <v>144</v>
      </c>
      <c r="E550" t="s">
        <v>56</v>
      </c>
      <c r="F550" s="4"/>
      <c r="G550" s="4"/>
      <c r="H550" t="s">
        <v>82</v>
      </c>
      <c r="I550" t="s">
        <v>194</v>
      </c>
      <c r="J550" t="s">
        <v>84</v>
      </c>
      <c r="K550" t="s">
        <v>73</v>
      </c>
      <c r="L550" t="s">
        <v>94</v>
      </c>
      <c r="M550" s="5"/>
      <c r="N550" s="5"/>
      <c r="O550" s="5"/>
      <c r="P550" s="5"/>
      <c r="Q550" s="5"/>
      <c r="R550" t="s">
        <v>141</v>
      </c>
      <c r="S550" t="s">
        <v>63</v>
      </c>
      <c r="T550" s="5"/>
      <c r="U550" s="6"/>
      <c r="V550" t="s">
        <v>64</v>
      </c>
      <c r="W550" s="4"/>
      <c r="X550" t="s">
        <v>65</v>
      </c>
      <c r="Z550" t="s">
        <v>66</v>
      </c>
    </row>
    <row r="551" spans="1:26">
      <c r="A551" t="s">
        <v>1138</v>
      </c>
      <c r="B551" t="s">
        <v>1139</v>
      </c>
      <c r="C551" s="4">
        <v>46128</v>
      </c>
      <c r="D551" t="s">
        <v>432</v>
      </c>
      <c r="E551" t="s">
        <v>70</v>
      </c>
      <c r="F551" s="4">
        <v>46128</v>
      </c>
      <c r="G551" s="4">
        <v>46128</v>
      </c>
      <c r="H551" t="s">
        <v>121</v>
      </c>
      <c r="I551" t="s">
        <v>251</v>
      </c>
      <c r="J551" t="s">
        <v>256</v>
      </c>
      <c r="K551" t="s">
        <v>60</v>
      </c>
      <c r="L551" t="s">
        <v>61</v>
      </c>
      <c r="M551" s="5">
        <v>14200</v>
      </c>
      <c r="N551" s="5">
        <v>2400</v>
      </c>
      <c r="O551" s="5">
        <v>2700</v>
      </c>
      <c r="P551" s="5">
        <v>0</v>
      </c>
      <c r="Q551" s="5">
        <v>21300</v>
      </c>
      <c r="R551" t="s">
        <v>106</v>
      </c>
      <c r="S551" t="s">
        <v>86</v>
      </c>
      <c r="T551" s="5">
        <v>8150</v>
      </c>
      <c r="U551" s="6">
        <v>5</v>
      </c>
      <c r="V551" t="s">
        <v>64</v>
      </c>
      <c r="W551" s="4"/>
      <c r="X551" t="s">
        <v>65</v>
      </c>
      <c r="Y551" t="s">
        <v>64</v>
      </c>
      <c r="Z551" t="s">
        <v>436</v>
      </c>
    </row>
    <row r="552" spans="1:26">
      <c r="A552" t="s">
        <v>1140</v>
      </c>
      <c r="B552" t="s">
        <v>1141</v>
      </c>
      <c r="C552" s="4">
        <v>46090</v>
      </c>
      <c r="D552" t="s">
        <v>99</v>
      </c>
      <c r="E552" t="s">
        <v>70</v>
      </c>
      <c r="F552" s="4">
        <v>46091</v>
      </c>
      <c r="G552" s="4">
        <v>46092</v>
      </c>
      <c r="H552" t="s">
        <v>201</v>
      </c>
      <c r="I552" t="s">
        <v>202</v>
      </c>
      <c r="J552" t="s">
        <v>203</v>
      </c>
      <c r="K552" t="s">
        <v>124</v>
      </c>
      <c r="L552" t="s">
        <v>74</v>
      </c>
      <c r="M552" s="5">
        <v>30700</v>
      </c>
      <c r="N552" s="5">
        <v>4200</v>
      </c>
      <c r="O552" s="5">
        <v>6850</v>
      </c>
      <c r="P552" s="5">
        <v>6000</v>
      </c>
      <c r="Q552" s="5">
        <v>50250</v>
      </c>
      <c r="R552" t="s">
        <v>85</v>
      </c>
      <c r="S552" t="s">
        <v>86</v>
      </c>
      <c r="T552" s="5">
        <v>13460</v>
      </c>
      <c r="U552" s="6">
        <v>5</v>
      </c>
      <c r="V552" t="s">
        <v>77</v>
      </c>
      <c r="W552" s="4">
        <v>46101</v>
      </c>
      <c r="X552" t="s">
        <v>77</v>
      </c>
      <c r="Y552" t="s">
        <v>77</v>
      </c>
      <c r="Z552" t="s">
        <v>96</v>
      </c>
    </row>
    <row r="553" spans="1:26">
      <c r="A553" t="s">
        <v>1142</v>
      </c>
      <c r="B553" t="s">
        <v>1127</v>
      </c>
      <c r="C553" s="4">
        <v>46112</v>
      </c>
      <c r="D553" t="s">
        <v>210</v>
      </c>
      <c r="E553" t="s">
        <v>70</v>
      </c>
      <c r="F553" s="4">
        <v>46113</v>
      </c>
      <c r="G553" s="4">
        <v>46117</v>
      </c>
      <c r="H553" t="s">
        <v>121</v>
      </c>
      <c r="I553" t="s">
        <v>665</v>
      </c>
      <c r="J553" t="s">
        <v>123</v>
      </c>
      <c r="K553" t="s">
        <v>124</v>
      </c>
      <c r="L553" t="s">
        <v>74</v>
      </c>
      <c r="M553" s="5">
        <v>32100</v>
      </c>
      <c r="N553" s="5">
        <v>2600</v>
      </c>
      <c r="O553" s="5">
        <v>4650</v>
      </c>
      <c r="P553" s="5">
        <v>24000</v>
      </c>
      <c r="Q553" s="5">
        <v>64350</v>
      </c>
      <c r="R553" t="s">
        <v>141</v>
      </c>
      <c r="S553" t="s">
        <v>76</v>
      </c>
      <c r="T553" s="5">
        <v>10850</v>
      </c>
      <c r="U553" s="6">
        <v>2</v>
      </c>
      <c r="V553" t="s">
        <v>77</v>
      </c>
      <c r="W553" s="4">
        <v>46133</v>
      </c>
      <c r="X553" t="s">
        <v>77</v>
      </c>
      <c r="Y553" t="s">
        <v>77</v>
      </c>
      <c r="Z553" t="s">
        <v>78</v>
      </c>
    </row>
    <row r="554" spans="1:26">
      <c r="A554" t="s">
        <v>1143</v>
      </c>
      <c r="B554" t="s">
        <v>414</v>
      </c>
      <c r="C554" s="4">
        <v>46114</v>
      </c>
      <c r="D554" t="s">
        <v>284</v>
      </c>
      <c r="E554" t="s">
        <v>70</v>
      </c>
      <c r="F554" s="4">
        <v>46115</v>
      </c>
      <c r="G554" s="4">
        <v>46118</v>
      </c>
      <c r="H554" t="s">
        <v>111</v>
      </c>
      <c r="I554" t="s">
        <v>222</v>
      </c>
      <c r="J554" t="s">
        <v>113</v>
      </c>
      <c r="K554" t="s">
        <v>73</v>
      </c>
      <c r="L554" t="s">
        <v>94</v>
      </c>
      <c r="M554" s="5">
        <v>27200</v>
      </c>
      <c r="N554" s="5">
        <v>3700</v>
      </c>
      <c r="O554" s="5">
        <v>4500</v>
      </c>
      <c r="P554" s="5">
        <v>7500</v>
      </c>
      <c r="Q554" s="5">
        <v>43900</v>
      </c>
      <c r="R554" t="s">
        <v>62</v>
      </c>
      <c r="S554" t="s">
        <v>76</v>
      </c>
      <c r="T554" s="5">
        <v>13570</v>
      </c>
      <c r="U554" s="6">
        <v>4</v>
      </c>
      <c r="V554" t="s">
        <v>64</v>
      </c>
      <c r="W554" s="4"/>
      <c r="X554" t="s">
        <v>65</v>
      </c>
      <c r="Y554" t="s">
        <v>64</v>
      </c>
      <c r="Z554" t="s">
        <v>96</v>
      </c>
    </row>
    <row r="555" spans="1:26">
      <c r="A555" t="s">
        <v>1144</v>
      </c>
      <c r="B555" t="s">
        <v>1145</v>
      </c>
      <c r="C555" s="4">
        <v>46163</v>
      </c>
      <c r="D555" t="s">
        <v>168</v>
      </c>
      <c r="E555" t="s">
        <v>56</v>
      </c>
      <c r="F555" s="4"/>
      <c r="G555" s="4"/>
      <c r="H555" t="s">
        <v>121</v>
      </c>
      <c r="I555" t="s">
        <v>665</v>
      </c>
      <c r="J555" t="s">
        <v>252</v>
      </c>
      <c r="K555" t="s">
        <v>60</v>
      </c>
      <c r="L555" t="s">
        <v>94</v>
      </c>
      <c r="M555" s="5"/>
      <c r="N555" s="5"/>
      <c r="O555" s="5"/>
      <c r="P555" s="5"/>
      <c r="Q555" s="5"/>
      <c r="R555" t="s">
        <v>106</v>
      </c>
      <c r="S555" t="s">
        <v>63</v>
      </c>
      <c r="T555" s="5"/>
      <c r="U555" s="6"/>
      <c r="V555" t="s">
        <v>64</v>
      </c>
      <c r="W555" s="4"/>
      <c r="X555" t="s">
        <v>65</v>
      </c>
      <c r="Z555" t="s">
        <v>66</v>
      </c>
    </row>
    <row r="556" spans="1:26">
      <c r="A556" t="s">
        <v>1146</v>
      </c>
      <c r="B556" t="s">
        <v>193</v>
      </c>
      <c r="C556" s="4">
        <v>46072</v>
      </c>
      <c r="D556" t="s">
        <v>55</v>
      </c>
      <c r="E556" t="s">
        <v>70</v>
      </c>
      <c r="F556" s="4">
        <v>46072</v>
      </c>
      <c r="G556" s="4">
        <v>46072</v>
      </c>
      <c r="H556" t="s">
        <v>90</v>
      </c>
      <c r="I556" t="s">
        <v>91</v>
      </c>
      <c r="J556" t="s">
        <v>197</v>
      </c>
      <c r="K556" t="s">
        <v>60</v>
      </c>
      <c r="L556" t="s">
        <v>61</v>
      </c>
      <c r="M556" s="5">
        <v>18700</v>
      </c>
      <c r="N556" s="5">
        <v>2450</v>
      </c>
      <c r="O556" s="5">
        <v>3800</v>
      </c>
      <c r="P556" s="5">
        <v>0</v>
      </c>
      <c r="Q556" s="5">
        <v>26150</v>
      </c>
      <c r="R556" t="s">
        <v>95</v>
      </c>
      <c r="S556" t="s">
        <v>63</v>
      </c>
      <c r="T556" s="5">
        <v>26150</v>
      </c>
      <c r="U556" s="6"/>
      <c r="V556" t="s">
        <v>64</v>
      </c>
      <c r="W556" s="4"/>
      <c r="X556" t="s">
        <v>65</v>
      </c>
      <c r="Y556" t="s">
        <v>64</v>
      </c>
      <c r="Z556" t="s">
        <v>107</v>
      </c>
    </row>
    <row r="557" spans="1:26">
      <c r="A557" t="s">
        <v>1147</v>
      </c>
      <c r="B557" t="s">
        <v>1148</v>
      </c>
      <c r="C557" s="4">
        <v>46120</v>
      </c>
      <c r="D557" t="s">
        <v>173</v>
      </c>
      <c r="E557" t="s">
        <v>70</v>
      </c>
      <c r="F557" s="4">
        <v>46121</v>
      </c>
      <c r="G557" s="4">
        <v>46123</v>
      </c>
      <c r="H557" t="s">
        <v>103</v>
      </c>
      <c r="I557" t="s">
        <v>364</v>
      </c>
      <c r="J557" t="s">
        <v>145</v>
      </c>
      <c r="K557" t="s">
        <v>124</v>
      </c>
      <c r="L557" t="s">
        <v>61</v>
      </c>
      <c r="M557" s="5">
        <v>28500</v>
      </c>
      <c r="N557" s="5">
        <v>3100</v>
      </c>
      <c r="O557" s="5">
        <v>4850</v>
      </c>
      <c r="P557" s="5">
        <v>6000</v>
      </c>
      <c r="Q557" s="5">
        <v>43250</v>
      </c>
      <c r="R557" t="s">
        <v>134</v>
      </c>
      <c r="S557" t="s">
        <v>76</v>
      </c>
      <c r="T557" s="5">
        <v>23990</v>
      </c>
      <c r="U557" s="6">
        <v>5</v>
      </c>
      <c r="V557" t="s">
        <v>64</v>
      </c>
      <c r="W557" s="4"/>
      <c r="X557" t="s">
        <v>65</v>
      </c>
      <c r="Y557" t="s">
        <v>64</v>
      </c>
      <c r="Z557" t="s">
        <v>107</v>
      </c>
    </row>
    <row r="558" spans="1:26">
      <c r="A558" t="s">
        <v>1149</v>
      </c>
      <c r="B558" t="s">
        <v>1047</v>
      </c>
      <c r="C558" s="4">
        <v>46131</v>
      </c>
      <c r="D558" t="s">
        <v>250</v>
      </c>
      <c r="E558" t="s">
        <v>70</v>
      </c>
      <c r="F558" s="4">
        <v>46131</v>
      </c>
      <c r="G558" s="4">
        <v>46137</v>
      </c>
      <c r="H558" t="s">
        <v>57</v>
      </c>
      <c r="I558" t="s">
        <v>184</v>
      </c>
      <c r="J558" t="s">
        <v>170</v>
      </c>
      <c r="K558" t="s">
        <v>124</v>
      </c>
      <c r="L558" t="s">
        <v>94</v>
      </c>
      <c r="M558" s="5">
        <v>71900</v>
      </c>
      <c r="N558" s="5">
        <v>7450</v>
      </c>
      <c r="O558" s="5">
        <v>8650</v>
      </c>
      <c r="P558" s="5">
        <v>18000</v>
      </c>
      <c r="Q558" s="5">
        <v>107200</v>
      </c>
      <c r="R558" t="s">
        <v>106</v>
      </c>
      <c r="S558" t="s">
        <v>76</v>
      </c>
      <c r="T558" s="5">
        <v>38220</v>
      </c>
      <c r="U558" s="6">
        <v>2</v>
      </c>
      <c r="V558" t="s">
        <v>77</v>
      </c>
      <c r="W558" s="4">
        <v>46147</v>
      </c>
      <c r="X558" t="s">
        <v>64</v>
      </c>
      <c r="Y558" t="s">
        <v>77</v>
      </c>
      <c r="Z558" t="s">
        <v>96</v>
      </c>
    </row>
    <row r="559" spans="1:26">
      <c r="A559" t="s">
        <v>1150</v>
      </c>
      <c r="B559" t="s">
        <v>996</v>
      </c>
      <c r="C559" s="4">
        <v>46025</v>
      </c>
      <c r="D559" t="s">
        <v>266</v>
      </c>
      <c r="E559" t="s">
        <v>70</v>
      </c>
      <c r="F559" s="4">
        <v>46025</v>
      </c>
      <c r="G559" s="4">
        <v>46027</v>
      </c>
      <c r="H559" t="s">
        <v>57</v>
      </c>
      <c r="I559" t="s">
        <v>184</v>
      </c>
      <c r="J559" t="s">
        <v>72</v>
      </c>
      <c r="K559" t="s">
        <v>73</v>
      </c>
      <c r="L559" t="s">
        <v>94</v>
      </c>
      <c r="M559" s="5">
        <v>6600</v>
      </c>
      <c r="N559" s="5">
        <v>1000</v>
      </c>
      <c r="O559" s="5">
        <v>850</v>
      </c>
      <c r="P559" s="5">
        <v>7000</v>
      </c>
      <c r="Q559" s="5">
        <v>16650</v>
      </c>
      <c r="R559" t="s">
        <v>75</v>
      </c>
      <c r="S559" t="s">
        <v>76</v>
      </c>
      <c r="T559" s="5">
        <v>7790</v>
      </c>
      <c r="U559" s="6">
        <v>5</v>
      </c>
      <c r="V559" t="s">
        <v>64</v>
      </c>
      <c r="W559" s="4"/>
      <c r="X559" t="s">
        <v>65</v>
      </c>
      <c r="Y559" t="s">
        <v>64</v>
      </c>
      <c r="Z559" t="s">
        <v>96</v>
      </c>
    </row>
    <row r="560" spans="1:26">
      <c r="A560" t="s">
        <v>1151</v>
      </c>
      <c r="B560" t="s">
        <v>199</v>
      </c>
      <c r="C560" s="4">
        <v>46098</v>
      </c>
      <c r="D560" t="s">
        <v>132</v>
      </c>
      <c r="E560" t="s">
        <v>177</v>
      </c>
      <c r="F560" s="4"/>
      <c r="G560" s="4"/>
      <c r="H560" t="s">
        <v>90</v>
      </c>
      <c r="I560" t="s">
        <v>133</v>
      </c>
      <c r="J560" t="s">
        <v>129</v>
      </c>
      <c r="K560" t="s">
        <v>124</v>
      </c>
      <c r="L560" t="s">
        <v>94</v>
      </c>
      <c r="M560" s="5"/>
      <c r="N560" s="5"/>
      <c r="O560" s="5"/>
      <c r="P560" s="5"/>
      <c r="Q560" s="5"/>
      <c r="R560" t="s">
        <v>134</v>
      </c>
      <c r="S560" t="s">
        <v>63</v>
      </c>
      <c r="T560" s="5"/>
      <c r="U560" s="6"/>
      <c r="V560" t="s">
        <v>64</v>
      </c>
      <c r="W560" s="4"/>
      <c r="X560" t="s">
        <v>65</v>
      </c>
      <c r="Z560" t="s">
        <v>66</v>
      </c>
    </row>
    <row r="561" spans="1:26">
      <c r="A561" t="s">
        <v>1152</v>
      </c>
      <c r="B561" t="s">
        <v>98</v>
      </c>
      <c r="C561" s="4">
        <v>46064</v>
      </c>
      <c r="D561" t="s">
        <v>298</v>
      </c>
      <c r="E561" t="s">
        <v>70</v>
      </c>
      <c r="F561" s="4">
        <v>46065</v>
      </c>
      <c r="G561" s="4">
        <v>46069</v>
      </c>
      <c r="H561" t="s">
        <v>90</v>
      </c>
      <c r="I561" t="s">
        <v>299</v>
      </c>
      <c r="J561" t="s">
        <v>129</v>
      </c>
      <c r="K561" t="s">
        <v>124</v>
      </c>
      <c r="L561" t="s">
        <v>61</v>
      </c>
      <c r="M561" s="5">
        <v>45200</v>
      </c>
      <c r="N561" s="5">
        <v>7100</v>
      </c>
      <c r="O561" s="5">
        <v>5200</v>
      </c>
      <c r="P561" s="5">
        <v>18000</v>
      </c>
      <c r="Q561" s="5">
        <v>77000</v>
      </c>
      <c r="R561" t="s">
        <v>85</v>
      </c>
      <c r="S561" t="s">
        <v>76</v>
      </c>
      <c r="T561" s="5">
        <v>20150</v>
      </c>
      <c r="U561" s="6">
        <v>5</v>
      </c>
      <c r="V561" t="s">
        <v>77</v>
      </c>
      <c r="W561" s="4">
        <v>46080</v>
      </c>
      <c r="X561" t="s">
        <v>77</v>
      </c>
      <c r="Y561" t="s">
        <v>64</v>
      </c>
      <c r="Z561" t="s">
        <v>96</v>
      </c>
    </row>
    <row r="562" spans="1:26">
      <c r="A562" t="s">
        <v>1153</v>
      </c>
      <c r="B562" t="s">
        <v>1072</v>
      </c>
      <c r="C562" s="4">
        <v>46062</v>
      </c>
      <c r="D562" t="s">
        <v>307</v>
      </c>
      <c r="E562" t="s">
        <v>70</v>
      </c>
      <c r="F562" s="4">
        <v>46062</v>
      </c>
      <c r="G562" s="4">
        <v>46067</v>
      </c>
      <c r="H562" t="s">
        <v>138</v>
      </c>
      <c r="I562" t="s">
        <v>235</v>
      </c>
      <c r="J562" t="s">
        <v>236</v>
      </c>
      <c r="K562" t="s">
        <v>124</v>
      </c>
      <c r="L562" t="s">
        <v>61</v>
      </c>
      <c r="M562" s="5">
        <v>38700</v>
      </c>
      <c r="N562" s="5">
        <v>5350</v>
      </c>
      <c r="O562" s="5">
        <v>7850</v>
      </c>
      <c r="P562" s="5">
        <v>22500</v>
      </c>
      <c r="Q562" s="5">
        <v>75400</v>
      </c>
      <c r="R562" t="s">
        <v>106</v>
      </c>
      <c r="S562" t="s">
        <v>76</v>
      </c>
      <c r="T562" s="5">
        <v>27090</v>
      </c>
      <c r="U562" s="6">
        <v>4</v>
      </c>
      <c r="V562" t="s">
        <v>77</v>
      </c>
      <c r="W562" s="4">
        <v>46088</v>
      </c>
      <c r="X562" t="s">
        <v>77</v>
      </c>
      <c r="Y562" t="s">
        <v>64</v>
      </c>
      <c r="Z562" t="s">
        <v>78</v>
      </c>
    </row>
    <row r="563" spans="1:26">
      <c r="A563" t="s">
        <v>1154</v>
      </c>
      <c r="B563" t="s">
        <v>750</v>
      </c>
      <c r="C563" s="4">
        <v>46045</v>
      </c>
      <c r="D563" t="s">
        <v>225</v>
      </c>
      <c r="E563" t="s">
        <v>70</v>
      </c>
      <c r="F563" s="4">
        <v>46045</v>
      </c>
      <c r="G563" s="4">
        <v>46050</v>
      </c>
      <c r="H563" t="s">
        <v>90</v>
      </c>
      <c r="I563" t="s">
        <v>388</v>
      </c>
      <c r="J563" t="s">
        <v>129</v>
      </c>
      <c r="K563" t="s">
        <v>93</v>
      </c>
      <c r="L563" t="s">
        <v>61</v>
      </c>
      <c r="M563" s="5">
        <v>51900</v>
      </c>
      <c r="N563" s="5">
        <v>4400</v>
      </c>
      <c r="O563" s="5">
        <v>12300</v>
      </c>
      <c r="P563" s="5">
        <v>12500</v>
      </c>
      <c r="Q563" s="5">
        <v>82600</v>
      </c>
      <c r="R563" t="s">
        <v>141</v>
      </c>
      <c r="S563" t="s">
        <v>76</v>
      </c>
      <c r="T563" s="5">
        <v>13590</v>
      </c>
      <c r="U563" s="6">
        <v>4</v>
      </c>
      <c r="V563" t="s">
        <v>77</v>
      </c>
      <c r="W563" s="4">
        <v>46057</v>
      </c>
      <c r="X563" t="s">
        <v>64</v>
      </c>
      <c r="Y563" t="s">
        <v>64</v>
      </c>
      <c r="Z563" t="s">
        <v>96</v>
      </c>
    </row>
    <row r="564" spans="1:26">
      <c r="A564" t="s">
        <v>1155</v>
      </c>
      <c r="B564" t="s">
        <v>1156</v>
      </c>
      <c r="C564" s="4">
        <v>46051</v>
      </c>
      <c r="D564" t="s">
        <v>132</v>
      </c>
      <c r="E564" t="s">
        <v>70</v>
      </c>
      <c r="F564" s="4">
        <v>46052</v>
      </c>
      <c r="G564" s="4">
        <v>46052</v>
      </c>
      <c r="H564" t="s">
        <v>103</v>
      </c>
      <c r="I564" t="s">
        <v>412</v>
      </c>
      <c r="J564" t="s">
        <v>244</v>
      </c>
      <c r="K564" t="s">
        <v>60</v>
      </c>
      <c r="L564" t="s">
        <v>74</v>
      </c>
      <c r="M564" s="5">
        <v>61600</v>
      </c>
      <c r="N564" s="5">
        <v>6050</v>
      </c>
      <c r="O564" s="5">
        <v>6350</v>
      </c>
      <c r="P564" s="5">
        <v>0</v>
      </c>
      <c r="Q564" s="5">
        <v>75200</v>
      </c>
      <c r="R564" t="s">
        <v>95</v>
      </c>
      <c r="S564" t="s">
        <v>63</v>
      </c>
      <c r="T564" s="5">
        <v>75200</v>
      </c>
      <c r="U564" s="6">
        <v>5</v>
      </c>
      <c r="V564" t="s">
        <v>77</v>
      </c>
      <c r="W564" s="4">
        <v>46060</v>
      </c>
      <c r="X564" t="s">
        <v>77</v>
      </c>
      <c r="Y564" t="s">
        <v>64</v>
      </c>
      <c r="Z564" t="s">
        <v>96</v>
      </c>
    </row>
    <row r="565" spans="1:26">
      <c r="A565" t="s">
        <v>1157</v>
      </c>
      <c r="B565" t="s">
        <v>1158</v>
      </c>
      <c r="C565" s="4">
        <v>46161</v>
      </c>
      <c r="D565" t="s">
        <v>127</v>
      </c>
      <c r="E565" t="s">
        <v>177</v>
      </c>
      <c r="F565" s="4"/>
      <c r="G565" s="4"/>
      <c r="H565" t="s">
        <v>57</v>
      </c>
      <c r="I565" t="s">
        <v>100</v>
      </c>
      <c r="J565" t="s">
        <v>59</v>
      </c>
      <c r="K565" t="s">
        <v>60</v>
      </c>
      <c r="L565" t="s">
        <v>74</v>
      </c>
      <c r="M565" s="5"/>
      <c r="N565" s="5"/>
      <c r="O565" s="5"/>
      <c r="P565" s="5"/>
      <c r="Q565" s="5"/>
      <c r="R565" t="s">
        <v>134</v>
      </c>
      <c r="S565" t="s">
        <v>63</v>
      </c>
      <c r="T565" s="5"/>
      <c r="U565" s="6"/>
      <c r="V565" t="s">
        <v>64</v>
      </c>
      <c r="W565" s="4"/>
      <c r="X565" t="s">
        <v>65</v>
      </c>
      <c r="Z565" t="s">
        <v>66</v>
      </c>
    </row>
    <row r="566" spans="1:26">
      <c r="A566" t="s">
        <v>1159</v>
      </c>
      <c r="B566" t="s">
        <v>1160</v>
      </c>
      <c r="C566" s="4">
        <v>46150</v>
      </c>
      <c r="D566" t="s">
        <v>337</v>
      </c>
      <c r="E566" t="s">
        <v>70</v>
      </c>
      <c r="F566" s="4">
        <v>46150</v>
      </c>
      <c r="G566" s="4">
        <v>46153</v>
      </c>
      <c r="H566" t="s">
        <v>111</v>
      </c>
      <c r="I566" t="s">
        <v>397</v>
      </c>
      <c r="J566" t="s">
        <v>117</v>
      </c>
      <c r="K566" t="s">
        <v>73</v>
      </c>
      <c r="L566" t="s">
        <v>94</v>
      </c>
      <c r="M566" s="5">
        <v>5600</v>
      </c>
      <c r="N566" s="5">
        <v>750</v>
      </c>
      <c r="O566" s="5">
        <v>850</v>
      </c>
      <c r="P566" s="5">
        <v>18000</v>
      </c>
      <c r="Q566" s="5">
        <v>27200</v>
      </c>
      <c r="R566" t="s">
        <v>95</v>
      </c>
      <c r="S566" t="s">
        <v>63</v>
      </c>
      <c r="T566" s="5">
        <v>27200</v>
      </c>
      <c r="U566" s="6">
        <v>5</v>
      </c>
      <c r="V566" t="s">
        <v>77</v>
      </c>
      <c r="W566" s="4">
        <v>46172</v>
      </c>
      <c r="X566" t="s">
        <v>77</v>
      </c>
      <c r="Y566" t="s">
        <v>64</v>
      </c>
      <c r="Z566" t="s">
        <v>96</v>
      </c>
    </row>
    <row r="567" spans="1:26">
      <c r="A567" t="s">
        <v>1161</v>
      </c>
      <c r="B567" t="s">
        <v>1162</v>
      </c>
      <c r="C567" s="4">
        <v>46070</v>
      </c>
      <c r="D567" t="s">
        <v>266</v>
      </c>
      <c r="E567" t="s">
        <v>70</v>
      </c>
      <c r="F567" s="4">
        <v>46070</v>
      </c>
      <c r="G567" s="4">
        <v>46076</v>
      </c>
      <c r="H567" t="s">
        <v>82</v>
      </c>
      <c r="I567" t="s">
        <v>331</v>
      </c>
      <c r="J567" t="s">
        <v>156</v>
      </c>
      <c r="K567" t="s">
        <v>124</v>
      </c>
      <c r="L567" t="s">
        <v>61</v>
      </c>
      <c r="M567" s="5">
        <v>75100</v>
      </c>
      <c r="N567" s="5">
        <v>6600</v>
      </c>
      <c r="O567" s="5">
        <v>12000</v>
      </c>
      <c r="P567" s="5">
        <v>36000</v>
      </c>
      <c r="Q567" s="5">
        <v>131200</v>
      </c>
      <c r="R567" t="s">
        <v>75</v>
      </c>
      <c r="S567" t="s">
        <v>86</v>
      </c>
      <c r="T567" s="5">
        <v>59340</v>
      </c>
      <c r="U567" s="6">
        <v>4</v>
      </c>
      <c r="V567" t="s">
        <v>77</v>
      </c>
      <c r="W567" s="4">
        <v>46093</v>
      </c>
      <c r="X567" t="s">
        <v>77</v>
      </c>
      <c r="Y567" t="s">
        <v>64</v>
      </c>
      <c r="Z567" t="s">
        <v>96</v>
      </c>
    </row>
    <row r="568" spans="1:26">
      <c r="A568" t="s">
        <v>1163</v>
      </c>
      <c r="B568" t="s">
        <v>1164</v>
      </c>
      <c r="C568" s="4">
        <v>46104</v>
      </c>
      <c r="D568" t="s">
        <v>89</v>
      </c>
      <c r="E568" t="s">
        <v>70</v>
      </c>
      <c r="F568" s="4">
        <v>46104</v>
      </c>
      <c r="G568" s="4">
        <v>46104</v>
      </c>
      <c r="H568" t="s">
        <v>111</v>
      </c>
      <c r="I568" t="s">
        <v>112</v>
      </c>
      <c r="J568" t="s">
        <v>117</v>
      </c>
      <c r="K568" t="s">
        <v>60</v>
      </c>
      <c r="L568" t="s">
        <v>94</v>
      </c>
      <c r="M568" s="5">
        <v>5300</v>
      </c>
      <c r="N568" s="5">
        <v>850</v>
      </c>
      <c r="O568" s="5">
        <v>650</v>
      </c>
      <c r="P568" s="5">
        <v>0</v>
      </c>
      <c r="Q568" s="5">
        <v>7600</v>
      </c>
      <c r="R568" t="s">
        <v>141</v>
      </c>
      <c r="S568" t="s">
        <v>76</v>
      </c>
      <c r="T568" s="5">
        <v>2340</v>
      </c>
      <c r="U568" s="6">
        <v>4</v>
      </c>
      <c r="V568" t="s">
        <v>64</v>
      </c>
      <c r="W568" s="4"/>
      <c r="X568" t="s">
        <v>65</v>
      </c>
      <c r="Y568" t="s">
        <v>64</v>
      </c>
      <c r="Z568" t="s">
        <v>78</v>
      </c>
    </row>
    <row r="569" spans="1:26">
      <c r="A569" t="s">
        <v>1165</v>
      </c>
      <c r="B569" t="s">
        <v>994</v>
      </c>
      <c r="C569" s="4">
        <v>46034</v>
      </c>
      <c r="D569" t="s">
        <v>161</v>
      </c>
      <c r="E569" t="s">
        <v>70</v>
      </c>
      <c r="F569" s="4">
        <v>46034</v>
      </c>
      <c r="G569" s="4">
        <v>46034</v>
      </c>
      <c r="H569" t="s">
        <v>57</v>
      </c>
      <c r="I569" t="s">
        <v>100</v>
      </c>
      <c r="J569" t="s">
        <v>72</v>
      </c>
      <c r="K569" t="s">
        <v>60</v>
      </c>
      <c r="L569" t="s">
        <v>94</v>
      </c>
      <c r="M569" s="5">
        <v>7100</v>
      </c>
      <c r="N569" s="5">
        <v>1250</v>
      </c>
      <c r="O569" s="5">
        <v>900</v>
      </c>
      <c r="P569" s="5">
        <v>0</v>
      </c>
      <c r="Q569" s="5">
        <v>11250</v>
      </c>
      <c r="R569" t="s">
        <v>75</v>
      </c>
      <c r="S569" t="s">
        <v>76</v>
      </c>
      <c r="T569" s="5">
        <v>5360</v>
      </c>
      <c r="U569" s="6">
        <v>4</v>
      </c>
      <c r="V569" t="s">
        <v>64</v>
      </c>
      <c r="W569" s="4"/>
      <c r="X569" t="s">
        <v>65</v>
      </c>
      <c r="Y569" t="s">
        <v>64</v>
      </c>
      <c r="Z569" t="s">
        <v>78</v>
      </c>
    </row>
    <row r="570" spans="1:26">
      <c r="A570" t="s">
        <v>1166</v>
      </c>
      <c r="B570" t="s">
        <v>980</v>
      </c>
      <c r="C570" s="4">
        <v>46049</v>
      </c>
      <c r="D570" t="s">
        <v>173</v>
      </c>
      <c r="E570" t="s">
        <v>70</v>
      </c>
      <c r="F570" s="4">
        <v>46049</v>
      </c>
      <c r="G570" s="4">
        <v>46052</v>
      </c>
      <c r="H570" t="s">
        <v>178</v>
      </c>
      <c r="I570" t="s">
        <v>339</v>
      </c>
      <c r="J570" t="s">
        <v>358</v>
      </c>
      <c r="K570" t="s">
        <v>93</v>
      </c>
      <c r="L570" t="s">
        <v>74</v>
      </c>
      <c r="M570" s="5">
        <v>52200</v>
      </c>
      <c r="N570" s="5">
        <v>4400</v>
      </c>
      <c r="O570" s="5">
        <v>8250</v>
      </c>
      <c r="P570" s="5">
        <v>18000</v>
      </c>
      <c r="Q570" s="5">
        <v>83650</v>
      </c>
      <c r="R570" t="s">
        <v>62</v>
      </c>
      <c r="S570" t="s">
        <v>86</v>
      </c>
      <c r="T570" s="5">
        <v>25500</v>
      </c>
      <c r="U570" s="6">
        <v>5</v>
      </c>
      <c r="V570" t="s">
        <v>64</v>
      </c>
      <c r="W570" s="4"/>
      <c r="X570" t="s">
        <v>65</v>
      </c>
      <c r="Y570" t="s">
        <v>64</v>
      </c>
      <c r="Z570" t="s">
        <v>96</v>
      </c>
    </row>
    <row r="571" spans="1:26">
      <c r="A571" t="s">
        <v>1167</v>
      </c>
      <c r="B571" t="s">
        <v>980</v>
      </c>
      <c r="C571" s="4">
        <v>46102</v>
      </c>
      <c r="D571" t="s">
        <v>137</v>
      </c>
      <c r="E571" t="s">
        <v>70</v>
      </c>
      <c r="F571" s="4">
        <v>46102</v>
      </c>
      <c r="G571" s="4">
        <v>46103</v>
      </c>
      <c r="H571" t="s">
        <v>178</v>
      </c>
      <c r="I571" t="s">
        <v>622</v>
      </c>
      <c r="J571" t="s">
        <v>180</v>
      </c>
      <c r="K571" t="s">
        <v>73</v>
      </c>
      <c r="L571" t="s">
        <v>61</v>
      </c>
      <c r="M571" s="5">
        <v>63700</v>
      </c>
      <c r="N571" s="5">
        <v>6000</v>
      </c>
      <c r="O571" s="5">
        <v>7100</v>
      </c>
      <c r="P571" s="5">
        <v>3000</v>
      </c>
      <c r="Q571" s="5">
        <v>81300</v>
      </c>
      <c r="R571" t="s">
        <v>75</v>
      </c>
      <c r="S571" t="s">
        <v>76</v>
      </c>
      <c r="T571" s="5">
        <v>36880</v>
      </c>
      <c r="U571" s="6">
        <v>4</v>
      </c>
      <c r="V571" t="s">
        <v>77</v>
      </c>
      <c r="W571" s="4">
        <v>46112</v>
      </c>
      <c r="X571" t="s">
        <v>77</v>
      </c>
      <c r="Y571" t="s">
        <v>64</v>
      </c>
      <c r="Z571" t="s">
        <v>78</v>
      </c>
    </row>
    <row r="572" spans="1:26">
      <c r="A572" t="s">
        <v>1168</v>
      </c>
      <c r="B572" t="s">
        <v>158</v>
      </c>
      <c r="C572" s="4">
        <v>46137</v>
      </c>
      <c r="D572" t="s">
        <v>110</v>
      </c>
      <c r="E572" t="s">
        <v>70</v>
      </c>
      <c r="F572" s="4">
        <v>46137</v>
      </c>
      <c r="G572" s="4">
        <v>46145</v>
      </c>
      <c r="H572" t="s">
        <v>121</v>
      </c>
      <c r="I572" t="s">
        <v>665</v>
      </c>
      <c r="J572" t="s">
        <v>252</v>
      </c>
      <c r="K572" t="s">
        <v>73</v>
      </c>
      <c r="L572" t="s">
        <v>94</v>
      </c>
      <c r="M572" s="5">
        <v>72600</v>
      </c>
      <c r="N572" s="5">
        <v>6200</v>
      </c>
      <c r="O572" s="5">
        <v>16800</v>
      </c>
      <c r="P572" s="5">
        <v>36000</v>
      </c>
      <c r="Q572" s="5">
        <v>132600</v>
      </c>
      <c r="R572" t="s">
        <v>141</v>
      </c>
      <c r="S572" t="s">
        <v>76</v>
      </c>
      <c r="T572" s="5">
        <v>21090</v>
      </c>
      <c r="U572" s="6">
        <v>3</v>
      </c>
      <c r="V572" t="s">
        <v>77</v>
      </c>
      <c r="W572" s="4">
        <v>46163</v>
      </c>
      <c r="X572" t="s">
        <v>77</v>
      </c>
      <c r="Y572" t="s">
        <v>77</v>
      </c>
      <c r="Z572" t="s">
        <v>78</v>
      </c>
    </row>
    <row r="573" spans="1:26">
      <c r="A573" t="s">
        <v>1169</v>
      </c>
      <c r="B573" t="s">
        <v>1170</v>
      </c>
      <c r="C573" s="4">
        <v>46106</v>
      </c>
      <c r="D573" t="s">
        <v>259</v>
      </c>
      <c r="E573" t="s">
        <v>70</v>
      </c>
      <c r="F573" s="4">
        <v>46106</v>
      </c>
      <c r="G573" s="4">
        <v>46108</v>
      </c>
      <c r="H573" t="s">
        <v>111</v>
      </c>
      <c r="I573" t="s">
        <v>267</v>
      </c>
      <c r="J573" t="s">
        <v>113</v>
      </c>
      <c r="K573" t="s">
        <v>73</v>
      </c>
      <c r="L573" t="s">
        <v>61</v>
      </c>
      <c r="M573" s="5">
        <v>26900</v>
      </c>
      <c r="N573" s="5">
        <v>3650</v>
      </c>
      <c r="O573" s="5">
        <v>3350</v>
      </c>
      <c r="P573" s="5">
        <v>9000</v>
      </c>
      <c r="Q573" s="5">
        <v>44100</v>
      </c>
      <c r="R573" t="s">
        <v>95</v>
      </c>
      <c r="S573" t="s">
        <v>63</v>
      </c>
      <c r="T573" s="5">
        <v>44100</v>
      </c>
      <c r="U573" s="6">
        <v>5</v>
      </c>
      <c r="V573" t="s">
        <v>64</v>
      </c>
      <c r="W573" s="4"/>
      <c r="X573" t="s">
        <v>65</v>
      </c>
      <c r="Y573" t="s">
        <v>64</v>
      </c>
      <c r="Z573" t="s">
        <v>96</v>
      </c>
    </row>
    <row r="574" spans="1:26">
      <c r="A574" t="s">
        <v>1171</v>
      </c>
      <c r="B574" t="s">
        <v>1172</v>
      </c>
      <c r="C574" s="4">
        <v>46081</v>
      </c>
      <c r="D574" t="s">
        <v>298</v>
      </c>
      <c r="E574" t="s">
        <v>56</v>
      </c>
      <c r="F574" s="4"/>
      <c r="G574" s="4"/>
      <c r="H574" t="s">
        <v>57</v>
      </c>
      <c r="I574" t="s">
        <v>71</v>
      </c>
      <c r="J574" t="s">
        <v>170</v>
      </c>
      <c r="K574" t="s">
        <v>124</v>
      </c>
      <c r="L574" t="s">
        <v>94</v>
      </c>
      <c r="M574" s="5"/>
      <c r="N574" s="5"/>
      <c r="O574" s="5"/>
      <c r="P574" s="5"/>
      <c r="Q574" s="5"/>
      <c r="R574" t="s">
        <v>106</v>
      </c>
      <c r="S574" t="s">
        <v>63</v>
      </c>
      <c r="T574" s="5"/>
      <c r="U574" s="6"/>
      <c r="V574" t="s">
        <v>64</v>
      </c>
      <c r="W574" s="4"/>
      <c r="X574" t="s">
        <v>65</v>
      </c>
      <c r="Z574" t="s">
        <v>66</v>
      </c>
    </row>
    <row r="575" spans="1:26">
      <c r="A575" t="s">
        <v>1173</v>
      </c>
      <c r="B575" t="s">
        <v>675</v>
      </c>
      <c r="C575" s="4">
        <v>46044</v>
      </c>
      <c r="D575" t="s">
        <v>337</v>
      </c>
      <c r="E575" t="s">
        <v>70</v>
      </c>
      <c r="F575" s="4">
        <v>46045</v>
      </c>
      <c r="G575" s="4">
        <v>46048</v>
      </c>
      <c r="H575" t="s">
        <v>150</v>
      </c>
      <c r="I575" t="s">
        <v>228</v>
      </c>
      <c r="J575" t="s">
        <v>152</v>
      </c>
      <c r="K575" t="s">
        <v>124</v>
      </c>
      <c r="L575" t="s">
        <v>146</v>
      </c>
      <c r="M575" s="5">
        <v>20800</v>
      </c>
      <c r="N575" s="5">
        <v>2800</v>
      </c>
      <c r="O575" s="5">
        <v>5100</v>
      </c>
      <c r="P575" s="5">
        <v>7500</v>
      </c>
      <c r="Q575" s="5">
        <v>37700</v>
      </c>
      <c r="R575" t="s">
        <v>75</v>
      </c>
      <c r="S575" t="s">
        <v>76</v>
      </c>
      <c r="T575" s="5">
        <v>17260</v>
      </c>
      <c r="U575" s="6">
        <v>4</v>
      </c>
      <c r="V575" t="s">
        <v>77</v>
      </c>
      <c r="W575" s="4">
        <v>46063</v>
      </c>
      <c r="X575" t="s">
        <v>64</v>
      </c>
      <c r="Y575" t="s">
        <v>64</v>
      </c>
      <c r="Z575" t="s">
        <v>96</v>
      </c>
    </row>
    <row r="576" spans="1:26">
      <c r="A576" t="s">
        <v>1174</v>
      </c>
      <c r="B576" t="s">
        <v>512</v>
      </c>
      <c r="C576" s="4">
        <v>46141</v>
      </c>
      <c r="D576" t="s">
        <v>173</v>
      </c>
      <c r="E576" t="s">
        <v>70</v>
      </c>
      <c r="F576" s="4">
        <v>46141</v>
      </c>
      <c r="G576" s="4">
        <v>46141</v>
      </c>
      <c r="H576" t="s">
        <v>111</v>
      </c>
      <c r="I576" t="s">
        <v>112</v>
      </c>
      <c r="J576" t="s">
        <v>113</v>
      </c>
      <c r="K576" t="s">
        <v>60</v>
      </c>
      <c r="L576" t="s">
        <v>146</v>
      </c>
      <c r="M576" s="5">
        <v>33900</v>
      </c>
      <c r="N576" s="5">
        <v>4400</v>
      </c>
      <c r="O576" s="5">
        <v>3850</v>
      </c>
      <c r="P576" s="5">
        <v>0</v>
      </c>
      <c r="Q576" s="5">
        <v>42950</v>
      </c>
      <c r="R576" t="s">
        <v>75</v>
      </c>
      <c r="S576" t="s">
        <v>76</v>
      </c>
      <c r="T576" s="5">
        <v>19630</v>
      </c>
      <c r="U576" s="6">
        <v>4</v>
      </c>
      <c r="V576" t="s">
        <v>77</v>
      </c>
      <c r="W576" s="4">
        <v>46161</v>
      </c>
      <c r="X576" t="s">
        <v>77</v>
      </c>
      <c r="Y576" t="s">
        <v>77</v>
      </c>
      <c r="Z576" t="s">
        <v>107</v>
      </c>
    </row>
    <row r="577" spans="1:26">
      <c r="A577" t="s">
        <v>1175</v>
      </c>
      <c r="B577" t="s">
        <v>455</v>
      </c>
      <c r="C577" s="4">
        <v>46127</v>
      </c>
      <c r="D577" t="s">
        <v>137</v>
      </c>
      <c r="E577" t="s">
        <v>56</v>
      </c>
      <c r="F577" s="4"/>
      <c r="G577" s="4"/>
      <c r="H577" t="s">
        <v>178</v>
      </c>
      <c r="I577" t="s">
        <v>622</v>
      </c>
      <c r="J577" t="s">
        <v>340</v>
      </c>
      <c r="K577" t="s">
        <v>73</v>
      </c>
      <c r="L577" t="s">
        <v>94</v>
      </c>
      <c r="M577" s="5"/>
      <c r="N577" s="5"/>
      <c r="O577" s="5"/>
      <c r="P577" s="5"/>
      <c r="Q577" s="5"/>
      <c r="R577" t="s">
        <v>95</v>
      </c>
      <c r="S577" t="s">
        <v>63</v>
      </c>
      <c r="T577" s="5"/>
      <c r="U577" s="6"/>
      <c r="V577" t="s">
        <v>64</v>
      </c>
      <c r="W577" s="4"/>
      <c r="X577" t="s">
        <v>65</v>
      </c>
      <c r="Z577" t="s">
        <v>66</v>
      </c>
    </row>
    <row r="578" spans="1:26">
      <c r="A578" t="s">
        <v>1176</v>
      </c>
      <c r="B578" t="s">
        <v>126</v>
      </c>
      <c r="C578" s="4">
        <v>46112</v>
      </c>
      <c r="D578" t="s">
        <v>307</v>
      </c>
      <c r="E578" t="s">
        <v>70</v>
      </c>
      <c r="F578" s="4">
        <v>46113</v>
      </c>
      <c r="G578" s="4">
        <v>46116</v>
      </c>
      <c r="H578" t="s">
        <v>178</v>
      </c>
      <c r="I578" t="s">
        <v>179</v>
      </c>
      <c r="J578" t="s">
        <v>180</v>
      </c>
      <c r="K578" t="s">
        <v>73</v>
      </c>
      <c r="L578" t="s">
        <v>94</v>
      </c>
      <c r="M578" s="5">
        <v>67000</v>
      </c>
      <c r="N578" s="5">
        <v>10500</v>
      </c>
      <c r="O578" s="5">
        <v>12850</v>
      </c>
      <c r="P578" s="5">
        <v>10500</v>
      </c>
      <c r="Q578" s="5">
        <v>101850</v>
      </c>
      <c r="R578" t="s">
        <v>85</v>
      </c>
      <c r="S578" t="s">
        <v>76</v>
      </c>
      <c r="T578" s="5">
        <v>26360</v>
      </c>
      <c r="U578" s="6">
        <v>5</v>
      </c>
      <c r="V578" t="s">
        <v>77</v>
      </c>
      <c r="W578" s="4">
        <v>46126</v>
      </c>
      <c r="X578" t="s">
        <v>77</v>
      </c>
      <c r="Y578" t="s">
        <v>64</v>
      </c>
      <c r="Z578" t="s">
        <v>96</v>
      </c>
    </row>
    <row r="579" spans="1:26">
      <c r="A579" t="s">
        <v>1177</v>
      </c>
      <c r="B579" t="s">
        <v>510</v>
      </c>
      <c r="C579" s="4">
        <v>46099</v>
      </c>
      <c r="D579" t="s">
        <v>217</v>
      </c>
      <c r="E579" t="s">
        <v>70</v>
      </c>
      <c r="F579" s="4">
        <v>46100</v>
      </c>
      <c r="G579" s="4">
        <v>46107</v>
      </c>
      <c r="H579" t="s">
        <v>57</v>
      </c>
      <c r="I579" t="s">
        <v>169</v>
      </c>
      <c r="J579" t="s">
        <v>170</v>
      </c>
      <c r="K579" t="s">
        <v>73</v>
      </c>
      <c r="L579" t="s">
        <v>61</v>
      </c>
      <c r="M579" s="5">
        <v>74900</v>
      </c>
      <c r="N579" s="5">
        <v>8250</v>
      </c>
      <c r="O579" s="5">
        <v>16100</v>
      </c>
      <c r="P579" s="5">
        <v>42000</v>
      </c>
      <c r="Q579" s="5">
        <v>142050</v>
      </c>
      <c r="R579" t="s">
        <v>85</v>
      </c>
      <c r="S579" t="s">
        <v>76</v>
      </c>
      <c r="T579" s="5">
        <v>36410</v>
      </c>
      <c r="U579" s="6">
        <v>3</v>
      </c>
      <c r="V579" t="s">
        <v>77</v>
      </c>
      <c r="W579" s="4">
        <v>46122</v>
      </c>
      <c r="X579" t="s">
        <v>64</v>
      </c>
      <c r="Y579" t="s">
        <v>64</v>
      </c>
      <c r="Z579" t="s">
        <v>96</v>
      </c>
    </row>
    <row r="580" spans="1:26">
      <c r="A580" t="s">
        <v>1178</v>
      </c>
      <c r="B580" t="s">
        <v>1179</v>
      </c>
      <c r="C580" s="4">
        <v>46152</v>
      </c>
      <c r="D580" t="s">
        <v>206</v>
      </c>
      <c r="E580" t="s">
        <v>70</v>
      </c>
      <c r="F580" s="4">
        <v>46152</v>
      </c>
      <c r="G580" s="4">
        <v>46154</v>
      </c>
      <c r="H580" t="s">
        <v>201</v>
      </c>
      <c r="I580" t="s">
        <v>449</v>
      </c>
      <c r="J580" t="s">
        <v>281</v>
      </c>
      <c r="K580" t="s">
        <v>73</v>
      </c>
      <c r="L580" t="s">
        <v>74</v>
      </c>
      <c r="M580" s="5">
        <v>6900</v>
      </c>
      <c r="N580" s="5">
        <v>900</v>
      </c>
      <c r="O580" s="5">
        <v>1700</v>
      </c>
      <c r="P580" s="5">
        <v>7000</v>
      </c>
      <c r="Q580" s="5">
        <v>17300</v>
      </c>
      <c r="R580" t="s">
        <v>95</v>
      </c>
      <c r="S580" t="s">
        <v>63</v>
      </c>
      <c r="T580" s="5">
        <v>17300</v>
      </c>
      <c r="U580" s="6"/>
      <c r="V580" t="s">
        <v>64</v>
      </c>
      <c r="W580" s="4"/>
      <c r="X580" t="s">
        <v>65</v>
      </c>
      <c r="Y580" t="s">
        <v>64</v>
      </c>
      <c r="Z580" t="s">
        <v>78</v>
      </c>
    </row>
    <row r="581" spans="1:26">
      <c r="A581" t="s">
        <v>1180</v>
      </c>
      <c r="B581" t="s">
        <v>504</v>
      </c>
      <c r="C581" s="4">
        <v>46053</v>
      </c>
      <c r="D581" t="s">
        <v>99</v>
      </c>
      <c r="E581" t="s">
        <v>70</v>
      </c>
      <c r="F581" s="4">
        <v>46054</v>
      </c>
      <c r="G581" s="4">
        <v>46065</v>
      </c>
      <c r="H581" t="s">
        <v>111</v>
      </c>
      <c r="I581" t="s">
        <v>112</v>
      </c>
      <c r="J581" t="s">
        <v>384</v>
      </c>
      <c r="K581" t="s">
        <v>93</v>
      </c>
      <c r="L581" t="s">
        <v>61</v>
      </c>
      <c r="M581" s="5">
        <v>73900</v>
      </c>
      <c r="N581" s="5">
        <v>6050</v>
      </c>
      <c r="O581" s="5">
        <v>13400</v>
      </c>
      <c r="P581" s="5">
        <v>38500</v>
      </c>
      <c r="Q581" s="5">
        <v>132650</v>
      </c>
      <c r="R581" t="s">
        <v>141</v>
      </c>
      <c r="S581" t="s">
        <v>76</v>
      </c>
      <c r="T581" s="5">
        <v>21100</v>
      </c>
      <c r="U581" s="6">
        <v>4</v>
      </c>
      <c r="V581" t="s">
        <v>77</v>
      </c>
      <c r="W581" s="4">
        <v>46084</v>
      </c>
      <c r="X581" t="s">
        <v>77</v>
      </c>
      <c r="Y581" t="s">
        <v>64</v>
      </c>
      <c r="Z581" t="s">
        <v>96</v>
      </c>
    </row>
    <row r="582" spans="1:26">
      <c r="A582" t="s">
        <v>1181</v>
      </c>
      <c r="B582" t="s">
        <v>604</v>
      </c>
      <c r="C582" s="4">
        <v>46144</v>
      </c>
      <c r="D582" t="s">
        <v>206</v>
      </c>
      <c r="E582" t="s">
        <v>70</v>
      </c>
      <c r="F582" s="4">
        <v>46144</v>
      </c>
      <c r="G582" s="4">
        <v>46145</v>
      </c>
      <c r="H582" t="s">
        <v>138</v>
      </c>
      <c r="I582" t="s">
        <v>444</v>
      </c>
      <c r="J582" t="s">
        <v>236</v>
      </c>
      <c r="K582" t="s">
        <v>60</v>
      </c>
      <c r="L582" t="s">
        <v>94</v>
      </c>
      <c r="M582" s="5">
        <v>25700</v>
      </c>
      <c r="N582" s="5">
        <v>2600</v>
      </c>
      <c r="O582" s="5">
        <v>5200</v>
      </c>
      <c r="P582" s="5">
        <v>4500</v>
      </c>
      <c r="Q582" s="5">
        <v>39500</v>
      </c>
      <c r="R582" t="s">
        <v>95</v>
      </c>
      <c r="S582" t="s">
        <v>63</v>
      </c>
      <c r="T582" s="5">
        <v>39500</v>
      </c>
      <c r="U582" s="6">
        <v>4</v>
      </c>
      <c r="V582" t="s">
        <v>77</v>
      </c>
      <c r="W582" s="4">
        <v>46161</v>
      </c>
      <c r="X582" t="s">
        <v>64</v>
      </c>
      <c r="Y582" t="s">
        <v>64</v>
      </c>
      <c r="Z582" t="s">
        <v>96</v>
      </c>
    </row>
    <row r="583" spans="1:26">
      <c r="A583" t="s">
        <v>1182</v>
      </c>
      <c r="B583" t="s">
        <v>934</v>
      </c>
      <c r="C583" s="4">
        <v>46072</v>
      </c>
      <c r="D583" t="s">
        <v>383</v>
      </c>
      <c r="E583" t="s">
        <v>70</v>
      </c>
      <c r="F583" s="4">
        <v>46073</v>
      </c>
      <c r="G583" s="4">
        <v>46077</v>
      </c>
      <c r="H583" t="s">
        <v>111</v>
      </c>
      <c r="I583" t="s">
        <v>397</v>
      </c>
      <c r="J583" t="s">
        <v>117</v>
      </c>
      <c r="K583" t="s">
        <v>73</v>
      </c>
      <c r="L583" t="s">
        <v>74</v>
      </c>
      <c r="M583" s="5">
        <v>7200</v>
      </c>
      <c r="N583" s="5">
        <v>1250</v>
      </c>
      <c r="O583" s="5">
        <v>1450</v>
      </c>
      <c r="P583" s="5">
        <v>24000</v>
      </c>
      <c r="Q583" s="5">
        <v>35900</v>
      </c>
      <c r="R583" t="s">
        <v>141</v>
      </c>
      <c r="S583" t="s">
        <v>76</v>
      </c>
      <c r="T583" s="5">
        <v>6590</v>
      </c>
      <c r="U583" s="6">
        <v>3</v>
      </c>
      <c r="V583" t="s">
        <v>77</v>
      </c>
      <c r="W583" s="4">
        <v>46084</v>
      </c>
      <c r="X583" t="s">
        <v>77</v>
      </c>
      <c r="Y583" t="s">
        <v>64</v>
      </c>
      <c r="Z583" t="s">
        <v>107</v>
      </c>
    </row>
    <row r="584" spans="1:26">
      <c r="A584" t="s">
        <v>1183</v>
      </c>
      <c r="B584" t="s">
        <v>860</v>
      </c>
      <c r="C584" s="4">
        <v>46056</v>
      </c>
      <c r="D584" t="s">
        <v>173</v>
      </c>
      <c r="E584" t="s">
        <v>70</v>
      </c>
      <c r="F584" s="4">
        <v>46057</v>
      </c>
      <c r="G584" s="4">
        <v>46059</v>
      </c>
      <c r="H584" t="s">
        <v>201</v>
      </c>
      <c r="I584" t="s">
        <v>327</v>
      </c>
      <c r="J584" t="s">
        <v>281</v>
      </c>
      <c r="K584" t="s">
        <v>124</v>
      </c>
      <c r="L584" t="s">
        <v>74</v>
      </c>
      <c r="M584" s="5">
        <v>6100</v>
      </c>
      <c r="N584" s="5">
        <v>500</v>
      </c>
      <c r="O584" s="5">
        <v>750</v>
      </c>
      <c r="P584" s="5">
        <v>6000</v>
      </c>
      <c r="Q584" s="5">
        <v>14350</v>
      </c>
      <c r="R584" t="s">
        <v>75</v>
      </c>
      <c r="S584" t="s">
        <v>86</v>
      </c>
      <c r="T584" s="5">
        <v>6760</v>
      </c>
      <c r="U584" s="6">
        <v>5</v>
      </c>
      <c r="V584" t="s">
        <v>64</v>
      </c>
      <c r="W584" s="4"/>
      <c r="X584" t="s">
        <v>65</v>
      </c>
      <c r="Y584" t="s">
        <v>64</v>
      </c>
      <c r="Z584" t="s">
        <v>436</v>
      </c>
    </row>
    <row r="585" spans="1:26">
      <c r="A585" t="s">
        <v>1184</v>
      </c>
      <c r="B585" t="s">
        <v>1185</v>
      </c>
      <c r="C585" s="4">
        <v>46083</v>
      </c>
      <c r="D585" t="s">
        <v>210</v>
      </c>
      <c r="E585" t="s">
        <v>70</v>
      </c>
      <c r="F585" s="4">
        <v>46084</v>
      </c>
      <c r="G585" s="4">
        <v>46085</v>
      </c>
      <c r="H585" t="s">
        <v>103</v>
      </c>
      <c r="I585" t="s">
        <v>364</v>
      </c>
      <c r="J585" t="s">
        <v>145</v>
      </c>
      <c r="K585" t="s">
        <v>60</v>
      </c>
      <c r="L585" t="s">
        <v>74</v>
      </c>
      <c r="M585" s="5">
        <v>29900</v>
      </c>
      <c r="N585" s="5">
        <v>3250</v>
      </c>
      <c r="O585" s="5">
        <v>6500</v>
      </c>
      <c r="P585" s="5">
        <v>3500</v>
      </c>
      <c r="Q585" s="5">
        <v>43950</v>
      </c>
      <c r="R585" t="s">
        <v>85</v>
      </c>
      <c r="S585" t="s">
        <v>76</v>
      </c>
      <c r="T585" s="5">
        <v>11890</v>
      </c>
      <c r="U585" s="6">
        <v>5</v>
      </c>
      <c r="V585" t="s">
        <v>77</v>
      </c>
      <c r="W585" s="4">
        <v>46093</v>
      </c>
      <c r="X585" t="s">
        <v>64</v>
      </c>
      <c r="Y585" t="s">
        <v>64</v>
      </c>
      <c r="Z585" t="s">
        <v>96</v>
      </c>
    </row>
    <row r="586" spans="1:26">
      <c r="A586" t="s">
        <v>1186</v>
      </c>
      <c r="B586" t="s">
        <v>1187</v>
      </c>
      <c r="C586" s="4">
        <v>46037</v>
      </c>
      <c r="D586" t="s">
        <v>99</v>
      </c>
      <c r="E586" t="s">
        <v>70</v>
      </c>
      <c r="F586" s="4">
        <v>46037</v>
      </c>
      <c r="G586" s="4">
        <v>46049</v>
      </c>
      <c r="H586" t="s">
        <v>121</v>
      </c>
      <c r="I586" t="s">
        <v>334</v>
      </c>
      <c r="J586" t="s">
        <v>252</v>
      </c>
      <c r="K586" t="s">
        <v>73</v>
      </c>
      <c r="L586" t="s">
        <v>146</v>
      </c>
      <c r="M586" s="5">
        <v>57800</v>
      </c>
      <c r="N586" s="5">
        <v>10250</v>
      </c>
      <c r="O586" s="5">
        <v>10050</v>
      </c>
      <c r="P586" s="5">
        <v>54000</v>
      </c>
      <c r="Q586" s="5">
        <v>133100</v>
      </c>
      <c r="R586" t="s">
        <v>95</v>
      </c>
      <c r="S586" t="s">
        <v>63</v>
      </c>
      <c r="T586" s="5">
        <v>133100</v>
      </c>
      <c r="U586" s="6">
        <v>3</v>
      </c>
      <c r="V586" t="s">
        <v>77</v>
      </c>
      <c r="W586" s="4">
        <v>46064</v>
      </c>
      <c r="X586" t="s">
        <v>64</v>
      </c>
      <c r="Y586" t="s">
        <v>64</v>
      </c>
      <c r="Z586" t="s">
        <v>78</v>
      </c>
    </row>
    <row r="587" spans="1:26">
      <c r="A587" t="s">
        <v>1188</v>
      </c>
      <c r="B587" t="s">
        <v>613</v>
      </c>
      <c r="C587" s="4">
        <v>46058</v>
      </c>
      <c r="D587" t="s">
        <v>168</v>
      </c>
      <c r="E587" t="s">
        <v>70</v>
      </c>
      <c r="F587" s="4">
        <v>46058</v>
      </c>
      <c r="G587" s="4">
        <v>46062</v>
      </c>
      <c r="H587" t="s">
        <v>90</v>
      </c>
      <c r="I587" t="s">
        <v>162</v>
      </c>
      <c r="J587" t="s">
        <v>92</v>
      </c>
      <c r="K587" t="s">
        <v>93</v>
      </c>
      <c r="L587" t="s">
        <v>74</v>
      </c>
      <c r="M587" s="5">
        <v>62900</v>
      </c>
      <c r="N587" s="5">
        <v>5400</v>
      </c>
      <c r="O587" s="5">
        <v>14950</v>
      </c>
      <c r="P587" s="5">
        <v>24000</v>
      </c>
      <c r="Q587" s="5">
        <v>108450</v>
      </c>
      <c r="R587" t="s">
        <v>95</v>
      </c>
      <c r="S587" t="s">
        <v>63</v>
      </c>
      <c r="T587" s="5">
        <v>108450</v>
      </c>
      <c r="U587" s="6">
        <v>4</v>
      </c>
      <c r="V587" t="s">
        <v>77</v>
      </c>
      <c r="W587" s="4">
        <v>46073</v>
      </c>
      <c r="X587" t="s">
        <v>77</v>
      </c>
      <c r="Y587" t="s">
        <v>64</v>
      </c>
      <c r="Z587" t="s">
        <v>78</v>
      </c>
    </row>
    <row r="588" spans="1:26">
      <c r="A588" t="s">
        <v>1189</v>
      </c>
      <c r="B588" t="s">
        <v>1148</v>
      </c>
      <c r="C588" s="4">
        <v>46098</v>
      </c>
      <c r="D588" t="s">
        <v>137</v>
      </c>
      <c r="E588" t="s">
        <v>70</v>
      </c>
      <c r="F588" s="4">
        <v>46099</v>
      </c>
      <c r="G588" s="4">
        <v>46103</v>
      </c>
      <c r="H588" t="s">
        <v>121</v>
      </c>
      <c r="I588" t="s">
        <v>665</v>
      </c>
      <c r="J588" t="s">
        <v>123</v>
      </c>
      <c r="K588" t="s">
        <v>73</v>
      </c>
      <c r="L588" t="s">
        <v>94</v>
      </c>
      <c r="M588" s="5">
        <v>35700</v>
      </c>
      <c r="N588" s="5">
        <v>4050</v>
      </c>
      <c r="O588" s="5">
        <v>6200</v>
      </c>
      <c r="P588" s="5">
        <v>24000</v>
      </c>
      <c r="Q588" s="5">
        <v>70950</v>
      </c>
      <c r="R588" t="s">
        <v>75</v>
      </c>
      <c r="S588" t="s">
        <v>76</v>
      </c>
      <c r="T588" s="5">
        <v>32230</v>
      </c>
      <c r="U588" s="6">
        <v>4</v>
      </c>
      <c r="V588" t="s">
        <v>77</v>
      </c>
      <c r="W588" s="4">
        <v>46116</v>
      </c>
      <c r="X588" t="s">
        <v>77</v>
      </c>
      <c r="Y588" t="s">
        <v>64</v>
      </c>
      <c r="Z588" t="s">
        <v>78</v>
      </c>
    </row>
    <row r="589" spans="1:26">
      <c r="A589" t="s">
        <v>1190</v>
      </c>
      <c r="B589" t="s">
        <v>1191</v>
      </c>
      <c r="C589" s="4">
        <v>46159</v>
      </c>
      <c r="D589" t="s">
        <v>217</v>
      </c>
      <c r="E589" t="s">
        <v>70</v>
      </c>
      <c r="F589" s="4">
        <v>46159</v>
      </c>
      <c r="G589" s="4">
        <v>46159</v>
      </c>
      <c r="H589" t="s">
        <v>138</v>
      </c>
      <c r="I589" t="s">
        <v>444</v>
      </c>
      <c r="J589" t="s">
        <v>261</v>
      </c>
      <c r="K589" t="s">
        <v>60</v>
      </c>
      <c r="L589" t="s">
        <v>74</v>
      </c>
      <c r="M589" s="5">
        <v>6400</v>
      </c>
      <c r="N589" s="5">
        <v>800</v>
      </c>
      <c r="O589" s="5">
        <v>950</v>
      </c>
      <c r="P589" s="5">
        <v>0</v>
      </c>
      <c r="Q589" s="5">
        <v>9650</v>
      </c>
      <c r="R589" t="s">
        <v>75</v>
      </c>
      <c r="S589" t="s">
        <v>76</v>
      </c>
      <c r="T589" s="5">
        <v>4640</v>
      </c>
      <c r="U589" s="6">
        <v>5</v>
      </c>
      <c r="V589" t="s">
        <v>64</v>
      </c>
      <c r="W589" s="4"/>
      <c r="X589" t="s">
        <v>65</v>
      </c>
      <c r="Y589" t="s">
        <v>64</v>
      </c>
      <c r="Z589" t="s">
        <v>96</v>
      </c>
    </row>
    <row r="590" spans="1:26">
      <c r="A590" t="s">
        <v>1192</v>
      </c>
      <c r="B590" t="s">
        <v>172</v>
      </c>
      <c r="C590" s="4">
        <v>46167</v>
      </c>
      <c r="D590" t="s">
        <v>294</v>
      </c>
      <c r="E590" t="s">
        <v>70</v>
      </c>
      <c r="F590" s="4">
        <v>46168</v>
      </c>
      <c r="G590" s="4">
        <v>46171</v>
      </c>
      <c r="H590" t="s">
        <v>90</v>
      </c>
      <c r="I590" t="s">
        <v>133</v>
      </c>
      <c r="J590" t="s">
        <v>92</v>
      </c>
      <c r="K590" t="s">
        <v>73</v>
      </c>
      <c r="L590" t="s">
        <v>74</v>
      </c>
      <c r="M590" s="5">
        <v>53600</v>
      </c>
      <c r="N590" s="5">
        <v>5150</v>
      </c>
      <c r="O590" s="5">
        <v>11850</v>
      </c>
      <c r="P590" s="5">
        <v>18000</v>
      </c>
      <c r="Q590" s="5">
        <v>90600</v>
      </c>
      <c r="R590" t="s">
        <v>62</v>
      </c>
      <c r="S590" t="s">
        <v>163</v>
      </c>
      <c r="T590" s="5">
        <v>27580</v>
      </c>
      <c r="U590" s="6">
        <v>5</v>
      </c>
      <c r="V590" t="s">
        <v>77</v>
      </c>
      <c r="W590" s="4">
        <v>46191</v>
      </c>
      <c r="X590" t="s">
        <v>77</v>
      </c>
      <c r="Y590" t="s">
        <v>64</v>
      </c>
      <c r="Z590" t="s">
        <v>96</v>
      </c>
    </row>
    <row r="591" spans="1:26">
      <c r="A591" t="s">
        <v>1193</v>
      </c>
      <c r="B591" t="s">
        <v>615</v>
      </c>
      <c r="C591" s="4">
        <v>46172</v>
      </c>
      <c r="D591" t="s">
        <v>225</v>
      </c>
      <c r="E591" t="s">
        <v>70</v>
      </c>
      <c r="F591" s="4">
        <v>46173</v>
      </c>
      <c r="G591" s="4">
        <v>46179</v>
      </c>
      <c r="H591" t="s">
        <v>103</v>
      </c>
      <c r="I591" t="s">
        <v>243</v>
      </c>
      <c r="J591" t="s">
        <v>244</v>
      </c>
      <c r="K591" t="s">
        <v>73</v>
      </c>
      <c r="L591" t="s">
        <v>94</v>
      </c>
      <c r="M591" s="5">
        <v>60800</v>
      </c>
      <c r="N591" s="5">
        <v>6300</v>
      </c>
      <c r="O591" s="5">
        <v>14550</v>
      </c>
      <c r="P591" s="5">
        <v>21000</v>
      </c>
      <c r="Q591" s="5">
        <v>104450</v>
      </c>
      <c r="R591" t="s">
        <v>75</v>
      </c>
      <c r="S591" t="s">
        <v>76</v>
      </c>
      <c r="T591" s="5">
        <v>47300</v>
      </c>
      <c r="U591" s="6">
        <v>4</v>
      </c>
      <c r="V591" t="s">
        <v>77</v>
      </c>
      <c r="W591" s="4">
        <v>46192</v>
      </c>
      <c r="X591" t="s">
        <v>77</v>
      </c>
      <c r="Y591" t="s">
        <v>64</v>
      </c>
      <c r="Z591" t="s">
        <v>96</v>
      </c>
    </row>
    <row r="592" spans="1:26">
      <c r="A592" t="s">
        <v>1194</v>
      </c>
      <c r="B592" t="s">
        <v>1195</v>
      </c>
      <c r="C592" s="4">
        <v>46140</v>
      </c>
      <c r="D592" t="s">
        <v>144</v>
      </c>
      <c r="E592" t="s">
        <v>70</v>
      </c>
      <c r="F592" s="4">
        <v>46141</v>
      </c>
      <c r="G592" s="4">
        <v>46147</v>
      </c>
      <c r="H592" t="s">
        <v>138</v>
      </c>
      <c r="I592" t="s">
        <v>139</v>
      </c>
      <c r="J592" t="s">
        <v>236</v>
      </c>
      <c r="K592" t="s">
        <v>73</v>
      </c>
      <c r="L592" t="s">
        <v>94</v>
      </c>
      <c r="M592" s="5">
        <v>27100</v>
      </c>
      <c r="N592" s="5">
        <v>3550</v>
      </c>
      <c r="O592" s="5">
        <v>3150</v>
      </c>
      <c r="P592" s="5">
        <v>36000</v>
      </c>
      <c r="Q592" s="5">
        <v>71800</v>
      </c>
      <c r="R592" t="s">
        <v>75</v>
      </c>
      <c r="S592" t="s">
        <v>76</v>
      </c>
      <c r="T592" s="5">
        <v>32610</v>
      </c>
      <c r="U592" s="6">
        <v>3</v>
      </c>
      <c r="V592" t="s">
        <v>77</v>
      </c>
      <c r="W592" s="4">
        <v>46163</v>
      </c>
      <c r="X592" t="s">
        <v>77</v>
      </c>
      <c r="Y592" t="s">
        <v>64</v>
      </c>
      <c r="Z592" t="s">
        <v>96</v>
      </c>
    </row>
    <row r="593" spans="1:26">
      <c r="A593" t="s">
        <v>1196</v>
      </c>
      <c r="B593" t="s">
        <v>851</v>
      </c>
      <c r="C593" s="4">
        <v>46026</v>
      </c>
      <c r="D593" t="s">
        <v>149</v>
      </c>
      <c r="E593" t="s">
        <v>56</v>
      </c>
      <c r="F593" s="4"/>
      <c r="G593" s="4"/>
      <c r="H593" t="s">
        <v>201</v>
      </c>
      <c r="I593" t="s">
        <v>202</v>
      </c>
      <c r="J593" t="s">
        <v>295</v>
      </c>
      <c r="K593" t="s">
        <v>124</v>
      </c>
      <c r="L593" t="s">
        <v>61</v>
      </c>
      <c r="M593" s="5"/>
      <c r="N593" s="5"/>
      <c r="O593" s="5"/>
      <c r="P593" s="5"/>
      <c r="Q593" s="5"/>
      <c r="R593" t="s">
        <v>106</v>
      </c>
      <c r="S593" t="s">
        <v>63</v>
      </c>
      <c r="T593" s="5"/>
      <c r="U593" s="6"/>
      <c r="V593" t="s">
        <v>64</v>
      </c>
      <c r="W593" s="4"/>
      <c r="X593" t="s">
        <v>65</v>
      </c>
      <c r="Z593" t="s">
        <v>66</v>
      </c>
    </row>
    <row r="594" spans="1:26">
      <c r="A594" t="s">
        <v>1197</v>
      </c>
      <c r="B594" t="s">
        <v>1198</v>
      </c>
      <c r="C594" s="4">
        <v>46156</v>
      </c>
      <c r="D594" t="s">
        <v>439</v>
      </c>
      <c r="E594" t="s">
        <v>70</v>
      </c>
      <c r="F594" s="4">
        <v>46156</v>
      </c>
      <c r="G594" s="4">
        <v>46162</v>
      </c>
      <c r="H594" t="s">
        <v>138</v>
      </c>
      <c r="I594" t="s">
        <v>260</v>
      </c>
      <c r="J594" t="s">
        <v>236</v>
      </c>
      <c r="K594" t="s">
        <v>124</v>
      </c>
      <c r="L594" t="s">
        <v>94</v>
      </c>
      <c r="M594" s="5">
        <v>30800</v>
      </c>
      <c r="N594" s="5">
        <v>3800</v>
      </c>
      <c r="O594" s="5">
        <v>5550</v>
      </c>
      <c r="P594" s="5">
        <v>15000</v>
      </c>
      <c r="Q594" s="5">
        <v>57650</v>
      </c>
      <c r="R594" t="s">
        <v>85</v>
      </c>
      <c r="S594" t="s">
        <v>76</v>
      </c>
      <c r="T594" s="5">
        <v>15310</v>
      </c>
      <c r="U594" s="6">
        <v>3</v>
      </c>
      <c r="V594" t="s">
        <v>64</v>
      </c>
      <c r="W594" s="4"/>
      <c r="X594" t="s">
        <v>65</v>
      </c>
      <c r="Y594" t="s">
        <v>77</v>
      </c>
      <c r="Z594" t="s">
        <v>107</v>
      </c>
    </row>
    <row r="595" spans="1:26">
      <c r="A595" t="s">
        <v>1199</v>
      </c>
      <c r="B595" t="s">
        <v>1200</v>
      </c>
      <c r="C595" s="4">
        <v>46049</v>
      </c>
      <c r="D595" t="s">
        <v>266</v>
      </c>
      <c r="E595" t="s">
        <v>70</v>
      </c>
      <c r="F595" s="4">
        <v>46050</v>
      </c>
      <c r="G595" s="4">
        <v>46050</v>
      </c>
      <c r="H595" t="s">
        <v>103</v>
      </c>
      <c r="I595" t="s">
        <v>104</v>
      </c>
      <c r="J595" t="s">
        <v>244</v>
      </c>
      <c r="K595" t="s">
        <v>60</v>
      </c>
      <c r="L595" t="s">
        <v>61</v>
      </c>
      <c r="M595" s="5">
        <v>79600</v>
      </c>
      <c r="N595" s="5">
        <v>8850</v>
      </c>
      <c r="O595" s="5">
        <v>14000</v>
      </c>
      <c r="P595" s="5">
        <v>0</v>
      </c>
      <c r="Q595" s="5">
        <v>104250</v>
      </c>
      <c r="R595" t="s">
        <v>95</v>
      </c>
      <c r="S595" t="s">
        <v>63</v>
      </c>
      <c r="T595" s="5">
        <v>104250</v>
      </c>
      <c r="U595" s="6">
        <v>2</v>
      </c>
      <c r="V595" t="s">
        <v>77</v>
      </c>
      <c r="W595" s="4">
        <v>46064</v>
      </c>
      <c r="X595" t="s">
        <v>64</v>
      </c>
      <c r="Y595" t="s">
        <v>77</v>
      </c>
      <c r="Z595" t="s">
        <v>78</v>
      </c>
    </row>
    <row r="596" spans="1:26">
      <c r="A596" t="s">
        <v>1201</v>
      </c>
      <c r="B596" t="s">
        <v>466</v>
      </c>
      <c r="C596" s="4">
        <v>46025</v>
      </c>
      <c r="D596" t="s">
        <v>127</v>
      </c>
      <c r="E596" t="s">
        <v>314</v>
      </c>
      <c r="F596" s="4"/>
      <c r="G596" s="4"/>
      <c r="H596" t="s">
        <v>57</v>
      </c>
      <c r="I596" t="s">
        <v>100</v>
      </c>
      <c r="J596" t="s">
        <v>170</v>
      </c>
      <c r="K596" t="s">
        <v>60</v>
      </c>
      <c r="L596" t="s">
        <v>94</v>
      </c>
      <c r="M596" s="5"/>
      <c r="N596" s="5"/>
      <c r="O596" s="5"/>
      <c r="P596" s="5"/>
      <c r="Q596" s="5"/>
      <c r="R596" t="s">
        <v>141</v>
      </c>
      <c r="S596" t="s">
        <v>63</v>
      </c>
      <c r="T596" s="5"/>
      <c r="U596" s="6"/>
      <c r="V596" t="s">
        <v>64</v>
      </c>
      <c r="W596" s="4"/>
      <c r="X596" t="s">
        <v>65</v>
      </c>
      <c r="Z596" t="s">
        <v>66</v>
      </c>
    </row>
    <row r="597" spans="1:26">
      <c r="A597" t="s">
        <v>1202</v>
      </c>
      <c r="B597" t="s">
        <v>581</v>
      </c>
      <c r="C597" s="4">
        <v>46132</v>
      </c>
      <c r="D597" t="s">
        <v>225</v>
      </c>
      <c r="E597" t="s">
        <v>70</v>
      </c>
      <c r="F597" s="4">
        <v>46132</v>
      </c>
      <c r="G597" s="4">
        <v>46132</v>
      </c>
      <c r="H597" t="s">
        <v>121</v>
      </c>
      <c r="I597" t="s">
        <v>122</v>
      </c>
      <c r="J597" t="s">
        <v>123</v>
      </c>
      <c r="K597" t="s">
        <v>60</v>
      </c>
      <c r="L597" t="s">
        <v>74</v>
      </c>
      <c r="M597" s="5">
        <v>32300</v>
      </c>
      <c r="N597" s="5">
        <v>3650</v>
      </c>
      <c r="O597" s="5">
        <v>7500</v>
      </c>
      <c r="P597" s="5">
        <v>0</v>
      </c>
      <c r="Q597" s="5">
        <v>44450</v>
      </c>
      <c r="R597" t="s">
        <v>106</v>
      </c>
      <c r="S597" t="s">
        <v>76</v>
      </c>
      <c r="T597" s="5">
        <v>16260</v>
      </c>
      <c r="U597" s="6">
        <v>5</v>
      </c>
      <c r="V597" t="s">
        <v>77</v>
      </c>
      <c r="W597" s="4">
        <v>46140</v>
      </c>
      <c r="X597" t="s">
        <v>64</v>
      </c>
      <c r="Y597" t="s">
        <v>64</v>
      </c>
      <c r="Z597" t="s">
        <v>96</v>
      </c>
    </row>
    <row r="598" spans="1:26">
      <c r="A598" t="s">
        <v>1203</v>
      </c>
      <c r="B598" t="s">
        <v>581</v>
      </c>
      <c r="C598" s="4">
        <v>46125</v>
      </c>
      <c r="D598" t="s">
        <v>279</v>
      </c>
      <c r="E598" t="s">
        <v>70</v>
      </c>
      <c r="F598" s="4">
        <v>46125</v>
      </c>
      <c r="G598" s="4">
        <v>46126</v>
      </c>
      <c r="H598" t="s">
        <v>103</v>
      </c>
      <c r="I598" t="s">
        <v>243</v>
      </c>
      <c r="J598" t="s">
        <v>145</v>
      </c>
      <c r="K598" t="s">
        <v>60</v>
      </c>
      <c r="L598" t="s">
        <v>94</v>
      </c>
      <c r="M598" s="5">
        <v>36700</v>
      </c>
      <c r="N598" s="5">
        <v>6000</v>
      </c>
      <c r="O598" s="5">
        <v>6050</v>
      </c>
      <c r="P598" s="5">
        <v>3500</v>
      </c>
      <c r="Q598" s="5">
        <v>54050</v>
      </c>
      <c r="R598" t="s">
        <v>85</v>
      </c>
      <c r="S598" t="s">
        <v>76</v>
      </c>
      <c r="T598" s="5">
        <v>14410</v>
      </c>
      <c r="U598" s="6">
        <v>4</v>
      </c>
      <c r="V598" t="s">
        <v>64</v>
      </c>
      <c r="W598" s="4"/>
      <c r="X598" t="s">
        <v>65</v>
      </c>
      <c r="Y598" t="s">
        <v>64</v>
      </c>
      <c r="Z598" t="s">
        <v>107</v>
      </c>
    </row>
    <row r="599" spans="1:26">
      <c r="A599" t="s">
        <v>1204</v>
      </c>
      <c r="B599" t="s">
        <v>1044</v>
      </c>
      <c r="C599" s="4">
        <v>46048</v>
      </c>
      <c r="D599" t="s">
        <v>250</v>
      </c>
      <c r="E599" t="s">
        <v>70</v>
      </c>
      <c r="F599" s="4">
        <v>46048</v>
      </c>
      <c r="G599" s="4">
        <v>46052</v>
      </c>
      <c r="H599" t="s">
        <v>57</v>
      </c>
      <c r="I599" t="s">
        <v>100</v>
      </c>
      <c r="J599" t="s">
        <v>170</v>
      </c>
      <c r="K599" t="s">
        <v>93</v>
      </c>
      <c r="L599" t="s">
        <v>94</v>
      </c>
      <c r="M599" s="5">
        <v>72500</v>
      </c>
      <c r="N599" s="5">
        <v>9200</v>
      </c>
      <c r="O599" s="5">
        <v>9250</v>
      </c>
      <c r="P599" s="5">
        <v>10000</v>
      </c>
      <c r="Q599" s="5">
        <v>102950</v>
      </c>
      <c r="R599" t="s">
        <v>95</v>
      </c>
      <c r="S599" t="s">
        <v>63</v>
      </c>
      <c r="T599" s="5">
        <v>102950</v>
      </c>
      <c r="U599" s="6"/>
      <c r="V599" t="s">
        <v>77</v>
      </c>
      <c r="W599" s="4">
        <v>46065</v>
      </c>
      <c r="X599" t="s">
        <v>64</v>
      </c>
      <c r="Y599" t="s">
        <v>64</v>
      </c>
      <c r="Z599" t="s">
        <v>107</v>
      </c>
    </row>
    <row r="600" spans="1:26">
      <c r="A600" t="s">
        <v>1205</v>
      </c>
      <c r="B600" t="s">
        <v>263</v>
      </c>
      <c r="C600" s="4">
        <v>46128</v>
      </c>
      <c r="D600" t="s">
        <v>81</v>
      </c>
      <c r="E600" t="s">
        <v>56</v>
      </c>
      <c r="F600" s="4"/>
      <c r="G600" s="4"/>
      <c r="H600" t="s">
        <v>82</v>
      </c>
      <c r="I600" t="s">
        <v>272</v>
      </c>
      <c r="J600" t="s">
        <v>156</v>
      </c>
      <c r="K600" t="s">
        <v>124</v>
      </c>
      <c r="L600" t="s">
        <v>146</v>
      </c>
      <c r="M600" s="5"/>
      <c r="N600" s="5"/>
      <c r="O600" s="5"/>
      <c r="P600" s="5"/>
      <c r="Q600" s="5"/>
      <c r="R600" t="s">
        <v>141</v>
      </c>
      <c r="S600" t="s">
        <v>63</v>
      </c>
      <c r="T600" s="5"/>
      <c r="U600" s="6"/>
      <c r="V600" t="s">
        <v>64</v>
      </c>
      <c r="W600" s="4"/>
      <c r="X600" t="s">
        <v>65</v>
      </c>
      <c r="Z600" t="s">
        <v>66</v>
      </c>
    </row>
    <row r="601" spans="1:26">
      <c r="A601" t="s">
        <v>1206</v>
      </c>
      <c r="B601" t="s">
        <v>1020</v>
      </c>
      <c r="C601" s="4">
        <v>46099</v>
      </c>
      <c r="D601" t="s">
        <v>250</v>
      </c>
      <c r="E601" t="s">
        <v>70</v>
      </c>
      <c r="F601" s="4">
        <v>46099</v>
      </c>
      <c r="G601" s="4">
        <v>46099</v>
      </c>
      <c r="H601" t="s">
        <v>111</v>
      </c>
      <c r="I601" t="s">
        <v>116</v>
      </c>
      <c r="J601" t="s">
        <v>384</v>
      </c>
      <c r="K601" t="s">
        <v>60</v>
      </c>
      <c r="L601" t="s">
        <v>61</v>
      </c>
      <c r="M601" s="5">
        <v>44000</v>
      </c>
      <c r="N601" s="5">
        <v>5350</v>
      </c>
      <c r="O601" s="5">
        <v>7200</v>
      </c>
      <c r="P601" s="5">
        <v>0</v>
      </c>
      <c r="Q601" s="5">
        <v>57350</v>
      </c>
      <c r="R601" t="s">
        <v>62</v>
      </c>
      <c r="S601" t="s">
        <v>76</v>
      </c>
      <c r="T601" s="5">
        <v>17610</v>
      </c>
      <c r="U601" s="6">
        <v>4</v>
      </c>
      <c r="V601" t="s">
        <v>77</v>
      </c>
      <c r="W601" s="4">
        <v>46116</v>
      </c>
      <c r="X601" t="s">
        <v>77</v>
      </c>
      <c r="Y601" t="s">
        <v>64</v>
      </c>
      <c r="Z601" t="s">
        <v>78</v>
      </c>
    </row>
    <row r="602" spans="1:26">
      <c r="A602" t="s">
        <v>1207</v>
      </c>
      <c r="B602" t="s">
        <v>598</v>
      </c>
      <c r="C602" s="4">
        <v>46130</v>
      </c>
      <c r="D602" t="s">
        <v>266</v>
      </c>
      <c r="E602" t="s">
        <v>70</v>
      </c>
      <c r="F602" s="4">
        <v>46130</v>
      </c>
      <c r="G602" s="4">
        <v>46134</v>
      </c>
      <c r="H602" t="s">
        <v>111</v>
      </c>
      <c r="I602" t="s">
        <v>267</v>
      </c>
      <c r="J602" t="s">
        <v>384</v>
      </c>
      <c r="K602" t="s">
        <v>124</v>
      </c>
      <c r="L602" t="s">
        <v>94</v>
      </c>
      <c r="M602" s="5">
        <v>57500</v>
      </c>
      <c r="N602" s="5">
        <v>7700</v>
      </c>
      <c r="O602" s="5">
        <v>13150</v>
      </c>
      <c r="P602" s="5">
        <v>24000</v>
      </c>
      <c r="Q602" s="5">
        <v>103550</v>
      </c>
      <c r="R602" t="s">
        <v>141</v>
      </c>
      <c r="S602" t="s">
        <v>76</v>
      </c>
      <c r="T602" s="5">
        <v>16730</v>
      </c>
      <c r="U602" s="6">
        <v>4</v>
      </c>
      <c r="V602" t="s">
        <v>64</v>
      </c>
      <c r="W602" s="4"/>
      <c r="X602" t="s">
        <v>65</v>
      </c>
      <c r="Y602" t="s">
        <v>64</v>
      </c>
      <c r="Z602" t="s">
        <v>107</v>
      </c>
    </row>
    <row r="603" spans="1:26">
      <c r="A603" t="s">
        <v>1208</v>
      </c>
      <c r="B603" t="s">
        <v>1209</v>
      </c>
      <c r="C603" s="4">
        <v>46073</v>
      </c>
      <c r="D603" t="s">
        <v>234</v>
      </c>
      <c r="E603" t="s">
        <v>314</v>
      </c>
      <c r="F603" s="4"/>
      <c r="G603" s="4"/>
      <c r="H603" t="s">
        <v>121</v>
      </c>
      <c r="I603" t="s">
        <v>251</v>
      </c>
      <c r="J603" t="s">
        <v>252</v>
      </c>
      <c r="K603" t="s">
        <v>93</v>
      </c>
      <c r="L603" t="s">
        <v>94</v>
      </c>
      <c r="M603" s="5"/>
      <c r="N603" s="5"/>
      <c r="O603" s="5"/>
      <c r="P603" s="5"/>
      <c r="Q603" s="5"/>
      <c r="R603" t="s">
        <v>134</v>
      </c>
      <c r="S603" t="s">
        <v>63</v>
      </c>
      <c r="T603" s="5"/>
      <c r="U603" s="6"/>
      <c r="V603" t="s">
        <v>64</v>
      </c>
      <c r="W603" s="4"/>
      <c r="X603" t="s">
        <v>65</v>
      </c>
      <c r="Z603" t="s">
        <v>66</v>
      </c>
    </row>
    <row r="604" spans="1:26">
      <c r="A604" t="s">
        <v>1210</v>
      </c>
      <c r="B604" t="s">
        <v>1104</v>
      </c>
      <c r="C604" s="4">
        <v>46031</v>
      </c>
      <c r="D604" t="s">
        <v>210</v>
      </c>
      <c r="E604" t="s">
        <v>177</v>
      </c>
      <c r="F604" s="4"/>
      <c r="G604" s="4"/>
      <c r="H604" t="s">
        <v>201</v>
      </c>
      <c r="I604" t="s">
        <v>327</v>
      </c>
      <c r="J604" t="s">
        <v>203</v>
      </c>
      <c r="K604" t="s">
        <v>73</v>
      </c>
      <c r="L604" t="s">
        <v>94</v>
      </c>
      <c r="M604" s="5"/>
      <c r="N604" s="5"/>
      <c r="O604" s="5"/>
      <c r="P604" s="5"/>
      <c r="Q604" s="5"/>
      <c r="R604" t="s">
        <v>95</v>
      </c>
      <c r="S604" t="s">
        <v>63</v>
      </c>
      <c r="T604" s="5"/>
      <c r="U604" s="6"/>
      <c r="V604" t="s">
        <v>64</v>
      </c>
      <c r="W604" s="4"/>
      <c r="X604" t="s">
        <v>65</v>
      </c>
      <c r="Z604" t="s">
        <v>66</v>
      </c>
    </row>
    <row r="605" spans="1:26">
      <c r="A605" t="s">
        <v>1211</v>
      </c>
      <c r="B605" t="s">
        <v>642</v>
      </c>
      <c r="C605" s="4">
        <v>46136</v>
      </c>
      <c r="D605" t="s">
        <v>302</v>
      </c>
      <c r="E605" t="s">
        <v>70</v>
      </c>
      <c r="F605" s="4">
        <v>46137</v>
      </c>
      <c r="G605" s="4">
        <v>46137</v>
      </c>
      <c r="H605" t="s">
        <v>82</v>
      </c>
      <c r="I605" t="s">
        <v>155</v>
      </c>
      <c r="J605" t="s">
        <v>84</v>
      </c>
      <c r="K605" t="s">
        <v>60</v>
      </c>
      <c r="L605" t="s">
        <v>74</v>
      </c>
      <c r="M605" s="5">
        <v>8000</v>
      </c>
      <c r="N605" s="5">
        <v>1100</v>
      </c>
      <c r="O605" s="5">
        <v>1550</v>
      </c>
      <c r="P605" s="5">
        <v>0</v>
      </c>
      <c r="Q605" s="5">
        <v>13150</v>
      </c>
      <c r="R605" t="s">
        <v>75</v>
      </c>
      <c r="S605" t="s">
        <v>163</v>
      </c>
      <c r="T605" s="5">
        <v>6220</v>
      </c>
      <c r="U605" s="6">
        <v>4</v>
      </c>
      <c r="V605" t="s">
        <v>77</v>
      </c>
      <c r="W605" s="4">
        <v>46157</v>
      </c>
      <c r="X605" t="s">
        <v>77</v>
      </c>
      <c r="Y605" t="s">
        <v>64</v>
      </c>
      <c r="Z605" t="s">
        <v>96</v>
      </c>
    </row>
    <row r="606" spans="1:26">
      <c r="A606" t="s">
        <v>1212</v>
      </c>
      <c r="B606" t="s">
        <v>1213</v>
      </c>
      <c r="C606" s="4">
        <v>46066</v>
      </c>
      <c r="D606" t="s">
        <v>69</v>
      </c>
      <c r="E606" t="s">
        <v>70</v>
      </c>
      <c r="F606" s="4">
        <v>46066</v>
      </c>
      <c r="G606" s="4">
        <v>46072</v>
      </c>
      <c r="H606" t="s">
        <v>201</v>
      </c>
      <c r="I606" t="s">
        <v>421</v>
      </c>
      <c r="J606" t="s">
        <v>295</v>
      </c>
      <c r="K606" t="s">
        <v>124</v>
      </c>
      <c r="L606" t="s">
        <v>74</v>
      </c>
      <c r="M606" s="5">
        <v>38100</v>
      </c>
      <c r="N606" s="5">
        <v>3250</v>
      </c>
      <c r="O606" s="5">
        <v>7750</v>
      </c>
      <c r="P606" s="5">
        <v>36000</v>
      </c>
      <c r="Q606" s="5">
        <v>86100</v>
      </c>
      <c r="R606" t="s">
        <v>95</v>
      </c>
      <c r="S606" t="s">
        <v>63</v>
      </c>
      <c r="T606" s="5">
        <v>86100</v>
      </c>
      <c r="U606" s="6">
        <v>3</v>
      </c>
      <c r="V606" t="s">
        <v>77</v>
      </c>
      <c r="W606" s="4">
        <v>46088</v>
      </c>
      <c r="X606" t="s">
        <v>77</v>
      </c>
      <c r="Y606" t="s">
        <v>64</v>
      </c>
      <c r="Z606" t="s">
        <v>78</v>
      </c>
    </row>
    <row r="607" spans="1:26">
      <c r="A607" t="s">
        <v>1214</v>
      </c>
      <c r="B607" t="s">
        <v>351</v>
      </c>
      <c r="C607" s="4">
        <v>46059</v>
      </c>
      <c r="D607" t="s">
        <v>55</v>
      </c>
      <c r="E607" t="s">
        <v>70</v>
      </c>
      <c r="F607" s="4">
        <v>46060</v>
      </c>
      <c r="G607" s="4">
        <v>46064</v>
      </c>
      <c r="H607" t="s">
        <v>201</v>
      </c>
      <c r="I607" t="s">
        <v>449</v>
      </c>
      <c r="J607" t="s">
        <v>281</v>
      </c>
      <c r="K607" t="s">
        <v>124</v>
      </c>
      <c r="L607" t="s">
        <v>61</v>
      </c>
      <c r="M607" s="5">
        <v>7000</v>
      </c>
      <c r="N607" s="5">
        <v>700</v>
      </c>
      <c r="O607" s="5">
        <v>900</v>
      </c>
      <c r="P607" s="5">
        <v>10000</v>
      </c>
      <c r="Q607" s="5">
        <v>19400</v>
      </c>
      <c r="R607" t="s">
        <v>134</v>
      </c>
      <c r="S607" t="s">
        <v>86</v>
      </c>
      <c r="T607" s="5">
        <v>10870</v>
      </c>
      <c r="U607" s="6">
        <v>3</v>
      </c>
      <c r="V607" t="s">
        <v>77</v>
      </c>
      <c r="W607" s="4">
        <v>46071</v>
      </c>
      <c r="X607" t="s">
        <v>77</v>
      </c>
      <c r="Y607" t="s">
        <v>64</v>
      </c>
      <c r="Z607" t="s">
        <v>96</v>
      </c>
    </row>
    <row r="608" spans="1:26">
      <c r="A608" t="s">
        <v>1215</v>
      </c>
      <c r="B608" t="s">
        <v>613</v>
      </c>
      <c r="C608" s="4">
        <v>46048</v>
      </c>
      <c r="D608" t="s">
        <v>432</v>
      </c>
      <c r="E608" t="s">
        <v>70</v>
      </c>
      <c r="F608" s="4">
        <v>46049</v>
      </c>
      <c r="G608" s="4">
        <v>46049</v>
      </c>
      <c r="H608" t="s">
        <v>121</v>
      </c>
      <c r="I608" t="s">
        <v>174</v>
      </c>
      <c r="J608" t="s">
        <v>256</v>
      </c>
      <c r="K608" t="s">
        <v>60</v>
      </c>
      <c r="L608" t="s">
        <v>74</v>
      </c>
      <c r="M608" s="5">
        <v>17000</v>
      </c>
      <c r="N608" s="5">
        <v>2950</v>
      </c>
      <c r="O608" s="5">
        <v>2100</v>
      </c>
      <c r="P608" s="5">
        <v>0</v>
      </c>
      <c r="Q608" s="5">
        <v>23850</v>
      </c>
      <c r="R608" t="s">
        <v>75</v>
      </c>
      <c r="S608" t="s">
        <v>76</v>
      </c>
      <c r="T608" s="5">
        <v>11030</v>
      </c>
      <c r="U608" s="6">
        <v>5</v>
      </c>
      <c r="V608" t="s">
        <v>77</v>
      </c>
      <c r="W608" s="4">
        <v>46059</v>
      </c>
      <c r="X608" t="s">
        <v>77</v>
      </c>
      <c r="Y608" t="s">
        <v>64</v>
      </c>
      <c r="Z608" t="s">
        <v>96</v>
      </c>
    </row>
    <row r="609" spans="1:26">
      <c r="A609" t="s">
        <v>1216</v>
      </c>
      <c r="B609" t="s">
        <v>1217</v>
      </c>
      <c r="C609" s="4">
        <v>46103</v>
      </c>
      <c r="D609" t="s">
        <v>225</v>
      </c>
      <c r="E609" t="s">
        <v>70</v>
      </c>
      <c r="F609" s="4">
        <v>46103</v>
      </c>
      <c r="G609" s="4">
        <v>46111</v>
      </c>
      <c r="H609" t="s">
        <v>178</v>
      </c>
      <c r="I609" t="s">
        <v>218</v>
      </c>
      <c r="J609" t="s">
        <v>340</v>
      </c>
      <c r="K609" t="s">
        <v>93</v>
      </c>
      <c r="L609" t="s">
        <v>94</v>
      </c>
      <c r="M609" s="5">
        <v>64400</v>
      </c>
      <c r="N609" s="5">
        <v>10000</v>
      </c>
      <c r="O609" s="5">
        <v>6750</v>
      </c>
      <c r="P609" s="5">
        <v>36000</v>
      </c>
      <c r="Q609" s="5">
        <v>118650</v>
      </c>
      <c r="R609" t="s">
        <v>75</v>
      </c>
      <c r="S609" t="s">
        <v>76</v>
      </c>
      <c r="T609" s="5">
        <v>53690</v>
      </c>
      <c r="U609" s="6">
        <v>4</v>
      </c>
      <c r="V609" t="s">
        <v>77</v>
      </c>
      <c r="W609" s="4">
        <v>46131</v>
      </c>
      <c r="X609" t="s">
        <v>77</v>
      </c>
      <c r="Y609" t="s">
        <v>77</v>
      </c>
      <c r="Z609" t="s">
        <v>96</v>
      </c>
    </row>
    <row r="610" spans="1:26">
      <c r="A610" t="s">
        <v>1218</v>
      </c>
      <c r="B610" t="s">
        <v>1219</v>
      </c>
      <c r="C610" s="4">
        <v>46094</v>
      </c>
      <c r="D610" t="s">
        <v>439</v>
      </c>
      <c r="E610" t="s">
        <v>177</v>
      </c>
      <c r="F610" s="4"/>
      <c r="G610" s="4"/>
      <c r="H610" t="s">
        <v>178</v>
      </c>
      <c r="I610" t="s">
        <v>415</v>
      </c>
      <c r="J610" t="s">
        <v>340</v>
      </c>
      <c r="K610" t="s">
        <v>93</v>
      </c>
      <c r="L610" t="s">
        <v>94</v>
      </c>
      <c r="M610" s="5"/>
      <c r="N610" s="5"/>
      <c r="O610" s="5"/>
      <c r="P610" s="5"/>
      <c r="Q610" s="5"/>
      <c r="R610" t="s">
        <v>75</v>
      </c>
      <c r="S610" t="s">
        <v>63</v>
      </c>
      <c r="T610" s="5"/>
      <c r="U610" s="6"/>
      <c r="V610" t="s">
        <v>64</v>
      </c>
      <c r="W610" s="4"/>
      <c r="X610" t="s">
        <v>65</v>
      </c>
      <c r="Z610" t="s">
        <v>66</v>
      </c>
    </row>
    <row r="611" spans="1:26">
      <c r="A611" t="s">
        <v>1220</v>
      </c>
      <c r="B611" t="s">
        <v>1121</v>
      </c>
      <c r="C611" s="4">
        <v>46088</v>
      </c>
      <c r="D611" t="s">
        <v>161</v>
      </c>
      <c r="E611" t="s">
        <v>70</v>
      </c>
      <c r="F611" s="4">
        <v>46088</v>
      </c>
      <c r="G611" s="4">
        <v>46092</v>
      </c>
      <c r="H611" t="s">
        <v>150</v>
      </c>
      <c r="I611" t="s">
        <v>228</v>
      </c>
      <c r="J611" t="s">
        <v>229</v>
      </c>
      <c r="K611" t="s">
        <v>93</v>
      </c>
      <c r="L611" t="s">
        <v>61</v>
      </c>
      <c r="M611" s="5">
        <v>43000</v>
      </c>
      <c r="N611" s="5">
        <v>4700</v>
      </c>
      <c r="O611" s="5">
        <v>9350</v>
      </c>
      <c r="P611" s="5">
        <v>12000</v>
      </c>
      <c r="Q611" s="5">
        <v>70550</v>
      </c>
      <c r="R611" t="s">
        <v>75</v>
      </c>
      <c r="S611" t="s">
        <v>76</v>
      </c>
      <c r="T611" s="5">
        <v>32050</v>
      </c>
      <c r="U611" s="6">
        <v>5</v>
      </c>
      <c r="V611" t="s">
        <v>77</v>
      </c>
      <c r="W611" s="4">
        <v>46099</v>
      </c>
      <c r="X611" t="s">
        <v>77</v>
      </c>
      <c r="Y611" t="s">
        <v>64</v>
      </c>
      <c r="Z611" t="s">
        <v>96</v>
      </c>
    </row>
    <row r="612" spans="1:26">
      <c r="A612" t="s">
        <v>1221</v>
      </c>
      <c r="B612" t="s">
        <v>1125</v>
      </c>
      <c r="C612" s="4">
        <v>46137</v>
      </c>
      <c r="D612" t="s">
        <v>307</v>
      </c>
      <c r="E612" t="s">
        <v>70</v>
      </c>
      <c r="F612" s="4">
        <v>46138</v>
      </c>
      <c r="G612" s="4">
        <v>46138</v>
      </c>
      <c r="H612" t="s">
        <v>138</v>
      </c>
      <c r="I612" t="s">
        <v>352</v>
      </c>
      <c r="J612" t="s">
        <v>140</v>
      </c>
      <c r="K612" t="s">
        <v>60</v>
      </c>
      <c r="L612" t="s">
        <v>94</v>
      </c>
      <c r="M612" s="5">
        <v>18200</v>
      </c>
      <c r="N612" s="5">
        <v>2300</v>
      </c>
      <c r="O612" s="5">
        <v>2050</v>
      </c>
      <c r="P612" s="5">
        <v>0</v>
      </c>
      <c r="Q612" s="5">
        <v>24350</v>
      </c>
      <c r="R612" t="s">
        <v>141</v>
      </c>
      <c r="S612" t="s">
        <v>86</v>
      </c>
      <c r="T612" s="5">
        <v>4850</v>
      </c>
      <c r="U612" s="6">
        <v>4</v>
      </c>
      <c r="V612" t="s">
        <v>64</v>
      </c>
      <c r="W612" s="4"/>
      <c r="X612" t="s">
        <v>65</v>
      </c>
      <c r="Y612" t="s">
        <v>77</v>
      </c>
      <c r="Z612" t="s">
        <v>96</v>
      </c>
    </row>
    <row r="613" spans="1:26">
      <c r="A613" t="s">
        <v>1222</v>
      </c>
      <c r="B613" t="s">
        <v>1223</v>
      </c>
      <c r="C613" s="4">
        <v>46050</v>
      </c>
      <c r="D613" t="s">
        <v>173</v>
      </c>
      <c r="E613" t="s">
        <v>70</v>
      </c>
      <c r="F613" s="4">
        <v>46050</v>
      </c>
      <c r="G613" s="4">
        <v>46056</v>
      </c>
      <c r="H613" t="s">
        <v>90</v>
      </c>
      <c r="I613" t="s">
        <v>388</v>
      </c>
      <c r="J613" t="s">
        <v>92</v>
      </c>
      <c r="K613" t="s">
        <v>93</v>
      </c>
      <c r="L613" t="s">
        <v>94</v>
      </c>
      <c r="M613" s="5">
        <v>51300</v>
      </c>
      <c r="N613" s="5">
        <v>6200</v>
      </c>
      <c r="O613" s="5">
        <v>10950</v>
      </c>
      <c r="P613" s="5">
        <v>21000</v>
      </c>
      <c r="Q613" s="5">
        <v>90950</v>
      </c>
      <c r="R613" t="s">
        <v>95</v>
      </c>
      <c r="S613" t="s">
        <v>63</v>
      </c>
      <c r="T613" s="5">
        <v>90950</v>
      </c>
      <c r="U613" s="6">
        <v>5</v>
      </c>
      <c r="V613" t="s">
        <v>64</v>
      </c>
      <c r="W613" s="4"/>
      <c r="X613" t="s">
        <v>65</v>
      </c>
      <c r="Y613" t="s">
        <v>64</v>
      </c>
      <c r="Z613" t="s">
        <v>107</v>
      </c>
    </row>
    <row r="614" spans="1:26">
      <c r="A614" t="s">
        <v>1224</v>
      </c>
      <c r="B614" t="s">
        <v>898</v>
      </c>
      <c r="C614" s="4">
        <v>46025</v>
      </c>
      <c r="D614" t="s">
        <v>337</v>
      </c>
      <c r="E614" t="s">
        <v>70</v>
      </c>
      <c r="F614" s="4">
        <v>46025</v>
      </c>
      <c r="G614" s="4">
        <v>46026</v>
      </c>
      <c r="H614" t="s">
        <v>82</v>
      </c>
      <c r="I614" t="s">
        <v>194</v>
      </c>
      <c r="J614" t="s">
        <v>84</v>
      </c>
      <c r="K614" t="s">
        <v>60</v>
      </c>
      <c r="L614" t="s">
        <v>74</v>
      </c>
      <c r="M614" s="5">
        <v>10200</v>
      </c>
      <c r="N614" s="5">
        <v>950</v>
      </c>
      <c r="O614" s="5">
        <v>1050</v>
      </c>
      <c r="P614" s="5">
        <v>3500</v>
      </c>
      <c r="Q614" s="5">
        <v>17500</v>
      </c>
      <c r="R614" t="s">
        <v>85</v>
      </c>
      <c r="S614" t="s">
        <v>76</v>
      </c>
      <c r="T614" s="5">
        <v>5280</v>
      </c>
      <c r="U614" s="6">
        <v>5</v>
      </c>
      <c r="V614" t="s">
        <v>77</v>
      </c>
      <c r="W614" s="4">
        <v>46037</v>
      </c>
      <c r="X614" t="s">
        <v>77</v>
      </c>
      <c r="Y614" t="s">
        <v>64</v>
      </c>
      <c r="Z614" t="s">
        <v>107</v>
      </c>
    </row>
    <row r="615" spans="1:26">
      <c r="A615" t="s">
        <v>1225</v>
      </c>
      <c r="B615" t="s">
        <v>455</v>
      </c>
      <c r="C615" s="4">
        <v>46081</v>
      </c>
      <c r="D615" t="s">
        <v>200</v>
      </c>
      <c r="E615" t="s">
        <v>70</v>
      </c>
      <c r="F615" s="4">
        <v>46081</v>
      </c>
      <c r="G615" s="4">
        <v>46081</v>
      </c>
      <c r="H615" t="s">
        <v>150</v>
      </c>
      <c r="I615" t="s">
        <v>187</v>
      </c>
      <c r="J615" t="s">
        <v>229</v>
      </c>
      <c r="K615" t="s">
        <v>60</v>
      </c>
      <c r="L615" t="s">
        <v>146</v>
      </c>
      <c r="M615" s="5">
        <v>34600</v>
      </c>
      <c r="N615" s="5">
        <v>4750</v>
      </c>
      <c r="O615" s="5">
        <v>6200</v>
      </c>
      <c r="P615" s="5">
        <v>0</v>
      </c>
      <c r="Q615" s="5">
        <v>48050</v>
      </c>
      <c r="R615" t="s">
        <v>106</v>
      </c>
      <c r="S615" t="s">
        <v>76</v>
      </c>
      <c r="T615" s="5">
        <v>17520</v>
      </c>
      <c r="U615" s="6">
        <v>5</v>
      </c>
      <c r="V615" t="s">
        <v>77</v>
      </c>
      <c r="W615" s="4">
        <v>46101</v>
      </c>
      <c r="X615" t="s">
        <v>77</v>
      </c>
      <c r="Y615" t="s">
        <v>64</v>
      </c>
      <c r="Z615" t="s">
        <v>78</v>
      </c>
    </row>
    <row r="616" spans="1:26">
      <c r="A616" t="s">
        <v>1226</v>
      </c>
      <c r="B616" t="s">
        <v>1227</v>
      </c>
      <c r="C616" s="4">
        <v>46076</v>
      </c>
      <c r="D616" t="s">
        <v>69</v>
      </c>
      <c r="E616" t="s">
        <v>70</v>
      </c>
      <c r="F616" s="4">
        <v>46076</v>
      </c>
      <c r="G616" s="4">
        <v>46079</v>
      </c>
      <c r="H616" t="s">
        <v>201</v>
      </c>
      <c r="I616" t="s">
        <v>421</v>
      </c>
      <c r="J616" t="s">
        <v>295</v>
      </c>
      <c r="K616" t="s">
        <v>124</v>
      </c>
      <c r="L616" t="s">
        <v>61</v>
      </c>
      <c r="M616" s="5">
        <v>45200</v>
      </c>
      <c r="N616" s="5">
        <v>6400</v>
      </c>
      <c r="O616" s="5">
        <v>4550</v>
      </c>
      <c r="P616" s="5">
        <v>18000</v>
      </c>
      <c r="Q616" s="5">
        <v>75150</v>
      </c>
      <c r="R616" t="s">
        <v>85</v>
      </c>
      <c r="S616" t="s">
        <v>76</v>
      </c>
      <c r="T616" s="5">
        <v>19690</v>
      </c>
      <c r="U616" s="6">
        <v>4</v>
      </c>
      <c r="V616" t="s">
        <v>77</v>
      </c>
      <c r="W616" s="4">
        <v>46087</v>
      </c>
      <c r="X616" t="s">
        <v>77</v>
      </c>
      <c r="Y616" t="s">
        <v>77</v>
      </c>
      <c r="Z616" t="s">
        <v>107</v>
      </c>
    </row>
    <row r="617" spans="1:26">
      <c r="A617" t="s">
        <v>1228</v>
      </c>
      <c r="B617" t="s">
        <v>771</v>
      </c>
      <c r="C617" s="4">
        <v>46074</v>
      </c>
      <c r="D617" t="s">
        <v>266</v>
      </c>
      <c r="E617" t="s">
        <v>70</v>
      </c>
      <c r="F617" s="4">
        <v>46074</v>
      </c>
      <c r="G617" s="4">
        <v>46074</v>
      </c>
      <c r="H617" t="s">
        <v>121</v>
      </c>
      <c r="I617" t="s">
        <v>174</v>
      </c>
      <c r="J617" t="s">
        <v>256</v>
      </c>
      <c r="K617" t="s">
        <v>73</v>
      </c>
      <c r="L617" t="s">
        <v>74</v>
      </c>
      <c r="M617" s="5">
        <v>14300</v>
      </c>
      <c r="N617" s="5">
        <v>2550</v>
      </c>
      <c r="O617" s="5">
        <v>3450</v>
      </c>
      <c r="P617" s="5">
        <v>0</v>
      </c>
      <c r="Q617" s="5">
        <v>22100</v>
      </c>
      <c r="R617" t="s">
        <v>62</v>
      </c>
      <c r="S617" t="s">
        <v>86</v>
      </c>
      <c r="T617" s="5">
        <v>7030</v>
      </c>
      <c r="U617" s="6">
        <v>5</v>
      </c>
      <c r="V617" t="s">
        <v>64</v>
      </c>
      <c r="W617" s="4"/>
      <c r="X617" t="s">
        <v>65</v>
      </c>
      <c r="Y617" t="s">
        <v>64</v>
      </c>
      <c r="Z617" t="s">
        <v>96</v>
      </c>
    </row>
    <row r="618" spans="1:26">
      <c r="A618" t="s">
        <v>1229</v>
      </c>
      <c r="B618" t="s">
        <v>1026</v>
      </c>
      <c r="C618" s="4">
        <v>46086</v>
      </c>
      <c r="D618" t="s">
        <v>439</v>
      </c>
      <c r="E618" t="s">
        <v>56</v>
      </c>
      <c r="F618" s="4"/>
      <c r="G618" s="4"/>
      <c r="H618" t="s">
        <v>111</v>
      </c>
      <c r="I618" t="s">
        <v>112</v>
      </c>
      <c r="J618" t="s">
        <v>117</v>
      </c>
      <c r="K618" t="s">
        <v>60</v>
      </c>
      <c r="L618" t="s">
        <v>74</v>
      </c>
      <c r="M618" s="5"/>
      <c r="N618" s="5"/>
      <c r="O618" s="5"/>
      <c r="P618" s="5"/>
      <c r="Q618" s="5"/>
      <c r="R618" t="s">
        <v>75</v>
      </c>
      <c r="S618" t="s">
        <v>63</v>
      </c>
      <c r="T618" s="5"/>
      <c r="U618" s="6"/>
      <c r="V618" t="s">
        <v>64</v>
      </c>
      <c r="W618" s="4"/>
      <c r="X618" t="s">
        <v>65</v>
      </c>
      <c r="Z618" t="s">
        <v>66</v>
      </c>
    </row>
    <row r="619" spans="1:26">
      <c r="A619" t="s">
        <v>1230</v>
      </c>
      <c r="B619" t="s">
        <v>1231</v>
      </c>
      <c r="C619" s="4">
        <v>46046</v>
      </c>
      <c r="D619" t="s">
        <v>144</v>
      </c>
      <c r="E619" t="s">
        <v>70</v>
      </c>
      <c r="F619" s="4">
        <v>46046</v>
      </c>
      <c r="G619" s="4">
        <v>46048</v>
      </c>
      <c r="H619" t="s">
        <v>201</v>
      </c>
      <c r="I619" t="s">
        <v>327</v>
      </c>
      <c r="J619" t="s">
        <v>203</v>
      </c>
      <c r="K619" t="s">
        <v>124</v>
      </c>
      <c r="L619" t="s">
        <v>94</v>
      </c>
      <c r="M619" s="5">
        <v>41500</v>
      </c>
      <c r="N619" s="5">
        <v>6100</v>
      </c>
      <c r="O619" s="5">
        <v>4600</v>
      </c>
      <c r="P619" s="5">
        <v>6000</v>
      </c>
      <c r="Q619" s="5">
        <v>59200</v>
      </c>
      <c r="R619" t="s">
        <v>106</v>
      </c>
      <c r="S619" t="s">
        <v>76</v>
      </c>
      <c r="T619" s="5">
        <v>21420</v>
      </c>
      <c r="U619" s="6">
        <v>5</v>
      </c>
      <c r="V619" t="s">
        <v>77</v>
      </c>
      <c r="W619" s="4">
        <v>46055</v>
      </c>
      <c r="X619" t="s">
        <v>77</v>
      </c>
      <c r="Y619" t="s">
        <v>64</v>
      </c>
      <c r="Z619" t="s">
        <v>96</v>
      </c>
    </row>
    <row r="620" spans="1:26">
      <c r="A620" t="s">
        <v>1232</v>
      </c>
      <c r="B620" t="s">
        <v>411</v>
      </c>
      <c r="C620" s="4">
        <v>46036</v>
      </c>
      <c r="D620" t="s">
        <v>81</v>
      </c>
      <c r="E620" t="s">
        <v>70</v>
      </c>
      <c r="F620" s="4">
        <v>46036</v>
      </c>
      <c r="G620" s="4">
        <v>46036</v>
      </c>
      <c r="H620" t="s">
        <v>103</v>
      </c>
      <c r="I620" t="s">
        <v>412</v>
      </c>
      <c r="J620" t="s">
        <v>244</v>
      </c>
      <c r="K620" t="s">
        <v>60</v>
      </c>
      <c r="L620" t="s">
        <v>94</v>
      </c>
      <c r="M620" s="5">
        <v>69400</v>
      </c>
      <c r="N620" s="5">
        <v>6200</v>
      </c>
      <c r="O620" s="5">
        <v>12200</v>
      </c>
      <c r="P620" s="5">
        <v>0</v>
      </c>
      <c r="Q620" s="5">
        <v>89000</v>
      </c>
      <c r="R620" t="s">
        <v>62</v>
      </c>
      <c r="S620" t="s">
        <v>76</v>
      </c>
      <c r="T620" s="5">
        <v>27100</v>
      </c>
      <c r="U620" s="6">
        <v>3</v>
      </c>
      <c r="V620" t="s">
        <v>77</v>
      </c>
      <c r="W620" s="4">
        <v>46052</v>
      </c>
      <c r="X620" t="s">
        <v>64</v>
      </c>
      <c r="Y620" t="s">
        <v>64</v>
      </c>
      <c r="Z620" t="s">
        <v>107</v>
      </c>
    </row>
    <row r="621" spans="1:26">
      <c r="A621" t="s">
        <v>1233</v>
      </c>
      <c r="B621" t="s">
        <v>1234</v>
      </c>
      <c r="C621" s="4">
        <v>46106</v>
      </c>
      <c r="D621" t="s">
        <v>110</v>
      </c>
      <c r="E621" t="s">
        <v>70</v>
      </c>
      <c r="F621" s="4">
        <v>46106</v>
      </c>
      <c r="G621" s="4">
        <v>46108</v>
      </c>
      <c r="H621" t="s">
        <v>138</v>
      </c>
      <c r="I621" t="s">
        <v>139</v>
      </c>
      <c r="J621" t="s">
        <v>140</v>
      </c>
      <c r="K621" t="s">
        <v>93</v>
      </c>
      <c r="L621" t="s">
        <v>94</v>
      </c>
      <c r="M621" s="5">
        <v>20800</v>
      </c>
      <c r="N621" s="5">
        <v>2400</v>
      </c>
      <c r="O621" s="5">
        <v>3500</v>
      </c>
      <c r="P621" s="5">
        <v>5000</v>
      </c>
      <c r="Q621" s="5">
        <v>33700</v>
      </c>
      <c r="R621" t="s">
        <v>106</v>
      </c>
      <c r="S621" t="s">
        <v>76</v>
      </c>
      <c r="T621" s="5">
        <v>12500</v>
      </c>
      <c r="U621" s="6">
        <v>4</v>
      </c>
      <c r="V621" t="s">
        <v>77</v>
      </c>
      <c r="W621" s="4">
        <v>46127</v>
      </c>
      <c r="X621" t="s">
        <v>77</v>
      </c>
      <c r="Y621" t="s">
        <v>64</v>
      </c>
      <c r="Z621" t="s">
        <v>96</v>
      </c>
    </row>
    <row r="622" spans="1:26">
      <c r="A622" t="s">
        <v>1235</v>
      </c>
      <c r="B622" t="s">
        <v>986</v>
      </c>
      <c r="C622" s="4">
        <v>46096</v>
      </c>
      <c r="D622" t="s">
        <v>439</v>
      </c>
      <c r="E622" t="s">
        <v>338</v>
      </c>
      <c r="F622" s="4"/>
      <c r="G622" s="4"/>
      <c r="H622" t="s">
        <v>121</v>
      </c>
      <c r="I622" t="s">
        <v>386</v>
      </c>
      <c r="J622" t="s">
        <v>123</v>
      </c>
      <c r="K622" t="s">
        <v>73</v>
      </c>
      <c r="L622" t="s">
        <v>61</v>
      </c>
      <c r="M622" s="5"/>
      <c r="N622" s="5"/>
      <c r="O622" s="5"/>
      <c r="P622" s="5"/>
      <c r="Q622" s="5"/>
      <c r="R622" t="s">
        <v>141</v>
      </c>
      <c r="S622" t="s">
        <v>63</v>
      </c>
      <c r="T622" s="5"/>
      <c r="U622" s="6"/>
      <c r="V622" t="s">
        <v>64</v>
      </c>
      <c r="W622" s="4"/>
      <c r="X622" t="s">
        <v>65</v>
      </c>
      <c r="Z622" t="s">
        <v>66</v>
      </c>
    </row>
    <row r="623" spans="1:26">
      <c r="A623" t="s">
        <v>1236</v>
      </c>
      <c r="B623" t="s">
        <v>1237</v>
      </c>
      <c r="C623" s="4">
        <v>46044</v>
      </c>
      <c r="D623" t="s">
        <v>298</v>
      </c>
      <c r="E623" t="s">
        <v>70</v>
      </c>
      <c r="F623" s="4">
        <v>46044</v>
      </c>
      <c r="G623" s="4">
        <v>46052</v>
      </c>
      <c r="H623" t="s">
        <v>178</v>
      </c>
      <c r="I623" t="s">
        <v>339</v>
      </c>
      <c r="J623" t="s">
        <v>340</v>
      </c>
      <c r="K623" t="s">
        <v>93</v>
      </c>
      <c r="L623" t="s">
        <v>94</v>
      </c>
      <c r="M623" s="5">
        <v>74300</v>
      </c>
      <c r="N623" s="5">
        <v>13300</v>
      </c>
      <c r="O623" s="5">
        <v>14400</v>
      </c>
      <c r="P623" s="5">
        <v>20000</v>
      </c>
      <c r="Q623" s="5">
        <v>122800</v>
      </c>
      <c r="R623" t="s">
        <v>106</v>
      </c>
      <c r="S623" t="s">
        <v>76</v>
      </c>
      <c r="T623" s="5">
        <v>43680</v>
      </c>
      <c r="U623" s="6">
        <v>2</v>
      </c>
      <c r="V623" t="s">
        <v>77</v>
      </c>
      <c r="W623" s="4">
        <v>46063</v>
      </c>
      <c r="X623" t="s">
        <v>64</v>
      </c>
      <c r="Y623" t="s">
        <v>64</v>
      </c>
      <c r="Z623" t="s">
        <v>78</v>
      </c>
    </row>
    <row r="624" spans="1:26">
      <c r="A624" t="s">
        <v>1238</v>
      </c>
      <c r="B624" t="s">
        <v>190</v>
      </c>
      <c r="C624" s="4">
        <v>46034</v>
      </c>
      <c r="D624" t="s">
        <v>161</v>
      </c>
      <c r="E624" t="s">
        <v>56</v>
      </c>
      <c r="F624" s="4"/>
      <c r="G624" s="4"/>
      <c r="H624" t="s">
        <v>111</v>
      </c>
      <c r="I624" t="s">
        <v>116</v>
      </c>
      <c r="J624" t="s">
        <v>113</v>
      </c>
      <c r="K624" t="s">
        <v>60</v>
      </c>
      <c r="L624" t="s">
        <v>61</v>
      </c>
      <c r="M624" s="5"/>
      <c r="N624" s="5"/>
      <c r="O624" s="5"/>
      <c r="P624" s="5"/>
      <c r="Q624" s="5"/>
      <c r="R624" t="s">
        <v>62</v>
      </c>
      <c r="S624" t="s">
        <v>63</v>
      </c>
      <c r="T624" s="5"/>
      <c r="U624" s="6"/>
      <c r="V624" t="s">
        <v>64</v>
      </c>
      <c r="W624" s="4"/>
      <c r="X624" t="s">
        <v>65</v>
      </c>
      <c r="Z624" t="s">
        <v>66</v>
      </c>
    </row>
    <row r="625" spans="1:26">
      <c r="A625" t="s">
        <v>1239</v>
      </c>
      <c r="B625" t="s">
        <v>1240</v>
      </c>
      <c r="C625" s="4">
        <v>46050</v>
      </c>
      <c r="D625" t="s">
        <v>173</v>
      </c>
      <c r="E625" t="s">
        <v>70</v>
      </c>
      <c r="F625" s="4">
        <v>46050</v>
      </c>
      <c r="G625" s="4">
        <v>46051</v>
      </c>
      <c r="H625" t="s">
        <v>121</v>
      </c>
      <c r="I625" t="s">
        <v>386</v>
      </c>
      <c r="J625" t="s">
        <v>256</v>
      </c>
      <c r="K625" t="s">
        <v>60</v>
      </c>
      <c r="L625" t="s">
        <v>74</v>
      </c>
      <c r="M625" s="5">
        <v>18000</v>
      </c>
      <c r="N625" s="5">
        <v>2050</v>
      </c>
      <c r="O625" s="5">
        <v>4400</v>
      </c>
      <c r="P625" s="5">
        <v>2500</v>
      </c>
      <c r="Q625" s="5">
        <v>29450</v>
      </c>
      <c r="R625" t="s">
        <v>141</v>
      </c>
      <c r="S625" t="s">
        <v>76</v>
      </c>
      <c r="T625" s="5">
        <v>5620</v>
      </c>
      <c r="U625" s="6">
        <v>3</v>
      </c>
      <c r="V625" t="s">
        <v>77</v>
      </c>
      <c r="W625" s="4">
        <v>46063</v>
      </c>
      <c r="Y625" t="s">
        <v>64</v>
      </c>
      <c r="Z625" t="s">
        <v>78</v>
      </c>
    </row>
    <row r="626" spans="1:26">
      <c r="A626" t="s">
        <v>1241</v>
      </c>
      <c r="B626" t="s">
        <v>576</v>
      </c>
      <c r="C626" s="4">
        <v>46122</v>
      </c>
      <c r="D626" t="s">
        <v>89</v>
      </c>
      <c r="E626" t="s">
        <v>177</v>
      </c>
      <c r="F626" s="4"/>
      <c r="G626" s="4"/>
      <c r="H626" t="s">
        <v>201</v>
      </c>
      <c r="I626" t="s">
        <v>515</v>
      </c>
      <c r="J626" t="s">
        <v>203</v>
      </c>
      <c r="K626" t="s">
        <v>124</v>
      </c>
      <c r="L626" t="s">
        <v>61</v>
      </c>
      <c r="M626" s="5"/>
      <c r="N626" s="5"/>
      <c r="O626" s="5"/>
      <c r="P626" s="5"/>
      <c r="Q626" s="5"/>
      <c r="R626" t="s">
        <v>95</v>
      </c>
      <c r="S626" t="s">
        <v>63</v>
      </c>
      <c r="T626" s="5"/>
      <c r="U626" s="6"/>
      <c r="V626" t="s">
        <v>64</v>
      </c>
      <c r="W626" s="4"/>
      <c r="X626" t="s">
        <v>65</v>
      </c>
      <c r="Z626" t="s">
        <v>66</v>
      </c>
    </row>
    <row r="627" spans="1:26">
      <c r="A627" t="s">
        <v>1242</v>
      </c>
      <c r="B627" t="s">
        <v>1243</v>
      </c>
      <c r="C627" s="4">
        <v>46162</v>
      </c>
      <c r="D627" t="s">
        <v>383</v>
      </c>
      <c r="E627" t="s">
        <v>314</v>
      </c>
      <c r="F627" s="4"/>
      <c r="G627" s="4"/>
      <c r="H627" t="s">
        <v>150</v>
      </c>
      <c r="I627" t="s">
        <v>228</v>
      </c>
      <c r="J627" t="s">
        <v>152</v>
      </c>
      <c r="K627" t="s">
        <v>73</v>
      </c>
      <c r="L627" t="s">
        <v>61</v>
      </c>
      <c r="M627" s="5"/>
      <c r="N627" s="5"/>
      <c r="O627" s="5"/>
      <c r="P627" s="5"/>
      <c r="Q627" s="5"/>
      <c r="R627" t="s">
        <v>106</v>
      </c>
      <c r="S627" t="s">
        <v>63</v>
      </c>
      <c r="T627" s="5"/>
      <c r="U627" s="6"/>
      <c r="V627" t="s">
        <v>64</v>
      </c>
      <c r="W627" s="4"/>
      <c r="X627" t="s">
        <v>65</v>
      </c>
      <c r="Z627" t="s">
        <v>66</v>
      </c>
    </row>
    <row r="628" spans="1:26">
      <c r="A628" t="s">
        <v>1244</v>
      </c>
      <c r="B628" t="s">
        <v>209</v>
      </c>
      <c r="C628" s="4">
        <v>46115</v>
      </c>
      <c r="D628" t="s">
        <v>225</v>
      </c>
      <c r="E628" t="s">
        <v>70</v>
      </c>
      <c r="F628" s="4">
        <v>46115</v>
      </c>
      <c r="G628" s="4">
        <v>46120</v>
      </c>
      <c r="H628" t="s">
        <v>90</v>
      </c>
      <c r="I628" t="s">
        <v>91</v>
      </c>
      <c r="J628" t="s">
        <v>92</v>
      </c>
      <c r="K628" t="s">
        <v>93</v>
      </c>
      <c r="L628" t="s">
        <v>94</v>
      </c>
      <c r="M628" s="5">
        <v>64000</v>
      </c>
      <c r="N628" s="5">
        <v>7050</v>
      </c>
      <c r="O628" s="5">
        <v>7800</v>
      </c>
      <c r="P628" s="5">
        <v>15000</v>
      </c>
      <c r="Q628" s="5">
        <v>95050</v>
      </c>
      <c r="R628" t="s">
        <v>106</v>
      </c>
      <c r="S628" t="s">
        <v>76</v>
      </c>
      <c r="T628" s="5">
        <v>33970</v>
      </c>
      <c r="U628" s="6">
        <v>4</v>
      </c>
      <c r="V628" t="s">
        <v>77</v>
      </c>
      <c r="W628" s="4">
        <v>46127</v>
      </c>
      <c r="X628" t="s">
        <v>77</v>
      </c>
      <c r="Y628" t="s">
        <v>64</v>
      </c>
      <c r="Z628" t="s">
        <v>436</v>
      </c>
    </row>
    <row r="629" spans="1:26">
      <c r="A629" t="s">
        <v>1245</v>
      </c>
      <c r="B629" t="s">
        <v>1246</v>
      </c>
      <c r="C629" s="4">
        <v>46064</v>
      </c>
      <c r="D629" t="s">
        <v>149</v>
      </c>
      <c r="E629" t="s">
        <v>70</v>
      </c>
      <c r="F629" s="4">
        <v>46064</v>
      </c>
      <c r="G629" s="4">
        <v>46064</v>
      </c>
      <c r="H629" t="s">
        <v>103</v>
      </c>
      <c r="I629" t="s">
        <v>364</v>
      </c>
      <c r="J629" t="s">
        <v>244</v>
      </c>
      <c r="K629" t="s">
        <v>60</v>
      </c>
      <c r="L629" t="s">
        <v>146</v>
      </c>
      <c r="M629" s="5">
        <v>75400</v>
      </c>
      <c r="N629" s="5">
        <v>9750</v>
      </c>
      <c r="O629" s="5">
        <v>9750</v>
      </c>
      <c r="P629" s="5">
        <v>0</v>
      </c>
      <c r="Q629" s="5">
        <v>95700</v>
      </c>
      <c r="R629" t="s">
        <v>85</v>
      </c>
      <c r="S629" t="s">
        <v>76</v>
      </c>
      <c r="T629" s="5">
        <v>24820</v>
      </c>
      <c r="U629" s="6">
        <v>3</v>
      </c>
      <c r="V629" t="s">
        <v>77</v>
      </c>
      <c r="W629" s="4">
        <v>46071</v>
      </c>
      <c r="X629" t="s">
        <v>64</v>
      </c>
      <c r="Y629" t="s">
        <v>64</v>
      </c>
      <c r="Z629" t="s">
        <v>78</v>
      </c>
    </row>
    <row r="630" spans="1:26">
      <c r="A630" t="s">
        <v>1247</v>
      </c>
      <c r="B630" t="s">
        <v>1248</v>
      </c>
      <c r="C630" s="4">
        <v>46155</v>
      </c>
      <c r="D630" t="s">
        <v>55</v>
      </c>
      <c r="E630" t="s">
        <v>70</v>
      </c>
      <c r="F630" s="4">
        <v>46155</v>
      </c>
      <c r="G630" s="4">
        <v>46158</v>
      </c>
      <c r="H630" t="s">
        <v>57</v>
      </c>
      <c r="I630" t="s">
        <v>211</v>
      </c>
      <c r="J630" t="s">
        <v>59</v>
      </c>
      <c r="K630" t="s">
        <v>93</v>
      </c>
      <c r="L630" t="s">
        <v>74</v>
      </c>
      <c r="M630" s="5">
        <v>52900</v>
      </c>
      <c r="N630" s="5">
        <v>9500</v>
      </c>
      <c r="O630" s="5">
        <v>6750</v>
      </c>
      <c r="P630" s="5">
        <v>9000</v>
      </c>
      <c r="Q630" s="5">
        <v>80150</v>
      </c>
      <c r="R630" t="s">
        <v>95</v>
      </c>
      <c r="S630" t="s">
        <v>63</v>
      </c>
      <c r="T630" s="5">
        <v>80150</v>
      </c>
      <c r="U630" s="6">
        <v>4</v>
      </c>
      <c r="V630" t="s">
        <v>77</v>
      </c>
      <c r="W630" s="4">
        <v>46168</v>
      </c>
      <c r="X630" t="s">
        <v>77</v>
      </c>
      <c r="Y630" t="s">
        <v>64</v>
      </c>
      <c r="Z630" t="s">
        <v>96</v>
      </c>
    </row>
    <row r="631" spans="1:26">
      <c r="A631" t="s">
        <v>1249</v>
      </c>
      <c r="B631" t="s">
        <v>322</v>
      </c>
      <c r="C631" s="4">
        <v>46150</v>
      </c>
      <c r="D631" t="s">
        <v>217</v>
      </c>
      <c r="E631" t="s">
        <v>70</v>
      </c>
      <c r="F631" s="4">
        <v>46150</v>
      </c>
      <c r="G631" s="4">
        <v>46152</v>
      </c>
      <c r="H631" t="s">
        <v>138</v>
      </c>
      <c r="I631" t="s">
        <v>260</v>
      </c>
      <c r="J631" t="s">
        <v>261</v>
      </c>
      <c r="K631" t="s">
        <v>73</v>
      </c>
      <c r="L631" t="s">
        <v>74</v>
      </c>
      <c r="M631" s="5">
        <v>4300</v>
      </c>
      <c r="N631" s="5">
        <v>650</v>
      </c>
      <c r="O631" s="5">
        <v>500</v>
      </c>
      <c r="P631" s="5">
        <v>9000</v>
      </c>
      <c r="Q631" s="5">
        <v>16950</v>
      </c>
      <c r="R631" t="s">
        <v>85</v>
      </c>
      <c r="S631" t="s">
        <v>76</v>
      </c>
      <c r="T631" s="5">
        <v>5140</v>
      </c>
      <c r="U631" s="6">
        <v>3</v>
      </c>
      <c r="V631" t="s">
        <v>64</v>
      </c>
      <c r="W631" s="4"/>
      <c r="X631" t="s">
        <v>65</v>
      </c>
      <c r="Y631" t="s">
        <v>64</v>
      </c>
      <c r="Z631" t="s">
        <v>96</v>
      </c>
    </row>
    <row r="632" spans="1:26">
      <c r="A632" t="s">
        <v>1250</v>
      </c>
      <c r="B632" t="s">
        <v>1251</v>
      </c>
      <c r="C632" s="4">
        <v>46050</v>
      </c>
      <c r="D632" t="s">
        <v>132</v>
      </c>
      <c r="E632" t="s">
        <v>70</v>
      </c>
      <c r="F632" s="4">
        <v>46051</v>
      </c>
      <c r="G632" s="4">
        <v>46052</v>
      </c>
      <c r="H632" t="s">
        <v>57</v>
      </c>
      <c r="I632" t="s">
        <v>71</v>
      </c>
      <c r="J632" t="s">
        <v>72</v>
      </c>
      <c r="K632" t="s">
        <v>73</v>
      </c>
      <c r="L632" t="s">
        <v>94</v>
      </c>
      <c r="M632" s="5">
        <v>6600</v>
      </c>
      <c r="N632" s="5">
        <v>1000</v>
      </c>
      <c r="O632" s="5">
        <v>1550</v>
      </c>
      <c r="P632" s="5">
        <v>4500</v>
      </c>
      <c r="Q632" s="5">
        <v>15450</v>
      </c>
      <c r="R632" t="s">
        <v>62</v>
      </c>
      <c r="S632" t="s">
        <v>76</v>
      </c>
      <c r="T632" s="5">
        <v>5040</v>
      </c>
      <c r="U632" s="6">
        <v>5</v>
      </c>
      <c r="V632" t="s">
        <v>64</v>
      </c>
      <c r="W632" s="4"/>
      <c r="X632" t="s">
        <v>65</v>
      </c>
      <c r="Y632" t="s">
        <v>64</v>
      </c>
      <c r="Z632" t="s">
        <v>219</v>
      </c>
    </row>
    <row r="633" spans="1:26">
      <c r="A633" t="s">
        <v>1252</v>
      </c>
      <c r="B633" t="s">
        <v>968</v>
      </c>
      <c r="C633" s="4">
        <v>46142</v>
      </c>
      <c r="D633" t="s">
        <v>337</v>
      </c>
      <c r="E633" t="s">
        <v>314</v>
      </c>
      <c r="F633" s="4"/>
      <c r="G633" s="4"/>
      <c r="H633" t="s">
        <v>201</v>
      </c>
      <c r="I633" t="s">
        <v>515</v>
      </c>
      <c r="J633" t="s">
        <v>203</v>
      </c>
      <c r="K633" t="s">
        <v>124</v>
      </c>
      <c r="L633" t="s">
        <v>146</v>
      </c>
      <c r="M633" s="5"/>
      <c r="N633" s="5"/>
      <c r="O633" s="5"/>
      <c r="P633" s="5"/>
      <c r="Q633" s="5"/>
      <c r="R633" t="s">
        <v>141</v>
      </c>
      <c r="S633" t="s">
        <v>63</v>
      </c>
      <c r="T633" s="5"/>
      <c r="U633" s="6"/>
      <c r="V633" t="s">
        <v>64</v>
      </c>
      <c r="W633" s="4"/>
      <c r="X633" t="s">
        <v>65</v>
      </c>
      <c r="Z633" t="s">
        <v>66</v>
      </c>
    </row>
    <row r="634" spans="1:26">
      <c r="A634" t="s">
        <v>1253</v>
      </c>
      <c r="B634" t="s">
        <v>956</v>
      </c>
      <c r="C634" s="4">
        <v>46053</v>
      </c>
      <c r="D634" t="s">
        <v>234</v>
      </c>
      <c r="E634" t="s">
        <v>56</v>
      </c>
      <c r="F634" s="4"/>
      <c r="G634" s="4"/>
      <c r="H634" t="s">
        <v>111</v>
      </c>
      <c r="I634" t="s">
        <v>112</v>
      </c>
      <c r="J634" t="s">
        <v>384</v>
      </c>
      <c r="K634" t="s">
        <v>73</v>
      </c>
      <c r="L634" t="s">
        <v>94</v>
      </c>
      <c r="M634" s="5"/>
      <c r="N634" s="5"/>
      <c r="O634" s="5"/>
      <c r="P634" s="5"/>
      <c r="Q634" s="5"/>
      <c r="R634" t="s">
        <v>95</v>
      </c>
      <c r="S634" t="s">
        <v>63</v>
      </c>
      <c r="T634" s="5"/>
      <c r="U634" s="6"/>
      <c r="V634" t="s">
        <v>64</v>
      </c>
      <c r="W634" s="4"/>
      <c r="X634" t="s">
        <v>65</v>
      </c>
      <c r="Z634" t="s">
        <v>66</v>
      </c>
    </row>
    <row r="635" spans="1:26">
      <c r="A635" t="s">
        <v>1254</v>
      </c>
      <c r="B635" t="s">
        <v>1170</v>
      </c>
      <c r="C635" s="4">
        <v>46037</v>
      </c>
      <c r="D635" t="s">
        <v>363</v>
      </c>
      <c r="E635" t="s">
        <v>70</v>
      </c>
      <c r="F635" s="4">
        <v>46037</v>
      </c>
      <c r="G635" s="4">
        <v>46038</v>
      </c>
      <c r="H635" t="s">
        <v>138</v>
      </c>
      <c r="I635" t="s">
        <v>235</v>
      </c>
      <c r="J635" t="s">
        <v>140</v>
      </c>
      <c r="K635" t="s">
        <v>60</v>
      </c>
      <c r="L635" t="s">
        <v>74</v>
      </c>
      <c r="M635" s="5">
        <v>12100</v>
      </c>
      <c r="N635" s="5">
        <v>1200</v>
      </c>
      <c r="O635" s="5">
        <v>2300</v>
      </c>
      <c r="P635" s="5">
        <v>6000</v>
      </c>
      <c r="Q635" s="5">
        <v>22600</v>
      </c>
      <c r="R635" t="s">
        <v>85</v>
      </c>
      <c r="S635" t="s">
        <v>76</v>
      </c>
      <c r="T635" s="5">
        <v>6550</v>
      </c>
      <c r="U635" s="6">
        <v>5</v>
      </c>
      <c r="V635" t="s">
        <v>64</v>
      </c>
      <c r="W635" s="4"/>
      <c r="X635" t="s">
        <v>65</v>
      </c>
      <c r="Y635" t="s">
        <v>64</v>
      </c>
      <c r="Z635" t="s">
        <v>96</v>
      </c>
    </row>
    <row r="636" spans="1:26">
      <c r="A636" t="s">
        <v>1255</v>
      </c>
      <c r="B636" t="s">
        <v>640</v>
      </c>
      <c r="C636" s="4">
        <v>46069</v>
      </c>
      <c r="D636" t="s">
        <v>206</v>
      </c>
      <c r="E636" t="s">
        <v>70</v>
      </c>
      <c r="F636" s="4">
        <v>46069</v>
      </c>
      <c r="G636" s="4">
        <v>46074</v>
      </c>
      <c r="H636" t="s">
        <v>201</v>
      </c>
      <c r="I636" t="s">
        <v>421</v>
      </c>
      <c r="J636" t="s">
        <v>295</v>
      </c>
      <c r="K636" t="s">
        <v>124</v>
      </c>
      <c r="L636" t="s">
        <v>74</v>
      </c>
      <c r="M636" s="5">
        <v>37700</v>
      </c>
      <c r="N636" s="5">
        <v>6300</v>
      </c>
      <c r="O636" s="5">
        <v>4850</v>
      </c>
      <c r="P636" s="5">
        <v>15000</v>
      </c>
      <c r="Q636" s="5">
        <v>64850</v>
      </c>
      <c r="R636" t="s">
        <v>75</v>
      </c>
      <c r="S636" t="s">
        <v>76</v>
      </c>
      <c r="T636" s="5">
        <v>29480</v>
      </c>
      <c r="U636" s="6">
        <v>4</v>
      </c>
      <c r="V636" t="s">
        <v>77</v>
      </c>
      <c r="W636" s="4">
        <v>46094</v>
      </c>
      <c r="X636" t="s">
        <v>77</v>
      </c>
      <c r="Y636" t="s">
        <v>64</v>
      </c>
      <c r="Z636" t="s">
        <v>107</v>
      </c>
    </row>
    <row r="637" spans="1:26">
      <c r="A637" t="s">
        <v>1256</v>
      </c>
      <c r="B637" t="s">
        <v>711</v>
      </c>
      <c r="C637" s="4">
        <v>46114</v>
      </c>
      <c r="D637" t="s">
        <v>137</v>
      </c>
      <c r="E637" t="s">
        <v>70</v>
      </c>
      <c r="F637" s="4">
        <v>46114</v>
      </c>
      <c r="G637" s="4">
        <v>46115</v>
      </c>
      <c r="H637" t="s">
        <v>90</v>
      </c>
      <c r="I637" t="s">
        <v>128</v>
      </c>
      <c r="J637" t="s">
        <v>197</v>
      </c>
      <c r="K637" t="s">
        <v>60</v>
      </c>
      <c r="L637" t="s">
        <v>94</v>
      </c>
      <c r="M637" s="5">
        <v>14200</v>
      </c>
      <c r="N637" s="5">
        <v>1200</v>
      </c>
      <c r="O637" s="5">
        <v>1650</v>
      </c>
      <c r="P637" s="5">
        <v>4500</v>
      </c>
      <c r="Q637" s="5">
        <v>23550</v>
      </c>
      <c r="R637" t="s">
        <v>62</v>
      </c>
      <c r="S637" t="s">
        <v>86</v>
      </c>
      <c r="T637" s="5">
        <v>7470</v>
      </c>
      <c r="U637" s="6">
        <v>3</v>
      </c>
      <c r="V637" t="s">
        <v>64</v>
      </c>
      <c r="W637" s="4"/>
      <c r="X637" t="s">
        <v>65</v>
      </c>
      <c r="Y637" t="s">
        <v>77</v>
      </c>
      <c r="Z637" t="s">
        <v>96</v>
      </c>
    </row>
    <row r="638" spans="1:26">
      <c r="A638" t="s">
        <v>1257</v>
      </c>
      <c r="B638" t="s">
        <v>190</v>
      </c>
      <c r="C638" s="4">
        <v>46095</v>
      </c>
      <c r="D638" t="s">
        <v>69</v>
      </c>
      <c r="E638" t="s">
        <v>70</v>
      </c>
      <c r="F638" s="4">
        <v>46095</v>
      </c>
      <c r="G638" s="4">
        <v>46095</v>
      </c>
      <c r="H638" t="s">
        <v>201</v>
      </c>
      <c r="I638" t="s">
        <v>449</v>
      </c>
      <c r="J638" t="s">
        <v>203</v>
      </c>
      <c r="K638" t="s">
        <v>124</v>
      </c>
      <c r="L638" t="s">
        <v>74</v>
      </c>
      <c r="M638" s="5">
        <v>30700</v>
      </c>
      <c r="N638" s="5">
        <v>2500</v>
      </c>
      <c r="O638" s="5">
        <v>7250</v>
      </c>
      <c r="P638" s="5">
        <v>0</v>
      </c>
      <c r="Q638" s="5">
        <v>41250</v>
      </c>
      <c r="R638" t="s">
        <v>95</v>
      </c>
      <c r="S638" t="s">
        <v>63</v>
      </c>
      <c r="T638" s="5">
        <v>41250</v>
      </c>
      <c r="U638" s="6">
        <v>4</v>
      </c>
      <c r="V638" t="s">
        <v>77</v>
      </c>
      <c r="W638" s="4">
        <v>46114</v>
      </c>
      <c r="X638" t="s">
        <v>77</v>
      </c>
      <c r="Y638" t="s">
        <v>77</v>
      </c>
      <c r="Z638" t="s">
        <v>96</v>
      </c>
    </row>
    <row r="639" spans="1:26">
      <c r="A639" t="s">
        <v>1258</v>
      </c>
      <c r="B639" t="s">
        <v>399</v>
      </c>
      <c r="C639" s="4">
        <v>46097</v>
      </c>
      <c r="D639" t="s">
        <v>432</v>
      </c>
      <c r="E639" t="s">
        <v>70</v>
      </c>
      <c r="F639" s="4">
        <v>46097</v>
      </c>
      <c r="G639" s="4">
        <v>46098</v>
      </c>
      <c r="H639" t="s">
        <v>201</v>
      </c>
      <c r="I639" t="s">
        <v>515</v>
      </c>
      <c r="J639" t="s">
        <v>281</v>
      </c>
      <c r="K639" t="s">
        <v>124</v>
      </c>
      <c r="L639" t="s">
        <v>74</v>
      </c>
      <c r="M639" s="5">
        <v>6200</v>
      </c>
      <c r="N639" s="5">
        <v>1000</v>
      </c>
      <c r="O639" s="5">
        <v>1450</v>
      </c>
      <c r="P639" s="5">
        <v>3500</v>
      </c>
      <c r="Q639" s="5">
        <v>13350</v>
      </c>
      <c r="R639" t="s">
        <v>62</v>
      </c>
      <c r="S639" t="s">
        <v>76</v>
      </c>
      <c r="T639" s="5">
        <v>4400</v>
      </c>
      <c r="U639" s="6">
        <v>5</v>
      </c>
      <c r="V639" t="s">
        <v>64</v>
      </c>
      <c r="W639" s="4"/>
      <c r="X639" t="s">
        <v>65</v>
      </c>
      <c r="Y639" t="s">
        <v>64</v>
      </c>
      <c r="Z639" t="s">
        <v>78</v>
      </c>
    </row>
    <row r="640" spans="1:26">
      <c r="A640" t="s">
        <v>1259</v>
      </c>
      <c r="B640" t="s">
        <v>126</v>
      </c>
      <c r="C640" s="4">
        <v>46051</v>
      </c>
      <c r="D640" t="s">
        <v>217</v>
      </c>
      <c r="E640" t="s">
        <v>56</v>
      </c>
      <c r="F640" s="4"/>
      <c r="G640" s="4"/>
      <c r="H640" t="s">
        <v>178</v>
      </c>
      <c r="I640" t="s">
        <v>179</v>
      </c>
      <c r="J640" t="s">
        <v>180</v>
      </c>
      <c r="K640" t="s">
        <v>93</v>
      </c>
      <c r="L640" t="s">
        <v>61</v>
      </c>
      <c r="M640" s="5"/>
      <c r="N640" s="5"/>
      <c r="O640" s="5"/>
      <c r="P640" s="5"/>
      <c r="Q640" s="5"/>
      <c r="R640" t="s">
        <v>141</v>
      </c>
      <c r="S640" t="s">
        <v>63</v>
      </c>
      <c r="T640" s="5"/>
      <c r="U640" s="6"/>
      <c r="V640" t="s">
        <v>64</v>
      </c>
      <c r="W640" s="4"/>
      <c r="X640" t="s">
        <v>65</v>
      </c>
      <c r="Z640" t="s">
        <v>66</v>
      </c>
    </row>
    <row r="641" spans="1:26">
      <c r="A641" t="s">
        <v>1260</v>
      </c>
      <c r="B641" t="s">
        <v>799</v>
      </c>
      <c r="C641" s="4">
        <v>46110</v>
      </c>
      <c r="D641" t="s">
        <v>149</v>
      </c>
      <c r="E641" t="s">
        <v>70</v>
      </c>
      <c r="F641" s="4">
        <v>46111</v>
      </c>
      <c r="G641" s="4">
        <v>46112</v>
      </c>
      <c r="H641" t="s">
        <v>138</v>
      </c>
      <c r="I641" t="s">
        <v>343</v>
      </c>
      <c r="J641" t="s">
        <v>261</v>
      </c>
      <c r="K641" t="s">
        <v>124</v>
      </c>
      <c r="L641" t="s">
        <v>94</v>
      </c>
      <c r="M641" s="5">
        <v>4500</v>
      </c>
      <c r="N641" s="5">
        <v>700</v>
      </c>
      <c r="O641" s="5">
        <v>450</v>
      </c>
      <c r="P641" s="5">
        <v>3500</v>
      </c>
      <c r="Q641" s="5">
        <v>10950</v>
      </c>
      <c r="R641" t="s">
        <v>95</v>
      </c>
      <c r="S641" t="s">
        <v>63</v>
      </c>
      <c r="T641" s="5">
        <v>10950</v>
      </c>
      <c r="U641" s="6">
        <v>5</v>
      </c>
      <c r="V641" t="s">
        <v>64</v>
      </c>
      <c r="W641" s="4"/>
      <c r="X641" t="s">
        <v>65</v>
      </c>
      <c r="Y641" t="s">
        <v>64</v>
      </c>
      <c r="Z641" t="s">
        <v>78</v>
      </c>
    </row>
    <row r="642" spans="1:26">
      <c r="A642" t="s">
        <v>1261</v>
      </c>
      <c r="B642" t="s">
        <v>1243</v>
      </c>
      <c r="C642" s="4">
        <v>46075</v>
      </c>
      <c r="D642" t="s">
        <v>234</v>
      </c>
      <c r="E642" t="s">
        <v>70</v>
      </c>
      <c r="F642" s="4">
        <v>46076</v>
      </c>
      <c r="G642" s="4">
        <v>46076</v>
      </c>
      <c r="H642" t="s">
        <v>90</v>
      </c>
      <c r="I642" t="s">
        <v>128</v>
      </c>
      <c r="J642" t="s">
        <v>129</v>
      </c>
      <c r="K642" t="s">
        <v>60</v>
      </c>
      <c r="L642" t="s">
        <v>61</v>
      </c>
      <c r="M642" s="5">
        <v>39400</v>
      </c>
      <c r="N642" s="5">
        <v>5050</v>
      </c>
      <c r="O642" s="5">
        <v>5750</v>
      </c>
      <c r="P642" s="5">
        <v>0</v>
      </c>
      <c r="Q642" s="5">
        <v>52200</v>
      </c>
      <c r="R642" t="s">
        <v>75</v>
      </c>
      <c r="S642" t="s">
        <v>76</v>
      </c>
      <c r="T642" s="5">
        <v>23790</v>
      </c>
      <c r="U642" s="6">
        <v>4</v>
      </c>
      <c r="V642" t="s">
        <v>77</v>
      </c>
      <c r="W642" s="4">
        <v>46090</v>
      </c>
      <c r="X642" t="s">
        <v>77</v>
      </c>
      <c r="Y642" t="s">
        <v>77</v>
      </c>
      <c r="Z642" t="s">
        <v>96</v>
      </c>
    </row>
    <row r="643" spans="1:26">
      <c r="A643" t="s">
        <v>1262</v>
      </c>
      <c r="B643" t="s">
        <v>799</v>
      </c>
      <c r="C643" s="4">
        <v>46123</v>
      </c>
      <c r="D643" t="s">
        <v>284</v>
      </c>
      <c r="E643" t="s">
        <v>177</v>
      </c>
      <c r="F643" s="4"/>
      <c r="G643" s="4"/>
      <c r="H643" t="s">
        <v>121</v>
      </c>
      <c r="I643" t="s">
        <v>251</v>
      </c>
      <c r="J643" t="s">
        <v>123</v>
      </c>
      <c r="K643" t="s">
        <v>124</v>
      </c>
      <c r="L643" t="s">
        <v>61</v>
      </c>
      <c r="M643" s="5"/>
      <c r="N643" s="5"/>
      <c r="O643" s="5"/>
      <c r="P643" s="5"/>
      <c r="Q643" s="5"/>
      <c r="R643" t="s">
        <v>95</v>
      </c>
      <c r="S643" t="s">
        <v>63</v>
      </c>
      <c r="T643" s="5"/>
      <c r="U643" s="6"/>
      <c r="V643" t="s">
        <v>64</v>
      </c>
      <c r="W643" s="4"/>
      <c r="X643" t="s">
        <v>65</v>
      </c>
      <c r="Z643" t="s">
        <v>66</v>
      </c>
    </row>
    <row r="644" spans="1:26">
      <c r="A644" t="s">
        <v>1263</v>
      </c>
      <c r="B644" t="s">
        <v>1240</v>
      </c>
      <c r="C644" s="4">
        <v>46129</v>
      </c>
      <c r="D644" t="s">
        <v>250</v>
      </c>
      <c r="E644" t="s">
        <v>70</v>
      </c>
      <c r="F644" s="4">
        <v>46129</v>
      </c>
      <c r="G644" s="4">
        <v>46130</v>
      </c>
      <c r="H644" t="s">
        <v>201</v>
      </c>
      <c r="I644" t="s">
        <v>202</v>
      </c>
      <c r="J644" t="s">
        <v>281</v>
      </c>
      <c r="K644" t="s">
        <v>73</v>
      </c>
      <c r="L644" t="s">
        <v>94</v>
      </c>
      <c r="M644" s="5">
        <v>8600</v>
      </c>
      <c r="N644" s="5">
        <v>750</v>
      </c>
      <c r="O644" s="5">
        <v>1950</v>
      </c>
      <c r="P644" s="5">
        <v>3000</v>
      </c>
      <c r="Q644" s="5">
        <v>16800</v>
      </c>
      <c r="R644" t="s">
        <v>62</v>
      </c>
      <c r="S644" t="s">
        <v>76</v>
      </c>
      <c r="T644" s="5">
        <v>5440</v>
      </c>
      <c r="U644" s="6">
        <v>4</v>
      </c>
      <c r="V644" t="s">
        <v>77</v>
      </c>
      <c r="W644" s="4">
        <v>46151</v>
      </c>
      <c r="X644" t="s">
        <v>77</v>
      </c>
      <c r="Y644" t="s">
        <v>64</v>
      </c>
      <c r="Z644" t="s">
        <v>96</v>
      </c>
    </row>
    <row r="645" spans="1:26">
      <c r="A645" t="s">
        <v>1264</v>
      </c>
      <c r="B645" t="s">
        <v>1251</v>
      </c>
      <c r="C645" s="4">
        <v>46030</v>
      </c>
      <c r="D645" t="s">
        <v>55</v>
      </c>
      <c r="E645" t="s">
        <v>70</v>
      </c>
      <c r="F645" s="4">
        <v>46030</v>
      </c>
      <c r="G645" s="4">
        <v>46031</v>
      </c>
      <c r="H645" t="s">
        <v>103</v>
      </c>
      <c r="I645" t="s">
        <v>207</v>
      </c>
      <c r="J645" t="s">
        <v>244</v>
      </c>
      <c r="K645" t="s">
        <v>60</v>
      </c>
      <c r="L645" t="s">
        <v>61</v>
      </c>
      <c r="M645" s="5">
        <v>74600</v>
      </c>
      <c r="N645" s="5">
        <v>13000</v>
      </c>
      <c r="O645" s="5">
        <v>14200</v>
      </c>
      <c r="P645" s="5">
        <v>3000</v>
      </c>
      <c r="Q645" s="5">
        <v>106300</v>
      </c>
      <c r="R645" t="s">
        <v>141</v>
      </c>
      <c r="S645" t="s">
        <v>76</v>
      </c>
      <c r="T645" s="5">
        <v>17140</v>
      </c>
      <c r="U645" s="6">
        <v>4</v>
      </c>
      <c r="V645" t="s">
        <v>77</v>
      </c>
      <c r="W645" s="4">
        <v>46052</v>
      </c>
      <c r="X645" t="s">
        <v>77</v>
      </c>
      <c r="Y645" t="s">
        <v>64</v>
      </c>
      <c r="Z645" t="s">
        <v>107</v>
      </c>
    </row>
    <row r="646" spans="1:26">
      <c r="A646" t="s">
        <v>1265</v>
      </c>
      <c r="B646" t="s">
        <v>547</v>
      </c>
      <c r="C646" s="4">
        <v>46144</v>
      </c>
      <c r="D646" t="s">
        <v>284</v>
      </c>
      <c r="E646" t="s">
        <v>70</v>
      </c>
      <c r="F646" s="4">
        <v>46144</v>
      </c>
      <c r="G646" s="4">
        <v>46148</v>
      </c>
      <c r="H646" t="s">
        <v>178</v>
      </c>
      <c r="I646" t="s">
        <v>415</v>
      </c>
      <c r="J646" t="s">
        <v>340</v>
      </c>
      <c r="K646" t="s">
        <v>93</v>
      </c>
      <c r="L646" t="s">
        <v>74</v>
      </c>
      <c r="M646" s="5">
        <v>85200</v>
      </c>
      <c r="N646" s="5">
        <v>8850</v>
      </c>
      <c r="O646" s="5">
        <v>18500</v>
      </c>
      <c r="P646" s="5">
        <v>14000</v>
      </c>
      <c r="Q646" s="5">
        <v>127350</v>
      </c>
      <c r="R646" t="s">
        <v>75</v>
      </c>
      <c r="S646" t="s">
        <v>76</v>
      </c>
      <c r="T646" s="5">
        <v>57610</v>
      </c>
      <c r="U646" s="6">
        <v>2</v>
      </c>
      <c r="V646" t="s">
        <v>77</v>
      </c>
      <c r="W646" s="4">
        <v>46161</v>
      </c>
      <c r="X646" t="s">
        <v>64</v>
      </c>
      <c r="Y646" t="s">
        <v>77</v>
      </c>
      <c r="Z646" t="s">
        <v>78</v>
      </c>
    </row>
    <row r="647" spans="1:26">
      <c r="A647" t="s">
        <v>1266</v>
      </c>
      <c r="B647" t="s">
        <v>640</v>
      </c>
      <c r="C647" s="4">
        <v>46117</v>
      </c>
      <c r="D647" t="s">
        <v>266</v>
      </c>
      <c r="E647" t="s">
        <v>70</v>
      </c>
      <c r="F647" s="4">
        <v>46117</v>
      </c>
      <c r="G647" s="4">
        <v>46120</v>
      </c>
      <c r="H647" t="s">
        <v>150</v>
      </c>
      <c r="I647" t="s">
        <v>228</v>
      </c>
      <c r="J647" t="s">
        <v>152</v>
      </c>
      <c r="K647" t="s">
        <v>93</v>
      </c>
      <c r="L647" t="s">
        <v>61</v>
      </c>
      <c r="M647" s="5">
        <v>25400</v>
      </c>
      <c r="N647" s="5">
        <v>3400</v>
      </c>
      <c r="O647" s="5">
        <v>2950</v>
      </c>
      <c r="P647" s="5">
        <v>10500</v>
      </c>
      <c r="Q647" s="5">
        <v>43750</v>
      </c>
      <c r="R647" t="s">
        <v>95</v>
      </c>
      <c r="S647" t="s">
        <v>63</v>
      </c>
      <c r="T647" s="5">
        <v>43750</v>
      </c>
      <c r="U647" s="6">
        <v>3</v>
      </c>
      <c r="V647" t="s">
        <v>64</v>
      </c>
      <c r="W647" s="4"/>
      <c r="X647" t="s">
        <v>65</v>
      </c>
      <c r="Y647" t="s">
        <v>64</v>
      </c>
      <c r="Z647" t="s">
        <v>436</v>
      </c>
    </row>
    <row r="648" spans="1:26">
      <c r="A648" t="s">
        <v>1267</v>
      </c>
      <c r="B648" t="s">
        <v>589</v>
      </c>
      <c r="C648" s="4">
        <v>46070</v>
      </c>
      <c r="D648" t="s">
        <v>99</v>
      </c>
      <c r="E648" t="s">
        <v>70</v>
      </c>
      <c r="F648" s="4">
        <v>46070</v>
      </c>
      <c r="G648" s="4">
        <v>46072</v>
      </c>
      <c r="H648" t="s">
        <v>57</v>
      </c>
      <c r="I648" t="s">
        <v>71</v>
      </c>
      <c r="J648" t="s">
        <v>72</v>
      </c>
      <c r="K648" t="s">
        <v>93</v>
      </c>
      <c r="L648" t="s">
        <v>146</v>
      </c>
      <c r="M648" s="5">
        <v>6900</v>
      </c>
      <c r="N648" s="5">
        <v>1250</v>
      </c>
      <c r="O648" s="5">
        <v>950</v>
      </c>
      <c r="P648" s="5">
        <v>9000</v>
      </c>
      <c r="Q648" s="5">
        <v>19900</v>
      </c>
      <c r="R648" t="s">
        <v>106</v>
      </c>
      <c r="S648" t="s">
        <v>86</v>
      </c>
      <c r="T648" s="5">
        <v>7660</v>
      </c>
      <c r="U648" s="6">
        <v>4</v>
      </c>
      <c r="V648" t="s">
        <v>77</v>
      </c>
      <c r="W648" s="4">
        <v>46087</v>
      </c>
      <c r="X648" t="s">
        <v>77</v>
      </c>
      <c r="Y648" t="s">
        <v>64</v>
      </c>
      <c r="Z648" t="s">
        <v>107</v>
      </c>
    </row>
    <row r="649" spans="1:26">
      <c r="A649" t="s">
        <v>1268</v>
      </c>
      <c r="B649" t="s">
        <v>1076</v>
      </c>
      <c r="C649" s="4">
        <v>46110</v>
      </c>
      <c r="D649" t="s">
        <v>225</v>
      </c>
      <c r="E649" t="s">
        <v>70</v>
      </c>
      <c r="F649" s="4">
        <v>46110</v>
      </c>
      <c r="G649" s="4">
        <v>46116</v>
      </c>
      <c r="H649" t="s">
        <v>178</v>
      </c>
      <c r="I649" t="s">
        <v>339</v>
      </c>
      <c r="J649" t="s">
        <v>340</v>
      </c>
      <c r="K649" t="s">
        <v>93</v>
      </c>
      <c r="L649" t="s">
        <v>94</v>
      </c>
      <c r="M649" s="5">
        <v>84900</v>
      </c>
      <c r="N649" s="5">
        <v>14100</v>
      </c>
      <c r="O649" s="5">
        <v>14100</v>
      </c>
      <c r="P649" s="5">
        <v>36000</v>
      </c>
      <c r="Q649" s="5">
        <v>149900</v>
      </c>
      <c r="R649" t="s">
        <v>106</v>
      </c>
      <c r="S649" t="s">
        <v>76</v>
      </c>
      <c r="T649" s="5">
        <v>53160</v>
      </c>
      <c r="U649" s="6">
        <v>3</v>
      </c>
      <c r="V649" t="s">
        <v>64</v>
      </c>
      <c r="W649" s="4"/>
      <c r="X649" t="s">
        <v>65</v>
      </c>
      <c r="Y649" t="s">
        <v>77</v>
      </c>
      <c r="Z649" t="s">
        <v>96</v>
      </c>
    </row>
    <row r="650" spans="1:26">
      <c r="A650" t="s">
        <v>1269</v>
      </c>
      <c r="B650" t="s">
        <v>1270</v>
      </c>
      <c r="C650" s="4">
        <v>46163</v>
      </c>
      <c r="D650" t="s">
        <v>168</v>
      </c>
      <c r="E650" t="s">
        <v>70</v>
      </c>
      <c r="F650" s="4">
        <v>46163</v>
      </c>
      <c r="G650" s="4">
        <v>46167</v>
      </c>
      <c r="H650" t="s">
        <v>201</v>
      </c>
      <c r="I650" t="s">
        <v>280</v>
      </c>
      <c r="J650" t="s">
        <v>203</v>
      </c>
      <c r="K650" t="s">
        <v>124</v>
      </c>
      <c r="L650" t="s">
        <v>61</v>
      </c>
      <c r="M650" s="5">
        <v>35800</v>
      </c>
      <c r="N650" s="5">
        <v>4800</v>
      </c>
      <c r="O650" s="5">
        <v>4050</v>
      </c>
      <c r="P650" s="5">
        <v>24000</v>
      </c>
      <c r="Q650" s="5">
        <v>69650</v>
      </c>
      <c r="R650" t="s">
        <v>75</v>
      </c>
      <c r="S650" t="s">
        <v>76</v>
      </c>
      <c r="T650" s="5">
        <v>31640</v>
      </c>
      <c r="U650" s="6">
        <v>4</v>
      </c>
      <c r="V650" t="s">
        <v>77</v>
      </c>
      <c r="W650" s="4">
        <v>46174</v>
      </c>
      <c r="X650" t="s">
        <v>77</v>
      </c>
      <c r="Y650" t="s">
        <v>64</v>
      </c>
      <c r="Z650" t="s">
        <v>107</v>
      </c>
    </row>
    <row r="651" spans="1:26">
      <c r="A651" t="s">
        <v>1271</v>
      </c>
      <c r="B651" t="s">
        <v>1272</v>
      </c>
      <c r="C651" s="4">
        <v>46164</v>
      </c>
      <c r="D651" t="s">
        <v>200</v>
      </c>
      <c r="E651" t="s">
        <v>177</v>
      </c>
      <c r="F651" s="4"/>
      <c r="G651" s="4"/>
      <c r="H651" t="s">
        <v>103</v>
      </c>
      <c r="I651" t="s">
        <v>104</v>
      </c>
      <c r="J651" t="s">
        <v>145</v>
      </c>
      <c r="K651" t="s">
        <v>73</v>
      </c>
      <c r="L651" t="s">
        <v>61</v>
      </c>
      <c r="M651" s="5"/>
      <c r="N651" s="5"/>
      <c r="O651" s="5"/>
      <c r="P651" s="5"/>
      <c r="Q651" s="5"/>
      <c r="R651" t="s">
        <v>62</v>
      </c>
      <c r="S651" t="s">
        <v>63</v>
      </c>
      <c r="T651" s="5"/>
      <c r="U651" s="6"/>
      <c r="V651" t="s">
        <v>64</v>
      </c>
      <c r="W651" s="4"/>
      <c r="X651" t="s">
        <v>65</v>
      </c>
      <c r="Z651" t="s">
        <v>66</v>
      </c>
    </row>
    <row r="652" spans="1:26">
      <c r="A652" t="s">
        <v>1273</v>
      </c>
      <c r="B652" t="s">
        <v>657</v>
      </c>
      <c r="C652" s="4">
        <v>46023</v>
      </c>
      <c r="D652" t="s">
        <v>284</v>
      </c>
      <c r="E652" t="s">
        <v>70</v>
      </c>
      <c r="F652" s="4">
        <v>46023</v>
      </c>
      <c r="G652" s="4">
        <v>46023</v>
      </c>
      <c r="H652" t="s">
        <v>90</v>
      </c>
      <c r="I652" t="s">
        <v>299</v>
      </c>
      <c r="J652" t="s">
        <v>92</v>
      </c>
      <c r="K652" t="s">
        <v>60</v>
      </c>
      <c r="L652" t="s">
        <v>94</v>
      </c>
      <c r="M652" s="5">
        <v>62000</v>
      </c>
      <c r="N652" s="5">
        <v>10700</v>
      </c>
      <c r="O652" s="5">
        <v>11450</v>
      </c>
      <c r="P652" s="5">
        <v>0</v>
      </c>
      <c r="Q652" s="5">
        <v>85650</v>
      </c>
      <c r="R652" t="s">
        <v>95</v>
      </c>
      <c r="S652" t="s">
        <v>63</v>
      </c>
      <c r="T652" s="5">
        <v>85650</v>
      </c>
      <c r="U652" s="6">
        <v>4</v>
      </c>
      <c r="V652" t="s">
        <v>77</v>
      </c>
      <c r="W652" s="4">
        <v>46030</v>
      </c>
      <c r="X652" t="s">
        <v>77</v>
      </c>
      <c r="Y652" t="s">
        <v>64</v>
      </c>
      <c r="Z652" t="s">
        <v>436</v>
      </c>
    </row>
    <row r="653" spans="1:26">
      <c r="A653" t="s">
        <v>1274</v>
      </c>
      <c r="B653" t="s">
        <v>1081</v>
      </c>
      <c r="C653" s="4">
        <v>46172</v>
      </c>
      <c r="D653" t="s">
        <v>127</v>
      </c>
      <c r="E653" t="s">
        <v>56</v>
      </c>
      <c r="F653" s="4"/>
      <c r="G653" s="4"/>
      <c r="H653" t="s">
        <v>138</v>
      </c>
      <c r="I653" t="s">
        <v>343</v>
      </c>
      <c r="J653" t="s">
        <v>236</v>
      </c>
      <c r="K653" t="s">
        <v>60</v>
      </c>
      <c r="L653" t="s">
        <v>61</v>
      </c>
      <c r="M653" s="5"/>
      <c r="N653" s="5"/>
      <c r="O653" s="5"/>
      <c r="P653" s="5"/>
      <c r="Q653" s="5"/>
      <c r="R653" t="s">
        <v>75</v>
      </c>
      <c r="S653" t="s">
        <v>63</v>
      </c>
      <c r="T653" s="5"/>
      <c r="U653" s="6"/>
      <c r="V653" t="s">
        <v>64</v>
      </c>
      <c r="W653" s="4"/>
      <c r="X653" t="s">
        <v>65</v>
      </c>
      <c r="Z653" t="s">
        <v>66</v>
      </c>
    </row>
    <row r="654" spans="1:26">
      <c r="A654" t="s">
        <v>1275</v>
      </c>
      <c r="B654" t="s">
        <v>418</v>
      </c>
      <c r="C654" s="4">
        <v>46033</v>
      </c>
      <c r="D654" t="s">
        <v>259</v>
      </c>
      <c r="E654" t="s">
        <v>56</v>
      </c>
      <c r="F654" s="4"/>
      <c r="G654" s="4"/>
      <c r="H654" t="s">
        <v>90</v>
      </c>
      <c r="I654" t="s">
        <v>388</v>
      </c>
      <c r="J654" t="s">
        <v>129</v>
      </c>
      <c r="K654" t="s">
        <v>60</v>
      </c>
      <c r="L654" t="s">
        <v>146</v>
      </c>
      <c r="M654" s="5"/>
      <c r="N654" s="5"/>
      <c r="O654" s="5"/>
      <c r="P654" s="5"/>
      <c r="Q654" s="5"/>
      <c r="R654" t="s">
        <v>75</v>
      </c>
      <c r="S654" t="s">
        <v>63</v>
      </c>
      <c r="T654" s="5"/>
      <c r="U654" s="6"/>
      <c r="V654" t="s">
        <v>64</v>
      </c>
      <c r="W654" s="4"/>
      <c r="X654" t="s">
        <v>65</v>
      </c>
      <c r="Z654" t="s">
        <v>66</v>
      </c>
    </row>
    <row r="655" spans="1:26">
      <c r="A655" t="s">
        <v>1276</v>
      </c>
      <c r="B655" t="s">
        <v>1277</v>
      </c>
      <c r="C655" s="4">
        <v>46107</v>
      </c>
      <c r="D655" t="s">
        <v>99</v>
      </c>
      <c r="E655" t="s">
        <v>314</v>
      </c>
      <c r="F655" s="4"/>
      <c r="G655" s="4"/>
      <c r="H655" t="s">
        <v>201</v>
      </c>
      <c r="I655" t="s">
        <v>327</v>
      </c>
      <c r="J655" t="s">
        <v>281</v>
      </c>
      <c r="K655" t="s">
        <v>73</v>
      </c>
      <c r="L655" t="s">
        <v>74</v>
      </c>
      <c r="M655" s="5"/>
      <c r="N655" s="5"/>
      <c r="O655" s="5"/>
      <c r="P655" s="5"/>
      <c r="Q655" s="5"/>
      <c r="R655" t="s">
        <v>134</v>
      </c>
      <c r="S655" t="s">
        <v>63</v>
      </c>
      <c r="T655" s="5"/>
      <c r="U655" s="6"/>
      <c r="V655" t="s">
        <v>64</v>
      </c>
      <c r="W655" s="4"/>
      <c r="X655" t="s">
        <v>65</v>
      </c>
      <c r="Z655" t="s">
        <v>66</v>
      </c>
    </row>
    <row r="656" spans="1:26">
      <c r="A656" t="s">
        <v>1278</v>
      </c>
      <c r="B656" t="s">
        <v>109</v>
      </c>
      <c r="C656" s="4">
        <v>46072</v>
      </c>
      <c r="D656" t="s">
        <v>259</v>
      </c>
      <c r="E656" t="s">
        <v>314</v>
      </c>
      <c r="F656" s="4"/>
      <c r="G656" s="4"/>
      <c r="H656" t="s">
        <v>103</v>
      </c>
      <c r="I656" t="s">
        <v>104</v>
      </c>
      <c r="J656" t="s">
        <v>244</v>
      </c>
      <c r="K656" t="s">
        <v>60</v>
      </c>
      <c r="L656" t="s">
        <v>74</v>
      </c>
      <c r="M656" s="5"/>
      <c r="N656" s="5"/>
      <c r="O656" s="5"/>
      <c r="P656" s="5"/>
      <c r="Q656" s="5"/>
      <c r="R656" t="s">
        <v>75</v>
      </c>
      <c r="S656" t="s">
        <v>63</v>
      </c>
      <c r="T656" s="5"/>
      <c r="U656" s="6"/>
      <c r="V656" t="s">
        <v>64</v>
      </c>
      <c r="W656" s="4"/>
      <c r="X656" t="s">
        <v>65</v>
      </c>
      <c r="Z656" t="s">
        <v>66</v>
      </c>
    </row>
    <row r="657" spans="1:26">
      <c r="A657" t="s">
        <v>1279</v>
      </c>
      <c r="B657" t="s">
        <v>1280</v>
      </c>
      <c r="C657" s="4">
        <v>46160</v>
      </c>
      <c r="D657" t="s">
        <v>69</v>
      </c>
      <c r="E657" t="s">
        <v>70</v>
      </c>
      <c r="F657" s="4">
        <v>46160</v>
      </c>
      <c r="G657" s="4">
        <v>46160</v>
      </c>
      <c r="H657" t="s">
        <v>90</v>
      </c>
      <c r="I657" t="s">
        <v>133</v>
      </c>
      <c r="J657" t="s">
        <v>197</v>
      </c>
      <c r="K657" t="s">
        <v>93</v>
      </c>
      <c r="L657" t="s">
        <v>61</v>
      </c>
      <c r="M657" s="5">
        <v>14200</v>
      </c>
      <c r="N657" s="5">
        <v>2400</v>
      </c>
      <c r="O657" s="5">
        <v>1550</v>
      </c>
      <c r="P657" s="5">
        <v>0</v>
      </c>
      <c r="Q657" s="5">
        <v>20150</v>
      </c>
      <c r="R657" t="s">
        <v>95</v>
      </c>
      <c r="S657" t="s">
        <v>63</v>
      </c>
      <c r="T657" s="5">
        <v>20150</v>
      </c>
      <c r="U657" s="6">
        <v>5</v>
      </c>
      <c r="V657" t="s">
        <v>64</v>
      </c>
      <c r="W657" s="4"/>
      <c r="X657" t="s">
        <v>65</v>
      </c>
      <c r="Y657" t="s">
        <v>64</v>
      </c>
      <c r="Z657" t="s">
        <v>96</v>
      </c>
    </row>
    <row r="658" spans="1:26">
      <c r="A658" t="s">
        <v>1281</v>
      </c>
      <c r="B658" t="s">
        <v>980</v>
      </c>
      <c r="C658" s="4">
        <v>46140</v>
      </c>
      <c r="D658" t="s">
        <v>200</v>
      </c>
      <c r="E658" t="s">
        <v>70</v>
      </c>
      <c r="F658" s="4">
        <v>46140</v>
      </c>
      <c r="G658" s="4">
        <v>46140</v>
      </c>
      <c r="H658" t="s">
        <v>82</v>
      </c>
      <c r="I658" t="s">
        <v>155</v>
      </c>
      <c r="J658" t="s">
        <v>156</v>
      </c>
      <c r="K658" t="s">
        <v>60</v>
      </c>
      <c r="L658" t="s">
        <v>61</v>
      </c>
      <c r="M658" s="5">
        <v>93900</v>
      </c>
      <c r="N658" s="5">
        <v>10700</v>
      </c>
      <c r="O658" s="5">
        <v>23300</v>
      </c>
      <c r="P658" s="5">
        <v>0</v>
      </c>
      <c r="Q658" s="5">
        <v>130400</v>
      </c>
      <c r="R658" t="s">
        <v>75</v>
      </c>
      <c r="S658" t="s">
        <v>76</v>
      </c>
      <c r="T658" s="5">
        <v>58980</v>
      </c>
      <c r="U658" s="6">
        <v>2</v>
      </c>
      <c r="V658" t="s">
        <v>77</v>
      </c>
      <c r="W658" s="4">
        <v>46148</v>
      </c>
      <c r="X658" t="s">
        <v>64</v>
      </c>
      <c r="Y658" t="s">
        <v>77</v>
      </c>
      <c r="Z658" t="s">
        <v>96</v>
      </c>
    </row>
    <row r="659" spans="1:26">
      <c r="A659" t="s">
        <v>1282</v>
      </c>
      <c r="B659" t="s">
        <v>649</v>
      </c>
      <c r="C659" s="4">
        <v>46125</v>
      </c>
      <c r="D659" t="s">
        <v>55</v>
      </c>
      <c r="E659" t="s">
        <v>70</v>
      </c>
      <c r="F659" s="4">
        <v>46126</v>
      </c>
      <c r="G659" s="4">
        <v>46129</v>
      </c>
      <c r="H659" t="s">
        <v>90</v>
      </c>
      <c r="I659" t="s">
        <v>133</v>
      </c>
      <c r="J659" t="s">
        <v>129</v>
      </c>
      <c r="K659" t="s">
        <v>124</v>
      </c>
      <c r="L659" t="s">
        <v>94</v>
      </c>
      <c r="M659" s="5"/>
      <c r="N659" s="5">
        <v>4250</v>
      </c>
      <c r="O659" s="5">
        <v>3800</v>
      </c>
      <c r="P659" s="5">
        <v>18000</v>
      </c>
      <c r="Q659" s="5">
        <v>58950</v>
      </c>
      <c r="R659" t="s">
        <v>62</v>
      </c>
      <c r="S659" t="s">
        <v>76</v>
      </c>
      <c r="T659" s="5">
        <v>18090</v>
      </c>
      <c r="U659" s="6">
        <v>3</v>
      </c>
      <c r="V659" t="s">
        <v>77</v>
      </c>
      <c r="W659" s="4">
        <v>46136</v>
      </c>
      <c r="X659" t="s">
        <v>77</v>
      </c>
      <c r="Y659" t="s">
        <v>64</v>
      </c>
      <c r="Z659" t="s">
        <v>96</v>
      </c>
    </row>
    <row r="660" spans="1:26">
      <c r="A660" t="s">
        <v>1283</v>
      </c>
      <c r="B660" t="s">
        <v>148</v>
      </c>
      <c r="C660" s="4">
        <v>46048</v>
      </c>
      <c r="D660" t="s">
        <v>173</v>
      </c>
      <c r="E660" t="s">
        <v>70</v>
      </c>
      <c r="F660" s="4">
        <v>46049</v>
      </c>
      <c r="G660" s="4">
        <v>46049</v>
      </c>
      <c r="H660" t="s">
        <v>57</v>
      </c>
      <c r="I660" t="s">
        <v>71</v>
      </c>
      <c r="J660" t="s">
        <v>72</v>
      </c>
      <c r="K660" t="s">
        <v>73</v>
      </c>
      <c r="L660" t="s">
        <v>61</v>
      </c>
      <c r="M660" s="5">
        <v>8200</v>
      </c>
      <c r="N660" s="5">
        <v>850</v>
      </c>
      <c r="O660" s="5">
        <v>1550</v>
      </c>
      <c r="P660" s="5">
        <v>0</v>
      </c>
      <c r="Q660" s="5">
        <v>12400</v>
      </c>
      <c r="R660" t="s">
        <v>75</v>
      </c>
      <c r="S660" t="s">
        <v>76</v>
      </c>
      <c r="T660" s="5">
        <v>5880</v>
      </c>
      <c r="U660" s="6">
        <v>5</v>
      </c>
      <c r="V660" t="s">
        <v>77</v>
      </c>
      <c r="W660" s="4">
        <v>46058</v>
      </c>
      <c r="X660" t="s">
        <v>77</v>
      </c>
      <c r="Y660" t="s">
        <v>64</v>
      </c>
      <c r="Z660" t="s">
        <v>107</v>
      </c>
    </row>
    <row r="661" spans="1:26">
      <c r="A661" t="s">
        <v>1284</v>
      </c>
      <c r="B661" t="s">
        <v>653</v>
      </c>
      <c r="C661" s="4">
        <v>46069</v>
      </c>
      <c r="D661" t="s">
        <v>120</v>
      </c>
      <c r="E661" t="s">
        <v>70</v>
      </c>
      <c r="F661" s="4">
        <v>46070</v>
      </c>
      <c r="G661" s="4">
        <v>46073</v>
      </c>
      <c r="H661" t="s">
        <v>150</v>
      </c>
      <c r="I661" t="s">
        <v>239</v>
      </c>
      <c r="J661" t="s">
        <v>229</v>
      </c>
      <c r="K661" t="s">
        <v>73</v>
      </c>
      <c r="L661" t="s">
        <v>61</v>
      </c>
      <c r="M661" s="5">
        <v>40500</v>
      </c>
      <c r="N661" s="5">
        <v>6600</v>
      </c>
      <c r="O661" s="5">
        <v>5250</v>
      </c>
      <c r="P661" s="5">
        <v>9000</v>
      </c>
      <c r="Q661" s="5">
        <v>63150</v>
      </c>
      <c r="R661" t="s">
        <v>62</v>
      </c>
      <c r="S661" t="s">
        <v>76</v>
      </c>
      <c r="T661" s="5">
        <v>19350</v>
      </c>
      <c r="U661" s="6">
        <v>5</v>
      </c>
      <c r="V661" t="s">
        <v>64</v>
      </c>
      <c r="W661" s="4"/>
      <c r="X661" t="s">
        <v>65</v>
      </c>
      <c r="Y661" t="s">
        <v>64</v>
      </c>
      <c r="Z661" t="s">
        <v>96</v>
      </c>
    </row>
    <row r="662" spans="1:26">
      <c r="A662" t="s">
        <v>1285</v>
      </c>
      <c r="B662" t="s">
        <v>143</v>
      </c>
      <c r="C662" s="4">
        <v>46093</v>
      </c>
      <c r="D662" t="s">
        <v>120</v>
      </c>
      <c r="E662" t="s">
        <v>70</v>
      </c>
      <c r="F662" s="4">
        <v>46093</v>
      </c>
      <c r="G662" s="4">
        <v>46098</v>
      </c>
      <c r="H662" t="s">
        <v>57</v>
      </c>
      <c r="I662" t="s">
        <v>58</v>
      </c>
      <c r="J662" t="s">
        <v>59</v>
      </c>
      <c r="K662" t="s">
        <v>124</v>
      </c>
      <c r="L662" t="s">
        <v>74</v>
      </c>
      <c r="M662" s="5">
        <v>41300</v>
      </c>
      <c r="N662" s="5">
        <v>5100</v>
      </c>
      <c r="O662" s="5">
        <v>9050</v>
      </c>
      <c r="P662" s="5">
        <v>15000</v>
      </c>
      <c r="Q662" s="5">
        <v>72950</v>
      </c>
      <c r="R662" t="s">
        <v>141</v>
      </c>
      <c r="S662" t="s">
        <v>76</v>
      </c>
      <c r="T662" s="5">
        <v>12140</v>
      </c>
      <c r="U662" s="6">
        <v>5</v>
      </c>
      <c r="V662" t="s">
        <v>77</v>
      </c>
      <c r="W662" s="4">
        <v>46109</v>
      </c>
      <c r="X662" t="s">
        <v>77</v>
      </c>
      <c r="Y662" t="s">
        <v>64</v>
      </c>
      <c r="Z662" t="s">
        <v>96</v>
      </c>
    </row>
    <row r="663" spans="1:26">
      <c r="A663" t="s">
        <v>1286</v>
      </c>
      <c r="B663" t="s">
        <v>649</v>
      </c>
      <c r="C663" s="4">
        <v>46172</v>
      </c>
      <c r="D663" t="s">
        <v>432</v>
      </c>
      <c r="E663" t="s">
        <v>70</v>
      </c>
      <c r="F663" s="4">
        <v>46172</v>
      </c>
      <c r="G663" s="4">
        <v>46172</v>
      </c>
      <c r="H663" t="s">
        <v>57</v>
      </c>
      <c r="I663" t="s">
        <v>100</v>
      </c>
      <c r="J663" t="s">
        <v>59</v>
      </c>
      <c r="K663" t="s">
        <v>60</v>
      </c>
      <c r="L663" t="s">
        <v>94</v>
      </c>
      <c r="M663" s="5">
        <v>47800</v>
      </c>
      <c r="N663" s="5">
        <v>7650</v>
      </c>
      <c r="O663" s="5">
        <v>11500</v>
      </c>
      <c r="P663" s="5">
        <v>0</v>
      </c>
      <c r="Q663" s="5">
        <v>68950</v>
      </c>
      <c r="R663" t="s">
        <v>141</v>
      </c>
      <c r="S663" t="s">
        <v>76</v>
      </c>
      <c r="T663" s="5">
        <v>11540</v>
      </c>
      <c r="U663" s="6">
        <v>4</v>
      </c>
      <c r="V663" t="s">
        <v>64</v>
      </c>
      <c r="W663" s="4"/>
      <c r="X663" t="s">
        <v>65</v>
      </c>
      <c r="Y663" t="s">
        <v>64</v>
      </c>
      <c r="Z663" t="s">
        <v>96</v>
      </c>
    </row>
    <row r="664" spans="1:26">
      <c r="A664" t="s">
        <v>1287</v>
      </c>
      <c r="B664" t="s">
        <v>682</v>
      </c>
      <c r="C664" s="4">
        <v>46093</v>
      </c>
      <c r="D664" t="s">
        <v>294</v>
      </c>
      <c r="E664" t="s">
        <v>70</v>
      </c>
      <c r="F664" s="4">
        <v>46093</v>
      </c>
      <c r="G664" s="4">
        <v>46094</v>
      </c>
      <c r="H664" t="s">
        <v>57</v>
      </c>
      <c r="I664" t="s">
        <v>71</v>
      </c>
      <c r="J664" t="s">
        <v>170</v>
      </c>
      <c r="K664" t="s">
        <v>60</v>
      </c>
      <c r="L664" t="s">
        <v>61</v>
      </c>
      <c r="M664" s="5">
        <v>58100</v>
      </c>
      <c r="N664" s="5">
        <v>5450</v>
      </c>
      <c r="O664" s="5">
        <v>9300</v>
      </c>
      <c r="P664" s="5">
        <v>3500</v>
      </c>
      <c r="Q664" s="5">
        <v>78150</v>
      </c>
      <c r="R664" t="s">
        <v>62</v>
      </c>
      <c r="S664" t="s">
        <v>86</v>
      </c>
      <c r="T664" s="5">
        <v>23850</v>
      </c>
      <c r="U664" s="6">
        <v>4</v>
      </c>
      <c r="V664" t="s">
        <v>77</v>
      </c>
      <c r="W664" s="4">
        <v>46110</v>
      </c>
      <c r="X664" t="s">
        <v>77</v>
      </c>
      <c r="Y664" t="s">
        <v>64</v>
      </c>
      <c r="Z664" t="s">
        <v>96</v>
      </c>
    </row>
    <row r="665" spans="1:26">
      <c r="A665" t="s">
        <v>1288</v>
      </c>
      <c r="B665" t="s">
        <v>929</v>
      </c>
      <c r="C665" s="4">
        <v>46170</v>
      </c>
      <c r="D665" t="s">
        <v>127</v>
      </c>
      <c r="E665" t="s">
        <v>70</v>
      </c>
      <c r="F665" s="4">
        <v>46170</v>
      </c>
      <c r="G665" s="4">
        <v>46170</v>
      </c>
      <c r="H665" t="s">
        <v>57</v>
      </c>
      <c r="I665" t="s">
        <v>100</v>
      </c>
      <c r="J665" t="s">
        <v>72</v>
      </c>
      <c r="K665" t="s">
        <v>60</v>
      </c>
      <c r="L665" t="s">
        <v>94</v>
      </c>
      <c r="M665" s="5">
        <v>9000</v>
      </c>
      <c r="N665" s="5">
        <v>800</v>
      </c>
      <c r="O665" s="5">
        <v>2200</v>
      </c>
      <c r="P665" s="5">
        <v>0</v>
      </c>
      <c r="Q665" s="5">
        <v>14000</v>
      </c>
      <c r="R665" t="s">
        <v>75</v>
      </c>
      <c r="S665" t="s">
        <v>86</v>
      </c>
      <c r="T665" s="5">
        <v>6600</v>
      </c>
      <c r="U665" s="6">
        <v>4</v>
      </c>
      <c r="V665" t="s">
        <v>64</v>
      </c>
      <c r="W665" s="4"/>
      <c r="X665" t="s">
        <v>65</v>
      </c>
      <c r="Y665" t="s">
        <v>64</v>
      </c>
      <c r="Z665" t="s">
        <v>96</v>
      </c>
    </row>
    <row r="666" spans="1:26">
      <c r="A666" t="s">
        <v>1289</v>
      </c>
      <c r="B666" t="s">
        <v>815</v>
      </c>
      <c r="C666" s="4">
        <v>46130</v>
      </c>
      <c r="D666" t="s">
        <v>234</v>
      </c>
      <c r="E666" t="s">
        <v>177</v>
      </c>
      <c r="F666" s="4"/>
      <c r="G666" s="4"/>
      <c r="H666" t="s">
        <v>121</v>
      </c>
      <c r="I666" t="s">
        <v>122</v>
      </c>
      <c r="J666" t="s">
        <v>252</v>
      </c>
      <c r="K666" t="s">
        <v>124</v>
      </c>
      <c r="L666" t="s">
        <v>74</v>
      </c>
      <c r="M666" s="5"/>
      <c r="N666" s="5"/>
      <c r="O666" s="5"/>
      <c r="P666" s="5"/>
      <c r="Q666" s="5"/>
      <c r="R666" t="s">
        <v>106</v>
      </c>
      <c r="S666" t="s">
        <v>63</v>
      </c>
      <c r="T666" s="5"/>
      <c r="U666" s="6"/>
      <c r="V666" t="s">
        <v>64</v>
      </c>
      <c r="W666" s="4"/>
      <c r="X666" t="s">
        <v>65</v>
      </c>
      <c r="Z666" t="s">
        <v>66</v>
      </c>
    </row>
    <row r="667" spans="1:26">
      <c r="A667" t="s">
        <v>1290</v>
      </c>
      <c r="B667" t="s">
        <v>1291</v>
      </c>
      <c r="C667" s="4">
        <v>46025</v>
      </c>
      <c r="D667" t="s">
        <v>120</v>
      </c>
      <c r="E667" t="s">
        <v>70</v>
      </c>
      <c r="F667" s="4">
        <v>46025</v>
      </c>
      <c r="G667" s="4">
        <v>46025</v>
      </c>
      <c r="H667" t="s">
        <v>57</v>
      </c>
      <c r="I667" t="s">
        <v>184</v>
      </c>
      <c r="J667" t="s">
        <v>72</v>
      </c>
      <c r="K667" t="s">
        <v>60</v>
      </c>
      <c r="L667" t="s">
        <v>61</v>
      </c>
      <c r="M667" s="5">
        <v>6500</v>
      </c>
      <c r="N667" s="5">
        <v>600</v>
      </c>
      <c r="O667" s="5">
        <v>1600</v>
      </c>
      <c r="P667" s="5">
        <v>0</v>
      </c>
      <c r="Q667" s="5">
        <v>9900</v>
      </c>
      <c r="R667" t="s">
        <v>62</v>
      </c>
      <c r="S667" t="s">
        <v>86</v>
      </c>
      <c r="T667" s="5">
        <v>3370</v>
      </c>
      <c r="U667" s="6">
        <v>4</v>
      </c>
      <c r="V667" t="s">
        <v>77</v>
      </c>
      <c r="W667" s="4">
        <v>46042</v>
      </c>
      <c r="X667" t="s">
        <v>64</v>
      </c>
      <c r="Y667" t="s">
        <v>64</v>
      </c>
      <c r="Z667" t="s">
        <v>436</v>
      </c>
    </row>
    <row r="668" spans="1:26">
      <c r="A668" t="s">
        <v>1292</v>
      </c>
      <c r="B668" t="s">
        <v>491</v>
      </c>
      <c r="C668" s="4">
        <v>46052</v>
      </c>
      <c r="D668" t="s">
        <v>363</v>
      </c>
      <c r="E668" t="s">
        <v>70</v>
      </c>
      <c r="F668" s="4">
        <v>46052</v>
      </c>
      <c r="G668" s="4">
        <v>46058</v>
      </c>
      <c r="H668" t="s">
        <v>111</v>
      </c>
      <c r="I668" t="s">
        <v>355</v>
      </c>
      <c r="J668" t="s">
        <v>384</v>
      </c>
      <c r="K668" t="s">
        <v>73</v>
      </c>
      <c r="L668" t="s">
        <v>94</v>
      </c>
      <c r="M668" s="5">
        <v>51700</v>
      </c>
      <c r="N668" s="5">
        <v>8900</v>
      </c>
      <c r="O668" s="5">
        <v>5400</v>
      </c>
      <c r="P668" s="5">
        <v>18000</v>
      </c>
      <c r="Q668" s="5">
        <v>85500</v>
      </c>
      <c r="R668" t="s">
        <v>95</v>
      </c>
      <c r="S668" t="s">
        <v>63</v>
      </c>
      <c r="T668" s="5">
        <v>85500</v>
      </c>
      <c r="U668" s="6">
        <v>3</v>
      </c>
      <c r="V668" t="s">
        <v>77</v>
      </c>
      <c r="W668" s="4">
        <v>46067</v>
      </c>
      <c r="X668" t="s">
        <v>77</v>
      </c>
      <c r="Y668" t="s">
        <v>77</v>
      </c>
      <c r="Z668" t="s">
        <v>107</v>
      </c>
    </row>
    <row r="669" spans="1:26">
      <c r="A669" t="s">
        <v>1293</v>
      </c>
      <c r="B669" t="s">
        <v>399</v>
      </c>
      <c r="C669" s="4">
        <v>46149</v>
      </c>
      <c r="D669" t="s">
        <v>279</v>
      </c>
      <c r="E669" t="s">
        <v>70</v>
      </c>
      <c r="F669" s="4">
        <v>46149</v>
      </c>
      <c r="G669" s="4">
        <v>46154</v>
      </c>
      <c r="H669" t="s">
        <v>178</v>
      </c>
      <c r="I669" t="s">
        <v>339</v>
      </c>
      <c r="J669" t="s">
        <v>180</v>
      </c>
      <c r="K669" t="s">
        <v>93</v>
      </c>
      <c r="L669" t="s">
        <v>61</v>
      </c>
      <c r="M669" s="5">
        <v>54600</v>
      </c>
      <c r="N669" s="5">
        <v>5850</v>
      </c>
      <c r="O669" s="5">
        <v>8950</v>
      </c>
      <c r="P669" s="5">
        <v>17500</v>
      </c>
      <c r="Q669" s="5">
        <v>87700</v>
      </c>
      <c r="R669" t="s">
        <v>95</v>
      </c>
      <c r="S669" t="s">
        <v>63</v>
      </c>
      <c r="T669" s="5">
        <v>87700</v>
      </c>
      <c r="U669" s="6">
        <v>4</v>
      </c>
      <c r="V669" t="s">
        <v>77</v>
      </c>
      <c r="W669" s="4">
        <v>46167</v>
      </c>
      <c r="X669" t="s">
        <v>77</v>
      </c>
      <c r="Y669" t="s">
        <v>64</v>
      </c>
      <c r="Z669" t="s">
        <v>107</v>
      </c>
    </row>
    <row r="670" spans="1:26">
      <c r="A670" t="s">
        <v>1294</v>
      </c>
      <c r="B670" t="s">
        <v>964</v>
      </c>
      <c r="C670" s="4">
        <v>46033</v>
      </c>
      <c r="D670" t="s">
        <v>55</v>
      </c>
      <c r="E670" t="s">
        <v>70</v>
      </c>
      <c r="F670" s="4">
        <v>46033</v>
      </c>
      <c r="G670" s="4">
        <v>46037</v>
      </c>
      <c r="H670" t="s">
        <v>178</v>
      </c>
      <c r="I670" t="s">
        <v>218</v>
      </c>
      <c r="J670" t="s">
        <v>358</v>
      </c>
      <c r="K670" t="s">
        <v>73</v>
      </c>
      <c r="L670" t="s">
        <v>61</v>
      </c>
      <c r="M670" s="5">
        <v>59700</v>
      </c>
      <c r="N670" s="5">
        <v>4800</v>
      </c>
      <c r="O670" s="5">
        <v>9000</v>
      </c>
      <c r="P670" s="5">
        <v>24000</v>
      </c>
      <c r="Q670" s="5">
        <v>99000</v>
      </c>
      <c r="R670" t="s">
        <v>95</v>
      </c>
      <c r="S670" t="s">
        <v>63</v>
      </c>
      <c r="T670" s="5">
        <v>99000</v>
      </c>
      <c r="U670" s="6">
        <v>4</v>
      </c>
      <c r="V670" t="s">
        <v>77</v>
      </c>
      <c r="W670" s="4">
        <v>46049</v>
      </c>
      <c r="X670" t="s">
        <v>77</v>
      </c>
      <c r="Y670" t="s">
        <v>64</v>
      </c>
      <c r="Z670" t="s">
        <v>78</v>
      </c>
    </row>
    <row r="671" spans="1:26">
      <c r="A671" t="s">
        <v>1295</v>
      </c>
      <c r="B671" t="s">
        <v>907</v>
      </c>
      <c r="C671" s="4">
        <v>46145</v>
      </c>
      <c r="D671" t="s">
        <v>419</v>
      </c>
      <c r="E671" t="s">
        <v>70</v>
      </c>
      <c r="F671" s="4">
        <v>46146</v>
      </c>
      <c r="G671" s="4">
        <v>46150</v>
      </c>
      <c r="H671" t="s">
        <v>138</v>
      </c>
      <c r="I671" t="s">
        <v>260</v>
      </c>
      <c r="J671" t="s">
        <v>236</v>
      </c>
      <c r="K671" t="s">
        <v>73</v>
      </c>
      <c r="L671" t="s">
        <v>74</v>
      </c>
      <c r="M671" s="5">
        <v>53100</v>
      </c>
      <c r="N671" s="5">
        <v>7000</v>
      </c>
      <c r="O671" s="5">
        <v>7500</v>
      </c>
      <c r="P671" s="5">
        <v>18000</v>
      </c>
      <c r="Q671" s="5">
        <v>88100</v>
      </c>
      <c r="R671" t="s">
        <v>75</v>
      </c>
      <c r="S671" t="s">
        <v>76</v>
      </c>
      <c r="T671" s="5">
        <v>39940</v>
      </c>
      <c r="U671" s="6">
        <v>4</v>
      </c>
      <c r="V671" t="s">
        <v>77</v>
      </c>
      <c r="W671" s="4">
        <v>46169</v>
      </c>
      <c r="X671" t="s">
        <v>77</v>
      </c>
      <c r="Y671" t="s">
        <v>64</v>
      </c>
      <c r="Z671" t="s">
        <v>96</v>
      </c>
    </row>
    <row r="672" spans="1:26">
      <c r="A672" t="s">
        <v>1296</v>
      </c>
      <c r="B672" t="s">
        <v>1297</v>
      </c>
      <c r="C672" s="4">
        <v>46164</v>
      </c>
      <c r="D672" t="s">
        <v>294</v>
      </c>
      <c r="E672" t="s">
        <v>70</v>
      </c>
      <c r="F672" s="4">
        <v>46164</v>
      </c>
      <c r="G672" s="4">
        <v>46164</v>
      </c>
      <c r="H672" t="s">
        <v>57</v>
      </c>
      <c r="I672" t="s">
        <v>58</v>
      </c>
      <c r="J672" t="s">
        <v>72</v>
      </c>
      <c r="K672" t="s">
        <v>124</v>
      </c>
      <c r="L672" t="s">
        <v>61</v>
      </c>
      <c r="M672" s="5">
        <v>10100</v>
      </c>
      <c r="N672" s="5">
        <v>1550</v>
      </c>
      <c r="O672" s="5">
        <v>1900</v>
      </c>
      <c r="P672" s="5">
        <v>0</v>
      </c>
      <c r="Q672" s="5">
        <v>16050</v>
      </c>
      <c r="R672" t="s">
        <v>62</v>
      </c>
      <c r="S672" t="s">
        <v>76</v>
      </c>
      <c r="T672" s="5">
        <v>5220</v>
      </c>
      <c r="U672" s="6">
        <v>5</v>
      </c>
      <c r="V672" t="s">
        <v>64</v>
      </c>
      <c r="W672" s="4"/>
      <c r="X672" t="s">
        <v>65</v>
      </c>
      <c r="Y672" t="s">
        <v>64</v>
      </c>
      <c r="Z672" t="s">
        <v>96</v>
      </c>
    </row>
    <row r="673" spans="1:26">
      <c r="A673" t="s">
        <v>1298</v>
      </c>
      <c r="B673" t="s">
        <v>471</v>
      </c>
      <c r="C673" s="4">
        <v>46083</v>
      </c>
      <c r="D673" t="s">
        <v>89</v>
      </c>
      <c r="E673" t="s">
        <v>70</v>
      </c>
      <c r="F673" s="4">
        <v>46083</v>
      </c>
      <c r="G673" s="4">
        <v>46084</v>
      </c>
      <c r="H673" t="s">
        <v>178</v>
      </c>
      <c r="I673" t="s">
        <v>179</v>
      </c>
      <c r="J673" t="s">
        <v>180</v>
      </c>
      <c r="K673" t="s">
        <v>93</v>
      </c>
      <c r="L673" t="s">
        <v>61</v>
      </c>
      <c r="M673" s="5">
        <v>57200</v>
      </c>
      <c r="N673" s="5">
        <v>4750</v>
      </c>
      <c r="O673" s="5">
        <v>9850</v>
      </c>
      <c r="P673" s="5">
        <v>4500</v>
      </c>
      <c r="Q673" s="5">
        <v>77300</v>
      </c>
      <c r="R673" t="s">
        <v>85</v>
      </c>
      <c r="S673" t="s">
        <v>76</v>
      </c>
      <c r="T673" s="5">
        <v>20220</v>
      </c>
      <c r="U673" s="6">
        <v>5</v>
      </c>
      <c r="V673" t="s">
        <v>77</v>
      </c>
      <c r="W673" s="4">
        <v>46102</v>
      </c>
      <c r="X673" t="s">
        <v>64</v>
      </c>
      <c r="Y673" t="s">
        <v>64</v>
      </c>
      <c r="Z673" t="s">
        <v>96</v>
      </c>
    </row>
    <row r="674" spans="1:26">
      <c r="A674" t="s">
        <v>1299</v>
      </c>
      <c r="B674" t="s">
        <v>1141</v>
      </c>
      <c r="C674" s="4">
        <v>46027</v>
      </c>
      <c r="D674" t="s">
        <v>284</v>
      </c>
      <c r="E674" t="s">
        <v>70</v>
      </c>
      <c r="F674" s="4">
        <v>46027</v>
      </c>
      <c r="G674" s="4">
        <v>46032</v>
      </c>
      <c r="H674" t="s">
        <v>103</v>
      </c>
      <c r="I674" t="s">
        <v>214</v>
      </c>
      <c r="J674" t="s">
        <v>105</v>
      </c>
      <c r="K674" t="s">
        <v>73</v>
      </c>
      <c r="L674" t="s">
        <v>74</v>
      </c>
      <c r="M674" s="5">
        <v>58200</v>
      </c>
      <c r="N674" s="5">
        <v>4950</v>
      </c>
      <c r="O674" s="5">
        <v>9950</v>
      </c>
      <c r="P674" s="5">
        <v>15000</v>
      </c>
      <c r="Q674" s="5">
        <v>88900</v>
      </c>
      <c r="R674" t="s">
        <v>85</v>
      </c>
      <c r="S674" t="s">
        <v>76</v>
      </c>
      <c r="T674" s="5">
        <v>23120</v>
      </c>
      <c r="U674" s="6">
        <v>5</v>
      </c>
      <c r="V674" t="s">
        <v>77</v>
      </c>
      <c r="W674" s="4">
        <v>46041</v>
      </c>
      <c r="X674" t="s">
        <v>77</v>
      </c>
      <c r="Y674" t="s">
        <v>64</v>
      </c>
      <c r="Z674" t="s">
        <v>219</v>
      </c>
    </row>
    <row r="675" spans="1:26">
      <c r="A675" t="s">
        <v>1300</v>
      </c>
      <c r="B675" t="s">
        <v>517</v>
      </c>
      <c r="C675" s="4">
        <v>46100</v>
      </c>
      <c r="D675" t="s">
        <v>279</v>
      </c>
      <c r="E675" t="s">
        <v>70</v>
      </c>
      <c r="F675" s="4">
        <v>46101</v>
      </c>
      <c r="G675" s="4">
        <v>46104</v>
      </c>
      <c r="H675" t="s">
        <v>201</v>
      </c>
      <c r="I675" t="s">
        <v>515</v>
      </c>
      <c r="J675" t="s">
        <v>203</v>
      </c>
      <c r="K675" t="s">
        <v>124</v>
      </c>
      <c r="L675" t="s">
        <v>61</v>
      </c>
      <c r="M675" s="5">
        <v>34100</v>
      </c>
      <c r="N675" s="5">
        <v>5200</v>
      </c>
      <c r="O675" s="5">
        <v>3550</v>
      </c>
      <c r="P675" s="5">
        <v>13500</v>
      </c>
      <c r="Q675" s="5">
        <v>57550</v>
      </c>
      <c r="R675" t="s">
        <v>75</v>
      </c>
      <c r="S675" t="s">
        <v>86</v>
      </c>
      <c r="T675" s="5">
        <v>26200</v>
      </c>
      <c r="U675" s="6">
        <v>2</v>
      </c>
      <c r="V675" t="s">
        <v>77</v>
      </c>
      <c r="W675" s="4">
        <v>46117</v>
      </c>
      <c r="X675" t="s">
        <v>64</v>
      </c>
      <c r="Y675" t="s">
        <v>64</v>
      </c>
      <c r="Z675" t="s">
        <v>436</v>
      </c>
    </row>
    <row r="676" spans="1:26">
      <c r="A676" t="s">
        <v>1301</v>
      </c>
      <c r="B676" t="s">
        <v>1302</v>
      </c>
      <c r="C676" s="4">
        <v>46160</v>
      </c>
      <c r="D676" t="s">
        <v>110</v>
      </c>
      <c r="E676" t="s">
        <v>70</v>
      </c>
      <c r="F676" s="4">
        <v>46160</v>
      </c>
      <c r="G676" s="4">
        <v>46160</v>
      </c>
      <c r="H676" t="s">
        <v>57</v>
      </c>
      <c r="I676" t="s">
        <v>211</v>
      </c>
      <c r="J676" t="s">
        <v>59</v>
      </c>
      <c r="K676" t="s">
        <v>60</v>
      </c>
      <c r="L676" t="s">
        <v>94</v>
      </c>
      <c r="M676" s="5">
        <v>40800</v>
      </c>
      <c r="N676" s="5">
        <v>6250</v>
      </c>
      <c r="O676" s="5">
        <v>9700</v>
      </c>
      <c r="P676" s="5">
        <v>0</v>
      </c>
      <c r="Q676" s="5">
        <v>58750</v>
      </c>
      <c r="R676" t="s">
        <v>141</v>
      </c>
      <c r="S676" t="s">
        <v>86</v>
      </c>
      <c r="T676" s="5">
        <v>10010</v>
      </c>
      <c r="U676" s="6"/>
      <c r="V676" t="s">
        <v>77</v>
      </c>
      <c r="W676" s="4">
        <v>46171</v>
      </c>
      <c r="X676" t="s">
        <v>77</v>
      </c>
      <c r="Y676" t="s">
        <v>64</v>
      </c>
      <c r="Z676" t="s">
        <v>78</v>
      </c>
    </row>
    <row r="677" spans="1:26">
      <c r="A677" t="s">
        <v>1303</v>
      </c>
      <c r="B677" t="s">
        <v>479</v>
      </c>
      <c r="C677" s="4">
        <v>46106</v>
      </c>
      <c r="D677" t="s">
        <v>206</v>
      </c>
      <c r="E677" t="s">
        <v>70</v>
      </c>
      <c r="F677" s="4">
        <v>46107</v>
      </c>
      <c r="G677" s="4">
        <v>46107</v>
      </c>
      <c r="H677" t="s">
        <v>57</v>
      </c>
      <c r="I677" t="s">
        <v>71</v>
      </c>
      <c r="J677" t="s">
        <v>59</v>
      </c>
      <c r="K677" t="s">
        <v>60</v>
      </c>
      <c r="L677" t="s">
        <v>94</v>
      </c>
      <c r="M677" s="5">
        <v>41700</v>
      </c>
      <c r="N677" s="5">
        <v>5600</v>
      </c>
      <c r="O677" s="5">
        <v>5350</v>
      </c>
      <c r="P677" s="5">
        <v>0</v>
      </c>
      <c r="Q677" s="5">
        <v>54450</v>
      </c>
      <c r="R677" t="s">
        <v>106</v>
      </c>
      <c r="S677" t="s">
        <v>163</v>
      </c>
      <c r="T677" s="5">
        <v>19760</v>
      </c>
      <c r="U677" s="6">
        <v>5</v>
      </c>
      <c r="V677" t="s">
        <v>77</v>
      </c>
      <c r="W677" s="4">
        <v>46118</v>
      </c>
      <c r="X677" t="s">
        <v>77</v>
      </c>
      <c r="Y677" t="s">
        <v>64</v>
      </c>
      <c r="Z677" t="s">
        <v>96</v>
      </c>
    </row>
    <row r="678" spans="1:26">
      <c r="A678" t="s">
        <v>1304</v>
      </c>
      <c r="B678" t="s">
        <v>1179</v>
      </c>
      <c r="C678" s="4">
        <v>46051</v>
      </c>
      <c r="D678" t="s">
        <v>183</v>
      </c>
      <c r="E678" t="s">
        <v>70</v>
      </c>
      <c r="F678" s="4">
        <v>46052</v>
      </c>
      <c r="G678" s="4">
        <v>46056</v>
      </c>
      <c r="H678" t="s">
        <v>138</v>
      </c>
      <c r="I678" t="s">
        <v>444</v>
      </c>
      <c r="J678" t="s">
        <v>140</v>
      </c>
      <c r="K678" t="s">
        <v>93</v>
      </c>
      <c r="L678" t="s">
        <v>74</v>
      </c>
      <c r="M678" s="5">
        <v>18500</v>
      </c>
      <c r="N678" s="5">
        <v>2000</v>
      </c>
      <c r="O678" s="5">
        <v>2450</v>
      </c>
      <c r="P678" s="5">
        <v>10000</v>
      </c>
      <c r="Q678" s="5">
        <v>34450</v>
      </c>
      <c r="R678" t="s">
        <v>106</v>
      </c>
      <c r="S678" t="s">
        <v>76</v>
      </c>
      <c r="T678" s="5">
        <v>12760</v>
      </c>
      <c r="U678" s="6">
        <v>2</v>
      </c>
      <c r="V678" t="s">
        <v>77</v>
      </c>
      <c r="W678" s="4">
        <v>46075</v>
      </c>
      <c r="X678" t="s">
        <v>64</v>
      </c>
      <c r="Y678" t="s">
        <v>64</v>
      </c>
      <c r="Z678" t="s">
        <v>107</v>
      </c>
    </row>
    <row r="679" spans="1:26">
      <c r="A679" t="s">
        <v>1305</v>
      </c>
      <c r="B679" t="s">
        <v>1306</v>
      </c>
      <c r="C679" s="4">
        <v>46153</v>
      </c>
      <c r="D679" t="s">
        <v>294</v>
      </c>
      <c r="E679" t="s">
        <v>70</v>
      </c>
      <c r="F679" s="4">
        <v>46153</v>
      </c>
      <c r="G679" s="4">
        <v>46159</v>
      </c>
      <c r="H679" t="s">
        <v>201</v>
      </c>
      <c r="I679" t="s">
        <v>515</v>
      </c>
      <c r="J679" t="s">
        <v>203</v>
      </c>
      <c r="K679" t="s">
        <v>73</v>
      </c>
      <c r="L679" t="s">
        <v>61</v>
      </c>
      <c r="M679" s="5">
        <v>36600</v>
      </c>
      <c r="N679" s="5">
        <v>4550</v>
      </c>
      <c r="O679" s="5">
        <v>3900</v>
      </c>
      <c r="P679" s="5">
        <v>15000</v>
      </c>
      <c r="Q679" s="5">
        <v>61250</v>
      </c>
      <c r="R679" t="s">
        <v>141</v>
      </c>
      <c r="S679" t="s">
        <v>76</v>
      </c>
      <c r="T679" s="5">
        <v>10390</v>
      </c>
      <c r="U679" s="6">
        <v>2</v>
      </c>
      <c r="V679" t="s">
        <v>77</v>
      </c>
      <c r="W679" s="4">
        <v>46180</v>
      </c>
      <c r="X679" t="s">
        <v>64</v>
      </c>
      <c r="Y679" t="s">
        <v>64</v>
      </c>
      <c r="Z679" t="s">
        <v>96</v>
      </c>
    </row>
    <row r="680" spans="1:26">
      <c r="A680" t="s">
        <v>1307</v>
      </c>
      <c r="B680" t="s">
        <v>1308</v>
      </c>
      <c r="C680" s="4">
        <v>46106</v>
      </c>
      <c r="D680" t="s">
        <v>225</v>
      </c>
      <c r="E680" t="s">
        <v>70</v>
      </c>
      <c r="F680" s="4">
        <v>46106</v>
      </c>
      <c r="G680" s="4">
        <v>46110</v>
      </c>
      <c r="H680" t="s">
        <v>57</v>
      </c>
      <c r="I680" t="s">
        <v>211</v>
      </c>
      <c r="J680" t="s">
        <v>170</v>
      </c>
      <c r="K680" t="s">
        <v>73</v>
      </c>
      <c r="L680" t="s">
        <v>94</v>
      </c>
      <c r="M680" s="5">
        <v>50100</v>
      </c>
      <c r="N680" s="5">
        <v>7250</v>
      </c>
      <c r="O680" s="5">
        <v>9750</v>
      </c>
      <c r="P680" s="5">
        <v>10000</v>
      </c>
      <c r="Q680" s="5">
        <v>79100</v>
      </c>
      <c r="R680" t="s">
        <v>75</v>
      </c>
      <c r="S680" t="s">
        <v>76</v>
      </c>
      <c r="T680" s="5">
        <v>35900</v>
      </c>
      <c r="U680" s="6">
        <v>5</v>
      </c>
      <c r="V680" t="s">
        <v>77</v>
      </c>
      <c r="W680" s="4">
        <v>46126</v>
      </c>
      <c r="X680" t="s">
        <v>77</v>
      </c>
      <c r="Y680" t="s">
        <v>64</v>
      </c>
      <c r="Z680" t="s">
        <v>96</v>
      </c>
    </row>
    <row r="681" spans="1:26">
      <c r="A681" t="s">
        <v>1309</v>
      </c>
      <c r="B681" t="s">
        <v>907</v>
      </c>
      <c r="C681" s="4">
        <v>46084</v>
      </c>
      <c r="D681" t="s">
        <v>173</v>
      </c>
      <c r="E681" t="s">
        <v>70</v>
      </c>
      <c r="F681" s="4">
        <v>46085</v>
      </c>
      <c r="G681" s="4">
        <v>46089</v>
      </c>
      <c r="H681" t="s">
        <v>178</v>
      </c>
      <c r="J681" t="s">
        <v>358</v>
      </c>
      <c r="K681" t="s">
        <v>73</v>
      </c>
      <c r="L681" t="s">
        <v>146</v>
      </c>
      <c r="M681" s="5">
        <v>54000</v>
      </c>
      <c r="N681" s="5">
        <v>5750</v>
      </c>
      <c r="O681" s="5">
        <v>8050</v>
      </c>
      <c r="P681" s="5">
        <v>24000</v>
      </c>
      <c r="Q681" s="5">
        <v>92600</v>
      </c>
      <c r="R681" t="s">
        <v>106</v>
      </c>
      <c r="S681" t="s">
        <v>76</v>
      </c>
      <c r="T681" s="5">
        <v>33110</v>
      </c>
      <c r="U681" s="6">
        <v>3</v>
      </c>
      <c r="V681" t="s">
        <v>77</v>
      </c>
      <c r="W681" s="4">
        <v>46101</v>
      </c>
      <c r="X681" t="s">
        <v>64</v>
      </c>
      <c r="Y681" t="s">
        <v>64</v>
      </c>
      <c r="Z681" t="s">
        <v>96</v>
      </c>
    </row>
    <row r="682" spans="1:26">
      <c r="A682" t="s">
        <v>1310</v>
      </c>
      <c r="B682" t="s">
        <v>1311</v>
      </c>
      <c r="C682" s="4">
        <v>46118</v>
      </c>
      <c r="D682" t="s">
        <v>363</v>
      </c>
      <c r="E682" t="s">
        <v>70</v>
      </c>
      <c r="F682" s="4">
        <v>46118</v>
      </c>
      <c r="G682" s="4">
        <v>46124</v>
      </c>
      <c r="H682" t="s">
        <v>111</v>
      </c>
      <c r="I682" t="s">
        <v>116</v>
      </c>
      <c r="J682" t="s">
        <v>113</v>
      </c>
      <c r="K682" t="s">
        <v>73</v>
      </c>
      <c r="L682" t="s">
        <v>146</v>
      </c>
      <c r="M682" s="5">
        <v>30800</v>
      </c>
      <c r="N682" s="5">
        <v>3900</v>
      </c>
      <c r="O682" s="5">
        <v>4250</v>
      </c>
      <c r="P682" s="5">
        <v>18000</v>
      </c>
      <c r="Q682" s="5">
        <v>57750</v>
      </c>
      <c r="R682" t="s">
        <v>85</v>
      </c>
      <c r="S682" t="s">
        <v>76</v>
      </c>
      <c r="T682" s="5">
        <v>15340</v>
      </c>
      <c r="U682" s="6">
        <v>2</v>
      </c>
      <c r="V682" t="s">
        <v>77</v>
      </c>
      <c r="W682" s="4">
        <v>46144</v>
      </c>
      <c r="X682" t="s">
        <v>64</v>
      </c>
      <c r="Y682" t="s">
        <v>64</v>
      </c>
      <c r="Z682" t="s">
        <v>78</v>
      </c>
    </row>
    <row r="683" spans="1:26">
      <c r="A683" t="s">
        <v>1312</v>
      </c>
      <c r="B683" t="s">
        <v>1091</v>
      </c>
      <c r="C683" s="4">
        <v>46101</v>
      </c>
      <c r="D683" t="s">
        <v>120</v>
      </c>
      <c r="E683" t="s">
        <v>70</v>
      </c>
      <c r="F683" s="4">
        <v>46101</v>
      </c>
      <c r="G683" s="4">
        <v>46104</v>
      </c>
      <c r="H683" t="s">
        <v>178</v>
      </c>
      <c r="I683" t="s">
        <v>462</v>
      </c>
      <c r="J683" t="s">
        <v>180</v>
      </c>
      <c r="K683" t="s">
        <v>93</v>
      </c>
      <c r="L683" t="s">
        <v>74</v>
      </c>
      <c r="M683" s="5">
        <v>75300</v>
      </c>
      <c r="N683" s="5">
        <v>8100</v>
      </c>
      <c r="O683" s="5">
        <v>7700</v>
      </c>
      <c r="P683" s="5">
        <v>9000</v>
      </c>
      <c r="Q683" s="5">
        <v>102600</v>
      </c>
      <c r="R683" t="s">
        <v>95</v>
      </c>
      <c r="S683" t="s">
        <v>63</v>
      </c>
      <c r="T683" s="5">
        <v>102600</v>
      </c>
      <c r="U683" s="6">
        <v>2</v>
      </c>
      <c r="V683" t="s">
        <v>77</v>
      </c>
      <c r="W683" s="4">
        <v>46125</v>
      </c>
      <c r="X683" t="s">
        <v>64</v>
      </c>
      <c r="Y683" t="s">
        <v>64</v>
      </c>
      <c r="Z683" t="s">
        <v>78</v>
      </c>
    </row>
    <row r="684" spans="1:26">
      <c r="A684" t="s">
        <v>1313</v>
      </c>
      <c r="B684" t="s">
        <v>596</v>
      </c>
      <c r="C684" s="4">
        <v>46128</v>
      </c>
      <c r="D684" t="s">
        <v>298</v>
      </c>
      <c r="E684" t="s">
        <v>177</v>
      </c>
      <c r="F684" s="4"/>
      <c r="G684" s="4"/>
      <c r="H684" t="s">
        <v>201</v>
      </c>
      <c r="I684" t="s">
        <v>202</v>
      </c>
      <c r="J684" t="s">
        <v>203</v>
      </c>
      <c r="K684" t="s">
        <v>124</v>
      </c>
      <c r="L684" t="s">
        <v>74</v>
      </c>
      <c r="M684" s="5"/>
      <c r="N684" s="5"/>
      <c r="O684" s="5"/>
      <c r="P684" s="5"/>
      <c r="Q684" s="5"/>
      <c r="R684" t="s">
        <v>85</v>
      </c>
      <c r="S684" t="s">
        <v>63</v>
      </c>
      <c r="T684" s="5"/>
      <c r="U684" s="6"/>
      <c r="V684" t="s">
        <v>64</v>
      </c>
      <c r="W684" s="4"/>
      <c r="X684" t="s">
        <v>65</v>
      </c>
      <c r="Z684" t="s">
        <v>66</v>
      </c>
    </row>
    <row r="685" spans="1:26">
      <c r="A685" t="s">
        <v>1314</v>
      </c>
      <c r="B685" t="s">
        <v>794</v>
      </c>
      <c r="C685" s="4">
        <v>46041</v>
      </c>
      <c r="D685" t="s">
        <v>259</v>
      </c>
      <c r="E685" t="s">
        <v>70</v>
      </c>
      <c r="F685" s="4">
        <v>46041</v>
      </c>
      <c r="G685" s="4">
        <v>46041</v>
      </c>
      <c r="H685" t="s">
        <v>138</v>
      </c>
      <c r="I685" t="s">
        <v>444</v>
      </c>
      <c r="J685" t="s">
        <v>140</v>
      </c>
      <c r="K685" t="s">
        <v>73</v>
      </c>
      <c r="L685" t="s">
        <v>74</v>
      </c>
      <c r="M685" s="5">
        <v>13800</v>
      </c>
      <c r="N685" s="5">
        <v>1150</v>
      </c>
      <c r="O685" s="5">
        <v>1900</v>
      </c>
      <c r="P685" s="5">
        <v>0</v>
      </c>
      <c r="Q685" s="5">
        <v>18350</v>
      </c>
      <c r="R685" t="s">
        <v>85</v>
      </c>
      <c r="S685" t="s">
        <v>76</v>
      </c>
      <c r="T685" s="5">
        <v>5490</v>
      </c>
      <c r="U685" s="6">
        <v>5</v>
      </c>
      <c r="V685" t="s">
        <v>77</v>
      </c>
      <c r="W685" s="4">
        <v>46054</v>
      </c>
      <c r="X685" t="s">
        <v>77</v>
      </c>
      <c r="Y685" t="s">
        <v>64</v>
      </c>
      <c r="Z685" t="s">
        <v>96</v>
      </c>
    </row>
    <row r="686" spans="1:26">
      <c r="A686" t="s">
        <v>1315</v>
      </c>
      <c r="B686" t="s">
        <v>1316</v>
      </c>
      <c r="C686" s="4">
        <v>46119</v>
      </c>
      <c r="D686" t="s">
        <v>279</v>
      </c>
      <c r="E686" t="s">
        <v>70</v>
      </c>
      <c r="F686" s="4">
        <v>46119</v>
      </c>
      <c r="G686" s="4">
        <v>46124</v>
      </c>
      <c r="H686" t="s">
        <v>82</v>
      </c>
      <c r="I686" t="s">
        <v>331</v>
      </c>
      <c r="J686" t="s">
        <v>291</v>
      </c>
      <c r="K686" t="s">
        <v>124</v>
      </c>
      <c r="L686" t="s">
        <v>94</v>
      </c>
      <c r="M686" s="5">
        <v>39100</v>
      </c>
      <c r="N686" s="5">
        <v>6500</v>
      </c>
      <c r="O686" s="5">
        <v>6250</v>
      </c>
      <c r="P686" s="5">
        <v>30000</v>
      </c>
      <c r="Q686" s="5">
        <v>83350</v>
      </c>
      <c r="R686" t="s">
        <v>141</v>
      </c>
      <c r="S686" t="s">
        <v>76</v>
      </c>
      <c r="T686" s="5">
        <v>13700</v>
      </c>
      <c r="U686" s="6">
        <v>3</v>
      </c>
      <c r="V686" t="s">
        <v>77</v>
      </c>
      <c r="W686" s="4">
        <v>46136</v>
      </c>
      <c r="X686" t="s">
        <v>64</v>
      </c>
      <c r="Y686" t="s">
        <v>64</v>
      </c>
      <c r="Z686" t="s">
        <v>96</v>
      </c>
    </row>
    <row r="687" spans="1:26">
      <c r="A687" t="s">
        <v>1317</v>
      </c>
      <c r="B687" t="s">
        <v>669</v>
      </c>
      <c r="C687" s="4">
        <v>46047</v>
      </c>
      <c r="D687" t="s">
        <v>302</v>
      </c>
      <c r="E687" t="s">
        <v>70</v>
      </c>
      <c r="F687" s="4">
        <v>46047</v>
      </c>
      <c r="G687" s="4">
        <v>46047</v>
      </c>
      <c r="H687" t="s">
        <v>201</v>
      </c>
      <c r="I687" t="s">
        <v>449</v>
      </c>
      <c r="J687" t="s">
        <v>295</v>
      </c>
      <c r="K687" t="s">
        <v>60</v>
      </c>
      <c r="L687" t="s">
        <v>94</v>
      </c>
      <c r="M687" s="5">
        <v>32700</v>
      </c>
      <c r="N687" s="5">
        <v>5550</v>
      </c>
      <c r="O687" s="5">
        <v>4700</v>
      </c>
      <c r="P687" s="5">
        <v>0</v>
      </c>
      <c r="Q687" s="5">
        <v>43750</v>
      </c>
      <c r="R687" t="s">
        <v>75</v>
      </c>
      <c r="S687" t="s">
        <v>163</v>
      </c>
      <c r="T687" s="5">
        <v>19990</v>
      </c>
      <c r="U687" s="6">
        <v>4</v>
      </c>
      <c r="V687" t="s">
        <v>77</v>
      </c>
      <c r="W687" s="4">
        <v>46068</v>
      </c>
      <c r="X687" t="s">
        <v>77</v>
      </c>
      <c r="Y687" t="s">
        <v>64</v>
      </c>
      <c r="Z687" t="s">
        <v>96</v>
      </c>
    </row>
    <row r="688" spans="1:26">
      <c r="A688" t="s">
        <v>1318</v>
      </c>
      <c r="B688" t="s">
        <v>968</v>
      </c>
      <c r="C688" s="4">
        <v>46041</v>
      </c>
      <c r="D688" t="s">
        <v>210</v>
      </c>
      <c r="E688" t="s">
        <v>70</v>
      </c>
      <c r="F688" s="4">
        <v>46042</v>
      </c>
      <c r="G688" s="4">
        <v>46043</v>
      </c>
      <c r="H688" t="s">
        <v>57</v>
      </c>
      <c r="I688" t="s">
        <v>211</v>
      </c>
      <c r="J688" t="s">
        <v>72</v>
      </c>
      <c r="K688" t="s">
        <v>60</v>
      </c>
      <c r="L688" t="s">
        <v>94</v>
      </c>
      <c r="M688" s="5">
        <v>7500</v>
      </c>
      <c r="N688" s="5">
        <v>600</v>
      </c>
      <c r="O688" s="5">
        <v>1450</v>
      </c>
      <c r="P688" s="5">
        <v>4500</v>
      </c>
      <c r="Q688" s="5">
        <v>16050</v>
      </c>
      <c r="R688" t="s">
        <v>85</v>
      </c>
      <c r="S688" t="s">
        <v>86</v>
      </c>
      <c r="T688" s="5">
        <v>4910</v>
      </c>
      <c r="U688" s="6">
        <v>5</v>
      </c>
      <c r="V688" t="s">
        <v>64</v>
      </c>
      <c r="W688" s="4"/>
      <c r="X688" t="s">
        <v>65</v>
      </c>
      <c r="Y688" t="s">
        <v>64</v>
      </c>
      <c r="Z688" t="s">
        <v>96</v>
      </c>
    </row>
    <row r="689" spans="1:26">
      <c r="A689" t="s">
        <v>1319</v>
      </c>
      <c r="B689" t="s">
        <v>1320</v>
      </c>
      <c r="C689" s="4">
        <v>46082</v>
      </c>
      <c r="D689" t="s">
        <v>234</v>
      </c>
      <c r="E689" t="s">
        <v>177</v>
      </c>
      <c r="F689" s="4"/>
      <c r="G689" s="4"/>
      <c r="H689" t="s">
        <v>111</v>
      </c>
      <c r="I689" t="s">
        <v>355</v>
      </c>
      <c r="J689" t="s">
        <v>117</v>
      </c>
      <c r="K689" t="s">
        <v>73</v>
      </c>
      <c r="L689" t="s">
        <v>146</v>
      </c>
      <c r="M689" s="5"/>
      <c r="N689" s="5"/>
      <c r="O689" s="5"/>
      <c r="P689" s="5"/>
      <c r="Q689" s="5"/>
      <c r="R689" t="s">
        <v>75</v>
      </c>
      <c r="S689" t="s">
        <v>63</v>
      </c>
      <c r="T689" s="5"/>
      <c r="U689" s="6"/>
      <c r="V689" t="s">
        <v>64</v>
      </c>
      <c r="W689" s="4"/>
      <c r="X689" t="s">
        <v>65</v>
      </c>
      <c r="Z689" t="s">
        <v>66</v>
      </c>
    </row>
    <row r="690" spans="1:26">
      <c r="A690" t="s">
        <v>1321</v>
      </c>
      <c r="B690" t="s">
        <v>828</v>
      </c>
      <c r="C690" s="4">
        <v>46125</v>
      </c>
      <c r="D690" t="s">
        <v>217</v>
      </c>
      <c r="E690" t="s">
        <v>70</v>
      </c>
      <c r="F690" s="4">
        <v>46125</v>
      </c>
      <c r="G690" s="4">
        <v>46130</v>
      </c>
      <c r="H690" t="s">
        <v>103</v>
      </c>
      <c r="I690" t="s">
        <v>243</v>
      </c>
      <c r="J690" t="s">
        <v>145</v>
      </c>
      <c r="K690" t="s">
        <v>124</v>
      </c>
      <c r="L690" t="s">
        <v>74</v>
      </c>
      <c r="M690" s="5">
        <v>35200</v>
      </c>
      <c r="N690" s="5">
        <v>3100</v>
      </c>
      <c r="O690" s="5">
        <v>7000</v>
      </c>
      <c r="P690" s="5">
        <v>15000</v>
      </c>
      <c r="Q690" s="5">
        <v>62100</v>
      </c>
      <c r="R690" t="s">
        <v>85</v>
      </c>
      <c r="S690" t="s">
        <v>76</v>
      </c>
      <c r="T690" s="5">
        <v>16420</v>
      </c>
      <c r="U690" s="6">
        <v>4</v>
      </c>
      <c r="V690" t="s">
        <v>77</v>
      </c>
      <c r="W690" s="4">
        <v>46143</v>
      </c>
      <c r="X690" t="s">
        <v>77</v>
      </c>
      <c r="Y690" t="s">
        <v>64</v>
      </c>
      <c r="Z690" t="s">
        <v>78</v>
      </c>
    </row>
    <row r="691" spans="1:26">
      <c r="A691" t="s">
        <v>1322</v>
      </c>
      <c r="B691" t="s">
        <v>651</v>
      </c>
      <c r="C691" s="4">
        <v>46102</v>
      </c>
      <c r="D691" t="s">
        <v>210</v>
      </c>
      <c r="E691" t="s">
        <v>70</v>
      </c>
      <c r="F691" s="4">
        <v>46102</v>
      </c>
      <c r="G691" s="4">
        <v>46103</v>
      </c>
      <c r="H691" t="s">
        <v>201</v>
      </c>
      <c r="I691" t="s">
        <v>421</v>
      </c>
      <c r="J691" t="s">
        <v>203</v>
      </c>
      <c r="K691" t="s">
        <v>124</v>
      </c>
      <c r="L691" t="s">
        <v>61</v>
      </c>
      <c r="M691" s="5">
        <v>42400</v>
      </c>
      <c r="N691" s="5">
        <v>3800</v>
      </c>
      <c r="O691" s="5">
        <v>4550</v>
      </c>
      <c r="P691" s="5">
        <v>4500</v>
      </c>
      <c r="Q691" s="5">
        <v>56250</v>
      </c>
      <c r="R691" t="s">
        <v>141</v>
      </c>
      <c r="S691" t="s">
        <v>76</v>
      </c>
      <c r="T691" s="5">
        <v>9640</v>
      </c>
      <c r="U691" s="6">
        <v>5</v>
      </c>
      <c r="V691" t="s">
        <v>77</v>
      </c>
      <c r="W691" s="4">
        <v>46115</v>
      </c>
      <c r="X691" t="s">
        <v>77</v>
      </c>
      <c r="Y691" t="s">
        <v>64</v>
      </c>
      <c r="Z691" t="s">
        <v>96</v>
      </c>
    </row>
    <row r="692" spans="1:26">
      <c r="A692" t="s">
        <v>1323</v>
      </c>
      <c r="B692" t="s">
        <v>506</v>
      </c>
      <c r="C692" s="4">
        <v>46073</v>
      </c>
      <c r="D692" t="s">
        <v>284</v>
      </c>
      <c r="E692" t="s">
        <v>70</v>
      </c>
      <c r="F692" s="4">
        <v>46073</v>
      </c>
      <c r="G692" s="4">
        <v>46077</v>
      </c>
      <c r="H692" t="s">
        <v>103</v>
      </c>
      <c r="I692" t="s">
        <v>214</v>
      </c>
      <c r="J692" t="s">
        <v>244</v>
      </c>
      <c r="K692" t="s">
        <v>73</v>
      </c>
      <c r="L692" t="s">
        <v>61</v>
      </c>
      <c r="M692" s="5">
        <v>80300</v>
      </c>
      <c r="N692" s="5">
        <v>8900</v>
      </c>
      <c r="O692" s="5">
        <v>18250</v>
      </c>
      <c r="P692" s="5">
        <v>14000</v>
      </c>
      <c r="Q692" s="5">
        <v>122250</v>
      </c>
      <c r="R692" t="s">
        <v>85</v>
      </c>
      <c r="S692" t="s">
        <v>76</v>
      </c>
      <c r="T692" s="5">
        <v>31460</v>
      </c>
      <c r="U692" s="6">
        <v>5</v>
      </c>
      <c r="V692" t="s">
        <v>77</v>
      </c>
      <c r="W692" s="4">
        <v>46090</v>
      </c>
      <c r="X692" t="s">
        <v>77</v>
      </c>
      <c r="Y692" t="s">
        <v>64</v>
      </c>
      <c r="Z692" t="s">
        <v>96</v>
      </c>
    </row>
    <row r="693" spans="1:26">
      <c r="A693" t="s">
        <v>1324</v>
      </c>
      <c r="B693" t="s">
        <v>1325</v>
      </c>
      <c r="C693" s="4">
        <v>46128</v>
      </c>
      <c r="D693" t="s">
        <v>168</v>
      </c>
      <c r="E693" t="s">
        <v>70</v>
      </c>
      <c r="F693" s="4">
        <v>46128</v>
      </c>
      <c r="G693" s="4">
        <v>46136</v>
      </c>
      <c r="H693" t="s">
        <v>57</v>
      </c>
      <c r="I693" t="s">
        <v>58</v>
      </c>
      <c r="J693" t="s">
        <v>170</v>
      </c>
      <c r="K693" t="s">
        <v>73</v>
      </c>
      <c r="L693" t="s">
        <v>94</v>
      </c>
      <c r="M693" s="5">
        <v>74500</v>
      </c>
      <c r="N693" s="5">
        <v>6650</v>
      </c>
      <c r="O693" s="5">
        <v>15200</v>
      </c>
      <c r="P693" s="5">
        <v>24000</v>
      </c>
      <c r="Q693" s="5">
        <v>122850</v>
      </c>
      <c r="R693" t="s">
        <v>95</v>
      </c>
      <c r="S693" t="s">
        <v>63</v>
      </c>
      <c r="T693" s="5">
        <v>122850</v>
      </c>
      <c r="U693" s="6">
        <v>3</v>
      </c>
      <c r="V693" t="s">
        <v>77</v>
      </c>
      <c r="W693" s="4">
        <v>46144</v>
      </c>
      <c r="Y693" t="s">
        <v>64</v>
      </c>
      <c r="Z693" t="s">
        <v>107</v>
      </c>
    </row>
    <row r="694" spans="1:26">
      <c r="A694" t="s">
        <v>1326</v>
      </c>
      <c r="B694" t="s">
        <v>704</v>
      </c>
      <c r="C694" s="4">
        <v>46047</v>
      </c>
      <c r="D694" t="s">
        <v>89</v>
      </c>
      <c r="E694" t="s">
        <v>70</v>
      </c>
      <c r="F694" s="4">
        <v>46047</v>
      </c>
      <c r="G694" s="4">
        <v>46054</v>
      </c>
      <c r="H694" t="s">
        <v>138</v>
      </c>
      <c r="I694" t="s">
        <v>343</v>
      </c>
      <c r="J694" t="s">
        <v>236</v>
      </c>
      <c r="K694" t="s">
        <v>124</v>
      </c>
      <c r="L694" t="s">
        <v>94</v>
      </c>
      <c r="M694" s="5">
        <v>26900</v>
      </c>
      <c r="N694" s="5">
        <v>3200</v>
      </c>
      <c r="O694" s="5">
        <v>5300</v>
      </c>
      <c r="P694" s="5">
        <v>31500</v>
      </c>
      <c r="Q694" s="5">
        <v>68700</v>
      </c>
      <c r="R694" t="s">
        <v>75</v>
      </c>
      <c r="S694" t="s">
        <v>76</v>
      </c>
      <c r="T694" s="5">
        <v>31210</v>
      </c>
      <c r="U694" s="6">
        <v>1</v>
      </c>
      <c r="V694" t="s">
        <v>77</v>
      </c>
      <c r="W694" s="4">
        <v>46075</v>
      </c>
      <c r="X694" t="s">
        <v>64</v>
      </c>
      <c r="Y694" t="s">
        <v>77</v>
      </c>
      <c r="Z694" t="s">
        <v>96</v>
      </c>
    </row>
    <row r="695" spans="1:26">
      <c r="A695" t="s">
        <v>1327</v>
      </c>
      <c r="B695" t="s">
        <v>427</v>
      </c>
      <c r="C695" s="4">
        <v>46162</v>
      </c>
      <c r="D695" t="s">
        <v>298</v>
      </c>
      <c r="E695" t="s">
        <v>70</v>
      </c>
      <c r="F695" s="4">
        <v>46163</v>
      </c>
      <c r="G695" s="4">
        <v>46168</v>
      </c>
      <c r="H695" t="s">
        <v>103</v>
      </c>
      <c r="I695" t="s">
        <v>412</v>
      </c>
      <c r="J695" t="s">
        <v>244</v>
      </c>
      <c r="K695" t="s">
        <v>73</v>
      </c>
      <c r="L695" t="s">
        <v>94</v>
      </c>
      <c r="M695" s="5">
        <v>76100</v>
      </c>
      <c r="N695" s="5">
        <v>7900</v>
      </c>
      <c r="O695" s="5">
        <v>11850</v>
      </c>
      <c r="P695" s="5">
        <v>30000</v>
      </c>
      <c r="Q695" s="5">
        <v>127050</v>
      </c>
      <c r="R695" t="s">
        <v>85</v>
      </c>
      <c r="S695" t="s">
        <v>76</v>
      </c>
      <c r="T695" s="5">
        <v>32660</v>
      </c>
      <c r="U695" s="6">
        <v>4</v>
      </c>
      <c r="V695" t="s">
        <v>77</v>
      </c>
      <c r="W695" s="4">
        <v>46186</v>
      </c>
      <c r="X695" t="s">
        <v>64</v>
      </c>
      <c r="Y695" t="s">
        <v>64</v>
      </c>
      <c r="Z695" t="s">
        <v>96</v>
      </c>
    </row>
    <row r="696" spans="1:26">
      <c r="A696" t="s">
        <v>1328</v>
      </c>
      <c r="B696" t="s">
        <v>1223</v>
      </c>
      <c r="C696" s="4">
        <v>46075</v>
      </c>
      <c r="D696" t="s">
        <v>127</v>
      </c>
      <c r="E696" t="s">
        <v>70</v>
      </c>
      <c r="F696" s="4">
        <v>46075</v>
      </c>
      <c r="G696" s="4">
        <v>46075</v>
      </c>
      <c r="H696" t="s">
        <v>111</v>
      </c>
      <c r="I696" t="s">
        <v>222</v>
      </c>
      <c r="J696" t="s">
        <v>117</v>
      </c>
      <c r="K696" t="s">
        <v>60</v>
      </c>
      <c r="L696" t="s">
        <v>61</v>
      </c>
      <c r="M696" s="5">
        <v>5800</v>
      </c>
      <c r="N696" s="5">
        <v>600</v>
      </c>
      <c r="O696" s="5">
        <v>600</v>
      </c>
      <c r="P696" s="5">
        <v>0</v>
      </c>
      <c r="Q696" s="5">
        <v>8000</v>
      </c>
      <c r="R696" t="s">
        <v>62</v>
      </c>
      <c r="S696" t="s">
        <v>86</v>
      </c>
      <c r="T696" s="5">
        <v>2800</v>
      </c>
      <c r="U696" s="6">
        <v>5</v>
      </c>
      <c r="V696" t="s">
        <v>64</v>
      </c>
      <c r="W696" s="4"/>
      <c r="X696" t="s">
        <v>65</v>
      </c>
      <c r="Y696" t="s">
        <v>64</v>
      </c>
      <c r="Z696" t="s">
        <v>78</v>
      </c>
    </row>
    <row r="697" spans="1:26">
      <c r="A697" t="s">
        <v>1329</v>
      </c>
      <c r="B697" t="s">
        <v>1330</v>
      </c>
      <c r="C697" s="4">
        <v>46053</v>
      </c>
      <c r="D697" t="s">
        <v>173</v>
      </c>
      <c r="E697" t="s">
        <v>70</v>
      </c>
      <c r="F697" s="4">
        <v>46053</v>
      </c>
      <c r="G697" s="4">
        <v>46060</v>
      </c>
      <c r="H697" t="s">
        <v>90</v>
      </c>
      <c r="I697" t="s">
        <v>299</v>
      </c>
      <c r="J697" t="s">
        <v>92</v>
      </c>
      <c r="K697" t="s">
        <v>124</v>
      </c>
      <c r="L697" t="s">
        <v>94</v>
      </c>
      <c r="M697" s="5">
        <v>58300</v>
      </c>
      <c r="N697" s="5">
        <v>6850</v>
      </c>
      <c r="O697" s="5">
        <v>6650</v>
      </c>
      <c r="P697" s="5">
        <v>42000</v>
      </c>
      <c r="Q697" s="5">
        <v>115300</v>
      </c>
      <c r="R697" t="s">
        <v>106</v>
      </c>
      <c r="S697" t="s">
        <v>76</v>
      </c>
      <c r="T697" s="5">
        <v>41060</v>
      </c>
      <c r="U697" s="6">
        <v>2</v>
      </c>
      <c r="V697" t="s">
        <v>77</v>
      </c>
      <c r="W697" s="4">
        <v>46069</v>
      </c>
      <c r="X697" t="s">
        <v>64</v>
      </c>
      <c r="Y697" t="s">
        <v>64</v>
      </c>
      <c r="Z697" t="s">
        <v>78</v>
      </c>
    </row>
    <row r="698" spans="1:26">
      <c r="A698" t="s">
        <v>1331</v>
      </c>
      <c r="B698" t="s">
        <v>1332</v>
      </c>
      <c r="C698" s="4">
        <v>46080</v>
      </c>
      <c r="D698" t="s">
        <v>242</v>
      </c>
      <c r="E698" t="s">
        <v>70</v>
      </c>
      <c r="F698" s="4">
        <v>46080</v>
      </c>
      <c r="G698" s="4">
        <v>46083</v>
      </c>
      <c r="H698" t="s">
        <v>90</v>
      </c>
      <c r="I698" t="s">
        <v>162</v>
      </c>
      <c r="J698" t="s">
        <v>129</v>
      </c>
      <c r="K698" t="s">
        <v>73</v>
      </c>
      <c r="L698" t="s">
        <v>146</v>
      </c>
      <c r="M698" s="5">
        <v>36500</v>
      </c>
      <c r="N698" s="5">
        <v>5550</v>
      </c>
      <c r="O698" s="5">
        <v>8900</v>
      </c>
      <c r="P698" s="5">
        <v>7500</v>
      </c>
      <c r="Q698" s="5">
        <v>59650</v>
      </c>
      <c r="R698" t="s">
        <v>95</v>
      </c>
      <c r="S698" t="s">
        <v>63</v>
      </c>
      <c r="T698" s="5">
        <v>59650</v>
      </c>
      <c r="U698" s="6">
        <v>3</v>
      </c>
      <c r="V698" t="s">
        <v>77</v>
      </c>
      <c r="W698" s="4">
        <v>46100</v>
      </c>
      <c r="X698" t="s">
        <v>64</v>
      </c>
      <c r="Y698" t="s">
        <v>64</v>
      </c>
      <c r="Z698" t="s">
        <v>107</v>
      </c>
    </row>
    <row r="699" spans="1:26">
      <c r="A699" t="s">
        <v>1333</v>
      </c>
      <c r="B699" t="s">
        <v>1200</v>
      </c>
      <c r="C699" s="4">
        <v>46170</v>
      </c>
      <c r="D699" t="s">
        <v>55</v>
      </c>
      <c r="E699" t="s">
        <v>56</v>
      </c>
      <c r="F699" s="4"/>
      <c r="G699" s="4"/>
      <c r="H699" t="s">
        <v>138</v>
      </c>
      <c r="I699" t="s">
        <v>260</v>
      </c>
      <c r="J699" t="s">
        <v>140</v>
      </c>
      <c r="K699" t="s">
        <v>60</v>
      </c>
      <c r="L699" t="s">
        <v>74</v>
      </c>
      <c r="M699" s="5"/>
      <c r="N699" s="5"/>
      <c r="O699" s="5"/>
      <c r="P699" s="5"/>
      <c r="Q699" s="5"/>
      <c r="R699" t="s">
        <v>134</v>
      </c>
      <c r="S699" t="s">
        <v>63</v>
      </c>
      <c r="T699" s="5"/>
      <c r="U699" s="6"/>
      <c r="V699" t="s">
        <v>64</v>
      </c>
      <c r="W699" s="4"/>
      <c r="X699" t="s">
        <v>65</v>
      </c>
      <c r="Z699" t="s">
        <v>66</v>
      </c>
    </row>
    <row r="700" spans="1:26">
      <c r="A700" t="s">
        <v>1334</v>
      </c>
      <c r="B700" t="s">
        <v>1335</v>
      </c>
      <c r="C700" s="4">
        <v>46170</v>
      </c>
      <c r="D700" t="s">
        <v>439</v>
      </c>
      <c r="E700" t="s">
        <v>70</v>
      </c>
      <c r="F700" s="4">
        <v>46171</v>
      </c>
      <c r="G700" s="4">
        <v>46178</v>
      </c>
      <c r="H700" t="s">
        <v>121</v>
      </c>
      <c r="I700" t="s">
        <v>251</v>
      </c>
      <c r="J700" t="s">
        <v>123</v>
      </c>
      <c r="K700" t="s">
        <v>93</v>
      </c>
      <c r="L700" t="s">
        <v>61</v>
      </c>
      <c r="M700" s="5">
        <v>36800</v>
      </c>
      <c r="N700" s="5">
        <v>5000</v>
      </c>
      <c r="O700" s="5">
        <v>6150</v>
      </c>
      <c r="P700" s="5">
        <v>21000</v>
      </c>
      <c r="Q700" s="5">
        <v>70950</v>
      </c>
      <c r="R700" t="s">
        <v>62</v>
      </c>
      <c r="S700" t="s">
        <v>76</v>
      </c>
      <c r="T700" s="5">
        <v>21690</v>
      </c>
      <c r="U700" s="6">
        <v>1</v>
      </c>
      <c r="V700" t="s">
        <v>77</v>
      </c>
      <c r="W700" s="4">
        <v>46199</v>
      </c>
      <c r="X700" t="s">
        <v>64</v>
      </c>
      <c r="Y700" t="s">
        <v>64</v>
      </c>
      <c r="Z700" t="s">
        <v>96</v>
      </c>
    </row>
    <row r="701" spans="1:26">
      <c r="A701" t="s">
        <v>1336</v>
      </c>
      <c r="B701" t="s">
        <v>1337</v>
      </c>
      <c r="C701" s="4">
        <v>46132</v>
      </c>
      <c r="D701" t="s">
        <v>206</v>
      </c>
      <c r="E701" t="s">
        <v>70</v>
      </c>
      <c r="F701" s="4">
        <v>46132</v>
      </c>
      <c r="G701" s="4">
        <v>46135</v>
      </c>
      <c r="H701" t="s">
        <v>201</v>
      </c>
      <c r="I701" t="s">
        <v>421</v>
      </c>
      <c r="J701" t="s">
        <v>203</v>
      </c>
      <c r="K701" t="s">
        <v>124</v>
      </c>
      <c r="L701" t="s">
        <v>61</v>
      </c>
      <c r="M701" s="5">
        <v>51100</v>
      </c>
      <c r="N701" s="5">
        <v>4400</v>
      </c>
      <c r="O701" s="5">
        <v>10800</v>
      </c>
      <c r="P701" s="5">
        <v>7500</v>
      </c>
      <c r="Q701" s="5">
        <v>74800</v>
      </c>
      <c r="R701" t="s">
        <v>75</v>
      </c>
      <c r="S701" t="s">
        <v>76</v>
      </c>
      <c r="T701" s="5">
        <v>33960</v>
      </c>
      <c r="U701" s="6">
        <v>4</v>
      </c>
      <c r="V701" t="s">
        <v>77</v>
      </c>
      <c r="W701" s="4">
        <v>46147</v>
      </c>
      <c r="X701" t="s">
        <v>77</v>
      </c>
      <c r="Y701" t="s">
        <v>64</v>
      </c>
      <c r="Z701" t="s">
        <v>78</v>
      </c>
    </row>
    <row r="702" spans="1:26">
      <c r="A702" t="s">
        <v>1338</v>
      </c>
      <c r="B702" t="s">
        <v>1141</v>
      </c>
      <c r="C702" s="4">
        <v>46123</v>
      </c>
      <c r="D702" t="s">
        <v>225</v>
      </c>
      <c r="E702" t="s">
        <v>70</v>
      </c>
      <c r="F702" s="4">
        <v>46124</v>
      </c>
      <c r="G702" s="4">
        <v>46127</v>
      </c>
      <c r="H702" t="s">
        <v>57</v>
      </c>
      <c r="I702" t="s">
        <v>71</v>
      </c>
      <c r="J702" t="s">
        <v>59</v>
      </c>
      <c r="K702" t="s">
        <v>73</v>
      </c>
      <c r="L702" t="s">
        <v>61</v>
      </c>
      <c r="M702" s="5">
        <v>40700</v>
      </c>
      <c r="N702" s="5">
        <v>4550</v>
      </c>
      <c r="O702" s="5">
        <v>9000</v>
      </c>
      <c r="P702" s="5">
        <v>18000</v>
      </c>
      <c r="Q702" s="5">
        <v>74050</v>
      </c>
      <c r="R702" t="s">
        <v>134</v>
      </c>
      <c r="S702" t="s">
        <v>76</v>
      </c>
      <c r="T702" s="5">
        <v>40930</v>
      </c>
      <c r="U702" s="6">
        <v>3</v>
      </c>
      <c r="V702" t="s">
        <v>77</v>
      </c>
      <c r="W702" s="4">
        <v>46142</v>
      </c>
      <c r="X702" t="s">
        <v>64</v>
      </c>
      <c r="Y702" t="s">
        <v>64</v>
      </c>
      <c r="Z702" t="s">
        <v>96</v>
      </c>
    </row>
    <row r="703" spans="1:26">
      <c r="A703" t="s">
        <v>1339</v>
      </c>
      <c r="B703" t="s">
        <v>783</v>
      </c>
      <c r="C703" s="4">
        <v>46122</v>
      </c>
      <c r="D703" t="s">
        <v>149</v>
      </c>
      <c r="E703" t="s">
        <v>70</v>
      </c>
      <c r="F703" s="4">
        <v>46122</v>
      </c>
      <c r="G703" s="4">
        <v>46123</v>
      </c>
      <c r="H703" t="s">
        <v>150</v>
      </c>
      <c r="I703" t="s">
        <v>239</v>
      </c>
      <c r="J703" t="s">
        <v>152</v>
      </c>
      <c r="K703" t="s">
        <v>60</v>
      </c>
      <c r="L703" t="s">
        <v>94</v>
      </c>
      <c r="M703" s="5">
        <v>22700</v>
      </c>
      <c r="N703" s="5">
        <v>2750</v>
      </c>
      <c r="O703" s="5">
        <v>5200</v>
      </c>
      <c r="P703" s="5">
        <v>6000</v>
      </c>
      <c r="Q703" s="5">
        <v>38450</v>
      </c>
      <c r="R703" t="s">
        <v>95</v>
      </c>
      <c r="S703" t="s">
        <v>63</v>
      </c>
      <c r="T703" s="5">
        <v>38450</v>
      </c>
      <c r="U703" s="6">
        <v>5</v>
      </c>
      <c r="V703" t="s">
        <v>64</v>
      </c>
      <c r="W703" s="4"/>
      <c r="X703" t="s">
        <v>65</v>
      </c>
      <c r="Y703" t="s">
        <v>64</v>
      </c>
      <c r="Z703" t="s">
        <v>96</v>
      </c>
    </row>
    <row r="704" spans="1:26">
      <c r="A704" t="s">
        <v>1340</v>
      </c>
      <c r="B704" t="s">
        <v>443</v>
      </c>
      <c r="C704" s="4">
        <v>46058</v>
      </c>
      <c r="D704" t="s">
        <v>55</v>
      </c>
      <c r="E704" t="s">
        <v>70</v>
      </c>
      <c r="F704" s="4">
        <v>46058</v>
      </c>
      <c r="G704" s="4">
        <v>46058</v>
      </c>
      <c r="H704" t="s">
        <v>121</v>
      </c>
      <c r="I704" t="s">
        <v>174</v>
      </c>
      <c r="J704" t="s">
        <v>123</v>
      </c>
      <c r="K704" t="s">
        <v>60</v>
      </c>
      <c r="L704" t="s">
        <v>74</v>
      </c>
      <c r="M704" s="5">
        <v>34300</v>
      </c>
      <c r="N704" s="5">
        <v>6150</v>
      </c>
      <c r="O704" s="5">
        <v>5300</v>
      </c>
      <c r="P704" s="5">
        <v>0</v>
      </c>
      <c r="Q704" s="5">
        <v>47550</v>
      </c>
      <c r="R704" t="s">
        <v>106</v>
      </c>
      <c r="S704" t="s">
        <v>76</v>
      </c>
      <c r="T704" s="5">
        <v>17340</v>
      </c>
      <c r="U704" s="6">
        <v>4</v>
      </c>
      <c r="V704" t="s">
        <v>64</v>
      </c>
      <c r="W704" s="4"/>
      <c r="X704" t="s">
        <v>65</v>
      </c>
      <c r="Y704" t="s">
        <v>77</v>
      </c>
      <c r="Z704" t="s">
        <v>78</v>
      </c>
    </row>
    <row r="705" spans="1:26">
      <c r="A705" t="s">
        <v>1341</v>
      </c>
      <c r="B705" t="s">
        <v>258</v>
      </c>
      <c r="C705" s="4">
        <v>46135</v>
      </c>
      <c r="D705" t="s">
        <v>173</v>
      </c>
      <c r="E705" t="s">
        <v>70</v>
      </c>
      <c r="F705" s="4">
        <v>46135</v>
      </c>
      <c r="G705" s="4">
        <v>46135</v>
      </c>
      <c r="H705" t="s">
        <v>90</v>
      </c>
      <c r="I705" t="s">
        <v>133</v>
      </c>
      <c r="J705" t="s">
        <v>92</v>
      </c>
      <c r="K705" t="s">
        <v>60</v>
      </c>
      <c r="L705" t="s">
        <v>74</v>
      </c>
      <c r="M705" s="5">
        <v>52000</v>
      </c>
      <c r="N705" s="5">
        <v>4450</v>
      </c>
      <c r="O705" s="5">
        <v>8150</v>
      </c>
      <c r="P705" s="5">
        <v>0</v>
      </c>
      <c r="Q705" s="5">
        <v>66600</v>
      </c>
      <c r="R705" t="s">
        <v>106</v>
      </c>
      <c r="S705" t="s">
        <v>76</v>
      </c>
      <c r="T705" s="5">
        <v>24010</v>
      </c>
      <c r="U705" s="6">
        <v>4</v>
      </c>
      <c r="V705" t="s">
        <v>77</v>
      </c>
      <c r="W705" s="4">
        <v>46152</v>
      </c>
      <c r="X705" t="s">
        <v>64</v>
      </c>
      <c r="Y705" t="s">
        <v>64</v>
      </c>
      <c r="Z705" t="s">
        <v>96</v>
      </c>
    </row>
    <row r="706" spans="1:26">
      <c r="A706" t="s">
        <v>1342</v>
      </c>
      <c r="B706" t="s">
        <v>1343</v>
      </c>
      <c r="C706" s="4">
        <v>46124</v>
      </c>
      <c r="D706" t="s">
        <v>250</v>
      </c>
      <c r="E706" t="s">
        <v>314</v>
      </c>
      <c r="F706" s="4"/>
      <c r="G706" s="4"/>
      <c r="H706" t="s">
        <v>103</v>
      </c>
      <c r="I706" t="s">
        <v>243</v>
      </c>
      <c r="J706" t="s">
        <v>105</v>
      </c>
      <c r="K706" t="s">
        <v>60</v>
      </c>
      <c r="L706" t="s">
        <v>74</v>
      </c>
      <c r="M706" s="5"/>
      <c r="N706" s="5"/>
      <c r="O706" s="5"/>
      <c r="P706" s="5"/>
      <c r="Q706" s="5"/>
      <c r="R706" t="s">
        <v>75</v>
      </c>
      <c r="S706" t="s">
        <v>63</v>
      </c>
      <c r="T706" s="5"/>
      <c r="U706" s="6"/>
      <c r="V706" t="s">
        <v>64</v>
      </c>
      <c r="W706" s="4"/>
      <c r="X706" t="s">
        <v>65</v>
      </c>
      <c r="Z706" t="s">
        <v>66</v>
      </c>
    </row>
    <row r="707" spans="1:26">
      <c r="A707" t="s">
        <v>1344</v>
      </c>
      <c r="B707" t="s">
        <v>1345</v>
      </c>
      <c r="C707" s="4">
        <v>46149</v>
      </c>
      <c r="D707" t="s">
        <v>55</v>
      </c>
      <c r="E707" t="s">
        <v>70</v>
      </c>
      <c r="F707" s="4">
        <v>46150</v>
      </c>
      <c r="G707" s="4">
        <v>46161</v>
      </c>
      <c r="H707" t="s">
        <v>82</v>
      </c>
      <c r="I707" t="s">
        <v>331</v>
      </c>
      <c r="J707" t="s">
        <v>156</v>
      </c>
      <c r="K707" t="s">
        <v>93</v>
      </c>
      <c r="L707" t="s">
        <v>74</v>
      </c>
      <c r="M707" s="5">
        <v>85600</v>
      </c>
      <c r="N707" s="5">
        <v>14100</v>
      </c>
      <c r="O707" s="5">
        <v>18850</v>
      </c>
      <c r="P707" s="5">
        <v>27500</v>
      </c>
      <c r="Q707" s="5">
        <v>147550</v>
      </c>
      <c r="R707" t="s">
        <v>85</v>
      </c>
      <c r="S707" t="s">
        <v>76</v>
      </c>
      <c r="T707" s="5">
        <v>37790</v>
      </c>
      <c r="U707" s="6">
        <v>2</v>
      </c>
      <c r="V707" t="s">
        <v>77</v>
      </c>
      <c r="W707" s="4">
        <v>46178</v>
      </c>
      <c r="X707" t="s">
        <v>77</v>
      </c>
      <c r="Y707" t="s">
        <v>64</v>
      </c>
      <c r="Z707" t="s">
        <v>78</v>
      </c>
    </row>
    <row r="708" spans="1:26">
      <c r="A708" t="s">
        <v>1346</v>
      </c>
      <c r="B708" t="s">
        <v>1127</v>
      </c>
      <c r="C708" s="4">
        <v>46057</v>
      </c>
      <c r="D708" t="s">
        <v>363</v>
      </c>
      <c r="E708" t="s">
        <v>70</v>
      </c>
      <c r="F708" s="4">
        <v>46057</v>
      </c>
      <c r="G708" s="4">
        <v>46058</v>
      </c>
      <c r="H708" t="s">
        <v>121</v>
      </c>
      <c r="I708" t="s">
        <v>122</v>
      </c>
      <c r="J708" t="s">
        <v>252</v>
      </c>
      <c r="K708" t="s">
        <v>60</v>
      </c>
      <c r="L708" t="s">
        <v>94</v>
      </c>
      <c r="M708" s="5">
        <v>86600</v>
      </c>
      <c r="N708" s="5">
        <v>14700</v>
      </c>
      <c r="O708" s="5">
        <v>14650</v>
      </c>
      <c r="P708" s="5">
        <v>6000</v>
      </c>
      <c r="Q708" s="5">
        <v>122950</v>
      </c>
      <c r="R708" t="s">
        <v>95</v>
      </c>
      <c r="S708" t="s">
        <v>63</v>
      </c>
      <c r="T708" s="5">
        <v>122950</v>
      </c>
      <c r="U708" s="6">
        <v>4</v>
      </c>
      <c r="V708" t="s">
        <v>77</v>
      </c>
      <c r="W708" s="4">
        <v>46069</v>
      </c>
      <c r="X708" t="s">
        <v>77</v>
      </c>
      <c r="Y708" t="s">
        <v>64</v>
      </c>
      <c r="Z708" t="s">
        <v>78</v>
      </c>
    </row>
    <row r="709" spans="1:26">
      <c r="A709" t="s">
        <v>1347</v>
      </c>
      <c r="B709" t="s">
        <v>1148</v>
      </c>
      <c r="C709" s="4">
        <v>46069</v>
      </c>
      <c r="D709" t="s">
        <v>225</v>
      </c>
      <c r="E709" t="s">
        <v>70</v>
      </c>
      <c r="F709" s="4">
        <v>46069</v>
      </c>
      <c r="G709" s="4">
        <v>46072</v>
      </c>
      <c r="H709" t="s">
        <v>90</v>
      </c>
      <c r="I709" t="s">
        <v>91</v>
      </c>
      <c r="J709" t="s">
        <v>197</v>
      </c>
      <c r="K709" t="s">
        <v>93</v>
      </c>
      <c r="L709" t="s">
        <v>61</v>
      </c>
      <c r="M709" s="5">
        <v>20600</v>
      </c>
      <c r="N709" s="5">
        <v>2250</v>
      </c>
      <c r="O709" s="5">
        <v>2700</v>
      </c>
      <c r="P709" s="5">
        <v>10500</v>
      </c>
      <c r="Q709" s="5">
        <v>37250</v>
      </c>
      <c r="R709" t="s">
        <v>141</v>
      </c>
      <c r="S709" t="s">
        <v>76</v>
      </c>
      <c r="T709" s="5">
        <v>6790</v>
      </c>
      <c r="U709" s="6"/>
      <c r="V709" t="s">
        <v>64</v>
      </c>
      <c r="W709" s="4"/>
      <c r="X709" t="s">
        <v>65</v>
      </c>
      <c r="Y709" t="s">
        <v>64</v>
      </c>
      <c r="Z709" t="s">
        <v>78</v>
      </c>
    </row>
    <row r="710" spans="1:26">
      <c r="A710" t="s">
        <v>1348</v>
      </c>
      <c r="B710" t="s">
        <v>288</v>
      </c>
      <c r="C710" s="4">
        <v>46122</v>
      </c>
      <c r="D710" t="s">
        <v>234</v>
      </c>
      <c r="E710" t="s">
        <v>70</v>
      </c>
      <c r="F710" s="4">
        <v>46122</v>
      </c>
      <c r="G710" s="4">
        <v>46127</v>
      </c>
      <c r="H710" t="s">
        <v>150</v>
      </c>
      <c r="I710" t="s">
        <v>151</v>
      </c>
      <c r="J710" t="s">
        <v>152</v>
      </c>
      <c r="K710" t="s">
        <v>73</v>
      </c>
      <c r="L710" t="s">
        <v>94</v>
      </c>
      <c r="M710" s="5">
        <v>20300</v>
      </c>
      <c r="N710" s="5">
        <v>3550</v>
      </c>
      <c r="O710" s="5">
        <v>2400</v>
      </c>
      <c r="P710" s="5">
        <v>12500</v>
      </c>
      <c r="Q710" s="5">
        <v>41250</v>
      </c>
      <c r="R710" t="s">
        <v>95</v>
      </c>
      <c r="S710" t="s">
        <v>63</v>
      </c>
      <c r="T710" s="5">
        <v>41250</v>
      </c>
      <c r="U710" s="6">
        <v>3</v>
      </c>
      <c r="V710" t="s">
        <v>77</v>
      </c>
      <c r="W710" s="4">
        <v>46138</v>
      </c>
      <c r="X710" t="s">
        <v>64</v>
      </c>
      <c r="Y710" t="s">
        <v>64</v>
      </c>
      <c r="Z710" t="s">
        <v>107</v>
      </c>
    </row>
    <row r="711" spans="1:26">
      <c r="A711" t="s">
        <v>1349</v>
      </c>
      <c r="B711" t="s">
        <v>1350</v>
      </c>
      <c r="C711" s="4">
        <v>46142</v>
      </c>
      <c r="D711" t="s">
        <v>127</v>
      </c>
      <c r="E711" t="s">
        <v>56</v>
      </c>
      <c r="F711" s="4"/>
      <c r="G711" s="4"/>
      <c r="H711" t="s">
        <v>178</v>
      </c>
      <c r="I711" t="s">
        <v>622</v>
      </c>
      <c r="J711" t="s">
        <v>340</v>
      </c>
      <c r="K711" t="s">
        <v>73</v>
      </c>
      <c r="L711" t="s">
        <v>61</v>
      </c>
      <c r="M711" s="5"/>
      <c r="N711" s="5"/>
      <c r="O711" s="5"/>
      <c r="P711" s="5"/>
      <c r="Q711" s="5"/>
      <c r="R711" t="s">
        <v>85</v>
      </c>
      <c r="S711" t="s">
        <v>63</v>
      </c>
      <c r="T711" s="5"/>
      <c r="U711" s="6"/>
      <c r="V711" t="s">
        <v>64</v>
      </c>
      <c r="W711" s="4"/>
      <c r="X711" t="s">
        <v>65</v>
      </c>
      <c r="Z711" t="s">
        <v>66</v>
      </c>
    </row>
    <row r="712" spans="1:26">
      <c r="A712" t="s">
        <v>1351</v>
      </c>
      <c r="B712" t="s">
        <v>980</v>
      </c>
      <c r="C712" s="4">
        <v>46145</v>
      </c>
      <c r="D712" t="s">
        <v>234</v>
      </c>
      <c r="E712" t="s">
        <v>70</v>
      </c>
      <c r="F712" s="4">
        <v>46145</v>
      </c>
      <c r="G712" s="4">
        <v>46148</v>
      </c>
      <c r="H712" t="s">
        <v>201</v>
      </c>
      <c r="I712" t="s">
        <v>515</v>
      </c>
      <c r="J712" t="s">
        <v>295</v>
      </c>
      <c r="K712" t="s">
        <v>124</v>
      </c>
      <c r="L712" t="s">
        <v>74</v>
      </c>
      <c r="M712" s="5">
        <v>49700</v>
      </c>
      <c r="N712" s="5">
        <v>4650</v>
      </c>
      <c r="O712" s="5">
        <v>7100</v>
      </c>
      <c r="P712" s="5">
        <v>7500</v>
      </c>
      <c r="Q712" s="5">
        <v>70150</v>
      </c>
      <c r="R712" t="s">
        <v>85</v>
      </c>
      <c r="S712" t="s">
        <v>86</v>
      </c>
      <c r="T712" s="5">
        <v>18440</v>
      </c>
      <c r="U712" s="6">
        <v>3</v>
      </c>
      <c r="V712" t="s">
        <v>77</v>
      </c>
      <c r="W712" s="4">
        <v>46155</v>
      </c>
      <c r="X712" t="s">
        <v>77</v>
      </c>
      <c r="Y712" t="s">
        <v>64</v>
      </c>
      <c r="Z712" t="s">
        <v>107</v>
      </c>
    </row>
    <row r="713" spans="1:26">
      <c r="A713" t="s">
        <v>1352</v>
      </c>
      <c r="B713" t="s">
        <v>996</v>
      </c>
      <c r="C713" s="4">
        <v>46118</v>
      </c>
      <c r="D713" t="s">
        <v>173</v>
      </c>
      <c r="E713" t="s">
        <v>314</v>
      </c>
      <c r="F713" s="4"/>
      <c r="G713" s="4"/>
      <c r="H713" t="s">
        <v>111</v>
      </c>
      <c r="I713" t="s">
        <v>112</v>
      </c>
      <c r="J713" t="s">
        <v>117</v>
      </c>
      <c r="K713" t="s">
        <v>60</v>
      </c>
      <c r="L713" t="s">
        <v>94</v>
      </c>
      <c r="M713" s="5"/>
      <c r="N713" s="5"/>
      <c r="O713" s="5"/>
      <c r="P713" s="5"/>
      <c r="Q713" s="5"/>
      <c r="R713" t="s">
        <v>106</v>
      </c>
      <c r="S713" t="s">
        <v>63</v>
      </c>
      <c r="T713" s="5"/>
      <c r="U713" s="6"/>
      <c r="V713" t="s">
        <v>64</v>
      </c>
      <c r="W713" s="4"/>
      <c r="X713" t="s">
        <v>65</v>
      </c>
      <c r="Z713" t="s">
        <v>66</v>
      </c>
    </row>
    <row r="714" spans="1:26">
      <c r="A714" t="s">
        <v>1353</v>
      </c>
      <c r="B714" t="s">
        <v>324</v>
      </c>
      <c r="C714" s="4">
        <v>46114</v>
      </c>
      <c r="D714" t="s">
        <v>250</v>
      </c>
      <c r="E714" t="s">
        <v>177</v>
      </c>
      <c r="F714" s="4"/>
      <c r="G714" s="4"/>
      <c r="H714" t="s">
        <v>111</v>
      </c>
      <c r="I714" t="s">
        <v>397</v>
      </c>
      <c r="J714" t="s">
        <v>113</v>
      </c>
      <c r="K714" t="s">
        <v>124</v>
      </c>
      <c r="L714" t="s">
        <v>74</v>
      </c>
      <c r="M714" s="5"/>
      <c r="N714" s="5"/>
      <c r="O714" s="5"/>
      <c r="P714" s="5"/>
      <c r="Q714" s="5"/>
      <c r="R714" t="s">
        <v>85</v>
      </c>
      <c r="S714" t="s">
        <v>63</v>
      </c>
      <c r="T714" s="5"/>
      <c r="U714" s="6"/>
      <c r="V714" t="s">
        <v>64</v>
      </c>
      <c r="W714" s="4"/>
      <c r="X714" t="s">
        <v>65</v>
      </c>
      <c r="Z714" t="s">
        <v>66</v>
      </c>
    </row>
    <row r="715" spans="1:26">
      <c r="A715" t="s">
        <v>1354</v>
      </c>
      <c r="B715" t="s">
        <v>246</v>
      </c>
      <c r="C715" s="4">
        <v>46076</v>
      </c>
      <c r="D715" t="s">
        <v>330</v>
      </c>
      <c r="E715" t="s">
        <v>177</v>
      </c>
      <c r="F715" s="4"/>
      <c r="G715" s="4"/>
      <c r="H715" t="s">
        <v>111</v>
      </c>
      <c r="I715" t="s">
        <v>222</v>
      </c>
      <c r="J715" t="s">
        <v>113</v>
      </c>
      <c r="K715" t="s">
        <v>124</v>
      </c>
      <c r="L715" t="s">
        <v>94</v>
      </c>
      <c r="M715" s="5"/>
      <c r="N715" s="5"/>
      <c r="O715" s="5"/>
      <c r="P715" s="5"/>
      <c r="Q715" s="5"/>
      <c r="R715" t="s">
        <v>85</v>
      </c>
      <c r="S715" t="s">
        <v>63</v>
      </c>
      <c r="T715" s="5"/>
      <c r="U715" s="6"/>
      <c r="V715" t="s">
        <v>64</v>
      </c>
      <c r="W715" s="4"/>
      <c r="X715" t="s">
        <v>65</v>
      </c>
      <c r="Z715" t="s">
        <v>66</v>
      </c>
    </row>
    <row r="716" spans="1:26">
      <c r="A716" t="s">
        <v>1355</v>
      </c>
      <c r="B716" t="s">
        <v>1141</v>
      </c>
      <c r="C716" s="4">
        <v>46094</v>
      </c>
      <c r="D716" t="s">
        <v>173</v>
      </c>
      <c r="E716" t="s">
        <v>70</v>
      </c>
      <c r="F716" s="4">
        <v>46094</v>
      </c>
      <c r="G716" s="4">
        <v>46097</v>
      </c>
      <c r="H716" t="s">
        <v>201</v>
      </c>
      <c r="I716" t="s">
        <v>515</v>
      </c>
      <c r="J716" t="s">
        <v>203</v>
      </c>
      <c r="K716" t="s">
        <v>124</v>
      </c>
      <c r="L716" t="s">
        <v>61</v>
      </c>
      <c r="M716" s="5">
        <v>26900</v>
      </c>
      <c r="N716" s="5">
        <v>2900</v>
      </c>
      <c r="O716" s="5">
        <v>5500</v>
      </c>
      <c r="P716" s="5">
        <v>9000</v>
      </c>
      <c r="Q716" s="5">
        <v>45500</v>
      </c>
      <c r="R716" t="s">
        <v>75</v>
      </c>
      <c r="S716" t="s">
        <v>76</v>
      </c>
      <c r="T716" s="5">
        <v>20770</v>
      </c>
      <c r="U716" s="6">
        <v>5</v>
      </c>
      <c r="V716" t="s">
        <v>77</v>
      </c>
      <c r="W716" s="4">
        <v>46106</v>
      </c>
      <c r="X716" t="s">
        <v>77</v>
      </c>
      <c r="Y716" t="s">
        <v>64</v>
      </c>
      <c r="Z716" t="s">
        <v>96</v>
      </c>
    </row>
    <row r="717" spans="1:26">
      <c r="A717" t="s">
        <v>1356</v>
      </c>
      <c r="B717" t="s">
        <v>661</v>
      </c>
      <c r="C717" s="4">
        <v>46049</v>
      </c>
      <c r="D717" t="s">
        <v>149</v>
      </c>
      <c r="E717" t="s">
        <v>70</v>
      </c>
      <c r="F717" s="4">
        <v>46049</v>
      </c>
      <c r="G717" s="4">
        <v>46049</v>
      </c>
      <c r="H717" t="s">
        <v>57</v>
      </c>
      <c r="I717" t="s">
        <v>100</v>
      </c>
      <c r="J717" t="s">
        <v>72</v>
      </c>
      <c r="K717" t="s">
        <v>60</v>
      </c>
      <c r="L717" t="s">
        <v>61</v>
      </c>
      <c r="M717" s="5">
        <v>8600</v>
      </c>
      <c r="N717" s="5">
        <v>1550</v>
      </c>
      <c r="O717" s="5">
        <v>2000</v>
      </c>
      <c r="P717" s="5">
        <v>0</v>
      </c>
      <c r="Q717" s="5">
        <v>14150</v>
      </c>
      <c r="R717" t="s">
        <v>75</v>
      </c>
      <c r="S717" t="s">
        <v>76</v>
      </c>
      <c r="T717" s="5">
        <v>6670</v>
      </c>
      <c r="U717" s="6">
        <v>5</v>
      </c>
      <c r="V717" t="s">
        <v>64</v>
      </c>
      <c r="W717" s="4"/>
      <c r="X717" t="s">
        <v>65</v>
      </c>
      <c r="Y717" t="s">
        <v>64</v>
      </c>
      <c r="Z717" t="s">
        <v>96</v>
      </c>
    </row>
    <row r="718" spans="1:26">
      <c r="A718" t="s">
        <v>1357</v>
      </c>
      <c r="B718" t="s">
        <v>441</v>
      </c>
      <c r="C718" s="4">
        <v>46152</v>
      </c>
      <c r="D718" t="s">
        <v>132</v>
      </c>
      <c r="E718" t="s">
        <v>314</v>
      </c>
      <c r="F718" s="4"/>
      <c r="G718" s="4"/>
      <c r="H718" t="s">
        <v>57</v>
      </c>
      <c r="I718" t="s">
        <v>169</v>
      </c>
      <c r="J718" t="s">
        <v>59</v>
      </c>
      <c r="K718" t="s">
        <v>73</v>
      </c>
      <c r="L718" t="s">
        <v>94</v>
      </c>
      <c r="M718" s="5"/>
      <c r="N718" s="5"/>
      <c r="O718" s="5"/>
      <c r="P718" s="5"/>
      <c r="Q718" s="5"/>
      <c r="R718" t="s">
        <v>106</v>
      </c>
      <c r="S718" t="s">
        <v>63</v>
      </c>
      <c r="T718" s="5"/>
      <c r="U718" s="6"/>
      <c r="V718" t="s">
        <v>64</v>
      </c>
      <c r="W718" s="4"/>
      <c r="X718" t="s">
        <v>65</v>
      </c>
      <c r="Z718" t="s">
        <v>66</v>
      </c>
    </row>
    <row r="719" spans="1:26">
      <c r="A719" t="s">
        <v>1358</v>
      </c>
      <c r="B719" t="s">
        <v>1020</v>
      </c>
      <c r="C719" s="4">
        <v>46162</v>
      </c>
      <c r="D719" t="s">
        <v>132</v>
      </c>
      <c r="E719" t="s">
        <v>70</v>
      </c>
      <c r="F719" s="4">
        <v>46162</v>
      </c>
      <c r="G719" s="4">
        <v>46163</v>
      </c>
      <c r="H719" t="s">
        <v>138</v>
      </c>
      <c r="I719" t="s">
        <v>139</v>
      </c>
      <c r="J719" t="s">
        <v>140</v>
      </c>
      <c r="K719" t="s">
        <v>73</v>
      </c>
      <c r="L719" t="s">
        <v>94</v>
      </c>
      <c r="M719" s="5">
        <v>14100</v>
      </c>
      <c r="N719" s="5">
        <v>1200</v>
      </c>
      <c r="O719" s="5">
        <v>2900</v>
      </c>
      <c r="P719" s="5">
        <v>3000</v>
      </c>
      <c r="Q719" s="5">
        <v>23200</v>
      </c>
      <c r="R719" t="s">
        <v>95</v>
      </c>
      <c r="S719" t="s">
        <v>63</v>
      </c>
      <c r="T719" s="5">
        <v>23200</v>
      </c>
      <c r="U719" s="6">
        <v>5</v>
      </c>
      <c r="V719" t="s">
        <v>77</v>
      </c>
      <c r="W719" s="4">
        <v>46180</v>
      </c>
      <c r="X719" t="s">
        <v>77</v>
      </c>
      <c r="Y719" t="s">
        <v>64</v>
      </c>
      <c r="Z719" t="s">
        <v>219</v>
      </c>
    </row>
    <row r="720" spans="1:26">
      <c r="A720" t="s">
        <v>1359</v>
      </c>
      <c r="B720" t="s">
        <v>1360</v>
      </c>
      <c r="C720" s="4">
        <v>46136</v>
      </c>
      <c r="D720" t="s">
        <v>144</v>
      </c>
      <c r="E720" t="s">
        <v>70</v>
      </c>
      <c r="F720" s="4">
        <v>46136</v>
      </c>
      <c r="G720" s="4">
        <v>46140</v>
      </c>
      <c r="H720" t="s">
        <v>138</v>
      </c>
      <c r="I720" t="s">
        <v>139</v>
      </c>
      <c r="J720" t="s">
        <v>261</v>
      </c>
      <c r="K720" t="s">
        <v>124</v>
      </c>
      <c r="L720" t="s">
        <v>61</v>
      </c>
      <c r="M720" s="5">
        <v>6500</v>
      </c>
      <c r="N720" s="5">
        <v>800</v>
      </c>
      <c r="O720" s="5">
        <v>850</v>
      </c>
      <c r="P720" s="5">
        <v>10000</v>
      </c>
      <c r="Q720" s="5">
        <v>20150</v>
      </c>
      <c r="R720" t="s">
        <v>75</v>
      </c>
      <c r="S720" t="s">
        <v>76</v>
      </c>
      <c r="T720" s="5">
        <v>9370</v>
      </c>
      <c r="U720" s="6"/>
      <c r="V720" t="s">
        <v>77</v>
      </c>
      <c r="W720" s="4">
        <v>46149</v>
      </c>
      <c r="X720" t="s">
        <v>77</v>
      </c>
      <c r="Y720" t="s">
        <v>64</v>
      </c>
      <c r="Z720" t="s">
        <v>96</v>
      </c>
    </row>
    <row r="721" spans="1:26">
      <c r="A721" t="s">
        <v>1361</v>
      </c>
      <c r="B721" t="s">
        <v>1362</v>
      </c>
      <c r="C721" s="4">
        <v>46107</v>
      </c>
      <c r="D721" t="s">
        <v>266</v>
      </c>
      <c r="E721" t="s">
        <v>70</v>
      </c>
      <c r="F721" s="4">
        <v>46107</v>
      </c>
      <c r="G721" s="4">
        <v>46113</v>
      </c>
      <c r="H721" t="s">
        <v>178</v>
      </c>
      <c r="I721" t="s">
        <v>179</v>
      </c>
      <c r="J721" t="s">
        <v>340</v>
      </c>
      <c r="K721" t="s">
        <v>93</v>
      </c>
      <c r="L721" t="s">
        <v>74</v>
      </c>
      <c r="M721" s="5">
        <v>59700</v>
      </c>
      <c r="N721" s="5">
        <v>7600</v>
      </c>
      <c r="O721" s="5">
        <v>8450</v>
      </c>
      <c r="P721" s="5">
        <v>15000</v>
      </c>
      <c r="Q721" s="5">
        <v>91750</v>
      </c>
      <c r="R721" t="s">
        <v>75</v>
      </c>
      <c r="S721" t="s">
        <v>76</v>
      </c>
      <c r="T721" s="5">
        <v>41590</v>
      </c>
      <c r="U721" s="6">
        <v>4</v>
      </c>
      <c r="V721" t="s">
        <v>77</v>
      </c>
      <c r="W721" s="4">
        <v>46132</v>
      </c>
      <c r="X721" t="s">
        <v>64</v>
      </c>
      <c r="Y721" t="s">
        <v>64</v>
      </c>
      <c r="Z721" t="s">
        <v>96</v>
      </c>
    </row>
    <row r="722" spans="1:26">
      <c r="A722" t="s">
        <v>1363</v>
      </c>
      <c r="B722" t="s">
        <v>254</v>
      </c>
      <c r="C722" s="4">
        <v>46100</v>
      </c>
      <c r="D722" t="s">
        <v>206</v>
      </c>
      <c r="E722" t="s">
        <v>70</v>
      </c>
      <c r="F722" s="4">
        <v>46100</v>
      </c>
      <c r="G722" s="4">
        <v>46109</v>
      </c>
      <c r="H722" t="s">
        <v>121</v>
      </c>
      <c r="I722" t="s">
        <v>251</v>
      </c>
      <c r="J722" t="s">
        <v>252</v>
      </c>
      <c r="K722" t="s">
        <v>73</v>
      </c>
      <c r="L722" t="s">
        <v>74</v>
      </c>
      <c r="M722" s="5">
        <v>59900</v>
      </c>
      <c r="N722" s="5">
        <v>7250</v>
      </c>
      <c r="O722" s="5">
        <v>10800</v>
      </c>
      <c r="P722" s="5">
        <v>40500</v>
      </c>
      <c r="Q722" s="5">
        <v>120450</v>
      </c>
      <c r="R722" t="s">
        <v>75</v>
      </c>
      <c r="S722" t="s">
        <v>76</v>
      </c>
      <c r="T722" s="5">
        <v>54500</v>
      </c>
      <c r="U722" s="6">
        <v>2</v>
      </c>
      <c r="V722" t="s">
        <v>64</v>
      </c>
      <c r="W722" s="4"/>
      <c r="X722" t="s">
        <v>65</v>
      </c>
      <c r="Y722" t="s">
        <v>64</v>
      </c>
      <c r="Z722" t="s">
        <v>436</v>
      </c>
    </row>
    <row r="723" spans="1:26">
      <c r="A723" t="s">
        <v>1364</v>
      </c>
      <c r="B723" t="s">
        <v>309</v>
      </c>
      <c r="C723" s="4">
        <v>46154</v>
      </c>
      <c r="D723" t="s">
        <v>439</v>
      </c>
      <c r="E723" t="s">
        <v>70</v>
      </c>
      <c r="F723" s="4">
        <v>46154</v>
      </c>
      <c r="G723" s="4">
        <v>46159</v>
      </c>
      <c r="H723" t="s">
        <v>90</v>
      </c>
      <c r="I723" t="s">
        <v>91</v>
      </c>
      <c r="J723" t="s">
        <v>92</v>
      </c>
      <c r="K723" t="s">
        <v>124</v>
      </c>
      <c r="L723" t="s">
        <v>74</v>
      </c>
      <c r="M723" s="5">
        <v>64100</v>
      </c>
      <c r="N723" s="5">
        <v>6550</v>
      </c>
      <c r="O723" s="5">
        <v>15850</v>
      </c>
      <c r="P723" s="5">
        <v>17500</v>
      </c>
      <c r="Q723" s="5">
        <v>105200</v>
      </c>
      <c r="R723" t="s">
        <v>95</v>
      </c>
      <c r="S723" t="s">
        <v>63</v>
      </c>
      <c r="T723" s="5">
        <v>105200</v>
      </c>
      <c r="U723" s="6">
        <v>4</v>
      </c>
      <c r="V723" t="s">
        <v>77</v>
      </c>
      <c r="W723" s="4">
        <v>46176</v>
      </c>
      <c r="X723" t="s">
        <v>77</v>
      </c>
      <c r="Y723" t="s">
        <v>64</v>
      </c>
      <c r="Z723" t="s">
        <v>107</v>
      </c>
    </row>
    <row r="724" spans="1:26">
      <c r="A724" t="s">
        <v>1365</v>
      </c>
      <c r="B724" t="s">
        <v>598</v>
      </c>
      <c r="C724" s="4">
        <v>46092</v>
      </c>
      <c r="D724" t="s">
        <v>302</v>
      </c>
      <c r="E724" t="s">
        <v>70</v>
      </c>
      <c r="F724" s="4">
        <v>46092</v>
      </c>
      <c r="G724" s="4">
        <v>46093</v>
      </c>
      <c r="H724" t="s">
        <v>57</v>
      </c>
      <c r="I724" t="s">
        <v>71</v>
      </c>
      <c r="J724" t="s">
        <v>72</v>
      </c>
      <c r="K724" t="s">
        <v>60</v>
      </c>
      <c r="L724" t="s">
        <v>74</v>
      </c>
      <c r="M724" s="5">
        <v>9600</v>
      </c>
      <c r="N724" s="5">
        <v>1100</v>
      </c>
      <c r="O724" s="5">
        <v>2050</v>
      </c>
      <c r="P724" s="5">
        <v>4500</v>
      </c>
      <c r="Q724" s="5">
        <v>19050</v>
      </c>
      <c r="R724" t="s">
        <v>106</v>
      </c>
      <c r="S724" t="s">
        <v>76</v>
      </c>
      <c r="T724" s="5">
        <v>7370</v>
      </c>
      <c r="U724" s="6">
        <v>4</v>
      </c>
      <c r="V724" t="s">
        <v>64</v>
      </c>
      <c r="W724" s="4"/>
      <c r="X724" t="s">
        <v>65</v>
      </c>
      <c r="Y724" t="s">
        <v>64</v>
      </c>
      <c r="Z724" t="s">
        <v>78</v>
      </c>
    </row>
    <row r="725" spans="1:26">
      <c r="A725" t="s">
        <v>1366</v>
      </c>
      <c r="B725" t="s">
        <v>461</v>
      </c>
      <c r="C725" s="4">
        <v>46133</v>
      </c>
      <c r="D725" t="s">
        <v>99</v>
      </c>
      <c r="E725" t="s">
        <v>70</v>
      </c>
      <c r="F725" s="4">
        <v>46133</v>
      </c>
      <c r="G725" s="4">
        <v>46134</v>
      </c>
      <c r="H725" t="s">
        <v>90</v>
      </c>
      <c r="I725" t="s">
        <v>299</v>
      </c>
      <c r="J725" t="s">
        <v>92</v>
      </c>
      <c r="K725" t="s">
        <v>60</v>
      </c>
      <c r="L725" t="s">
        <v>61</v>
      </c>
      <c r="M725" s="5">
        <v>46500</v>
      </c>
      <c r="N725" s="5">
        <v>6200</v>
      </c>
      <c r="O725" s="5">
        <v>11450</v>
      </c>
      <c r="P725" s="5">
        <v>3000</v>
      </c>
      <c r="Q725" s="5">
        <v>68650</v>
      </c>
      <c r="R725" t="s">
        <v>106</v>
      </c>
      <c r="S725" t="s">
        <v>76</v>
      </c>
      <c r="T725" s="5">
        <v>24730</v>
      </c>
      <c r="U725" s="6">
        <v>3</v>
      </c>
      <c r="V725" t="s">
        <v>77</v>
      </c>
      <c r="W725" s="4">
        <v>46144</v>
      </c>
      <c r="X725" t="s">
        <v>64</v>
      </c>
      <c r="Y725" t="s">
        <v>77</v>
      </c>
      <c r="Z725" t="s">
        <v>107</v>
      </c>
    </row>
    <row r="726" spans="1:26">
      <c r="A726" t="s">
        <v>1367</v>
      </c>
      <c r="B726" t="s">
        <v>764</v>
      </c>
      <c r="C726" s="4">
        <v>46052</v>
      </c>
      <c r="D726" t="s">
        <v>206</v>
      </c>
      <c r="E726" t="s">
        <v>70</v>
      </c>
      <c r="F726" s="4">
        <v>46052</v>
      </c>
      <c r="G726" s="4">
        <v>46054</v>
      </c>
      <c r="H726" t="s">
        <v>82</v>
      </c>
      <c r="I726" t="s">
        <v>331</v>
      </c>
      <c r="J726" t="s">
        <v>84</v>
      </c>
      <c r="K726" t="s">
        <v>73</v>
      </c>
      <c r="L726" t="s">
        <v>61</v>
      </c>
      <c r="M726" s="5">
        <v>8200</v>
      </c>
      <c r="N726" s="5">
        <v>750</v>
      </c>
      <c r="O726" s="5">
        <v>1550</v>
      </c>
      <c r="P726" s="5">
        <v>12000</v>
      </c>
      <c r="Q726" s="5">
        <v>24000</v>
      </c>
      <c r="R726" t="s">
        <v>95</v>
      </c>
      <c r="S726" t="s">
        <v>63</v>
      </c>
      <c r="T726" s="5">
        <v>24000</v>
      </c>
      <c r="U726" s="6">
        <v>4</v>
      </c>
      <c r="V726" t="s">
        <v>64</v>
      </c>
      <c r="W726" s="4"/>
      <c r="X726" t="s">
        <v>65</v>
      </c>
      <c r="Y726" t="s">
        <v>64</v>
      </c>
      <c r="Z726" t="s">
        <v>78</v>
      </c>
    </row>
    <row r="727" spans="1:26">
      <c r="A727" t="s">
        <v>1368</v>
      </c>
      <c r="B727" t="s">
        <v>1369</v>
      </c>
      <c r="C727" s="4">
        <v>46115</v>
      </c>
      <c r="D727" t="s">
        <v>284</v>
      </c>
      <c r="E727" t="s">
        <v>70</v>
      </c>
      <c r="F727" s="4">
        <v>46116</v>
      </c>
      <c r="G727" s="4">
        <v>46123</v>
      </c>
      <c r="H727" t="s">
        <v>90</v>
      </c>
      <c r="I727" t="s">
        <v>299</v>
      </c>
      <c r="J727" t="s">
        <v>92</v>
      </c>
      <c r="K727" t="s">
        <v>124</v>
      </c>
      <c r="L727" t="s">
        <v>61</v>
      </c>
      <c r="M727" s="5">
        <v>44900</v>
      </c>
      <c r="N727" s="5">
        <v>5900</v>
      </c>
      <c r="O727" s="5">
        <v>5150</v>
      </c>
      <c r="P727" s="5">
        <v>31500</v>
      </c>
      <c r="Q727" s="5">
        <v>88950</v>
      </c>
      <c r="R727" t="s">
        <v>75</v>
      </c>
      <c r="S727" t="s">
        <v>76</v>
      </c>
      <c r="T727" s="5">
        <v>40330</v>
      </c>
      <c r="U727" s="6">
        <v>3</v>
      </c>
      <c r="V727" t="s">
        <v>77</v>
      </c>
      <c r="W727" s="4">
        <v>46143</v>
      </c>
      <c r="X727" t="s">
        <v>77</v>
      </c>
      <c r="Y727" t="s">
        <v>64</v>
      </c>
      <c r="Z727" t="s">
        <v>219</v>
      </c>
    </row>
    <row r="728" spans="1:26">
      <c r="A728" t="s">
        <v>1370</v>
      </c>
      <c r="B728" t="s">
        <v>1371</v>
      </c>
      <c r="C728" s="4">
        <v>46098</v>
      </c>
      <c r="D728" t="s">
        <v>110</v>
      </c>
      <c r="E728" t="s">
        <v>314</v>
      </c>
      <c r="F728" s="4"/>
      <c r="G728" s="4"/>
      <c r="H728" t="s">
        <v>103</v>
      </c>
      <c r="I728" t="s">
        <v>104</v>
      </c>
      <c r="J728" t="s">
        <v>145</v>
      </c>
      <c r="K728" t="s">
        <v>73</v>
      </c>
      <c r="L728" t="s">
        <v>74</v>
      </c>
      <c r="M728" s="5"/>
      <c r="N728" s="5"/>
      <c r="O728" s="5"/>
      <c r="P728" s="5"/>
      <c r="Q728" s="5"/>
      <c r="R728" t="s">
        <v>95</v>
      </c>
      <c r="S728" t="s">
        <v>63</v>
      </c>
      <c r="T728" s="5"/>
      <c r="U728" s="6"/>
      <c r="V728" t="s">
        <v>64</v>
      </c>
      <c r="W728" s="4"/>
      <c r="X728" t="s">
        <v>65</v>
      </c>
      <c r="Z728" t="s">
        <v>66</v>
      </c>
    </row>
    <row r="729" spans="1:26">
      <c r="A729" t="s">
        <v>1372</v>
      </c>
      <c r="B729" t="s">
        <v>706</v>
      </c>
      <c r="C729" s="4">
        <v>46083</v>
      </c>
      <c r="D729" t="s">
        <v>110</v>
      </c>
      <c r="E729" t="s">
        <v>70</v>
      </c>
      <c r="F729" s="4">
        <v>46083</v>
      </c>
      <c r="G729" s="4">
        <v>46092</v>
      </c>
      <c r="H729" t="s">
        <v>201</v>
      </c>
      <c r="I729" t="s">
        <v>449</v>
      </c>
      <c r="J729" t="s">
        <v>295</v>
      </c>
      <c r="K729" t="s">
        <v>124</v>
      </c>
      <c r="L729" t="s">
        <v>74</v>
      </c>
      <c r="M729" s="5">
        <v>50400</v>
      </c>
      <c r="N729" s="5">
        <v>4300</v>
      </c>
      <c r="O729" s="5">
        <v>10400</v>
      </c>
      <c r="P729" s="5">
        <v>40500</v>
      </c>
      <c r="Q729" s="5">
        <v>106400</v>
      </c>
      <c r="R729" t="s">
        <v>106</v>
      </c>
      <c r="S729" t="s">
        <v>76</v>
      </c>
      <c r="T729" s="5">
        <v>37940</v>
      </c>
      <c r="U729" s="6">
        <v>2</v>
      </c>
      <c r="V729" t="s">
        <v>64</v>
      </c>
      <c r="W729" s="4"/>
      <c r="X729" t="s">
        <v>65</v>
      </c>
      <c r="Y729" t="s">
        <v>64</v>
      </c>
      <c r="Z729" t="s">
        <v>78</v>
      </c>
    </row>
    <row r="730" spans="1:26">
      <c r="A730" t="s">
        <v>1373</v>
      </c>
      <c r="B730" t="s">
        <v>1081</v>
      </c>
      <c r="C730" s="4">
        <v>46130</v>
      </c>
      <c r="D730" t="s">
        <v>383</v>
      </c>
      <c r="E730" t="s">
        <v>70</v>
      </c>
      <c r="F730" s="4">
        <v>46130</v>
      </c>
      <c r="G730" s="4">
        <v>46133</v>
      </c>
      <c r="H730" t="s">
        <v>90</v>
      </c>
      <c r="I730" t="s">
        <v>128</v>
      </c>
      <c r="J730" t="s">
        <v>129</v>
      </c>
      <c r="K730" t="s">
        <v>73</v>
      </c>
      <c r="L730" t="s">
        <v>61</v>
      </c>
      <c r="M730" s="5">
        <v>40500</v>
      </c>
      <c r="N730" s="5">
        <v>5100</v>
      </c>
      <c r="O730" s="5">
        <v>4450</v>
      </c>
      <c r="P730" s="5">
        <v>18000</v>
      </c>
      <c r="Q730" s="5">
        <v>70050</v>
      </c>
      <c r="R730" t="s">
        <v>75</v>
      </c>
      <c r="S730" t="s">
        <v>76</v>
      </c>
      <c r="T730" s="5">
        <v>31820</v>
      </c>
      <c r="U730" s="6">
        <v>5</v>
      </c>
      <c r="V730" t="s">
        <v>77</v>
      </c>
      <c r="W730" s="4">
        <v>46149</v>
      </c>
      <c r="X730" t="s">
        <v>77</v>
      </c>
      <c r="Y730" t="s">
        <v>64</v>
      </c>
      <c r="Z730" t="s">
        <v>78</v>
      </c>
    </row>
    <row r="731" spans="1:26">
      <c r="A731" t="s">
        <v>1374</v>
      </c>
      <c r="B731" t="s">
        <v>493</v>
      </c>
      <c r="C731" s="4">
        <v>46128</v>
      </c>
      <c r="D731" t="s">
        <v>69</v>
      </c>
      <c r="E731" t="s">
        <v>314</v>
      </c>
      <c r="F731" s="4"/>
      <c r="G731" s="4"/>
      <c r="H731" t="s">
        <v>138</v>
      </c>
      <c r="I731" t="s">
        <v>235</v>
      </c>
      <c r="J731" t="s">
        <v>236</v>
      </c>
      <c r="K731" t="s">
        <v>73</v>
      </c>
      <c r="L731" t="s">
        <v>74</v>
      </c>
      <c r="M731" s="5"/>
      <c r="N731" s="5"/>
      <c r="O731" s="5"/>
      <c r="P731" s="5"/>
      <c r="Q731" s="5"/>
      <c r="R731" t="s">
        <v>106</v>
      </c>
      <c r="S731" t="s">
        <v>63</v>
      </c>
      <c r="T731" s="5"/>
      <c r="U731" s="6"/>
      <c r="V731" t="s">
        <v>64</v>
      </c>
      <c r="W731" s="4"/>
      <c r="X731" t="s">
        <v>65</v>
      </c>
      <c r="Z731" t="s">
        <v>66</v>
      </c>
    </row>
    <row r="732" spans="1:26">
      <c r="A732" t="s">
        <v>1375</v>
      </c>
      <c r="B732" t="s">
        <v>1376</v>
      </c>
      <c r="C732" s="4">
        <v>46050</v>
      </c>
      <c r="D732" t="s">
        <v>217</v>
      </c>
      <c r="E732" t="s">
        <v>56</v>
      </c>
      <c r="F732" s="4"/>
      <c r="G732" s="4"/>
      <c r="H732" t="s">
        <v>103</v>
      </c>
      <c r="I732" t="s">
        <v>412</v>
      </c>
      <c r="J732" t="s">
        <v>105</v>
      </c>
      <c r="K732" t="s">
        <v>73</v>
      </c>
      <c r="L732" t="s">
        <v>94</v>
      </c>
      <c r="M732" s="5"/>
      <c r="N732" s="5"/>
      <c r="O732" s="5"/>
      <c r="P732" s="5"/>
      <c r="Q732" s="5"/>
      <c r="R732" t="s">
        <v>141</v>
      </c>
      <c r="S732" t="s">
        <v>63</v>
      </c>
      <c r="T732" s="5"/>
      <c r="U732" s="6"/>
      <c r="V732" t="s">
        <v>64</v>
      </c>
      <c r="W732" s="4"/>
      <c r="X732" t="s">
        <v>65</v>
      </c>
      <c r="Z732" t="s">
        <v>66</v>
      </c>
    </row>
    <row r="733" spans="1:26">
      <c r="A733" t="s">
        <v>1377</v>
      </c>
      <c r="B733" t="s">
        <v>1378</v>
      </c>
      <c r="C733" s="4">
        <v>46048</v>
      </c>
      <c r="D733" t="s">
        <v>110</v>
      </c>
      <c r="E733" t="s">
        <v>314</v>
      </c>
      <c r="F733" s="4"/>
      <c r="G733" s="4"/>
      <c r="H733" t="s">
        <v>138</v>
      </c>
      <c r="I733" t="s">
        <v>444</v>
      </c>
      <c r="J733" t="s">
        <v>236</v>
      </c>
      <c r="K733" t="s">
        <v>60</v>
      </c>
      <c r="L733" t="s">
        <v>94</v>
      </c>
      <c r="M733" s="5"/>
      <c r="N733" s="5"/>
      <c r="O733" s="5"/>
      <c r="P733" s="5"/>
      <c r="Q733" s="5"/>
      <c r="R733" t="s">
        <v>134</v>
      </c>
      <c r="S733" t="s">
        <v>63</v>
      </c>
      <c r="T733" s="5"/>
      <c r="U733" s="6"/>
      <c r="V733" t="s">
        <v>64</v>
      </c>
      <c r="W733" s="4"/>
      <c r="X733" t="s">
        <v>65</v>
      </c>
      <c r="Z733" t="s">
        <v>66</v>
      </c>
    </row>
    <row r="734" spans="1:26">
      <c r="A734" t="s">
        <v>1379</v>
      </c>
      <c r="B734" t="s">
        <v>950</v>
      </c>
      <c r="C734" s="4">
        <v>46024</v>
      </c>
      <c r="D734" t="s">
        <v>183</v>
      </c>
      <c r="E734" t="s">
        <v>70</v>
      </c>
      <c r="F734" s="4">
        <v>46024</v>
      </c>
      <c r="G734" s="4">
        <v>46031</v>
      </c>
      <c r="H734" t="s">
        <v>57</v>
      </c>
      <c r="I734" t="s">
        <v>58</v>
      </c>
      <c r="J734" t="s">
        <v>59</v>
      </c>
      <c r="K734" t="s">
        <v>124</v>
      </c>
      <c r="L734" t="s">
        <v>94</v>
      </c>
      <c r="M734" s="5">
        <v>47600</v>
      </c>
      <c r="N734" s="5">
        <v>4500</v>
      </c>
      <c r="O734" s="5">
        <v>8700</v>
      </c>
      <c r="P734" s="5">
        <v>21000</v>
      </c>
      <c r="Q734" s="5">
        <v>84300</v>
      </c>
      <c r="R734" t="s">
        <v>75</v>
      </c>
      <c r="S734" t="s">
        <v>86</v>
      </c>
      <c r="T734" s="5">
        <v>38230</v>
      </c>
      <c r="U734" s="6">
        <v>3</v>
      </c>
      <c r="V734" t="s">
        <v>77</v>
      </c>
      <c r="W734" s="4">
        <v>46052</v>
      </c>
      <c r="X734" t="s">
        <v>64</v>
      </c>
      <c r="Y734" t="s">
        <v>64</v>
      </c>
      <c r="Z734" t="s">
        <v>436</v>
      </c>
    </row>
    <row r="735" spans="1:26">
      <c r="A735" t="s">
        <v>1380</v>
      </c>
      <c r="B735" t="s">
        <v>986</v>
      </c>
      <c r="C735" s="4">
        <v>46128</v>
      </c>
      <c r="D735" t="s">
        <v>469</v>
      </c>
      <c r="E735" t="s">
        <v>177</v>
      </c>
      <c r="F735" s="4"/>
      <c r="G735" s="4"/>
      <c r="H735" t="s">
        <v>111</v>
      </c>
      <c r="I735" t="s">
        <v>397</v>
      </c>
      <c r="J735" t="s">
        <v>113</v>
      </c>
      <c r="K735" t="s">
        <v>60</v>
      </c>
      <c r="L735" t="s">
        <v>74</v>
      </c>
      <c r="M735" s="5"/>
      <c r="N735" s="5"/>
      <c r="O735" s="5"/>
      <c r="P735" s="5"/>
      <c r="Q735" s="5"/>
      <c r="R735" t="s">
        <v>85</v>
      </c>
      <c r="S735" t="s">
        <v>63</v>
      </c>
      <c r="T735" s="5"/>
      <c r="U735" s="6"/>
      <c r="V735" t="s">
        <v>64</v>
      </c>
      <c r="W735" s="4"/>
      <c r="X735" t="s">
        <v>65</v>
      </c>
      <c r="Z735" t="s">
        <v>66</v>
      </c>
    </row>
    <row r="736" spans="1:26">
      <c r="A736" t="s">
        <v>1381</v>
      </c>
      <c r="B736" t="s">
        <v>497</v>
      </c>
      <c r="C736" s="4">
        <v>46083</v>
      </c>
      <c r="D736" t="s">
        <v>330</v>
      </c>
      <c r="E736" t="s">
        <v>314</v>
      </c>
      <c r="F736" s="4"/>
      <c r="G736" s="4"/>
      <c r="H736" t="s">
        <v>150</v>
      </c>
      <c r="I736" t="s">
        <v>228</v>
      </c>
      <c r="J736" t="s">
        <v>229</v>
      </c>
      <c r="K736" t="s">
        <v>124</v>
      </c>
      <c r="L736" t="s">
        <v>61</v>
      </c>
      <c r="M736" s="5"/>
      <c r="N736" s="5"/>
      <c r="O736" s="5"/>
      <c r="P736" s="5"/>
      <c r="Q736" s="5"/>
      <c r="R736" t="s">
        <v>141</v>
      </c>
      <c r="S736" t="s">
        <v>63</v>
      </c>
      <c r="T736" s="5"/>
      <c r="U736" s="6"/>
      <c r="V736" t="s">
        <v>64</v>
      </c>
      <c r="W736" s="4"/>
      <c r="X736" t="s">
        <v>65</v>
      </c>
      <c r="Z736" t="s">
        <v>66</v>
      </c>
    </row>
    <row r="737" spans="1:26">
      <c r="A737" t="s">
        <v>1382</v>
      </c>
      <c r="B737" t="s">
        <v>313</v>
      </c>
      <c r="C737" s="4">
        <v>46104</v>
      </c>
      <c r="D737" t="s">
        <v>132</v>
      </c>
      <c r="E737" t="s">
        <v>70</v>
      </c>
      <c r="F737" s="4">
        <v>46104</v>
      </c>
      <c r="G737" s="4">
        <v>46109</v>
      </c>
      <c r="H737" t="s">
        <v>103</v>
      </c>
      <c r="I737" t="s">
        <v>412</v>
      </c>
      <c r="J737" t="s">
        <v>105</v>
      </c>
      <c r="K737" t="s">
        <v>73</v>
      </c>
      <c r="L737" t="s">
        <v>74</v>
      </c>
      <c r="M737" s="5">
        <v>55700</v>
      </c>
      <c r="N737" s="5">
        <v>6000</v>
      </c>
      <c r="O737" s="5">
        <v>5950</v>
      </c>
      <c r="P737" s="5">
        <v>17500</v>
      </c>
      <c r="Q737" s="5">
        <v>86350</v>
      </c>
      <c r="R737" t="s">
        <v>134</v>
      </c>
      <c r="S737" t="s">
        <v>76</v>
      </c>
      <c r="T737" s="5">
        <v>47690</v>
      </c>
      <c r="U737" s="6">
        <v>4</v>
      </c>
      <c r="V737" t="s">
        <v>77</v>
      </c>
      <c r="W737" s="4">
        <v>46117</v>
      </c>
      <c r="X737" t="s">
        <v>77</v>
      </c>
      <c r="Y737" t="s">
        <v>64</v>
      </c>
      <c r="Z737" t="s">
        <v>78</v>
      </c>
    </row>
    <row r="738" spans="1:26">
      <c r="A738" t="s">
        <v>1383</v>
      </c>
      <c r="B738" t="s">
        <v>517</v>
      </c>
      <c r="C738" s="4">
        <v>46125</v>
      </c>
      <c r="D738" t="s">
        <v>284</v>
      </c>
      <c r="E738" t="s">
        <v>70</v>
      </c>
      <c r="F738" s="4">
        <v>46125</v>
      </c>
      <c r="G738" s="4">
        <v>46127</v>
      </c>
      <c r="H738" t="s">
        <v>201</v>
      </c>
      <c r="I738" t="s">
        <v>449</v>
      </c>
      <c r="J738" t="s">
        <v>203</v>
      </c>
      <c r="K738" t="s">
        <v>124</v>
      </c>
      <c r="L738" t="s">
        <v>146</v>
      </c>
      <c r="M738" s="5">
        <v>42800</v>
      </c>
      <c r="N738" s="5">
        <v>6050</v>
      </c>
      <c r="O738" s="5">
        <v>7750</v>
      </c>
      <c r="P738" s="5">
        <v>6000</v>
      </c>
      <c r="Q738" s="5">
        <v>63400</v>
      </c>
      <c r="R738" t="s">
        <v>106</v>
      </c>
      <c r="S738" t="s">
        <v>163</v>
      </c>
      <c r="T738" s="5">
        <v>22890</v>
      </c>
      <c r="U738" s="6">
        <v>5</v>
      </c>
      <c r="V738" t="s">
        <v>64</v>
      </c>
      <c r="W738" s="4"/>
      <c r="X738" t="s">
        <v>65</v>
      </c>
      <c r="Y738" t="s">
        <v>64</v>
      </c>
      <c r="Z738" t="s">
        <v>96</v>
      </c>
    </row>
    <row r="739" spans="1:26">
      <c r="A739" t="s">
        <v>1384</v>
      </c>
      <c r="B739" t="s">
        <v>532</v>
      </c>
      <c r="C739" s="4">
        <v>46132</v>
      </c>
      <c r="D739" t="s">
        <v>206</v>
      </c>
      <c r="E739" t="s">
        <v>70</v>
      </c>
      <c r="F739" s="4">
        <v>46132</v>
      </c>
      <c r="G739" s="4">
        <v>46132</v>
      </c>
      <c r="H739" t="s">
        <v>57</v>
      </c>
      <c r="I739" t="s">
        <v>58</v>
      </c>
      <c r="J739" t="s">
        <v>170</v>
      </c>
      <c r="K739" t="s">
        <v>60</v>
      </c>
      <c r="L739" t="s">
        <v>61</v>
      </c>
      <c r="M739" s="5">
        <v>67800</v>
      </c>
      <c r="N739" s="5">
        <v>6850</v>
      </c>
      <c r="O739" s="5">
        <v>8000</v>
      </c>
      <c r="P739" s="5">
        <v>0</v>
      </c>
      <c r="Q739" s="5">
        <v>85150</v>
      </c>
      <c r="R739" t="s">
        <v>85</v>
      </c>
      <c r="S739" t="s">
        <v>76</v>
      </c>
      <c r="T739" s="5">
        <v>22190</v>
      </c>
      <c r="U739" s="6">
        <v>4</v>
      </c>
      <c r="V739" t="s">
        <v>77</v>
      </c>
      <c r="W739" s="4">
        <v>46153</v>
      </c>
      <c r="X739" t="s">
        <v>77</v>
      </c>
      <c r="Y739" t="s">
        <v>64</v>
      </c>
      <c r="Z739" t="s">
        <v>96</v>
      </c>
    </row>
    <row r="740" spans="1:26">
      <c r="A740" t="s">
        <v>1385</v>
      </c>
      <c r="B740" t="s">
        <v>109</v>
      </c>
      <c r="C740" s="4">
        <v>46167</v>
      </c>
      <c r="D740" t="s">
        <v>294</v>
      </c>
      <c r="E740" t="s">
        <v>70</v>
      </c>
      <c r="F740" s="4">
        <v>46167</v>
      </c>
      <c r="G740" s="4">
        <v>46174</v>
      </c>
      <c r="H740" t="s">
        <v>57</v>
      </c>
      <c r="I740" t="s">
        <v>71</v>
      </c>
      <c r="J740" t="s">
        <v>170</v>
      </c>
      <c r="K740" t="s">
        <v>93</v>
      </c>
      <c r="L740" t="s">
        <v>94</v>
      </c>
      <c r="M740" s="5">
        <v>49300</v>
      </c>
      <c r="N740" s="5">
        <v>8850</v>
      </c>
      <c r="O740" s="5">
        <v>7700</v>
      </c>
      <c r="P740" s="5">
        <v>42000</v>
      </c>
      <c r="Q740" s="5">
        <v>109650</v>
      </c>
      <c r="R740" t="s">
        <v>106</v>
      </c>
      <c r="S740" t="s">
        <v>76</v>
      </c>
      <c r="T740" s="5">
        <v>39080</v>
      </c>
      <c r="U740" s="6">
        <v>4</v>
      </c>
      <c r="V740" t="s">
        <v>77</v>
      </c>
      <c r="W740" s="4">
        <v>46190</v>
      </c>
      <c r="X740" t="s">
        <v>77</v>
      </c>
      <c r="Y740" t="s">
        <v>64</v>
      </c>
      <c r="Z740" t="s">
        <v>96</v>
      </c>
    </row>
    <row r="741" spans="1:26">
      <c r="A741" t="s">
        <v>1386</v>
      </c>
      <c r="B741" t="s">
        <v>491</v>
      </c>
      <c r="C741" s="4">
        <v>46111</v>
      </c>
      <c r="D741" t="s">
        <v>144</v>
      </c>
      <c r="E741" t="s">
        <v>70</v>
      </c>
      <c r="F741" s="4">
        <v>46112</v>
      </c>
      <c r="G741" s="4">
        <v>46118</v>
      </c>
      <c r="H741" t="s">
        <v>121</v>
      </c>
      <c r="I741" t="s">
        <v>386</v>
      </c>
      <c r="J741" t="s">
        <v>123</v>
      </c>
      <c r="K741" t="s">
        <v>73</v>
      </c>
      <c r="L741" t="s">
        <v>94</v>
      </c>
      <c r="M741" s="5">
        <v>29800</v>
      </c>
      <c r="N741" s="5">
        <v>2550</v>
      </c>
      <c r="O741" s="5">
        <v>3000</v>
      </c>
      <c r="P741" s="5">
        <v>15000</v>
      </c>
      <c r="Q741" s="5">
        <v>52850</v>
      </c>
      <c r="R741" t="s">
        <v>62</v>
      </c>
      <c r="S741" t="s">
        <v>86</v>
      </c>
      <c r="T741" s="5">
        <v>16260</v>
      </c>
      <c r="U741" s="6">
        <v>3</v>
      </c>
      <c r="V741" t="s">
        <v>77</v>
      </c>
      <c r="W741" s="4">
        <v>46135</v>
      </c>
      <c r="X741" t="s">
        <v>77</v>
      </c>
      <c r="Y741" t="s">
        <v>64</v>
      </c>
      <c r="Z741" t="s">
        <v>436</v>
      </c>
    </row>
    <row r="742" spans="1:26">
      <c r="A742" t="s">
        <v>1387</v>
      </c>
      <c r="B742" t="s">
        <v>1240</v>
      </c>
      <c r="C742" s="4">
        <v>46145</v>
      </c>
      <c r="D742" t="s">
        <v>439</v>
      </c>
      <c r="E742" t="s">
        <v>70</v>
      </c>
      <c r="F742" s="4">
        <v>46146</v>
      </c>
      <c r="G742" s="4">
        <v>46146</v>
      </c>
      <c r="H742" t="s">
        <v>57</v>
      </c>
      <c r="I742" t="s">
        <v>169</v>
      </c>
      <c r="J742" t="s">
        <v>170</v>
      </c>
      <c r="K742" t="s">
        <v>60</v>
      </c>
      <c r="L742" t="s">
        <v>94</v>
      </c>
      <c r="M742" s="5">
        <v>78400</v>
      </c>
      <c r="N742" s="5">
        <v>13000</v>
      </c>
      <c r="O742" s="5">
        <v>14150</v>
      </c>
      <c r="P742" s="5">
        <v>0</v>
      </c>
      <c r="Q742" s="5">
        <v>106350</v>
      </c>
      <c r="R742" t="s">
        <v>106</v>
      </c>
      <c r="S742" t="s">
        <v>76</v>
      </c>
      <c r="T742" s="5">
        <v>37920</v>
      </c>
      <c r="U742" s="6">
        <v>2</v>
      </c>
      <c r="V742" t="s">
        <v>77</v>
      </c>
      <c r="W742" s="4">
        <v>46156</v>
      </c>
      <c r="X742" t="s">
        <v>64</v>
      </c>
      <c r="Y742" t="s">
        <v>77</v>
      </c>
      <c r="Z742" t="s">
        <v>107</v>
      </c>
    </row>
    <row r="743" spans="1:26">
      <c r="A743" t="s">
        <v>1388</v>
      </c>
      <c r="B743" t="s">
        <v>926</v>
      </c>
      <c r="C743" s="4">
        <v>46052</v>
      </c>
      <c r="D743" t="s">
        <v>469</v>
      </c>
      <c r="E743" t="s">
        <v>70</v>
      </c>
      <c r="F743" s="4">
        <v>46053</v>
      </c>
      <c r="G743" s="4">
        <v>46055</v>
      </c>
      <c r="H743" t="s">
        <v>178</v>
      </c>
      <c r="I743" t="s">
        <v>462</v>
      </c>
      <c r="J743" t="s">
        <v>358</v>
      </c>
      <c r="K743" t="s">
        <v>93</v>
      </c>
      <c r="L743" t="s">
        <v>94</v>
      </c>
      <c r="M743" s="5">
        <v>45800</v>
      </c>
      <c r="N743" s="5">
        <v>8050</v>
      </c>
      <c r="O743" s="5">
        <v>4600</v>
      </c>
      <c r="P743" s="5">
        <v>7000</v>
      </c>
      <c r="Q743" s="5">
        <v>67950</v>
      </c>
      <c r="R743" t="s">
        <v>95</v>
      </c>
      <c r="S743" t="s">
        <v>63</v>
      </c>
      <c r="T743" s="5">
        <v>67950</v>
      </c>
      <c r="U743" s="6">
        <v>4</v>
      </c>
      <c r="V743" t="s">
        <v>64</v>
      </c>
      <c r="W743" s="4"/>
      <c r="X743" t="s">
        <v>65</v>
      </c>
      <c r="Y743" t="s">
        <v>64</v>
      </c>
      <c r="Z743" t="s">
        <v>107</v>
      </c>
    </row>
    <row r="744" spans="1:26">
      <c r="A744" t="s">
        <v>1389</v>
      </c>
      <c r="B744" t="s">
        <v>288</v>
      </c>
      <c r="C744" s="4">
        <v>46033</v>
      </c>
      <c r="D744" t="s">
        <v>330</v>
      </c>
      <c r="E744" t="s">
        <v>70</v>
      </c>
      <c r="F744" s="4">
        <v>46034</v>
      </c>
      <c r="G744" s="4">
        <v>46038</v>
      </c>
      <c r="H744" t="s">
        <v>57</v>
      </c>
      <c r="I744" t="s">
        <v>211</v>
      </c>
      <c r="J744" t="s">
        <v>59</v>
      </c>
      <c r="K744" t="s">
        <v>93</v>
      </c>
      <c r="L744" t="s">
        <v>94</v>
      </c>
      <c r="M744" s="5">
        <v>54000</v>
      </c>
      <c r="N744" s="5">
        <v>7650</v>
      </c>
      <c r="O744" s="5">
        <v>8050</v>
      </c>
      <c r="P744" s="5">
        <v>14000</v>
      </c>
      <c r="Q744" s="5">
        <v>85700</v>
      </c>
      <c r="R744" t="s">
        <v>106</v>
      </c>
      <c r="S744" t="s">
        <v>76</v>
      </c>
      <c r="T744" s="5">
        <v>30690</v>
      </c>
      <c r="U744" s="6">
        <v>4</v>
      </c>
      <c r="V744" t="s">
        <v>77</v>
      </c>
      <c r="W744" s="4">
        <v>46045</v>
      </c>
      <c r="X744" t="s">
        <v>77</v>
      </c>
      <c r="Y744" t="s">
        <v>64</v>
      </c>
      <c r="Z744" t="s">
        <v>96</v>
      </c>
    </row>
    <row r="745" spans="1:26">
      <c r="A745" t="s">
        <v>1390</v>
      </c>
      <c r="B745" t="s">
        <v>1391</v>
      </c>
      <c r="C745" s="4">
        <v>46036</v>
      </c>
      <c r="D745" t="s">
        <v>137</v>
      </c>
      <c r="E745" t="s">
        <v>70</v>
      </c>
      <c r="F745" s="4">
        <v>46036</v>
      </c>
      <c r="G745" s="4">
        <v>46038</v>
      </c>
      <c r="H745" t="s">
        <v>150</v>
      </c>
      <c r="I745" t="s">
        <v>228</v>
      </c>
      <c r="J745" t="s">
        <v>152</v>
      </c>
      <c r="K745" t="s">
        <v>124</v>
      </c>
      <c r="L745" t="s">
        <v>74</v>
      </c>
      <c r="M745" s="5">
        <v>28200</v>
      </c>
      <c r="N745" s="5">
        <v>4450</v>
      </c>
      <c r="O745" s="5">
        <v>4350</v>
      </c>
      <c r="P745" s="5">
        <v>9000</v>
      </c>
      <c r="Q745" s="5">
        <v>47500</v>
      </c>
      <c r="R745" t="s">
        <v>62</v>
      </c>
      <c r="S745" t="s">
        <v>76</v>
      </c>
      <c r="T745" s="5">
        <v>14650</v>
      </c>
      <c r="U745" s="6">
        <v>4</v>
      </c>
      <c r="V745" t="s">
        <v>64</v>
      </c>
      <c r="W745" s="4"/>
      <c r="X745" t="s">
        <v>65</v>
      </c>
      <c r="Y745" t="s">
        <v>64</v>
      </c>
      <c r="Z745" t="s">
        <v>78</v>
      </c>
    </row>
    <row r="746" spans="1:26">
      <c r="A746" t="s">
        <v>1392</v>
      </c>
      <c r="B746" t="s">
        <v>702</v>
      </c>
      <c r="C746" s="4">
        <v>46105</v>
      </c>
      <c r="D746" t="s">
        <v>99</v>
      </c>
      <c r="E746" t="s">
        <v>70</v>
      </c>
      <c r="F746" s="4">
        <v>46105</v>
      </c>
      <c r="G746" s="4">
        <v>46105</v>
      </c>
      <c r="H746" t="s">
        <v>90</v>
      </c>
      <c r="I746" t="s">
        <v>133</v>
      </c>
      <c r="J746" t="s">
        <v>197</v>
      </c>
      <c r="K746" t="s">
        <v>60</v>
      </c>
      <c r="L746" t="s">
        <v>61</v>
      </c>
      <c r="M746" s="5">
        <v>16000</v>
      </c>
      <c r="N746" s="5">
        <v>2350</v>
      </c>
      <c r="O746" s="5">
        <v>3700</v>
      </c>
      <c r="P746" s="5">
        <v>0</v>
      </c>
      <c r="Q746" s="5">
        <v>24050</v>
      </c>
      <c r="R746" t="s">
        <v>106</v>
      </c>
      <c r="S746" t="s">
        <v>76</v>
      </c>
      <c r="T746" s="5">
        <v>9120</v>
      </c>
      <c r="U746" s="6"/>
      <c r="V746" t="s">
        <v>64</v>
      </c>
      <c r="W746" s="4"/>
      <c r="X746" t="s">
        <v>65</v>
      </c>
      <c r="Y746" t="s">
        <v>64</v>
      </c>
      <c r="Z746" t="s">
        <v>78</v>
      </c>
    </row>
    <row r="747" spans="1:26">
      <c r="A747" t="s">
        <v>1393</v>
      </c>
      <c r="B747" t="s">
        <v>520</v>
      </c>
      <c r="C747" s="4">
        <v>46044</v>
      </c>
      <c r="D747" t="s">
        <v>89</v>
      </c>
      <c r="E747" t="s">
        <v>70</v>
      </c>
      <c r="F747" s="4">
        <v>46044</v>
      </c>
      <c r="G747" s="4">
        <v>46045</v>
      </c>
      <c r="H747" t="s">
        <v>111</v>
      </c>
      <c r="I747" t="s">
        <v>116</v>
      </c>
      <c r="J747" t="s">
        <v>113</v>
      </c>
      <c r="K747" t="s">
        <v>124</v>
      </c>
      <c r="L747" t="s">
        <v>61</v>
      </c>
      <c r="M747" s="5">
        <v>17600</v>
      </c>
      <c r="N747" s="5">
        <v>2650</v>
      </c>
      <c r="O747" s="5">
        <v>3300</v>
      </c>
      <c r="P747" s="5">
        <v>6000</v>
      </c>
      <c r="Q747" s="5">
        <v>30350</v>
      </c>
      <c r="R747" t="s">
        <v>141</v>
      </c>
      <c r="S747" t="s">
        <v>76</v>
      </c>
      <c r="T747" s="5">
        <v>5750</v>
      </c>
      <c r="U747" s="6"/>
      <c r="V747" t="s">
        <v>77</v>
      </c>
      <c r="W747" s="4">
        <v>46053</v>
      </c>
      <c r="X747" t="s">
        <v>77</v>
      </c>
      <c r="Y747" t="s">
        <v>64</v>
      </c>
      <c r="Z747" t="s">
        <v>96</v>
      </c>
    </row>
    <row r="748" spans="1:26">
      <c r="A748" t="s">
        <v>1394</v>
      </c>
      <c r="B748" t="s">
        <v>423</v>
      </c>
      <c r="C748" s="4">
        <v>46158</v>
      </c>
      <c r="D748" t="s">
        <v>168</v>
      </c>
      <c r="E748" t="s">
        <v>70</v>
      </c>
      <c r="F748" s="4">
        <v>46158</v>
      </c>
      <c r="G748" s="4">
        <v>46161</v>
      </c>
      <c r="H748" t="s">
        <v>138</v>
      </c>
      <c r="I748" t="s">
        <v>343</v>
      </c>
      <c r="J748" t="s">
        <v>140</v>
      </c>
      <c r="K748" t="s">
        <v>124</v>
      </c>
      <c r="L748" t="s">
        <v>74</v>
      </c>
      <c r="M748" s="5">
        <v>13400</v>
      </c>
      <c r="N748" s="5">
        <v>1200</v>
      </c>
      <c r="O748" s="5">
        <v>1450</v>
      </c>
      <c r="P748" s="5">
        <v>9000</v>
      </c>
      <c r="Q748" s="5">
        <v>26850</v>
      </c>
      <c r="R748" t="s">
        <v>141</v>
      </c>
      <c r="S748" t="s">
        <v>76</v>
      </c>
      <c r="T748" s="5">
        <v>5230</v>
      </c>
      <c r="U748" s="6">
        <v>4</v>
      </c>
      <c r="V748" t="s">
        <v>77</v>
      </c>
      <c r="W748" s="4">
        <v>46169</v>
      </c>
      <c r="X748" t="s">
        <v>64</v>
      </c>
      <c r="Y748" t="s">
        <v>77</v>
      </c>
      <c r="Z748" t="s">
        <v>78</v>
      </c>
    </row>
    <row r="749" spans="1:26">
      <c r="A749" t="s">
        <v>1395</v>
      </c>
      <c r="B749" t="s">
        <v>1396</v>
      </c>
      <c r="C749" s="4">
        <v>46107</v>
      </c>
      <c r="D749" t="s">
        <v>132</v>
      </c>
      <c r="E749" t="s">
        <v>70</v>
      </c>
      <c r="F749" s="4">
        <v>46107</v>
      </c>
      <c r="G749" s="4">
        <v>46109</v>
      </c>
      <c r="H749" t="s">
        <v>138</v>
      </c>
      <c r="I749" t="s">
        <v>260</v>
      </c>
      <c r="J749" t="s">
        <v>261</v>
      </c>
      <c r="K749" t="s">
        <v>73</v>
      </c>
      <c r="L749" t="s">
        <v>94</v>
      </c>
      <c r="M749" s="5">
        <v>7400</v>
      </c>
      <c r="N749" s="5">
        <v>1200</v>
      </c>
      <c r="O749" s="5">
        <v>1450</v>
      </c>
      <c r="P749" s="5">
        <v>6000</v>
      </c>
      <c r="Q749" s="5">
        <v>18550</v>
      </c>
      <c r="R749" t="s">
        <v>62</v>
      </c>
      <c r="S749" t="s">
        <v>76</v>
      </c>
      <c r="T749" s="5">
        <v>5970</v>
      </c>
      <c r="U749" s="6"/>
      <c r="V749" t="s">
        <v>64</v>
      </c>
      <c r="W749" s="4"/>
      <c r="X749" t="s">
        <v>65</v>
      </c>
      <c r="Y749" t="s">
        <v>64</v>
      </c>
      <c r="Z749" t="s">
        <v>96</v>
      </c>
    </row>
    <row r="750" spans="1:26">
      <c r="A750" t="s">
        <v>1397</v>
      </c>
      <c r="B750" t="s">
        <v>411</v>
      </c>
      <c r="C750" s="4">
        <v>46108</v>
      </c>
      <c r="D750" t="s">
        <v>120</v>
      </c>
      <c r="E750" t="s">
        <v>338</v>
      </c>
      <c r="F750" s="4"/>
      <c r="G750" s="4"/>
      <c r="H750" t="s">
        <v>150</v>
      </c>
      <c r="I750" t="s">
        <v>247</v>
      </c>
      <c r="J750" t="s">
        <v>188</v>
      </c>
      <c r="K750" t="s">
        <v>60</v>
      </c>
      <c r="L750" t="s">
        <v>61</v>
      </c>
      <c r="M750" s="5"/>
      <c r="N750" s="5"/>
      <c r="O750" s="5"/>
      <c r="P750" s="5"/>
      <c r="Q750" s="5"/>
      <c r="R750" t="s">
        <v>141</v>
      </c>
      <c r="S750" t="s">
        <v>63</v>
      </c>
      <c r="T750" s="5"/>
      <c r="U750" s="6"/>
      <c r="V750" t="s">
        <v>64</v>
      </c>
      <c r="W750" s="4"/>
      <c r="X750" t="s">
        <v>65</v>
      </c>
      <c r="Z750" t="s">
        <v>66</v>
      </c>
    </row>
    <row r="751" spans="1:26">
      <c r="A751" t="s">
        <v>1398</v>
      </c>
      <c r="B751" t="s">
        <v>290</v>
      </c>
      <c r="C751" s="4">
        <v>46145</v>
      </c>
      <c r="D751" t="s">
        <v>225</v>
      </c>
      <c r="E751" t="s">
        <v>70</v>
      </c>
      <c r="F751" s="4">
        <v>46145</v>
      </c>
      <c r="G751" s="4">
        <v>46146</v>
      </c>
      <c r="H751" t="s">
        <v>90</v>
      </c>
      <c r="I751" t="s">
        <v>128</v>
      </c>
      <c r="J751" t="s">
        <v>92</v>
      </c>
      <c r="K751" t="s">
        <v>60</v>
      </c>
      <c r="L751" t="s">
        <v>94</v>
      </c>
      <c r="M751" s="5">
        <v>48500</v>
      </c>
      <c r="N751" s="5">
        <v>7450</v>
      </c>
      <c r="O751" s="5">
        <v>5850</v>
      </c>
      <c r="P751" s="5">
        <v>3000</v>
      </c>
      <c r="Q751" s="5">
        <v>66800</v>
      </c>
      <c r="R751" t="s">
        <v>95</v>
      </c>
      <c r="S751" t="s">
        <v>63</v>
      </c>
      <c r="T751" s="5">
        <v>66800</v>
      </c>
      <c r="U751" s="6">
        <v>5</v>
      </c>
      <c r="V751" t="s">
        <v>77</v>
      </c>
      <c r="W751" s="4">
        <v>46153</v>
      </c>
      <c r="X751" t="s">
        <v>64</v>
      </c>
      <c r="Y751" t="s">
        <v>64</v>
      </c>
      <c r="Z751" t="s">
        <v>78</v>
      </c>
    </row>
    <row r="752" spans="1:26">
      <c r="A752" t="s">
        <v>1399</v>
      </c>
      <c r="B752" t="s">
        <v>423</v>
      </c>
      <c r="C752" s="4">
        <v>46034</v>
      </c>
      <c r="D752" t="s">
        <v>81</v>
      </c>
      <c r="E752" t="s">
        <v>70</v>
      </c>
      <c r="F752" s="4">
        <v>46034</v>
      </c>
      <c r="G752" s="4">
        <v>46036</v>
      </c>
      <c r="H752" t="s">
        <v>201</v>
      </c>
      <c r="I752" t="s">
        <v>515</v>
      </c>
      <c r="J752" t="s">
        <v>281</v>
      </c>
      <c r="K752" t="s">
        <v>124</v>
      </c>
      <c r="L752" t="s">
        <v>61</v>
      </c>
      <c r="M752" s="5">
        <v>6500</v>
      </c>
      <c r="N752" s="5">
        <v>950</v>
      </c>
      <c r="O752" s="5">
        <v>1000</v>
      </c>
      <c r="P752" s="5">
        <v>12000</v>
      </c>
      <c r="Q752" s="5">
        <v>21650</v>
      </c>
      <c r="R752" t="s">
        <v>106</v>
      </c>
      <c r="S752" t="s">
        <v>163</v>
      </c>
      <c r="T752" s="5">
        <v>8280</v>
      </c>
      <c r="U752" s="6">
        <v>5</v>
      </c>
      <c r="V752" t="s">
        <v>64</v>
      </c>
      <c r="W752" s="4"/>
      <c r="X752" t="s">
        <v>65</v>
      </c>
      <c r="Y752" t="s">
        <v>64</v>
      </c>
      <c r="Z752" t="s">
        <v>107</v>
      </c>
    </row>
    <row r="753" spans="1:26">
      <c r="A753" t="s">
        <v>1400</v>
      </c>
      <c r="B753" t="s">
        <v>727</v>
      </c>
      <c r="C753" s="4">
        <v>46099</v>
      </c>
      <c r="D753" t="s">
        <v>55</v>
      </c>
      <c r="E753" t="s">
        <v>70</v>
      </c>
      <c r="F753" s="4">
        <v>46100</v>
      </c>
      <c r="G753" s="4">
        <v>46100</v>
      </c>
      <c r="H753" t="s">
        <v>121</v>
      </c>
      <c r="I753" t="s">
        <v>174</v>
      </c>
      <c r="J753" t="s">
        <v>252</v>
      </c>
      <c r="K753" t="s">
        <v>60</v>
      </c>
      <c r="L753" t="s">
        <v>61</v>
      </c>
      <c r="M753" s="5">
        <v>73800</v>
      </c>
      <c r="N753" s="5">
        <v>8550</v>
      </c>
      <c r="O753" s="5">
        <v>12200</v>
      </c>
      <c r="P753" s="5">
        <v>0</v>
      </c>
      <c r="Q753" s="5">
        <v>96350</v>
      </c>
      <c r="R753" t="s">
        <v>141</v>
      </c>
      <c r="S753" t="s">
        <v>76</v>
      </c>
      <c r="T753" s="5">
        <v>15650</v>
      </c>
      <c r="U753" s="6">
        <v>4</v>
      </c>
      <c r="V753" t="s">
        <v>77</v>
      </c>
      <c r="W753" s="4">
        <v>46120</v>
      </c>
      <c r="X753" t="s">
        <v>64</v>
      </c>
      <c r="Y753" t="s">
        <v>64</v>
      </c>
      <c r="Z753" t="s">
        <v>78</v>
      </c>
    </row>
    <row r="754" spans="1:26">
      <c r="A754" t="s">
        <v>1401</v>
      </c>
      <c r="B754" t="s">
        <v>324</v>
      </c>
      <c r="C754" s="4">
        <v>46108</v>
      </c>
      <c r="D754" t="s">
        <v>110</v>
      </c>
      <c r="E754" t="s">
        <v>177</v>
      </c>
      <c r="F754" s="4"/>
      <c r="G754" s="4"/>
      <c r="H754" t="s">
        <v>150</v>
      </c>
      <c r="I754" t="s">
        <v>304</v>
      </c>
      <c r="J754" t="s">
        <v>229</v>
      </c>
      <c r="K754" t="s">
        <v>60</v>
      </c>
      <c r="L754" t="s">
        <v>94</v>
      </c>
      <c r="M754" s="5"/>
      <c r="N754" s="5"/>
      <c r="O754" s="5"/>
      <c r="P754" s="5"/>
      <c r="Q754" s="5"/>
      <c r="R754" t="s">
        <v>95</v>
      </c>
      <c r="S754" t="s">
        <v>63</v>
      </c>
      <c r="T754" s="5"/>
      <c r="U754" s="6"/>
      <c r="V754" t="s">
        <v>64</v>
      </c>
      <c r="W754" s="4"/>
      <c r="X754" t="s">
        <v>65</v>
      </c>
      <c r="Z754" t="s">
        <v>66</v>
      </c>
    </row>
    <row r="755" spans="1:26">
      <c r="A755" t="s">
        <v>1402</v>
      </c>
      <c r="B755" t="s">
        <v>154</v>
      </c>
      <c r="C755" s="4">
        <v>46063</v>
      </c>
      <c r="D755" t="s">
        <v>302</v>
      </c>
      <c r="E755" t="s">
        <v>56</v>
      </c>
      <c r="F755" s="4"/>
      <c r="G755" s="4"/>
      <c r="H755" t="s">
        <v>111</v>
      </c>
      <c r="I755" t="s">
        <v>222</v>
      </c>
      <c r="J755" t="s">
        <v>384</v>
      </c>
      <c r="K755" t="s">
        <v>73</v>
      </c>
      <c r="L755" t="s">
        <v>74</v>
      </c>
      <c r="M755" s="5"/>
      <c r="N755" s="5"/>
      <c r="O755" s="5"/>
      <c r="P755" s="5"/>
      <c r="Q755" s="5"/>
      <c r="R755" t="s">
        <v>141</v>
      </c>
      <c r="S755" t="s">
        <v>63</v>
      </c>
      <c r="T755" s="5"/>
      <c r="U755" s="6"/>
      <c r="V755" t="s">
        <v>64</v>
      </c>
      <c r="W755" s="4"/>
      <c r="X755" t="s">
        <v>65</v>
      </c>
      <c r="Z755" t="s">
        <v>66</v>
      </c>
    </row>
    <row r="756" spans="1:26">
      <c r="A756" t="s">
        <v>1403</v>
      </c>
      <c r="B756" t="s">
        <v>1404</v>
      </c>
      <c r="C756" s="4">
        <v>46079</v>
      </c>
      <c r="D756" t="s">
        <v>363</v>
      </c>
      <c r="E756" t="s">
        <v>314</v>
      </c>
      <c r="F756" s="4"/>
      <c r="G756" s="4"/>
      <c r="H756" t="s">
        <v>111</v>
      </c>
      <c r="I756" t="s">
        <v>355</v>
      </c>
      <c r="J756" t="s">
        <v>384</v>
      </c>
      <c r="K756" t="s">
        <v>60</v>
      </c>
      <c r="L756" t="s">
        <v>94</v>
      </c>
      <c r="M756" s="5"/>
      <c r="N756" s="5"/>
      <c r="O756" s="5"/>
      <c r="P756" s="5"/>
      <c r="Q756" s="5"/>
      <c r="R756" t="s">
        <v>134</v>
      </c>
      <c r="S756" t="s">
        <v>63</v>
      </c>
      <c r="T756" s="5"/>
      <c r="U756" s="6"/>
      <c r="V756" t="s">
        <v>64</v>
      </c>
      <c r="W756" s="4"/>
      <c r="X756" t="s">
        <v>65</v>
      </c>
      <c r="Z756" t="s">
        <v>66</v>
      </c>
    </row>
    <row r="757" spans="1:26">
      <c r="A757" t="s">
        <v>1405</v>
      </c>
      <c r="B757" t="s">
        <v>1110</v>
      </c>
      <c r="C757" s="4">
        <v>46134</v>
      </c>
      <c r="D757" t="s">
        <v>302</v>
      </c>
      <c r="E757" t="s">
        <v>70</v>
      </c>
      <c r="F757" s="4">
        <v>46135</v>
      </c>
      <c r="G757" s="4">
        <v>46142</v>
      </c>
      <c r="H757" t="s">
        <v>201</v>
      </c>
      <c r="I757" t="s">
        <v>202</v>
      </c>
      <c r="J757" t="s">
        <v>295</v>
      </c>
      <c r="K757" t="s">
        <v>124</v>
      </c>
      <c r="L757" t="s">
        <v>94</v>
      </c>
      <c r="M757" s="5">
        <v>51500</v>
      </c>
      <c r="N757" s="5">
        <v>7100</v>
      </c>
      <c r="O757" s="5">
        <v>12000</v>
      </c>
      <c r="P757" s="5">
        <v>21000</v>
      </c>
      <c r="Q757" s="5">
        <v>94100</v>
      </c>
      <c r="R757" t="s">
        <v>75</v>
      </c>
      <c r="S757" t="s">
        <v>76</v>
      </c>
      <c r="T757" s="5">
        <v>42640</v>
      </c>
      <c r="U757" s="6">
        <v>4</v>
      </c>
      <c r="V757" t="s">
        <v>64</v>
      </c>
      <c r="W757" s="4"/>
      <c r="X757" t="s">
        <v>65</v>
      </c>
      <c r="Y757" t="s">
        <v>64</v>
      </c>
      <c r="Z757" t="s">
        <v>96</v>
      </c>
    </row>
    <row r="758" spans="1:26">
      <c r="A758" t="s">
        <v>1406</v>
      </c>
      <c r="B758" t="s">
        <v>647</v>
      </c>
      <c r="C758" s="4">
        <v>46163</v>
      </c>
      <c r="D758" t="s">
        <v>210</v>
      </c>
      <c r="E758" t="s">
        <v>70</v>
      </c>
      <c r="F758" s="4">
        <v>46164</v>
      </c>
      <c r="G758" s="4">
        <v>46167</v>
      </c>
      <c r="H758" t="s">
        <v>201</v>
      </c>
      <c r="I758" t="s">
        <v>515</v>
      </c>
      <c r="J758" t="s">
        <v>295</v>
      </c>
      <c r="K758" t="s">
        <v>124</v>
      </c>
      <c r="L758" t="s">
        <v>74</v>
      </c>
      <c r="M758" s="5">
        <v>34300</v>
      </c>
      <c r="N758" s="5">
        <v>5250</v>
      </c>
      <c r="O758" s="5">
        <v>4200</v>
      </c>
      <c r="P758" s="5">
        <v>18000</v>
      </c>
      <c r="Q758" s="5">
        <v>62950</v>
      </c>
      <c r="R758" t="s">
        <v>141</v>
      </c>
      <c r="S758" t="s">
        <v>76</v>
      </c>
      <c r="T758" s="5">
        <v>10640</v>
      </c>
      <c r="U758" s="6">
        <v>3</v>
      </c>
      <c r="V758" t="s">
        <v>77</v>
      </c>
      <c r="W758" s="4">
        <v>46186</v>
      </c>
      <c r="X758" t="s">
        <v>64</v>
      </c>
      <c r="Y758" t="s">
        <v>64</v>
      </c>
      <c r="Z758" t="s">
        <v>96</v>
      </c>
    </row>
    <row r="759" spans="1:26">
      <c r="A759" t="s">
        <v>1407</v>
      </c>
      <c r="B759" t="s">
        <v>485</v>
      </c>
      <c r="C759" s="4">
        <v>46073</v>
      </c>
      <c r="D759" t="s">
        <v>132</v>
      </c>
      <c r="E759" t="s">
        <v>70</v>
      </c>
      <c r="F759" s="4">
        <v>46074</v>
      </c>
      <c r="G759" s="4">
        <v>46081</v>
      </c>
      <c r="H759" t="s">
        <v>201</v>
      </c>
      <c r="I759" t="s">
        <v>280</v>
      </c>
      <c r="J759" t="s">
        <v>203</v>
      </c>
      <c r="K759" t="s">
        <v>73</v>
      </c>
      <c r="L759" t="s">
        <v>74</v>
      </c>
      <c r="M759" s="5">
        <v>29700</v>
      </c>
      <c r="N759" s="5">
        <v>4850</v>
      </c>
      <c r="O759" s="5">
        <v>3000</v>
      </c>
      <c r="P759" s="5">
        <v>17500</v>
      </c>
      <c r="Q759" s="5">
        <v>56050</v>
      </c>
      <c r="R759" t="s">
        <v>106</v>
      </c>
      <c r="S759" t="s">
        <v>76</v>
      </c>
      <c r="T759" s="5">
        <v>20320</v>
      </c>
      <c r="U759" s="6">
        <v>2</v>
      </c>
      <c r="V759" t="s">
        <v>64</v>
      </c>
      <c r="W759" s="4"/>
      <c r="X759" t="s">
        <v>65</v>
      </c>
      <c r="Y759" t="s">
        <v>64</v>
      </c>
      <c r="Z759" t="s">
        <v>96</v>
      </c>
    </row>
    <row r="760" spans="1:26">
      <c r="A760" t="s">
        <v>1408</v>
      </c>
      <c r="B760" t="s">
        <v>221</v>
      </c>
      <c r="C760" s="4">
        <v>46073</v>
      </c>
      <c r="D760" t="s">
        <v>144</v>
      </c>
      <c r="E760" t="s">
        <v>314</v>
      </c>
      <c r="F760" s="4"/>
      <c r="G760" s="4"/>
      <c r="H760" t="s">
        <v>201</v>
      </c>
      <c r="I760" t="s">
        <v>202</v>
      </c>
      <c r="J760" t="s">
        <v>281</v>
      </c>
      <c r="K760" t="s">
        <v>124</v>
      </c>
      <c r="L760" t="s">
        <v>94</v>
      </c>
      <c r="M760" s="5"/>
      <c r="N760" s="5"/>
      <c r="O760" s="5"/>
      <c r="P760" s="5"/>
      <c r="Q760" s="5"/>
      <c r="R760" t="s">
        <v>62</v>
      </c>
      <c r="S760" t="s">
        <v>63</v>
      </c>
      <c r="T760" s="5"/>
      <c r="U760" s="6"/>
      <c r="V760" t="s">
        <v>64</v>
      </c>
      <c r="W760" s="4"/>
      <c r="X760" t="s">
        <v>65</v>
      </c>
      <c r="Z760" t="s">
        <v>66</v>
      </c>
    </row>
    <row r="761" spans="1:26">
      <c r="A761" t="s">
        <v>1409</v>
      </c>
      <c r="B761" t="s">
        <v>209</v>
      </c>
      <c r="C761" s="4">
        <v>46065</v>
      </c>
      <c r="D761" t="s">
        <v>250</v>
      </c>
      <c r="E761" t="s">
        <v>70</v>
      </c>
      <c r="F761" s="4">
        <v>46065</v>
      </c>
      <c r="G761" s="4">
        <v>46065</v>
      </c>
      <c r="H761" t="s">
        <v>201</v>
      </c>
      <c r="I761" t="s">
        <v>515</v>
      </c>
      <c r="J761" t="s">
        <v>281</v>
      </c>
      <c r="K761" t="s">
        <v>73</v>
      </c>
      <c r="L761" t="s">
        <v>61</v>
      </c>
      <c r="M761" s="5">
        <v>9100</v>
      </c>
      <c r="N761" s="5">
        <v>1450</v>
      </c>
      <c r="O761" s="5">
        <v>1750</v>
      </c>
      <c r="P761" s="5">
        <v>0</v>
      </c>
      <c r="Q761" s="5">
        <v>13500</v>
      </c>
      <c r="R761" t="s">
        <v>106</v>
      </c>
      <c r="S761" t="s">
        <v>76</v>
      </c>
      <c r="T761" s="5">
        <v>5420</v>
      </c>
      <c r="U761" s="6">
        <v>4</v>
      </c>
      <c r="V761" t="s">
        <v>77</v>
      </c>
      <c r="W761" s="4">
        <v>46085</v>
      </c>
      <c r="X761" t="s">
        <v>77</v>
      </c>
      <c r="Y761" t="s">
        <v>64</v>
      </c>
      <c r="Z761" t="s">
        <v>96</v>
      </c>
    </row>
    <row r="762" spans="1:26">
      <c r="A762" t="s">
        <v>1410</v>
      </c>
      <c r="B762" t="s">
        <v>1378</v>
      </c>
      <c r="C762" s="4">
        <v>46029</v>
      </c>
      <c r="D762" t="s">
        <v>432</v>
      </c>
      <c r="E762" t="s">
        <v>70</v>
      </c>
      <c r="F762" s="4">
        <v>46029</v>
      </c>
      <c r="G762" s="4">
        <v>46029</v>
      </c>
      <c r="H762" t="s">
        <v>103</v>
      </c>
      <c r="I762" t="s">
        <v>207</v>
      </c>
      <c r="J762" t="s">
        <v>105</v>
      </c>
      <c r="K762" t="s">
        <v>60</v>
      </c>
      <c r="L762" t="s">
        <v>61</v>
      </c>
      <c r="M762" s="5">
        <v>46400</v>
      </c>
      <c r="N762" s="5">
        <v>7300</v>
      </c>
      <c r="O762" s="5">
        <v>4850</v>
      </c>
      <c r="P762" s="5">
        <v>0</v>
      </c>
      <c r="Q762" s="5">
        <v>60050</v>
      </c>
      <c r="R762" t="s">
        <v>141</v>
      </c>
      <c r="S762" t="s">
        <v>76</v>
      </c>
      <c r="T762" s="5">
        <v>10210</v>
      </c>
      <c r="U762" s="6">
        <v>2</v>
      </c>
      <c r="V762" t="s">
        <v>77</v>
      </c>
      <c r="W762" s="4">
        <v>46040</v>
      </c>
      <c r="X762" t="s">
        <v>64</v>
      </c>
      <c r="Y762" t="s">
        <v>77</v>
      </c>
      <c r="Z762" t="s">
        <v>96</v>
      </c>
    </row>
    <row r="763" spans="1:26">
      <c r="A763" t="s">
        <v>1411</v>
      </c>
      <c r="B763" t="s">
        <v>1412</v>
      </c>
      <c r="C763" s="4">
        <v>46075</v>
      </c>
      <c r="D763" t="s">
        <v>206</v>
      </c>
      <c r="E763" t="s">
        <v>70</v>
      </c>
      <c r="F763" s="4">
        <v>46075</v>
      </c>
      <c r="G763" s="4">
        <v>46083</v>
      </c>
      <c r="H763" t="s">
        <v>150</v>
      </c>
      <c r="I763" t="s">
        <v>247</v>
      </c>
      <c r="J763" t="s">
        <v>188</v>
      </c>
      <c r="K763" t="s">
        <v>124</v>
      </c>
      <c r="L763" t="s">
        <v>74</v>
      </c>
      <c r="M763" s="5">
        <v>83500</v>
      </c>
      <c r="N763" s="5">
        <v>8500</v>
      </c>
      <c r="O763" s="5">
        <v>9300</v>
      </c>
      <c r="P763" s="5">
        <v>28000</v>
      </c>
      <c r="Q763" s="5">
        <v>130300</v>
      </c>
      <c r="R763" t="s">
        <v>62</v>
      </c>
      <c r="S763" t="s">
        <v>76</v>
      </c>
      <c r="T763" s="5">
        <v>39490</v>
      </c>
      <c r="U763" s="6">
        <v>2</v>
      </c>
      <c r="V763" t="s">
        <v>77</v>
      </c>
      <c r="W763" s="4">
        <v>46094</v>
      </c>
      <c r="X763" t="s">
        <v>77</v>
      </c>
      <c r="Y763" t="s">
        <v>64</v>
      </c>
      <c r="Z763" t="s">
        <v>96</v>
      </c>
    </row>
    <row r="764" spans="1:26">
      <c r="A764" t="s">
        <v>1413</v>
      </c>
      <c r="B764" t="s">
        <v>678</v>
      </c>
      <c r="C764" s="4">
        <v>46129</v>
      </c>
      <c r="D764" t="s">
        <v>439</v>
      </c>
      <c r="E764" t="s">
        <v>70</v>
      </c>
      <c r="F764" s="4">
        <v>46129</v>
      </c>
      <c r="G764" s="4">
        <v>46134</v>
      </c>
      <c r="H764" t="s">
        <v>82</v>
      </c>
      <c r="I764" t="s">
        <v>83</v>
      </c>
      <c r="J764" t="s">
        <v>291</v>
      </c>
      <c r="K764" t="s">
        <v>73</v>
      </c>
      <c r="L764" t="s">
        <v>61</v>
      </c>
      <c r="M764" s="5">
        <v>47400</v>
      </c>
      <c r="N764" s="5">
        <v>6650</v>
      </c>
      <c r="O764" s="5">
        <v>6500</v>
      </c>
      <c r="P764" s="5">
        <v>15000</v>
      </c>
      <c r="Q764" s="5">
        <v>77350</v>
      </c>
      <c r="R764" t="s">
        <v>75</v>
      </c>
      <c r="S764" t="s">
        <v>86</v>
      </c>
      <c r="T764" s="5">
        <v>35110</v>
      </c>
      <c r="U764" s="6">
        <v>3</v>
      </c>
      <c r="V764" t="s">
        <v>77</v>
      </c>
      <c r="W764" s="4">
        <v>46149</v>
      </c>
      <c r="X764" t="s">
        <v>64</v>
      </c>
      <c r="Y764" t="s">
        <v>64</v>
      </c>
      <c r="Z764" t="s">
        <v>107</v>
      </c>
    </row>
    <row r="765" spans="1:26">
      <c r="A765" t="s">
        <v>1414</v>
      </c>
      <c r="B765" t="s">
        <v>1198</v>
      </c>
      <c r="C765" s="4">
        <v>46167</v>
      </c>
      <c r="D765" t="s">
        <v>137</v>
      </c>
      <c r="E765" t="s">
        <v>314</v>
      </c>
      <c r="F765" s="4"/>
      <c r="G765" s="4"/>
      <c r="H765" t="s">
        <v>90</v>
      </c>
      <c r="I765" t="s">
        <v>128</v>
      </c>
      <c r="J765" t="s">
        <v>129</v>
      </c>
      <c r="K765" t="s">
        <v>60</v>
      </c>
      <c r="L765" t="s">
        <v>94</v>
      </c>
      <c r="M765" s="5"/>
      <c r="N765" s="5"/>
      <c r="O765" s="5"/>
      <c r="P765" s="5"/>
      <c r="Q765" s="5"/>
      <c r="R765" t="s">
        <v>85</v>
      </c>
      <c r="S765" t="s">
        <v>63</v>
      </c>
      <c r="T765" s="5"/>
      <c r="U765" s="6"/>
      <c r="V765" t="s">
        <v>64</v>
      </c>
      <c r="W765" s="4"/>
      <c r="X765" t="s">
        <v>65</v>
      </c>
      <c r="Z765" t="s">
        <v>66</v>
      </c>
    </row>
    <row r="766" spans="1:26">
      <c r="A766" t="s">
        <v>1415</v>
      </c>
      <c r="B766" t="s">
        <v>606</v>
      </c>
      <c r="C766" s="4">
        <v>46048</v>
      </c>
      <c r="D766" t="s">
        <v>137</v>
      </c>
      <c r="E766" t="s">
        <v>70</v>
      </c>
      <c r="F766" s="4">
        <v>46048</v>
      </c>
      <c r="G766" s="4">
        <v>46052</v>
      </c>
      <c r="H766" t="s">
        <v>90</v>
      </c>
      <c r="I766" t="s">
        <v>128</v>
      </c>
      <c r="J766" t="s">
        <v>92</v>
      </c>
      <c r="K766" t="s">
        <v>124</v>
      </c>
      <c r="L766" t="s">
        <v>94</v>
      </c>
      <c r="M766" s="5">
        <v>48500</v>
      </c>
      <c r="N766" s="5">
        <v>4550</v>
      </c>
      <c r="O766" s="5">
        <v>11450</v>
      </c>
      <c r="P766" s="5">
        <v>10000</v>
      </c>
      <c r="Q766" s="5">
        <v>76500</v>
      </c>
      <c r="R766" t="s">
        <v>75</v>
      </c>
      <c r="S766" t="s">
        <v>86</v>
      </c>
      <c r="T766" s="5">
        <v>34720</v>
      </c>
      <c r="U766" s="6">
        <v>3</v>
      </c>
      <c r="V766" t="s">
        <v>77</v>
      </c>
      <c r="W766" s="4">
        <v>46069</v>
      </c>
      <c r="X766" t="s">
        <v>77</v>
      </c>
      <c r="Y766" t="s">
        <v>77</v>
      </c>
      <c r="Z766" t="s">
        <v>78</v>
      </c>
    </row>
    <row r="767" spans="1:26">
      <c r="A767" t="s">
        <v>1416</v>
      </c>
      <c r="B767" t="s">
        <v>1067</v>
      </c>
      <c r="C767" s="4">
        <v>46077</v>
      </c>
      <c r="D767" t="s">
        <v>183</v>
      </c>
      <c r="E767" t="s">
        <v>314</v>
      </c>
      <c r="F767" s="4"/>
      <c r="G767" s="4"/>
      <c r="H767" t="s">
        <v>150</v>
      </c>
      <c r="I767" t="s">
        <v>239</v>
      </c>
      <c r="J767" t="s">
        <v>229</v>
      </c>
      <c r="K767" t="s">
        <v>60</v>
      </c>
      <c r="L767" t="s">
        <v>94</v>
      </c>
      <c r="M767" s="5"/>
      <c r="N767" s="5"/>
      <c r="O767" s="5"/>
      <c r="P767" s="5"/>
      <c r="Q767" s="5"/>
      <c r="R767" t="s">
        <v>106</v>
      </c>
      <c r="S767" t="s">
        <v>63</v>
      </c>
      <c r="T767" s="5"/>
      <c r="U767" s="6"/>
      <c r="V767" t="s">
        <v>64</v>
      </c>
      <c r="W767" s="4"/>
      <c r="X767" t="s">
        <v>65</v>
      </c>
      <c r="Z767" t="s">
        <v>66</v>
      </c>
    </row>
    <row r="768" spans="1:26">
      <c r="A768" t="s">
        <v>1417</v>
      </c>
      <c r="B768" t="s">
        <v>1418</v>
      </c>
      <c r="C768" s="4">
        <v>46032</v>
      </c>
      <c r="D768" t="s">
        <v>383</v>
      </c>
      <c r="E768" t="s">
        <v>70</v>
      </c>
      <c r="F768" s="4">
        <v>46032</v>
      </c>
      <c r="G768" s="4">
        <v>46033</v>
      </c>
      <c r="H768" t="s">
        <v>121</v>
      </c>
      <c r="I768" t="s">
        <v>386</v>
      </c>
      <c r="J768" t="s">
        <v>123</v>
      </c>
      <c r="K768" t="s">
        <v>60</v>
      </c>
      <c r="L768" t="s">
        <v>146</v>
      </c>
      <c r="M768" s="5">
        <v>39500</v>
      </c>
      <c r="N768" s="5">
        <v>5700</v>
      </c>
      <c r="O768" s="5">
        <v>4650</v>
      </c>
      <c r="P768" s="5">
        <v>3500</v>
      </c>
      <c r="Q768" s="5">
        <v>55850</v>
      </c>
      <c r="R768" t="s">
        <v>95</v>
      </c>
      <c r="S768" t="s">
        <v>63</v>
      </c>
      <c r="T768" s="5">
        <v>55850</v>
      </c>
      <c r="U768" s="6">
        <v>4</v>
      </c>
      <c r="V768" t="s">
        <v>77</v>
      </c>
      <c r="W768" s="4">
        <v>46043</v>
      </c>
      <c r="X768" t="s">
        <v>77</v>
      </c>
      <c r="Y768" t="s">
        <v>64</v>
      </c>
      <c r="Z768" t="s">
        <v>78</v>
      </c>
    </row>
    <row r="769" spans="1:26">
      <c r="A769" t="s">
        <v>1419</v>
      </c>
      <c r="B769" t="s">
        <v>543</v>
      </c>
      <c r="C769" s="4">
        <v>46109</v>
      </c>
      <c r="D769" t="s">
        <v>259</v>
      </c>
      <c r="E769" t="s">
        <v>70</v>
      </c>
      <c r="F769" s="4">
        <v>46109</v>
      </c>
      <c r="G769" s="4">
        <v>46118</v>
      </c>
      <c r="H769" t="s">
        <v>138</v>
      </c>
      <c r="I769" t="s">
        <v>352</v>
      </c>
      <c r="J769" t="s">
        <v>236</v>
      </c>
      <c r="K769" t="s">
        <v>73</v>
      </c>
      <c r="L769" t="s">
        <v>94</v>
      </c>
      <c r="M769" s="5">
        <v>38800</v>
      </c>
      <c r="N769" s="5">
        <v>6750</v>
      </c>
      <c r="O769" s="5">
        <v>6600</v>
      </c>
      <c r="P769" s="5">
        <v>54000</v>
      </c>
      <c r="Q769" s="5">
        <v>107950</v>
      </c>
      <c r="R769" t="s">
        <v>85</v>
      </c>
      <c r="S769" t="s">
        <v>76</v>
      </c>
      <c r="T769" s="5">
        <v>27890</v>
      </c>
      <c r="U769" s="6">
        <v>3</v>
      </c>
      <c r="V769" t="s">
        <v>77</v>
      </c>
      <c r="W769" s="4">
        <v>46139</v>
      </c>
      <c r="X769" t="s">
        <v>64</v>
      </c>
      <c r="Y769" t="s">
        <v>64</v>
      </c>
      <c r="Z769" t="s">
        <v>78</v>
      </c>
    </row>
    <row r="770" spans="1:26">
      <c r="A770" t="s">
        <v>1420</v>
      </c>
      <c r="B770" t="s">
        <v>165</v>
      </c>
      <c r="C770" s="4">
        <v>46110</v>
      </c>
      <c r="D770" t="s">
        <v>183</v>
      </c>
      <c r="E770" t="s">
        <v>70</v>
      </c>
      <c r="F770" s="4">
        <v>46110</v>
      </c>
      <c r="G770" s="4">
        <v>46111</v>
      </c>
      <c r="H770" t="s">
        <v>121</v>
      </c>
      <c r="I770" t="s">
        <v>122</v>
      </c>
      <c r="J770" t="s">
        <v>256</v>
      </c>
      <c r="K770" t="s">
        <v>73</v>
      </c>
      <c r="L770" t="s">
        <v>74</v>
      </c>
      <c r="M770" s="5">
        <v>16900</v>
      </c>
      <c r="N770" s="5">
        <v>2200</v>
      </c>
      <c r="O770" s="5">
        <v>3950</v>
      </c>
      <c r="P770" s="5">
        <v>3000</v>
      </c>
      <c r="Q770" s="5">
        <v>27050</v>
      </c>
      <c r="R770" t="s">
        <v>141</v>
      </c>
      <c r="S770" t="s">
        <v>76</v>
      </c>
      <c r="T770" s="5">
        <v>5260</v>
      </c>
      <c r="U770" s="6">
        <v>5</v>
      </c>
      <c r="V770" t="s">
        <v>64</v>
      </c>
      <c r="W770" s="4"/>
      <c r="X770" t="s">
        <v>65</v>
      </c>
      <c r="Y770" t="s">
        <v>64</v>
      </c>
      <c r="Z770" t="s">
        <v>96</v>
      </c>
    </row>
    <row r="771" spans="1:26">
      <c r="A771" t="s">
        <v>1421</v>
      </c>
      <c r="B771" t="s">
        <v>102</v>
      </c>
      <c r="C771" s="4">
        <v>46044</v>
      </c>
      <c r="D771" t="s">
        <v>200</v>
      </c>
      <c r="E771" t="s">
        <v>70</v>
      </c>
      <c r="F771" s="4">
        <v>46045</v>
      </c>
      <c r="G771" s="4">
        <v>46045</v>
      </c>
      <c r="H771" t="s">
        <v>90</v>
      </c>
      <c r="I771" t="s">
        <v>388</v>
      </c>
      <c r="J771" t="s">
        <v>197</v>
      </c>
      <c r="K771" t="s">
        <v>60</v>
      </c>
      <c r="L771" t="s">
        <v>146</v>
      </c>
      <c r="M771" s="5">
        <v>17100</v>
      </c>
      <c r="N771" s="5">
        <v>1450</v>
      </c>
      <c r="O771" s="5">
        <v>3500</v>
      </c>
      <c r="P771" s="5">
        <v>0</v>
      </c>
      <c r="Q771" s="5">
        <v>23550</v>
      </c>
      <c r="R771" t="s">
        <v>141</v>
      </c>
      <c r="S771" t="s">
        <v>86</v>
      </c>
      <c r="T771" s="5">
        <v>4730</v>
      </c>
      <c r="U771" s="6">
        <v>4</v>
      </c>
      <c r="V771" t="s">
        <v>64</v>
      </c>
      <c r="W771" s="4"/>
      <c r="X771" t="s">
        <v>65</v>
      </c>
      <c r="Y771" t="s">
        <v>77</v>
      </c>
      <c r="Z771" t="s">
        <v>78</v>
      </c>
    </row>
    <row r="772" spans="1:26">
      <c r="A772" t="s">
        <v>1422</v>
      </c>
      <c r="B772" t="s">
        <v>451</v>
      </c>
      <c r="C772" s="4">
        <v>46059</v>
      </c>
      <c r="D772" t="s">
        <v>234</v>
      </c>
      <c r="E772" t="s">
        <v>70</v>
      </c>
      <c r="F772" s="4">
        <v>46059</v>
      </c>
      <c r="G772" s="4">
        <v>46059</v>
      </c>
      <c r="H772" t="s">
        <v>111</v>
      </c>
      <c r="I772" t="s">
        <v>397</v>
      </c>
      <c r="J772" t="s">
        <v>117</v>
      </c>
      <c r="K772" t="s">
        <v>60</v>
      </c>
      <c r="L772" t="s">
        <v>94</v>
      </c>
      <c r="M772" s="5">
        <v>7800</v>
      </c>
      <c r="N772" s="5">
        <v>750</v>
      </c>
      <c r="O772" s="5">
        <v>1050</v>
      </c>
      <c r="P772" s="5">
        <v>0</v>
      </c>
      <c r="Q772" s="5">
        <v>11600</v>
      </c>
      <c r="R772" t="s">
        <v>85</v>
      </c>
      <c r="S772" t="s">
        <v>76</v>
      </c>
      <c r="T772" s="5">
        <v>3800</v>
      </c>
      <c r="U772" s="6">
        <v>5</v>
      </c>
      <c r="V772" t="s">
        <v>64</v>
      </c>
      <c r="W772" s="4"/>
      <c r="X772" t="s">
        <v>65</v>
      </c>
      <c r="Y772" t="s">
        <v>64</v>
      </c>
      <c r="Z772" t="s">
        <v>96</v>
      </c>
    </row>
    <row r="773" spans="1:26">
      <c r="A773" t="s">
        <v>1423</v>
      </c>
      <c r="B773" t="s">
        <v>1195</v>
      </c>
      <c r="C773" s="4">
        <v>46046</v>
      </c>
      <c r="D773" t="s">
        <v>120</v>
      </c>
      <c r="E773" t="s">
        <v>70</v>
      </c>
      <c r="F773" s="4">
        <v>46046</v>
      </c>
      <c r="G773" s="4">
        <v>46051</v>
      </c>
      <c r="H773" t="s">
        <v>90</v>
      </c>
      <c r="I773" t="s">
        <v>162</v>
      </c>
      <c r="J773" t="s">
        <v>92</v>
      </c>
      <c r="K773" t="s">
        <v>124</v>
      </c>
      <c r="L773" t="s">
        <v>61</v>
      </c>
      <c r="M773" s="5">
        <v>58700</v>
      </c>
      <c r="N773" s="5">
        <v>10250</v>
      </c>
      <c r="O773" s="5">
        <v>8650</v>
      </c>
      <c r="P773" s="5">
        <v>17500</v>
      </c>
      <c r="Q773" s="5">
        <v>96300</v>
      </c>
      <c r="R773" t="s">
        <v>134</v>
      </c>
      <c r="S773" t="s">
        <v>163</v>
      </c>
      <c r="T773" s="5">
        <v>53170</v>
      </c>
      <c r="U773" s="6">
        <v>3</v>
      </c>
      <c r="V773" t="s">
        <v>77</v>
      </c>
      <c r="W773" s="4">
        <v>46068</v>
      </c>
      <c r="X773" t="s">
        <v>77</v>
      </c>
      <c r="Y773" t="s">
        <v>64</v>
      </c>
      <c r="Z773" t="s">
        <v>78</v>
      </c>
    </row>
    <row r="774" spans="1:26">
      <c r="A774" t="s">
        <v>1424</v>
      </c>
      <c r="B774" t="s">
        <v>1425</v>
      </c>
      <c r="C774" s="4">
        <v>46141</v>
      </c>
      <c r="D774" t="s">
        <v>469</v>
      </c>
      <c r="E774" t="s">
        <v>70</v>
      </c>
      <c r="F774" s="4">
        <v>46141</v>
      </c>
      <c r="G774" s="4">
        <v>46141</v>
      </c>
      <c r="H774" t="s">
        <v>138</v>
      </c>
      <c r="I774" t="s">
        <v>343</v>
      </c>
      <c r="J774" t="s">
        <v>261</v>
      </c>
      <c r="K774" t="s">
        <v>93</v>
      </c>
      <c r="L774" t="s">
        <v>61</v>
      </c>
      <c r="M774" s="5">
        <v>4200</v>
      </c>
      <c r="N774" s="5">
        <v>450</v>
      </c>
      <c r="O774" s="5">
        <v>800</v>
      </c>
      <c r="P774" s="5">
        <v>0</v>
      </c>
      <c r="Q774" s="5">
        <v>7250</v>
      </c>
      <c r="R774" t="s">
        <v>62</v>
      </c>
      <c r="S774" t="s">
        <v>76</v>
      </c>
      <c r="T774" s="5">
        <v>2580</v>
      </c>
      <c r="U774" s="6">
        <v>5</v>
      </c>
      <c r="V774" t="s">
        <v>77</v>
      </c>
      <c r="W774" s="4">
        <v>46152</v>
      </c>
      <c r="X774" t="s">
        <v>77</v>
      </c>
      <c r="Y774" t="s">
        <v>64</v>
      </c>
      <c r="Z774" t="s">
        <v>78</v>
      </c>
    </row>
    <row r="775" spans="1:26">
      <c r="A775" t="s">
        <v>1426</v>
      </c>
      <c r="B775" t="s">
        <v>1427</v>
      </c>
      <c r="C775" s="4">
        <v>46096</v>
      </c>
      <c r="D775" t="s">
        <v>217</v>
      </c>
      <c r="E775" t="s">
        <v>70</v>
      </c>
      <c r="F775" s="4">
        <v>46096</v>
      </c>
      <c r="G775" s="4">
        <v>46105</v>
      </c>
      <c r="H775" t="s">
        <v>103</v>
      </c>
      <c r="I775" t="s">
        <v>207</v>
      </c>
      <c r="J775" t="s">
        <v>244</v>
      </c>
      <c r="K775" t="s">
        <v>73</v>
      </c>
      <c r="L775" t="s">
        <v>94</v>
      </c>
      <c r="M775" s="5">
        <v>64200</v>
      </c>
      <c r="N775" s="5">
        <v>11350</v>
      </c>
      <c r="O775" s="5">
        <v>12900</v>
      </c>
      <c r="P775" s="5">
        <v>27000</v>
      </c>
      <c r="Q775" s="5">
        <v>116950</v>
      </c>
      <c r="R775" t="s">
        <v>141</v>
      </c>
      <c r="S775" t="s">
        <v>76</v>
      </c>
      <c r="T775" s="5">
        <v>18740</v>
      </c>
      <c r="U775" s="6">
        <v>4</v>
      </c>
      <c r="V775" t="s">
        <v>77</v>
      </c>
      <c r="W775" s="4">
        <v>46114</v>
      </c>
      <c r="X775" t="s">
        <v>77</v>
      </c>
      <c r="Y775" t="s">
        <v>64</v>
      </c>
      <c r="Z775" t="s">
        <v>78</v>
      </c>
    </row>
    <row r="776" spans="1:26">
      <c r="A776" t="s">
        <v>1428</v>
      </c>
      <c r="B776" t="s">
        <v>1429</v>
      </c>
      <c r="C776" s="4">
        <v>46104</v>
      </c>
      <c r="D776" t="s">
        <v>149</v>
      </c>
      <c r="E776" t="s">
        <v>177</v>
      </c>
      <c r="F776" s="4"/>
      <c r="G776" s="4"/>
      <c r="H776" t="s">
        <v>138</v>
      </c>
      <c r="I776" t="s">
        <v>343</v>
      </c>
      <c r="J776" t="s">
        <v>140</v>
      </c>
      <c r="K776" t="s">
        <v>93</v>
      </c>
      <c r="L776" t="s">
        <v>94</v>
      </c>
      <c r="M776" s="5"/>
      <c r="N776" s="5"/>
      <c r="O776" s="5"/>
      <c r="P776" s="5"/>
      <c r="Q776" s="5"/>
      <c r="R776" t="s">
        <v>95</v>
      </c>
      <c r="S776" t="s">
        <v>63</v>
      </c>
      <c r="T776" s="5"/>
      <c r="U776" s="6"/>
      <c r="V776" t="s">
        <v>64</v>
      </c>
      <c r="W776" s="4"/>
      <c r="X776" t="s">
        <v>65</v>
      </c>
      <c r="Z776" t="s">
        <v>66</v>
      </c>
    </row>
    <row r="777" spans="1:26">
      <c r="A777" t="s">
        <v>1430</v>
      </c>
      <c r="B777" t="s">
        <v>468</v>
      </c>
      <c r="C777" s="4">
        <v>46162</v>
      </c>
      <c r="D777" t="s">
        <v>161</v>
      </c>
      <c r="E777" t="s">
        <v>70</v>
      </c>
      <c r="F777" s="4">
        <v>46163</v>
      </c>
      <c r="G777" s="4">
        <v>46167</v>
      </c>
      <c r="H777" t="s">
        <v>82</v>
      </c>
      <c r="I777" t="s">
        <v>194</v>
      </c>
      <c r="J777" t="s">
        <v>291</v>
      </c>
      <c r="K777" t="s">
        <v>124</v>
      </c>
      <c r="L777" t="s">
        <v>94</v>
      </c>
      <c r="M777" s="5">
        <v>41000</v>
      </c>
      <c r="N777" s="5">
        <v>3500</v>
      </c>
      <c r="O777" s="5">
        <v>5950</v>
      </c>
      <c r="P777" s="5">
        <v>12000</v>
      </c>
      <c r="Q777" s="5">
        <v>64250</v>
      </c>
      <c r="R777" t="s">
        <v>141</v>
      </c>
      <c r="S777" t="s">
        <v>86</v>
      </c>
      <c r="T777" s="5">
        <v>10840</v>
      </c>
      <c r="U777" s="6">
        <v>3</v>
      </c>
      <c r="V777" t="s">
        <v>77</v>
      </c>
      <c r="W777" s="4">
        <v>46180</v>
      </c>
      <c r="X777" t="s">
        <v>77</v>
      </c>
      <c r="Y777" t="s">
        <v>77</v>
      </c>
      <c r="Z777" t="s">
        <v>96</v>
      </c>
    </row>
    <row r="778" spans="1:26">
      <c r="A778" t="s">
        <v>1431</v>
      </c>
      <c r="B778" t="s">
        <v>1432</v>
      </c>
      <c r="C778" s="4">
        <v>46059</v>
      </c>
      <c r="D778" t="s">
        <v>266</v>
      </c>
      <c r="E778" t="s">
        <v>70</v>
      </c>
      <c r="F778" s="4">
        <v>46059</v>
      </c>
      <c r="G778" s="4">
        <v>46059</v>
      </c>
      <c r="H778" t="s">
        <v>121</v>
      </c>
      <c r="I778" t="s">
        <v>251</v>
      </c>
      <c r="J778" t="s">
        <v>256</v>
      </c>
      <c r="K778" t="s">
        <v>60</v>
      </c>
      <c r="L778" t="s">
        <v>94</v>
      </c>
      <c r="M778" s="5">
        <v>16800</v>
      </c>
      <c r="N778" s="5">
        <v>2400</v>
      </c>
      <c r="O778" s="5">
        <v>2950</v>
      </c>
      <c r="P778" s="5">
        <v>0</v>
      </c>
      <c r="Q778" s="5">
        <v>24150</v>
      </c>
      <c r="R778" t="s">
        <v>75</v>
      </c>
      <c r="S778" t="s">
        <v>76</v>
      </c>
      <c r="T778" s="5">
        <v>11170</v>
      </c>
      <c r="U778" s="6">
        <v>5</v>
      </c>
      <c r="V778" t="s">
        <v>64</v>
      </c>
      <c r="W778" s="4"/>
      <c r="X778" t="s">
        <v>65</v>
      </c>
      <c r="Y778" t="s">
        <v>64</v>
      </c>
      <c r="Z778" t="s">
        <v>96</v>
      </c>
    </row>
    <row r="779" spans="1:26">
      <c r="A779" t="s">
        <v>1433</v>
      </c>
      <c r="B779" t="s">
        <v>286</v>
      </c>
      <c r="C779" s="4">
        <v>46159</v>
      </c>
      <c r="D779" t="s">
        <v>161</v>
      </c>
      <c r="E779" t="s">
        <v>70</v>
      </c>
      <c r="F779" s="4">
        <v>46159</v>
      </c>
      <c r="G779" s="4">
        <v>46160</v>
      </c>
      <c r="H779" t="s">
        <v>111</v>
      </c>
      <c r="I779" t="s">
        <v>267</v>
      </c>
      <c r="J779" t="s">
        <v>384</v>
      </c>
      <c r="K779" t="s">
        <v>60</v>
      </c>
      <c r="L779" t="s">
        <v>61</v>
      </c>
      <c r="M779" s="5">
        <v>47600</v>
      </c>
      <c r="N779" s="5">
        <v>5950</v>
      </c>
      <c r="O779" s="5">
        <v>5650</v>
      </c>
      <c r="P779" s="5">
        <v>2500</v>
      </c>
      <c r="Q779" s="5">
        <v>62900</v>
      </c>
      <c r="R779" t="s">
        <v>95</v>
      </c>
      <c r="S779" t="s">
        <v>63</v>
      </c>
      <c r="T779" s="5">
        <v>62900</v>
      </c>
      <c r="U779" s="6">
        <v>5</v>
      </c>
      <c r="V779" t="s">
        <v>77</v>
      </c>
      <c r="W779" s="4">
        <v>46180</v>
      </c>
      <c r="X779" t="s">
        <v>77</v>
      </c>
      <c r="Y779" t="s">
        <v>77</v>
      </c>
      <c r="Z779" t="s">
        <v>78</v>
      </c>
    </row>
    <row r="780" spans="1:26">
      <c r="A780" t="s">
        <v>1434</v>
      </c>
      <c r="B780" t="s">
        <v>1435</v>
      </c>
      <c r="C780" s="4">
        <v>46119</v>
      </c>
      <c r="D780" t="s">
        <v>99</v>
      </c>
      <c r="E780" t="s">
        <v>70</v>
      </c>
      <c r="F780" s="4">
        <v>46119</v>
      </c>
      <c r="G780" s="4">
        <v>46121</v>
      </c>
      <c r="H780" t="s">
        <v>201</v>
      </c>
      <c r="I780" t="s">
        <v>280</v>
      </c>
      <c r="J780" t="s">
        <v>203</v>
      </c>
      <c r="K780" t="s">
        <v>124</v>
      </c>
      <c r="L780" t="s">
        <v>146</v>
      </c>
      <c r="M780" s="5">
        <v>39200</v>
      </c>
      <c r="N780" s="5">
        <v>4300</v>
      </c>
      <c r="O780" s="5">
        <v>5000</v>
      </c>
      <c r="P780" s="5">
        <v>6000</v>
      </c>
      <c r="Q780" s="5">
        <v>55500</v>
      </c>
      <c r="R780" t="s">
        <v>95</v>
      </c>
      <c r="S780" t="s">
        <v>63</v>
      </c>
      <c r="T780" s="5">
        <v>55500</v>
      </c>
      <c r="U780" s="6">
        <v>2</v>
      </c>
      <c r="V780" t="s">
        <v>77</v>
      </c>
      <c r="W780" s="4">
        <v>46136</v>
      </c>
      <c r="X780" t="s">
        <v>64</v>
      </c>
      <c r="Y780" t="s">
        <v>77</v>
      </c>
      <c r="Z780" t="s">
        <v>96</v>
      </c>
    </row>
    <row r="781" spans="1:26">
      <c r="A781" t="s">
        <v>1436</v>
      </c>
      <c r="B781" t="s">
        <v>1437</v>
      </c>
      <c r="C781" s="4">
        <v>46046</v>
      </c>
      <c r="D781" t="s">
        <v>307</v>
      </c>
      <c r="E781" t="s">
        <v>70</v>
      </c>
      <c r="F781" s="4">
        <v>46046</v>
      </c>
      <c r="G781" s="4">
        <v>46051</v>
      </c>
      <c r="H781" t="s">
        <v>201</v>
      </c>
      <c r="I781" t="s">
        <v>515</v>
      </c>
      <c r="J781" t="s">
        <v>295</v>
      </c>
      <c r="K781" t="s">
        <v>124</v>
      </c>
      <c r="L781" t="s">
        <v>61</v>
      </c>
      <c r="M781" s="5">
        <v>41000</v>
      </c>
      <c r="N781" s="5">
        <v>5500</v>
      </c>
      <c r="O781" s="5">
        <v>8850</v>
      </c>
      <c r="P781" s="5">
        <v>12500</v>
      </c>
      <c r="Q781" s="5">
        <v>69050</v>
      </c>
      <c r="R781" t="s">
        <v>106</v>
      </c>
      <c r="S781" t="s">
        <v>76</v>
      </c>
      <c r="T781" s="5">
        <v>24870</v>
      </c>
      <c r="U781" s="6">
        <v>3</v>
      </c>
      <c r="V781" t="s">
        <v>77</v>
      </c>
      <c r="W781" s="4">
        <v>46064</v>
      </c>
      <c r="X781" t="s">
        <v>77</v>
      </c>
      <c r="Y781" t="s">
        <v>64</v>
      </c>
      <c r="Z781" t="s">
        <v>219</v>
      </c>
    </row>
    <row r="782" spans="1:26">
      <c r="A782" t="s">
        <v>1438</v>
      </c>
      <c r="B782" t="s">
        <v>992</v>
      </c>
      <c r="C782" s="4">
        <v>46063</v>
      </c>
      <c r="D782" t="s">
        <v>419</v>
      </c>
      <c r="E782" t="s">
        <v>70</v>
      </c>
      <c r="F782" s="4">
        <v>46063</v>
      </c>
      <c r="G782" s="4">
        <v>46064</v>
      </c>
      <c r="H782" t="s">
        <v>57</v>
      </c>
      <c r="I782" t="s">
        <v>211</v>
      </c>
      <c r="J782" t="s">
        <v>72</v>
      </c>
      <c r="K782" t="s">
        <v>124</v>
      </c>
      <c r="L782" t="s">
        <v>94</v>
      </c>
      <c r="M782" s="5">
        <v>6900</v>
      </c>
      <c r="N782" s="5">
        <v>950</v>
      </c>
      <c r="O782" s="5">
        <v>800</v>
      </c>
      <c r="P782" s="5">
        <v>3000</v>
      </c>
      <c r="Q782" s="5">
        <v>13650</v>
      </c>
      <c r="R782" t="s">
        <v>85</v>
      </c>
      <c r="S782" t="s">
        <v>76</v>
      </c>
      <c r="T782" s="5">
        <v>4310</v>
      </c>
      <c r="U782" s="6">
        <v>5</v>
      </c>
      <c r="V782" t="s">
        <v>64</v>
      </c>
      <c r="W782" s="4"/>
      <c r="X782" t="s">
        <v>65</v>
      </c>
      <c r="Y782" t="s">
        <v>64</v>
      </c>
      <c r="Z782" t="s">
        <v>96</v>
      </c>
    </row>
    <row r="783" spans="1:26">
      <c r="A783" t="s">
        <v>1439</v>
      </c>
      <c r="B783" t="s">
        <v>758</v>
      </c>
      <c r="C783" s="4">
        <v>46060</v>
      </c>
      <c r="D783" t="s">
        <v>259</v>
      </c>
      <c r="E783" t="s">
        <v>70</v>
      </c>
      <c r="F783" s="4">
        <v>46061</v>
      </c>
      <c r="G783" s="4">
        <v>46070</v>
      </c>
      <c r="H783" t="s">
        <v>111</v>
      </c>
      <c r="I783" t="s">
        <v>222</v>
      </c>
      <c r="J783" t="s">
        <v>384</v>
      </c>
      <c r="K783" t="s">
        <v>124</v>
      </c>
      <c r="L783" t="s">
        <v>74</v>
      </c>
      <c r="M783" s="5">
        <v>50200</v>
      </c>
      <c r="N783" s="5">
        <v>8900</v>
      </c>
      <c r="O783" s="5">
        <v>7350</v>
      </c>
      <c r="P783" s="5">
        <v>40500</v>
      </c>
      <c r="Q783" s="5">
        <v>107950</v>
      </c>
      <c r="R783" t="s">
        <v>85</v>
      </c>
      <c r="S783" t="s">
        <v>76</v>
      </c>
      <c r="T783" s="5">
        <v>27890</v>
      </c>
      <c r="U783" s="6">
        <v>2</v>
      </c>
      <c r="V783" t="s">
        <v>77</v>
      </c>
      <c r="W783" s="4">
        <v>46081</v>
      </c>
      <c r="X783" t="s">
        <v>64</v>
      </c>
      <c r="Y783" t="s">
        <v>64</v>
      </c>
      <c r="Z783" t="s">
        <v>96</v>
      </c>
    </row>
    <row r="784" spans="1:26">
      <c r="A784" t="s">
        <v>1440</v>
      </c>
      <c r="B784" t="s">
        <v>619</v>
      </c>
      <c r="C784" s="4">
        <v>46107</v>
      </c>
      <c r="D784" t="s">
        <v>250</v>
      </c>
      <c r="E784" t="s">
        <v>70</v>
      </c>
      <c r="F784" s="4">
        <v>46107</v>
      </c>
      <c r="G784" s="4">
        <v>46107</v>
      </c>
      <c r="H784" t="s">
        <v>57</v>
      </c>
      <c r="I784" t="s">
        <v>184</v>
      </c>
      <c r="J784" t="s">
        <v>170</v>
      </c>
      <c r="K784" t="s">
        <v>60</v>
      </c>
      <c r="L784" t="s">
        <v>61</v>
      </c>
      <c r="M784" s="5">
        <v>63400</v>
      </c>
      <c r="N784" s="5">
        <v>10850</v>
      </c>
      <c r="O784" s="5">
        <v>15100</v>
      </c>
      <c r="P784" s="5">
        <v>0</v>
      </c>
      <c r="Q784" s="5">
        <v>90550</v>
      </c>
      <c r="R784" t="s">
        <v>85</v>
      </c>
      <c r="S784" t="s">
        <v>163</v>
      </c>
      <c r="T784" s="5">
        <v>23540</v>
      </c>
      <c r="U784" s="6">
        <v>3</v>
      </c>
      <c r="V784" t="s">
        <v>77</v>
      </c>
      <c r="W784" s="4">
        <v>46120</v>
      </c>
      <c r="X784" t="s">
        <v>64</v>
      </c>
      <c r="Y784" t="s">
        <v>64</v>
      </c>
      <c r="Z784" t="s">
        <v>78</v>
      </c>
    </row>
    <row r="785" spans="1:26">
      <c r="A785" t="s">
        <v>1441</v>
      </c>
      <c r="B785" t="s">
        <v>598</v>
      </c>
      <c r="C785" s="4">
        <v>46105</v>
      </c>
      <c r="D785" t="s">
        <v>132</v>
      </c>
      <c r="E785" t="s">
        <v>70</v>
      </c>
      <c r="F785" s="4">
        <v>46105</v>
      </c>
      <c r="G785" s="4">
        <v>46105</v>
      </c>
      <c r="H785" t="s">
        <v>121</v>
      </c>
      <c r="I785" t="s">
        <v>386</v>
      </c>
      <c r="J785" t="s">
        <v>252</v>
      </c>
      <c r="K785" t="s">
        <v>60</v>
      </c>
      <c r="L785" t="s">
        <v>94</v>
      </c>
      <c r="M785" s="5">
        <v>64100</v>
      </c>
      <c r="N785" s="5">
        <v>8200</v>
      </c>
      <c r="O785" s="5">
        <v>11650</v>
      </c>
      <c r="P785" s="5">
        <v>0</v>
      </c>
      <c r="Q785" s="5">
        <v>86450</v>
      </c>
      <c r="R785" t="s">
        <v>62</v>
      </c>
      <c r="S785" t="s">
        <v>76</v>
      </c>
      <c r="T785" s="5">
        <v>26340</v>
      </c>
      <c r="U785" s="6">
        <v>5</v>
      </c>
      <c r="V785" t="s">
        <v>77</v>
      </c>
      <c r="W785" s="4">
        <v>46119</v>
      </c>
      <c r="X785" t="s">
        <v>77</v>
      </c>
      <c r="Y785" t="s">
        <v>64</v>
      </c>
      <c r="Z785" t="s">
        <v>96</v>
      </c>
    </row>
    <row r="786" spans="1:26">
      <c r="A786" t="s">
        <v>1442</v>
      </c>
      <c r="B786" t="s">
        <v>1418</v>
      </c>
      <c r="C786" s="4">
        <v>46155</v>
      </c>
      <c r="D786" t="s">
        <v>200</v>
      </c>
      <c r="E786" t="s">
        <v>70</v>
      </c>
      <c r="F786" s="4">
        <v>46155</v>
      </c>
      <c r="G786" s="4">
        <v>46157</v>
      </c>
      <c r="H786" t="s">
        <v>57</v>
      </c>
      <c r="I786" t="s">
        <v>58</v>
      </c>
      <c r="J786" t="s">
        <v>72</v>
      </c>
      <c r="K786" t="s">
        <v>93</v>
      </c>
      <c r="L786" t="s">
        <v>61</v>
      </c>
      <c r="M786" s="5">
        <v>8300</v>
      </c>
      <c r="N786" s="5">
        <v>700</v>
      </c>
      <c r="O786" s="5">
        <v>2000</v>
      </c>
      <c r="P786" s="5">
        <v>6000</v>
      </c>
      <c r="Q786" s="5">
        <v>19500</v>
      </c>
      <c r="R786" t="s">
        <v>141</v>
      </c>
      <c r="S786" t="s">
        <v>76</v>
      </c>
      <c r="T786" s="5">
        <v>4120</v>
      </c>
      <c r="U786" s="6">
        <v>4</v>
      </c>
      <c r="V786" t="s">
        <v>64</v>
      </c>
      <c r="W786" s="4"/>
      <c r="X786" t="s">
        <v>65</v>
      </c>
      <c r="Y786" t="s">
        <v>64</v>
      </c>
      <c r="Z786" t="s">
        <v>78</v>
      </c>
    </row>
    <row r="787" spans="1:26">
      <c r="A787" t="s">
        <v>1443</v>
      </c>
      <c r="B787" t="s">
        <v>1444</v>
      </c>
      <c r="C787" s="4">
        <v>46076</v>
      </c>
      <c r="D787" t="s">
        <v>110</v>
      </c>
      <c r="E787" t="s">
        <v>70</v>
      </c>
      <c r="F787" s="4">
        <v>46076</v>
      </c>
      <c r="G787" s="4">
        <v>46077</v>
      </c>
      <c r="H787" t="s">
        <v>201</v>
      </c>
      <c r="I787" t="s">
        <v>202</v>
      </c>
      <c r="J787" t="s">
        <v>203</v>
      </c>
      <c r="K787" t="s">
        <v>124</v>
      </c>
      <c r="L787" t="s">
        <v>74</v>
      </c>
      <c r="M787" s="5">
        <v>35900</v>
      </c>
      <c r="N787" s="5">
        <v>4100</v>
      </c>
      <c r="O787" s="5">
        <v>4000</v>
      </c>
      <c r="P787" s="5">
        <v>3500</v>
      </c>
      <c r="Q787" s="5">
        <v>50000</v>
      </c>
      <c r="R787" t="s">
        <v>62</v>
      </c>
      <c r="S787" t="s">
        <v>86</v>
      </c>
      <c r="T787" s="5">
        <v>15400</v>
      </c>
      <c r="U787" s="6">
        <v>4</v>
      </c>
      <c r="V787" t="s">
        <v>77</v>
      </c>
      <c r="W787" s="4">
        <v>46085</v>
      </c>
      <c r="X787" t="s">
        <v>77</v>
      </c>
      <c r="Y787" t="s">
        <v>64</v>
      </c>
      <c r="Z787" t="s">
        <v>107</v>
      </c>
    </row>
    <row r="788" spans="1:26">
      <c r="A788" t="s">
        <v>1445</v>
      </c>
      <c r="B788" t="s">
        <v>1011</v>
      </c>
      <c r="C788" s="4">
        <v>46117</v>
      </c>
      <c r="D788" t="s">
        <v>330</v>
      </c>
      <c r="E788" t="s">
        <v>70</v>
      </c>
      <c r="F788" s="4">
        <v>46117</v>
      </c>
      <c r="G788" s="4">
        <v>46119</v>
      </c>
      <c r="H788" t="s">
        <v>82</v>
      </c>
      <c r="I788" t="s">
        <v>369</v>
      </c>
      <c r="J788" t="s">
        <v>84</v>
      </c>
      <c r="K788" t="s">
        <v>93</v>
      </c>
      <c r="L788" t="s">
        <v>74</v>
      </c>
      <c r="M788" s="5">
        <v>8100</v>
      </c>
      <c r="N788" s="5">
        <v>1400</v>
      </c>
      <c r="O788" s="5">
        <v>1250</v>
      </c>
      <c r="P788" s="5">
        <v>9000</v>
      </c>
      <c r="Q788" s="5">
        <v>20550</v>
      </c>
      <c r="R788" t="s">
        <v>106</v>
      </c>
      <c r="S788" t="s">
        <v>76</v>
      </c>
      <c r="T788" s="5">
        <v>7890</v>
      </c>
      <c r="U788" s="6">
        <v>4</v>
      </c>
      <c r="V788" t="s">
        <v>77</v>
      </c>
      <c r="W788" s="4">
        <v>46132</v>
      </c>
      <c r="X788" t="s">
        <v>77</v>
      </c>
      <c r="Y788" t="s">
        <v>64</v>
      </c>
      <c r="Z788" t="s">
        <v>96</v>
      </c>
    </row>
    <row r="789" spans="1:26">
      <c r="A789" t="s">
        <v>1446</v>
      </c>
      <c r="B789" t="s">
        <v>1447</v>
      </c>
      <c r="C789" s="4">
        <v>46101</v>
      </c>
      <c r="D789" t="s">
        <v>432</v>
      </c>
      <c r="E789" t="s">
        <v>70</v>
      </c>
      <c r="F789" s="4">
        <v>46102</v>
      </c>
      <c r="G789" s="4">
        <v>46113</v>
      </c>
      <c r="H789" t="s">
        <v>57</v>
      </c>
      <c r="I789" t="s">
        <v>100</v>
      </c>
      <c r="J789" t="s">
        <v>170</v>
      </c>
      <c r="K789" t="s">
        <v>93</v>
      </c>
      <c r="L789" t="s">
        <v>94</v>
      </c>
      <c r="M789" s="5">
        <v>82600</v>
      </c>
      <c r="N789" s="5">
        <v>13700</v>
      </c>
      <c r="O789" s="5">
        <v>10050</v>
      </c>
      <c r="P789" s="5">
        <v>27500</v>
      </c>
      <c r="Q789" s="5">
        <v>135850</v>
      </c>
      <c r="R789" t="s">
        <v>95</v>
      </c>
      <c r="S789" t="s">
        <v>63</v>
      </c>
      <c r="T789" s="5">
        <v>135850</v>
      </c>
      <c r="U789" s="6">
        <v>3</v>
      </c>
      <c r="V789" t="s">
        <v>77</v>
      </c>
      <c r="W789" s="4">
        <v>46132</v>
      </c>
      <c r="X789" t="s">
        <v>77</v>
      </c>
      <c r="Y789" t="s">
        <v>64</v>
      </c>
      <c r="Z789" t="s">
        <v>436</v>
      </c>
    </row>
    <row r="790" spans="1:26">
      <c r="A790" t="s">
        <v>1448</v>
      </c>
      <c r="B790" t="s">
        <v>589</v>
      </c>
      <c r="C790" s="4">
        <v>46091</v>
      </c>
      <c r="D790" t="s">
        <v>217</v>
      </c>
      <c r="E790" t="s">
        <v>70</v>
      </c>
      <c r="F790" s="4">
        <v>46091</v>
      </c>
      <c r="G790" s="4">
        <v>46091</v>
      </c>
      <c r="H790" t="s">
        <v>57</v>
      </c>
      <c r="I790" t="s">
        <v>184</v>
      </c>
      <c r="J790" t="s">
        <v>170</v>
      </c>
      <c r="K790" t="s">
        <v>60</v>
      </c>
      <c r="L790" t="s">
        <v>74</v>
      </c>
      <c r="M790" s="5">
        <v>59700</v>
      </c>
      <c r="N790" s="5">
        <v>8050</v>
      </c>
      <c r="O790" s="5">
        <v>13650</v>
      </c>
      <c r="P790" s="5">
        <v>0</v>
      </c>
      <c r="Q790" s="5">
        <v>82600</v>
      </c>
      <c r="R790" t="s">
        <v>62</v>
      </c>
      <c r="S790" t="s">
        <v>76</v>
      </c>
      <c r="T790" s="5">
        <v>25180</v>
      </c>
      <c r="U790" s="6">
        <v>4</v>
      </c>
      <c r="V790" t="s">
        <v>77</v>
      </c>
      <c r="W790" s="4">
        <v>46098</v>
      </c>
      <c r="X790" t="s">
        <v>77</v>
      </c>
      <c r="Y790" t="s">
        <v>64</v>
      </c>
      <c r="Z790" t="s">
        <v>78</v>
      </c>
    </row>
    <row r="791" spans="1:26">
      <c r="A791" t="s">
        <v>1449</v>
      </c>
      <c r="B791" t="s">
        <v>1450</v>
      </c>
      <c r="C791" s="4">
        <v>46140</v>
      </c>
      <c r="D791" t="s">
        <v>99</v>
      </c>
      <c r="E791" t="s">
        <v>70</v>
      </c>
      <c r="F791" s="4">
        <v>46140</v>
      </c>
      <c r="G791" s="4">
        <v>46145</v>
      </c>
      <c r="H791" t="s">
        <v>57</v>
      </c>
      <c r="I791" t="s">
        <v>100</v>
      </c>
      <c r="J791" t="s">
        <v>170</v>
      </c>
      <c r="K791" t="s">
        <v>73</v>
      </c>
      <c r="L791" t="s">
        <v>61</v>
      </c>
      <c r="M791" s="5">
        <v>73900</v>
      </c>
      <c r="N791" s="5">
        <v>12900</v>
      </c>
      <c r="O791" s="5">
        <v>18300</v>
      </c>
      <c r="P791" s="5">
        <v>15000</v>
      </c>
      <c r="Q791" s="5">
        <v>122100</v>
      </c>
      <c r="R791" t="s">
        <v>95</v>
      </c>
      <c r="S791" t="s">
        <v>63</v>
      </c>
      <c r="T791" s="5">
        <v>122100</v>
      </c>
      <c r="U791" s="6">
        <v>1</v>
      </c>
      <c r="V791" t="s">
        <v>77</v>
      </c>
      <c r="W791" s="4">
        <v>46162</v>
      </c>
      <c r="X791" t="s">
        <v>64</v>
      </c>
      <c r="Y791" t="s">
        <v>77</v>
      </c>
      <c r="Z791" t="s">
        <v>78</v>
      </c>
    </row>
    <row r="792" spans="1:26">
      <c r="A792" t="s">
        <v>1451</v>
      </c>
      <c r="B792" t="s">
        <v>1452</v>
      </c>
      <c r="C792" s="4">
        <v>46136</v>
      </c>
      <c r="D792" t="s">
        <v>234</v>
      </c>
      <c r="E792" t="s">
        <v>70</v>
      </c>
      <c r="F792" s="4">
        <v>46137</v>
      </c>
      <c r="G792" s="4">
        <v>46142</v>
      </c>
      <c r="H792" t="s">
        <v>138</v>
      </c>
      <c r="I792" t="s">
        <v>139</v>
      </c>
      <c r="J792" t="s">
        <v>236</v>
      </c>
      <c r="K792" t="s">
        <v>73</v>
      </c>
      <c r="L792" t="s">
        <v>94</v>
      </c>
      <c r="M792" s="5">
        <v>40100</v>
      </c>
      <c r="N792" s="5">
        <v>6500</v>
      </c>
      <c r="O792" s="5">
        <v>4150</v>
      </c>
      <c r="P792" s="5">
        <v>12500</v>
      </c>
      <c r="Q792" s="5">
        <v>65250</v>
      </c>
      <c r="R792" t="s">
        <v>62</v>
      </c>
      <c r="S792" t="s">
        <v>76</v>
      </c>
      <c r="T792" s="5">
        <v>19980</v>
      </c>
      <c r="U792" s="6">
        <v>2</v>
      </c>
      <c r="V792" t="s">
        <v>77</v>
      </c>
      <c r="W792" s="4">
        <v>46157</v>
      </c>
      <c r="X792" t="s">
        <v>64</v>
      </c>
      <c r="Y792" t="s">
        <v>77</v>
      </c>
      <c r="Z792" t="s">
        <v>107</v>
      </c>
    </row>
    <row r="793" spans="1:26">
      <c r="A793" t="s">
        <v>1453</v>
      </c>
      <c r="B793" t="s">
        <v>851</v>
      </c>
      <c r="C793" s="4">
        <v>46028</v>
      </c>
      <c r="D793" t="s">
        <v>469</v>
      </c>
      <c r="E793" t="s">
        <v>56</v>
      </c>
      <c r="F793" s="4"/>
      <c r="G793" s="4"/>
      <c r="H793" t="s">
        <v>57</v>
      </c>
      <c r="I793" t="s">
        <v>58</v>
      </c>
      <c r="J793" t="s">
        <v>72</v>
      </c>
      <c r="K793" t="s">
        <v>73</v>
      </c>
      <c r="L793" t="s">
        <v>74</v>
      </c>
      <c r="M793" s="5"/>
      <c r="N793" s="5"/>
      <c r="O793" s="5"/>
      <c r="P793" s="5"/>
      <c r="Q793" s="5"/>
      <c r="R793" t="s">
        <v>62</v>
      </c>
      <c r="S793" t="s">
        <v>63</v>
      </c>
      <c r="T793" s="5"/>
      <c r="U793" s="6"/>
      <c r="V793" t="s">
        <v>64</v>
      </c>
      <c r="W793" s="4"/>
      <c r="X793" t="s">
        <v>65</v>
      </c>
      <c r="Z793" t="s">
        <v>66</v>
      </c>
    </row>
    <row r="794" spans="1:26">
      <c r="A794" t="s">
        <v>1454</v>
      </c>
      <c r="B794" t="s">
        <v>1455</v>
      </c>
      <c r="C794" s="4">
        <v>46025</v>
      </c>
      <c r="D794" t="s">
        <v>149</v>
      </c>
      <c r="E794" t="s">
        <v>70</v>
      </c>
      <c r="F794" s="4">
        <v>46025</v>
      </c>
      <c r="G794" s="4">
        <v>46026</v>
      </c>
      <c r="H794" t="s">
        <v>103</v>
      </c>
      <c r="I794" t="s">
        <v>207</v>
      </c>
      <c r="J794" t="s">
        <v>244</v>
      </c>
      <c r="K794" t="s">
        <v>60</v>
      </c>
      <c r="L794" t="s">
        <v>74</v>
      </c>
      <c r="M794" s="5"/>
      <c r="N794" s="5">
        <v>9150</v>
      </c>
      <c r="O794" s="5">
        <v>6500</v>
      </c>
      <c r="P794" s="5">
        <v>3000</v>
      </c>
      <c r="Q794" s="5">
        <v>80450</v>
      </c>
      <c r="R794" t="s">
        <v>75</v>
      </c>
      <c r="S794" t="s">
        <v>76</v>
      </c>
      <c r="T794" s="5">
        <v>36500</v>
      </c>
      <c r="U794" s="6">
        <v>4</v>
      </c>
      <c r="V794" t="s">
        <v>77</v>
      </c>
      <c r="W794" s="4">
        <v>46034</v>
      </c>
      <c r="X794" t="s">
        <v>64</v>
      </c>
      <c r="Y794" t="s">
        <v>64</v>
      </c>
      <c r="Z794" t="s">
        <v>78</v>
      </c>
    </row>
    <row r="795" spans="1:26">
      <c r="A795" t="s">
        <v>1456</v>
      </c>
      <c r="B795" t="s">
        <v>713</v>
      </c>
      <c r="C795" s="4">
        <v>46144</v>
      </c>
      <c r="D795" t="s">
        <v>168</v>
      </c>
      <c r="E795" t="s">
        <v>70</v>
      </c>
      <c r="F795" s="4">
        <v>46144</v>
      </c>
      <c r="G795" s="4">
        <v>46144</v>
      </c>
      <c r="H795" t="s">
        <v>178</v>
      </c>
      <c r="I795" t="s">
        <v>339</v>
      </c>
      <c r="J795" t="s">
        <v>180</v>
      </c>
      <c r="K795" t="s">
        <v>60</v>
      </c>
      <c r="L795" t="s">
        <v>94</v>
      </c>
      <c r="M795" s="5">
        <v>51100</v>
      </c>
      <c r="N795" s="5">
        <v>6150</v>
      </c>
      <c r="O795" s="5">
        <v>11950</v>
      </c>
      <c r="P795" s="5">
        <v>0</v>
      </c>
      <c r="Q795" s="5">
        <v>70000</v>
      </c>
      <c r="R795" t="s">
        <v>106</v>
      </c>
      <c r="S795" t="s">
        <v>76</v>
      </c>
      <c r="T795" s="5">
        <v>25200</v>
      </c>
      <c r="U795" s="6">
        <v>5</v>
      </c>
      <c r="V795" t="s">
        <v>77</v>
      </c>
      <c r="W795" s="4">
        <v>46161</v>
      </c>
      <c r="X795" t="s">
        <v>77</v>
      </c>
      <c r="Y795" t="s">
        <v>64</v>
      </c>
      <c r="Z795" t="s">
        <v>78</v>
      </c>
    </row>
    <row r="796" spans="1:26">
      <c r="A796" t="s">
        <v>1457</v>
      </c>
      <c r="B796" t="s">
        <v>1083</v>
      </c>
      <c r="C796" s="4">
        <v>46155</v>
      </c>
      <c r="D796" t="s">
        <v>89</v>
      </c>
      <c r="E796" t="s">
        <v>70</v>
      </c>
      <c r="F796" s="4">
        <v>46156</v>
      </c>
      <c r="G796" s="4">
        <v>46156</v>
      </c>
      <c r="H796" t="s">
        <v>121</v>
      </c>
      <c r="I796" t="s">
        <v>174</v>
      </c>
      <c r="J796" t="s">
        <v>256</v>
      </c>
      <c r="K796" t="s">
        <v>60</v>
      </c>
      <c r="L796" t="s">
        <v>94</v>
      </c>
      <c r="M796" s="5">
        <v>13800</v>
      </c>
      <c r="N796" s="5">
        <v>2450</v>
      </c>
      <c r="O796" s="5">
        <v>2650</v>
      </c>
      <c r="P796" s="5">
        <v>0</v>
      </c>
      <c r="Q796" s="5">
        <v>20700</v>
      </c>
      <c r="R796" t="s">
        <v>75</v>
      </c>
      <c r="S796" t="s">
        <v>76</v>
      </c>
      <c r="T796" s="5">
        <v>9610</v>
      </c>
      <c r="U796" s="6">
        <v>5</v>
      </c>
      <c r="V796" t="s">
        <v>64</v>
      </c>
      <c r="W796" s="4"/>
      <c r="X796" t="s">
        <v>65</v>
      </c>
      <c r="Y796" t="s">
        <v>64</v>
      </c>
      <c r="Z796" t="s">
        <v>78</v>
      </c>
    </row>
    <row r="797" spans="1:26">
      <c r="A797" t="s">
        <v>1458</v>
      </c>
      <c r="B797" t="s">
        <v>909</v>
      </c>
      <c r="C797" s="4">
        <v>46122</v>
      </c>
      <c r="D797" t="s">
        <v>183</v>
      </c>
      <c r="E797" t="s">
        <v>70</v>
      </c>
      <c r="F797" s="4">
        <v>46123</v>
      </c>
      <c r="G797" s="4">
        <v>46123</v>
      </c>
      <c r="H797" t="s">
        <v>121</v>
      </c>
      <c r="I797" t="s">
        <v>665</v>
      </c>
      <c r="J797" t="s">
        <v>256</v>
      </c>
      <c r="K797" t="s">
        <v>73</v>
      </c>
      <c r="L797" t="s">
        <v>74</v>
      </c>
      <c r="M797" s="5">
        <v>17700</v>
      </c>
      <c r="N797" s="5">
        <v>1750</v>
      </c>
      <c r="O797" s="5">
        <v>2300</v>
      </c>
      <c r="P797" s="5">
        <v>0</v>
      </c>
      <c r="Q797" s="5">
        <v>22750</v>
      </c>
      <c r="R797" t="s">
        <v>141</v>
      </c>
      <c r="S797" t="s">
        <v>76</v>
      </c>
      <c r="T797" s="5">
        <v>4610</v>
      </c>
      <c r="U797" s="6">
        <v>5</v>
      </c>
      <c r="V797" t="s">
        <v>77</v>
      </c>
      <c r="W797" s="4">
        <v>46135</v>
      </c>
      <c r="X797" t="s">
        <v>64</v>
      </c>
      <c r="Y797" t="s">
        <v>64</v>
      </c>
      <c r="Z797" t="s">
        <v>96</v>
      </c>
    </row>
    <row r="798" spans="1:26">
      <c r="A798" t="s">
        <v>1459</v>
      </c>
      <c r="B798" t="s">
        <v>233</v>
      </c>
      <c r="C798" s="4">
        <v>46061</v>
      </c>
      <c r="D798" t="s">
        <v>337</v>
      </c>
      <c r="E798" t="s">
        <v>70</v>
      </c>
      <c r="F798" s="4">
        <v>46061</v>
      </c>
      <c r="G798" s="4">
        <v>46065</v>
      </c>
      <c r="H798" t="s">
        <v>111</v>
      </c>
      <c r="I798" t="s">
        <v>116</v>
      </c>
      <c r="J798" t="s">
        <v>113</v>
      </c>
      <c r="K798" t="s">
        <v>93</v>
      </c>
      <c r="L798" t="s">
        <v>146</v>
      </c>
      <c r="M798" s="5">
        <v>22200</v>
      </c>
      <c r="N798" s="5">
        <v>2650</v>
      </c>
      <c r="O798" s="5">
        <v>4400</v>
      </c>
      <c r="P798" s="5">
        <v>10000</v>
      </c>
      <c r="Q798" s="5">
        <v>40050</v>
      </c>
      <c r="R798" t="s">
        <v>141</v>
      </c>
      <c r="S798" t="s">
        <v>76</v>
      </c>
      <c r="T798" s="5">
        <v>7210</v>
      </c>
      <c r="U798" s="6">
        <v>5</v>
      </c>
      <c r="V798" t="s">
        <v>77</v>
      </c>
      <c r="W798" s="4">
        <v>46080</v>
      </c>
      <c r="X798" t="s">
        <v>77</v>
      </c>
      <c r="Y798" t="s">
        <v>64</v>
      </c>
      <c r="Z798" t="s">
        <v>436</v>
      </c>
    </row>
    <row r="799" spans="1:26">
      <c r="A799" t="s">
        <v>1460</v>
      </c>
      <c r="B799" t="s">
        <v>1461</v>
      </c>
      <c r="C799" s="4">
        <v>46024</v>
      </c>
      <c r="D799" t="s">
        <v>259</v>
      </c>
      <c r="E799" t="s">
        <v>70</v>
      </c>
      <c r="F799" s="4">
        <v>46025</v>
      </c>
      <c r="G799" s="4">
        <v>46030</v>
      </c>
      <c r="H799" t="s">
        <v>150</v>
      </c>
      <c r="I799" t="s">
        <v>151</v>
      </c>
      <c r="J799" t="s">
        <v>188</v>
      </c>
      <c r="K799" t="s">
        <v>124</v>
      </c>
      <c r="L799" t="s">
        <v>74</v>
      </c>
      <c r="M799" s="5"/>
      <c r="N799" s="5">
        <v>10800</v>
      </c>
      <c r="O799" s="5">
        <v>11300</v>
      </c>
      <c r="P799" s="5">
        <v>17500</v>
      </c>
      <c r="Q799" s="5">
        <v>144600</v>
      </c>
      <c r="R799" t="s">
        <v>95</v>
      </c>
      <c r="S799" t="s">
        <v>63</v>
      </c>
      <c r="T799" s="5">
        <v>144600</v>
      </c>
      <c r="U799" s="6">
        <v>4</v>
      </c>
      <c r="V799" t="s">
        <v>77</v>
      </c>
      <c r="W799" s="4">
        <v>46039</v>
      </c>
      <c r="X799" t="s">
        <v>77</v>
      </c>
      <c r="Y799" t="s">
        <v>64</v>
      </c>
      <c r="Z799" t="s">
        <v>78</v>
      </c>
    </row>
    <row r="800" spans="1:26">
      <c r="A800" t="s">
        <v>1462</v>
      </c>
      <c r="B800" t="s">
        <v>684</v>
      </c>
      <c r="C800" s="4">
        <v>46160</v>
      </c>
      <c r="D800" t="s">
        <v>242</v>
      </c>
      <c r="E800" t="s">
        <v>70</v>
      </c>
      <c r="F800" s="4">
        <v>46160</v>
      </c>
      <c r="G800" s="4">
        <v>46162</v>
      </c>
      <c r="H800" t="s">
        <v>201</v>
      </c>
      <c r="I800" t="s">
        <v>421</v>
      </c>
      <c r="J800" t="s">
        <v>295</v>
      </c>
      <c r="K800" t="s">
        <v>124</v>
      </c>
      <c r="L800" t="s">
        <v>74</v>
      </c>
      <c r="M800" s="5">
        <v>54400</v>
      </c>
      <c r="N800" s="5">
        <v>5250</v>
      </c>
      <c r="O800" s="5">
        <v>9400</v>
      </c>
      <c r="P800" s="5">
        <v>9000</v>
      </c>
      <c r="Q800" s="5">
        <v>79050</v>
      </c>
      <c r="R800" t="s">
        <v>141</v>
      </c>
      <c r="S800" t="s">
        <v>86</v>
      </c>
      <c r="T800" s="5">
        <v>13060</v>
      </c>
      <c r="U800" s="6">
        <v>3</v>
      </c>
      <c r="V800" t="s">
        <v>77</v>
      </c>
      <c r="W800" s="4">
        <v>46183</v>
      </c>
      <c r="X800" t="s">
        <v>64</v>
      </c>
      <c r="Y800" t="s">
        <v>64</v>
      </c>
      <c r="Z800" t="s">
        <v>78</v>
      </c>
    </row>
    <row r="801" spans="1:26">
      <c r="A801" t="s">
        <v>1463</v>
      </c>
      <c r="B801" t="s">
        <v>680</v>
      </c>
      <c r="C801" s="4">
        <v>46060</v>
      </c>
      <c r="D801" t="s">
        <v>81</v>
      </c>
      <c r="E801" t="s">
        <v>314</v>
      </c>
      <c r="F801" s="4"/>
      <c r="G801" s="4"/>
      <c r="H801" t="s">
        <v>90</v>
      </c>
      <c r="I801" t="s">
        <v>388</v>
      </c>
      <c r="J801" t="s">
        <v>197</v>
      </c>
      <c r="K801" t="s">
        <v>60</v>
      </c>
      <c r="L801" t="s">
        <v>61</v>
      </c>
      <c r="M801" s="5"/>
      <c r="N801" s="5"/>
      <c r="O801" s="5"/>
      <c r="P801" s="5"/>
      <c r="Q801" s="5"/>
      <c r="R801" t="s">
        <v>62</v>
      </c>
      <c r="S801" t="s">
        <v>63</v>
      </c>
      <c r="T801" s="5"/>
      <c r="U801" s="6"/>
      <c r="V801" t="s">
        <v>64</v>
      </c>
      <c r="W801" s="4"/>
      <c r="X801" t="s">
        <v>65</v>
      </c>
      <c r="Z801" t="s">
        <v>66</v>
      </c>
    </row>
    <row r="802" spans="1:26">
      <c r="A802" t="s">
        <v>1464</v>
      </c>
      <c r="B802" t="s">
        <v>651</v>
      </c>
      <c r="C802" s="4">
        <v>46036</v>
      </c>
      <c r="D802" t="s">
        <v>89</v>
      </c>
      <c r="E802" t="s">
        <v>314</v>
      </c>
      <c r="F802" s="4"/>
      <c r="G802" s="4"/>
      <c r="H802" t="s">
        <v>138</v>
      </c>
      <c r="I802" t="s">
        <v>139</v>
      </c>
      <c r="J802" t="s">
        <v>140</v>
      </c>
      <c r="K802" t="s">
        <v>73</v>
      </c>
      <c r="L802" t="s">
        <v>74</v>
      </c>
      <c r="M802" s="5"/>
      <c r="N802" s="5"/>
      <c r="O802" s="5"/>
      <c r="P802" s="5"/>
      <c r="Q802" s="5"/>
      <c r="R802" t="s">
        <v>134</v>
      </c>
      <c r="S802" t="s">
        <v>63</v>
      </c>
      <c r="T802" s="5"/>
      <c r="U802" s="6"/>
      <c r="V802" t="s">
        <v>64</v>
      </c>
      <c r="W802" s="4"/>
      <c r="X802" t="s">
        <v>65</v>
      </c>
      <c r="Z802" t="s">
        <v>66</v>
      </c>
    </row>
    <row r="803" spans="1:26">
      <c r="A803" t="s">
        <v>1465</v>
      </c>
      <c r="B803" t="s">
        <v>1466</v>
      </c>
      <c r="C803" s="4">
        <v>46171</v>
      </c>
      <c r="D803" t="s">
        <v>242</v>
      </c>
      <c r="E803" t="s">
        <v>70</v>
      </c>
      <c r="F803" s="4">
        <v>46172</v>
      </c>
      <c r="G803" s="4">
        <v>46177</v>
      </c>
      <c r="H803" t="s">
        <v>201</v>
      </c>
      <c r="I803" t="s">
        <v>515</v>
      </c>
      <c r="J803" t="s">
        <v>295</v>
      </c>
      <c r="K803" t="s">
        <v>124</v>
      </c>
      <c r="L803" t="s">
        <v>74</v>
      </c>
      <c r="M803" s="5">
        <v>45500</v>
      </c>
      <c r="N803" s="5">
        <v>6750</v>
      </c>
      <c r="O803" s="5">
        <v>8150</v>
      </c>
      <c r="P803" s="5">
        <v>15000</v>
      </c>
      <c r="Q803" s="5">
        <v>76600</v>
      </c>
      <c r="R803" t="s">
        <v>75</v>
      </c>
      <c r="S803" t="s">
        <v>76</v>
      </c>
      <c r="T803" s="5">
        <v>34770</v>
      </c>
      <c r="U803" s="6">
        <v>2</v>
      </c>
      <c r="V803" t="s">
        <v>77</v>
      </c>
      <c r="W803" s="4">
        <v>46193</v>
      </c>
      <c r="X803" t="s">
        <v>64</v>
      </c>
      <c r="Y803" t="s">
        <v>77</v>
      </c>
      <c r="Z803" t="s">
        <v>219</v>
      </c>
    </row>
    <row r="804" spans="1:26">
      <c r="A804" t="s">
        <v>1467</v>
      </c>
      <c r="B804" t="s">
        <v>276</v>
      </c>
      <c r="C804" s="4">
        <v>46069</v>
      </c>
      <c r="D804" t="s">
        <v>217</v>
      </c>
      <c r="E804" t="s">
        <v>70</v>
      </c>
      <c r="F804" s="4">
        <v>46069</v>
      </c>
      <c r="G804" s="4">
        <v>46075</v>
      </c>
      <c r="H804" t="s">
        <v>103</v>
      </c>
      <c r="I804" t="s">
        <v>412</v>
      </c>
      <c r="J804" t="s">
        <v>244</v>
      </c>
      <c r="K804" t="s">
        <v>124</v>
      </c>
      <c r="L804" t="s">
        <v>61</v>
      </c>
      <c r="M804" s="5">
        <v>71400</v>
      </c>
      <c r="N804" s="5">
        <v>7750</v>
      </c>
      <c r="O804" s="5">
        <v>14350</v>
      </c>
      <c r="P804" s="5">
        <v>27000</v>
      </c>
      <c r="Q804" s="5">
        <v>121700</v>
      </c>
      <c r="R804" t="s">
        <v>75</v>
      </c>
      <c r="S804" t="s">
        <v>76</v>
      </c>
      <c r="T804" s="5">
        <v>55060</v>
      </c>
      <c r="U804" s="6">
        <v>3</v>
      </c>
      <c r="V804" t="s">
        <v>77</v>
      </c>
      <c r="W804" s="4">
        <v>46092</v>
      </c>
      <c r="X804" t="s">
        <v>77</v>
      </c>
      <c r="Y804" t="s">
        <v>77</v>
      </c>
      <c r="Z804" t="s">
        <v>78</v>
      </c>
    </row>
    <row r="805" spans="1:26">
      <c r="A805" t="s">
        <v>1468</v>
      </c>
      <c r="B805" t="s">
        <v>1469</v>
      </c>
      <c r="C805" s="4">
        <v>46152</v>
      </c>
      <c r="D805" t="s">
        <v>99</v>
      </c>
      <c r="E805" t="s">
        <v>70</v>
      </c>
      <c r="F805" s="4">
        <v>46152</v>
      </c>
      <c r="G805" s="4">
        <v>46157</v>
      </c>
      <c r="H805" t="s">
        <v>121</v>
      </c>
      <c r="I805" t="s">
        <v>386</v>
      </c>
      <c r="J805" t="s">
        <v>123</v>
      </c>
      <c r="K805" t="s">
        <v>73</v>
      </c>
      <c r="L805" t="s">
        <v>94</v>
      </c>
      <c r="M805" s="5">
        <v>50100</v>
      </c>
      <c r="N805" s="5">
        <v>8600</v>
      </c>
      <c r="O805" s="5">
        <v>6550</v>
      </c>
      <c r="P805" s="5">
        <v>17500</v>
      </c>
      <c r="Q805" s="5">
        <v>85250</v>
      </c>
      <c r="R805" t="s">
        <v>106</v>
      </c>
      <c r="S805" t="s">
        <v>76</v>
      </c>
      <c r="T805" s="5">
        <v>30540</v>
      </c>
      <c r="U805" s="6">
        <v>2</v>
      </c>
      <c r="V805" t="s">
        <v>77</v>
      </c>
      <c r="W805" s="4">
        <v>46171</v>
      </c>
      <c r="X805" t="s">
        <v>64</v>
      </c>
      <c r="Y805" t="s">
        <v>64</v>
      </c>
      <c r="Z805" t="s">
        <v>96</v>
      </c>
    </row>
    <row r="806" spans="1:26">
      <c r="A806" t="s">
        <v>1470</v>
      </c>
      <c r="B806" t="s">
        <v>943</v>
      </c>
      <c r="C806" s="4">
        <v>46122</v>
      </c>
      <c r="D806" t="s">
        <v>161</v>
      </c>
      <c r="E806" t="s">
        <v>191</v>
      </c>
      <c r="F806" s="4"/>
      <c r="G806" s="4"/>
      <c r="H806" t="s">
        <v>201</v>
      </c>
      <c r="I806" t="s">
        <v>515</v>
      </c>
      <c r="J806" t="s">
        <v>295</v>
      </c>
      <c r="K806" t="s">
        <v>60</v>
      </c>
      <c r="L806" t="s">
        <v>74</v>
      </c>
      <c r="M806" s="5"/>
      <c r="N806" s="5"/>
      <c r="O806" s="5"/>
      <c r="P806" s="5"/>
      <c r="Q806" s="5"/>
      <c r="R806" t="s">
        <v>106</v>
      </c>
      <c r="S806" t="s">
        <v>63</v>
      </c>
      <c r="T806" s="5"/>
      <c r="U806" s="6"/>
      <c r="V806" t="s">
        <v>64</v>
      </c>
      <c r="W806" s="4"/>
      <c r="X806" t="s">
        <v>65</v>
      </c>
      <c r="Z806" t="s">
        <v>66</v>
      </c>
    </row>
    <row r="807" spans="1:26">
      <c r="A807" t="s">
        <v>1471</v>
      </c>
      <c r="B807" t="s">
        <v>1335</v>
      </c>
      <c r="C807" s="4">
        <v>46155</v>
      </c>
      <c r="D807" t="s">
        <v>259</v>
      </c>
      <c r="E807" t="s">
        <v>70</v>
      </c>
      <c r="F807" s="4">
        <v>46155</v>
      </c>
      <c r="G807" s="4">
        <v>46156</v>
      </c>
      <c r="H807" t="s">
        <v>178</v>
      </c>
      <c r="I807" t="s">
        <v>462</v>
      </c>
      <c r="J807" t="s">
        <v>358</v>
      </c>
      <c r="K807" t="s">
        <v>73</v>
      </c>
      <c r="L807" t="s">
        <v>94</v>
      </c>
      <c r="M807" s="5">
        <v>59900</v>
      </c>
      <c r="N807" s="5">
        <v>7800</v>
      </c>
      <c r="O807" s="5">
        <v>7150</v>
      </c>
      <c r="P807" s="5">
        <v>2500</v>
      </c>
      <c r="Q807" s="5">
        <v>79850</v>
      </c>
      <c r="R807" t="s">
        <v>75</v>
      </c>
      <c r="S807" t="s">
        <v>76</v>
      </c>
      <c r="T807" s="5">
        <v>36230</v>
      </c>
      <c r="U807" s="6"/>
      <c r="V807" t="s">
        <v>64</v>
      </c>
      <c r="W807" s="4"/>
      <c r="X807" t="s">
        <v>65</v>
      </c>
      <c r="Y807" t="s">
        <v>64</v>
      </c>
      <c r="Z807" t="s">
        <v>96</v>
      </c>
    </row>
    <row r="808" spans="1:26">
      <c r="A808" t="s">
        <v>1472</v>
      </c>
      <c r="B808" t="s">
        <v>1125</v>
      </c>
      <c r="C808" s="4">
        <v>46029</v>
      </c>
      <c r="D808" t="s">
        <v>337</v>
      </c>
      <c r="E808" t="s">
        <v>70</v>
      </c>
      <c r="F808" s="4">
        <v>46029</v>
      </c>
      <c r="G808" s="4">
        <v>46029</v>
      </c>
      <c r="H808" t="s">
        <v>121</v>
      </c>
      <c r="I808" t="s">
        <v>665</v>
      </c>
      <c r="J808" t="s">
        <v>256</v>
      </c>
      <c r="K808" t="s">
        <v>124</v>
      </c>
      <c r="L808" t="s">
        <v>74</v>
      </c>
      <c r="M808" s="5">
        <v>17800</v>
      </c>
      <c r="N808" s="5">
        <v>3000</v>
      </c>
      <c r="O808" s="5">
        <v>3650</v>
      </c>
      <c r="P808" s="5">
        <v>0</v>
      </c>
      <c r="Q808" s="5">
        <v>25450</v>
      </c>
      <c r="R808" t="s">
        <v>75</v>
      </c>
      <c r="S808" t="s">
        <v>76</v>
      </c>
      <c r="T808" s="5">
        <v>11750</v>
      </c>
      <c r="U808" s="6">
        <v>5</v>
      </c>
      <c r="V808" t="s">
        <v>64</v>
      </c>
      <c r="W808" s="4"/>
      <c r="X808" t="s">
        <v>65</v>
      </c>
      <c r="Y808" t="s">
        <v>64</v>
      </c>
      <c r="Z808" t="s">
        <v>78</v>
      </c>
    </row>
    <row r="809" spans="1:26">
      <c r="A809" t="s">
        <v>1473</v>
      </c>
      <c r="B809" t="s">
        <v>1474</v>
      </c>
      <c r="C809" s="4">
        <v>46036</v>
      </c>
      <c r="D809" t="s">
        <v>469</v>
      </c>
      <c r="E809" t="s">
        <v>70</v>
      </c>
      <c r="F809" s="4">
        <v>46036</v>
      </c>
      <c r="G809" s="4">
        <v>46043</v>
      </c>
      <c r="H809" t="s">
        <v>90</v>
      </c>
      <c r="I809" t="s">
        <v>388</v>
      </c>
      <c r="J809" t="s">
        <v>92</v>
      </c>
      <c r="K809" t="s">
        <v>73</v>
      </c>
      <c r="L809" t="s">
        <v>61</v>
      </c>
      <c r="M809" s="5">
        <v>45400</v>
      </c>
      <c r="N809" s="5">
        <v>7350</v>
      </c>
      <c r="O809" s="5">
        <v>11150</v>
      </c>
      <c r="P809" s="5">
        <v>21000</v>
      </c>
      <c r="Q809" s="5">
        <v>86400</v>
      </c>
      <c r="R809" t="s">
        <v>141</v>
      </c>
      <c r="S809" t="s">
        <v>163</v>
      </c>
      <c r="T809" s="5">
        <v>14160</v>
      </c>
      <c r="U809" s="6">
        <v>3</v>
      </c>
      <c r="V809" t="s">
        <v>77</v>
      </c>
      <c r="W809" s="4">
        <v>46061</v>
      </c>
      <c r="X809" t="s">
        <v>64</v>
      </c>
      <c r="Y809" t="s">
        <v>77</v>
      </c>
      <c r="Z809" t="s">
        <v>78</v>
      </c>
    </row>
    <row r="810" spans="1:26">
      <c r="A810" t="s">
        <v>1475</v>
      </c>
      <c r="B810" t="s">
        <v>978</v>
      </c>
      <c r="C810" s="4">
        <v>46079</v>
      </c>
      <c r="D810" t="s">
        <v>266</v>
      </c>
      <c r="E810" t="s">
        <v>70</v>
      </c>
      <c r="F810" s="4">
        <v>46079</v>
      </c>
      <c r="G810" s="4">
        <v>46080</v>
      </c>
      <c r="H810" t="s">
        <v>90</v>
      </c>
      <c r="I810" t="s">
        <v>162</v>
      </c>
      <c r="J810" t="s">
        <v>92</v>
      </c>
      <c r="K810" t="s">
        <v>60</v>
      </c>
      <c r="L810" t="s">
        <v>74</v>
      </c>
      <c r="M810" s="5">
        <v>46600</v>
      </c>
      <c r="N810" s="5">
        <v>4350</v>
      </c>
      <c r="O810" s="5">
        <v>9100</v>
      </c>
      <c r="P810" s="5">
        <v>6000</v>
      </c>
      <c r="Q810" s="5">
        <v>67250</v>
      </c>
      <c r="R810" t="s">
        <v>75</v>
      </c>
      <c r="S810" t="s">
        <v>86</v>
      </c>
      <c r="T810" s="5">
        <v>30560</v>
      </c>
      <c r="U810" s="6">
        <v>5</v>
      </c>
      <c r="V810" t="s">
        <v>64</v>
      </c>
      <c r="W810" s="4"/>
      <c r="X810" t="s">
        <v>65</v>
      </c>
      <c r="Y810" t="s">
        <v>64</v>
      </c>
      <c r="Z810" t="s">
        <v>107</v>
      </c>
    </row>
    <row r="811" spans="1:26">
      <c r="A811" t="s">
        <v>1476</v>
      </c>
      <c r="B811" t="s">
        <v>1378</v>
      </c>
      <c r="C811" s="4">
        <v>46163</v>
      </c>
      <c r="D811" t="s">
        <v>127</v>
      </c>
      <c r="E811" t="s">
        <v>70</v>
      </c>
      <c r="F811" s="4">
        <v>46163</v>
      </c>
      <c r="G811" s="4">
        <v>46168</v>
      </c>
      <c r="H811" t="s">
        <v>90</v>
      </c>
      <c r="I811" t="s">
        <v>162</v>
      </c>
      <c r="J811" t="s">
        <v>92</v>
      </c>
      <c r="K811" t="s">
        <v>73</v>
      </c>
      <c r="L811" t="s">
        <v>74</v>
      </c>
      <c r="M811" s="5">
        <v>53300</v>
      </c>
      <c r="N811" s="5">
        <v>5800</v>
      </c>
      <c r="O811" s="5">
        <v>6450</v>
      </c>
      <c r="P811" s="5">
        <v>30000</v>
      </c>
      <c r="Q811" s="5">
        <v>96750</v>
      </c>
      <c r="R811" t="s">
        <v>85</v>
      </c>
      <c r="S811" t="s">
        <v>76</v>
      </c>
      <c r="T811" s="5">
        <v>25090</v>
      </c>
      <c r="U811" s="6">
        <v>4</v>
      </c>
      <c r="V811" t="s">
        <v>77</v>
      </c>
      <c r="W811" s="4">
        <v>46185</v>
      </c>
      <c r="X811" t="s">
        <v>77</v>
      </c>
      <c r="Y811" t="s">
        <v>64</v>
      </c>
      <c r="Z811" t="s">
        <v>96</v>
      </c>
    </row>
    <row r="812" spans="1:26">
      <c r="A812" t="s">
        <v>1477</v>
      </c>
      <c r="B812" t="s">
        <v>446</v>
      </c>
      <c r="C812" s="4">
        <v>46048</v>
      </c>
      <c r="D812" t="s">
        <v>284</v>
      </c>
      <c r="E812" t="s">
        <v>70</v>
      </c>
      <c r="F812" s="4">
        <v>46048</v>
      </c>
      <c r="G812" s="4">
        <v>46050</v>
      </c>
      <c r="H812" t="s">
        <v>178</v>
      </c>
      <c r="I812" t="s">
        <v>415</v>
      </c>
      <c r="J812" t="s">
        <v>358</v>
      </c>
      <c r="K812" t="s">
        <v>93</v>
      </c>
      <c r="L812" t="s">
        <v>74</v>
      </c>
      <c r="M812" s="5">
        <v>49000</v>
      </c>
      <c r="N812" s="5">
        <v>8350</v>
      </c>
      <c r="O812" s="5">
        <v>9800</v>
      </c>
      <c r="P812" s="5">
        <v>5000</v>
      </c>
      <c r="Q812" s="5">
        <v>72950</v>
      </c>
      <c r="R812" t="s">
        <v>75</v>
      </c>
      <c r="S812" t="s">
        <v>76</v>
      </c>
      <c r="T812" s="5">
        <v>33130</v>
      </c>
      <c r="U812" s="6">
        <v>5</v>
      </c>
      <c r="V812" t="s">
        <v>64</v>
      </c>
      <c r="W812" s="4"/>
      <c r="X812" t="s">
        <v>65</v>
      </c>
      <c r="Y812" t="s">
        <v>64</v>
      </c>
      <c r="Z812" t="s">
        <v>96</v>
      </c>
    </row>
    <row r="813" spans="1:26">
      <c r="A813" t="s">
        <v>1478</v>
      </c>
      <c r="B813" t="s">
        <v>621</v>
      </c>
      <c r="C813" s="4">
        <v>46154</v>
      </c>
      <c r="D813" t="s">
        <v>99</v>
      </c>
      <c r="E813" t="s">
        <v>70</v>
      </c>
      <c r="F813" s="4">
        <v>46154</v>
      </c>
      <c r="G813" s="4">
        <v>46154</v>
      </c>
      <c r="H813" t="s">
        <v>138</v>
      </c>
      <c r="I813" t="s">
        <v>139</v>
      </c>
      <c r="J813" t="s">
        <v>140</v>
      </c>
      <c r="K813" t="s">
        <v>60</v>
      </c>
      <c r="L813" t="s">
        <v>146</v>
      </c>
      <c r="M813" s="5">
        <v>17400</v>
      </c>
      <c r="N813" s="5">
        <v>2500</v>
      </c>
      <c r="O813" s="5">
        <v>3500</v>
      </c>
      <c r="P813" s="5">
        <v>0</v>
      </c>
      <c r="Q813" s="5">
        <v>25400</v>
      </c>
      <c r="R813" t="s">
        <v>95</v>
      </c>
      <c r="S813" t="s">
        <v>63</v>
      </c>
      <c r="T813" s="5">
        <v>25400</v>
      </c>
      <c r="U813" s="6">
        <v>4</v>
      </c>
      <c r="V813" t="s">
        <v>64</v>
      </c>
      <c r="W813" s="4"/>
      <c r="X813" t="s">
        <v>65</v>
      </c>
      <c r="Y813" t="s">
        <v>77</v>
      </c>
      <c r="Z813" t="s">
        <v>96</v>
      </c>
    </row>
    <row r="814" spans="1:26">
      <c r="A814" t="s">
        <v>1479</v>
      </c>
      <c r="B814" t="s">
        <v>758</v>
      </c>
      <c r="C814" s="4">
        <v>46142</v>
      </c>
      <c r="D814" t="s">
        <v>110</v>
      </c>
      <c r="E814" t="s">
        <v>70</v>
      </c>
      <c r="F814" s="4">
        <v>46142</v>
      </c>
      <c r="G814" s="4">
        <v>46150</v>
      </c>
      <c r="H814" t="s">
        <v>103</v>
      </c>
      <c r="I814" t="s">
        <v>207</v>
      </c>
      <c r="J814" t="s">
        <v>244</v>
      </c>
      <c r="K814" t="s">
        <v>73</v>
      </c>
      <c r="L814" t="s">
        <v>74</v>
      </c>
      <c r="M814" s="5">
        <v>55800</v>
      </c>
      <c r="N814" s="5">
        <v>8600</v>
      </c>
      <c r="O814" s="5">
        <v>5800</v>
      </c>
      <c r="P814" s="5">
        <v>20000</v>
      </c>
      <c r="Q814" s="5">
        <v>91700</v>
      </c>
      <c r="R814" t="s">
        <v>62</v>
      </c>
      <c r="S814" t="s">
        <v>86</v>
      </c>
      <c r="T814" s="5">
        <v>27910</v>
      </c>
      <c r="U814" s="6">
        <v>3</v>
      </c>
      <c r="V814" t="s">
        <v>77</v>
      </c>
      <c r="W814" s="4">
        <v>46169</v>
      </c>
      <c r="X814" t="s">
        <v>77</v>
      </c>
      <c r="Y814" t="s">
        <v>64</v>
      </c>
      <c r="Z814" t="s">
        <v>78</v>
      </c>
    </row>
    <row r="815" spans="1:26">
      <c r="A815" t="s">
        <v>1480</v>
      </c>
      <c r="B815" t="s">
        <v>1481</v>
      </c>
      <c r="C815" s="4">
        <v>46046</v>
      </c>
      <c r="D815" t="s">
        <v>284</v>
      </c>
      <c r="E815" t="s">
        <v>70</v>
      </c>
      <c r="F815" s="4">
        <v>46047</v>
      </c>
      <c r="G815" s="4">
        <v>46047</v>
      </c>
      <c r="H815" t="s">
        <v>150</v>
      </c>
      <c r="I815" t="s">
        <v>187</v>
      </c>
      <c r="J815" t="s">
        <v>229</v>
      </c>
      <c r="K815" t="s">
        <v>60</v>
      </c>
      <c r="L815" t="s">
        <v>146</v>
      </c>
      <c r="M815" s="5">
        <v>58000</v>
      </c>
      <c r="N815" s="5">
        <v>6750</v>
      </c>
      <c r="O815" s="5">
        <v>6200</v>
      </c>
      <c r="P815" s="5">
        <v>0</v>
      </c>
      <c r="Q815" s="5">
        <v>73450</v>
      </c>
      <c r="R815" t="s">
        <v>95</v>
      </c>
      <c r="S815" t="s">
        <v>63</v>
      </c>
      <c r="T815" s="5">
        <v>73450</v>
      </c>
      <c r="U815" s="6">
        <v>5</v>
      </c>
      <c r="V815" t="s">
        <v>77</v>
      </c>
      <c r="W815" s="4">
        <v>46058</v>
      </c>
      <c r="X815" t="s">
        <v>77</v>
      </c>
      <c r="Y815" t="s">
        <v>64</v>
      </c>
      <c r="Z815" t="s">
        <v>78</v>
      </c>
    </row>
    <row r="816" spans="1:26">
      <c r="A816" t="s">
        <v>1482</v>
      </c>
      <c r="B816" t="s">
        <v>655</v>
      </c>
      <c r="C816" s="4">
        <v>46027</v>
      </c>
      <c r="D816" t="s">
        <v>298</v>
      </c>
      <c r="E816" t="s">
        <v>70</v>
      </c>
      <c r="F816" s="4">
        <v>46027</v>
      </c>
      <c r="G816" s="4">
        <v>46028</v>
      </c>
      <c r="H816" t="s">
        <v>57</v>
      </c>
      <c r="I816" t="s">
        <v>169</v>
      </c>
      <c r="J816" t="s">
        <v>59</v>
      </c>
      <c r="K816" t="s">
        <v>60</v>
      </c>
      <c r="L816" t="s">
        <v>94</v>
      </c>
      <c r="M816" s="5">
        <v>34600</v>
      </c>
      <c r="N816" s="5">
        <v>3700</v>
      </c>
      <c r="O816" s="5">
        <v>6450</v>
      </c>
      <c r="P816" s="5">
        <v>2500</v>
      </c>
      <c r="Q816" s="5">
        <v>48050</v>
      </c>
      <c r="R816" t="s">
        <v>141</v>
      </c>
      <c r="S816" t="s">
        <v>76</v>
      </c>
      <c r="T816" s="5">
        <v>8410</v>
      </c>
      <c r="U816" s="6">
        <v>5</v>
      </c>
      <c r="V816" t="s">
        <v>77</v>
      </c>
      <c r="W816" s="4">
        <v>46037</v>
      </c>
      <c r="X816" t="s">
        <v>77</v>
      </c>
      <c r="Y816" t="s">
        <v>64</v>
      </c>
      <c r="Z816" t="s">
        <v>107</v>
      </c>
    </row>
    <row r="817" spans="1:26">
      <c r="A817" t="s">
        <v>1483</v>
      </c>
      <c r="B817" t="s">
        <v>847</v>
      </c>
      <c r="C817" s="4">
        <v>46073</v>
      </c>
      <c r="D817" t="s">
        <v>99</v>
      </c>
      <c r="E817" t="s">
        <v>314</v>
      </c>
      <c r="F817" s="4"/>
      <c r="G817" s="4"/>
      <c r="H817" t="s">
        <v>90</v>
      </c>
      <c r="I817" t="s">
        <v>128</v>
      </c>
      <c r="J817" t="s">
        <v>197</v>
      </c>
      <c r="K817" t="s">
        <v>124</v>
      </c>
      <c r="L817" t="s">
        <v>94</v>
      </c>
      <c r="M817" s="5"/>
      <c r="N817" s="5"/>
      <c r="O817" s="5"/>
      <c r="P817" s="5"/>
      <c r="Q817" s="5"/>
      <c r="R817" t="s">
        <v>85</v>
      </c>
      <c r="S817" t="s">
        <v>63</v>
      </c>
      <c r="T817" s="5"/>
      <c r="U817" s="6"/>
      <c r="V817" t="s">
        <v>64</v>
      </c>
      <c r="W817" s="4"/>
      <c r="X817" t="s">
        <v>65</v>
      </c>
      <c r="Z817" t="s">
        <v>66</v>
      </c>
    </row>
    <row r="818" spans="1:26">
      <c r="A818" t="s">
        <v>1484</v>
      </c>
      <c r="B818" t="s">
        <v>1485</v>
      </c>
      <c r="C818" s="4">
        <v>46138</v>
      </c>
      <c r="D818" t="s">
        <v>302</v>
      </c>
      <c r="E818" t="s">
        <v>70</v>
      </c>
      <c r="F818" s="4">
        <v>46138</v>
      </c>
      <c r="G818" s="4">
        <v>46141</v>
      </c>
      <c r="H818" t="s">
        <v>121</v>
      </c>
      <c r="I818" t="s">
        <v>665</v>
      </c>
      <c r="J818" t="s">
        <v>123</v>
      </c>
      <c r="K818" t="s">
        <v>124</v>
      </c>
      <c r="L818" t="s">
        <v>94</v>
      </c>
      <c r="M818" s="5">
        <v>43400</v>
      </c>
      <c r="N818" s="5">
        <v>7300</v>
      </c>
      <c r="O818" s="5">
        <v>8850</v>
      </c>
      <c r="P818" s="5">
        <v>10500</v>
      </c>
      <c r="Q818" s="5">
        <v>71050</v>
      </c>
      <c r="R818" t="s">
        <v>106</v>
      </c>
      <c r="S818" t="s">
        <v>163</v>
      </c>
      <c r="T818" s="5">
        <v>25570</v>
      </c>
      <c r="U818" s="6">
        <v>4</v>
      </c>
      <c r="V818" t="s">
        <v>64</v>
      </c>
      <c r="W818" s="4"/>
      <c r="X818" t="s">
        <v>65</v>
      </c>
      <c r="Y818" t="s">
        <v>64</v>
      </c>
      <c r="Z818" t="s">
        <v>78</v>
      </c>
    </row>
    <row r="819" spans="1:26">
      <c r="A819" t="s">
        <v>1486</v>
      </c>
      <c r="B819" t="s">
        <v>727</v>
      </c>
      <c r="C819" s="4">
        <v>46079</v>
      </c>
      <c r="D819" t="s">
        <v>200</v>
      </c>
      <c r="E819" t="s">
        <v>70</v>
      </c>
      <c r="F819" s="4">
        <v>46080</v>
      </c>
      <c r="G819" s="4">
        <v>46081</v>
      </c>
      <c r="H819" t="s">
        <v>121</v>
      </c>
      <c r="I819" t="s">
        <v>251</v>
      </c>
      <c r="J819" t="s">
        <v>123</v>
      </c>
      <c r="K819" t="s">
        <v>60</v>
      </c>
      <c r="L819" t="s">
        <v>94</v>
      </c>
      <c r="M819" s="5">
        <v>42300</v>
      </c>
      <c r="N819" s="5">
        <v>6700</v>
      </c>
      <c r="O819" s="5">
        <v>7800</v>
      </c>
      <c r="P819" s="5">
        <v>3000</v>
      </c>
      <c r="Q819" s="5">
        <v>61800</v>
      </c>
      <c r="R819" t="s">
        <v>85</v>
      </c>
      <c r="S819" t="s">
        <v>86</v>
      </c>
      <c r="T819" s="5">
        <v>16350</v>
      </c>
      <c r="U819" s="6">
        <v>4</v>
      </c>
      <c r="V819" t="s">
        <v>77</v>
      </c>
      <c r="W819" s="4">
        <v>46094</v>
      </c>
      <c r="X819" t="s">
        <v>77</v>
      </c>
      <c r="Y819" t="s">
        <v>64</v>
      </c>
      <c r="Z819" t="s">
        <v>219</v>
      </c>
    </row>
    <row r="820" spans="1:26">
      <c r="A820" t="s">
        <v>1487</v>
      </c>
      <c r="B820" t="s">
        <v>557</v>
      </c>
      <c r="C820" s="4">
        <v>46144</v>
      </c>
      <c r="D820" t="s">
        <v>89</v>
      </c>
      <c r="E820" t="s">
        <v>70</v>
      </c>
      <c r="F820" s="4">
        <v>46144</v>
      </c>
      <c r="G820" s="4">
        <v>46155</v>
      </c>
      <c r="H820" t="s">
        <v>150</v>
      </c>
      <c r="I820" t="s">
        <v>228</v>
      </c>
      <c r="J820" t="s">
        <v>188</v>
      </c>
      <c r="K820" t="s">
        <v>73</v>
      </c>
      <c r="L820" t="s">
        <v>94</v>
      </c>
      <c r="M820" s="5">
        <v>79800</v>
      </c>
      <c r="N820" s="5">
        <v>12800</v>
      </c>
      <c r="O820" s="5">
        <v>14700</v>
      </c>
      <c r="P820" s="5">
        <v>38500</v>
      </c>
      <c r="Q820" s="5">
        <v>147300</v>
      </c>
      <c r="R820" t="s">
        <v>106</v>
      </c>
      <c r="S820" t="s">
        <v>86</v>
      </c>
      <c r="T820" s="5">
        <v>52260</v>
      </c>
      <c r="U820" s="6">
        <v>2</v>
      </c>
      <c r="V820" t="s">
        <v>77</v>
      </c>
      <c r="W820" s="4">
        <v>46171</v>
      </c>
      <c r="X820" t="s">
        <v>77</v>
      </c>
      <c r="Y820" t="s">
        <v>64</v>
      </c>
      <c r="Z820" t="s">
        <v>107</v>
      </c>
    </row>
    <row r="821" spans="1:26">
      <c r="A821" t="s">
        <v>1488</v>
      </c>
      <c r="B821" t="s">
        <v>890</v>
      </c>
      <c r="C821" s="4">
        <v>46091</v>
      </c>
      <c r="D821" t="s">
        <v>183</v>
      </c>
      <c r="E821" t="s">
        <v>70</v>
      </c>
      <c r="F821" s="4">
        <v>46091</v>
      </c>
      <c r="G821" s="4">
        <v>46095</v>
      </c>
      <c r="H821" t="s">
        <v>103</v>
      </c>
      <c r="I821" t="s">
        <v>243</v>
      </c>
      <c r="J821" t="s">
        <v>105</v>
      </c>
      <c r="K821" t="s">
        <v>124</v>
      </c>
      <c r="L821" t="s">
        <v>61</v>
      </c>
      <c r="M821" s="5">
        <v>57000</v>
      </c>
      <c r="N821" s="5">
        <v>7800</v>
      </c>
      <c r="O821" s="5">
        <v>11650</v>
      </c>
      <c r="P821" s="5">
        <v>18000</v>
      </c>
      <c r="Q821" s="5">
        <v>96250</v>
      </c>
      <c r="R821" t="s">
        <v>75</v>
      </c>
      <c r="S821" t="s">
        <v>76</v>
      </c>
      <c r="T821" s="5">
        <v>43610</v>
      </c>
      <c r="U821" s="6">
        <v>4</v>
      </c>
      <c r="V821" t="s">
        <v>64</v>
      </c>
      <c r="W821" s="4"/>
      <c r="X821" t="s">
        <v>65</v>
      </c>
      <c r="Y821" t="s">
        <v>64</v>
      </c>
      <c r="Z821" t="s">
        <v>436</v>
      </c>
    </row>
    <row r="822" spans="1:26">
      <c r="A822" t="s">
        <v>1489</v>
      </c>
      <c r="B822" t="s">
        <v>471</v>
      </c>
      <c r="C822" s="4">
        <v>46130</v>
      </c>
      <c r="D822" t="s">
        <v>259</v>
      </c>
      <c r="E822" t="s">
        <v>70</v>
      </c>
      <c r="F822" s="4">
        <v>46130</v>
      </c>
      <c r="G822" s="4">
        <v>46139</v>
      </c>
      <c r="H822" t="s">
        <v>201</v>
      </c>
      <c r="I822" t="s">
        <v>421</v>
      </c>
      <c r="J822" t="s">
        <v>295</v>
      </c>
      <c r="K822" t="s">
        <v>124</v>
      </c>
      <c r="L822" t="s">
        <v>94</v>
      </c>
      <c r="M822" s="5">
        <v>32500</v>
      </c>
      <c r="N822" s="5">
        <v>3200</v>
      </c>
      <c r="O822" s="5">
        <v>6000</v>
      </c>
      <c r="P822" s="5">
        <v>31500</v>
      </c>
      <c r="Q822" s="5">
        <v>74200</v>
      </c>
      <c r="R822" t="s">
        <v>75</v>
      </c>
      <c r="S822" t="s">
        <v>76</v>
      </c>
      <c r="T822" s="5">
        <v>33690</v>
      </c>
      <c r="U822" s="6">
        <v>3</v>
      </c>
      <c r="V822" t="s">
        <v>77</v>
      </c>
      <c r="W822" s="4">
        <v>46160</v>
      </c>
      <c r="X822" t="s">
        <v>77</v>
      </c>
      <c r="Y822" t="s">
        <v>64</v>
      </c>
      <c r="Z822" t="s">
        <v>107</v>
      </c>
    </row>
    <row r="823" spans="1:26">
      <c r="A823" t="s">
        <v>1490</v>
      </c>
      <c r="B823" t="s">
        <v>1491</v>
      </c>
      <c r="C823" s="4">
        <v>46048</v>
      </c>
      <c r="D823" t="s">
        <v>330</v>
      </c>
      <c r="E823" t="s">
        <v>70</v>
      </c>
      <c r="F823" s="4">
        <v>46048</v>
      </c>
      <c r="G823" s="4">
        <v>46048</v>
      </c>
      <c r="H823" t="s">
        <v>57</v>
      </c>
      <c r="I823" t="s">
        <v>169</v>
      </c>
      <c r="J823" t="s">
        <v>170</v>
      </c>
      <c r="K823" t="s">
        <v>60</v>
      </c>
      <c r="L823" t="s">
        <v>61</v>
      </c>
      <c r="M823" s="5">
        <v>69400</v>
      </c>
      <c r="N823" s="5">
        <v>11400</v>
      </c>
      <c r="O823" s="5">
        <v>10900</v>
      </c>
      <c r="P823" s="5">
        <v>0</v>
      </c>
      <c r="Q823" s="5">
        <v>92500</v>
      </c>
      <c r="R823" t="s">
        <v>75</v>
      </c>
      <c r="S823" t="s">
        <v>76</v>
      </c>
      <c r="T823" s="5">
        <v>41920</v>
      </c>
      <c r="U823" s="6">
        <v>5</v>
      </c>
      <c r="V823" t="s">
        <v>77</v>
      </c>
      <c r="W823" s="4">
        <v>46055</v>
      </c>
      <c r="X823" t="s">
        <v>77</v>
      </c>
      <c r="Y823" t="s">
        <v>64</v>
      </c>
      <c r="Z823" t="s">
        <v>78</v>
      </c>
    </row>
    <row r="824" spans="1:26">
      <c r="A824" t="s">
        <v>1492</v>
      </c>
      <c r="B824" t="s">
        <v>1081</v>
      </c>
      <c r="C824" s="4">
        <v>46033</v>
      </c>
      <c r="D824" t="s">
        <v>173</v>
      </c>
      <c r="E824" t="s">
        <v>70</v>
      </c>
      <c r="F824" s="4">
        <v>46033</v>
      </c>
      <c r="G824" s="4">
        <v>46033</v>
      </c>
      <c r="H824" t="s">
        <v>103</v>
      </c>
      <c r="I824" t="s">
        <v>207</v>
      </c>
      <c r="J824" t="s">
        <v>105</v>
      </c>
      <c r="K824" t="s">
        <v>60</v>
      </c>
      <c r="L824" t="s">
        <v>61</v>
      </c>
      <c r="M824" s="5">
        <v>55000</v>
      </c>
      <c r="N824" s="5">
        <v>8200</v>
      </c>
      <c r="O824" s="5">
        <v>11250</v>
      </c>
      <c r="P824" s="5">
        <v>0</v>
      </c>
      <c r="Q824" s="5">
        <v>75950</v>
      </c>
      <c r="R824" t="s">
        <v>62</v>
      </c>
      <c r="S824" t="s">
        <v>76</v>
      </c>
      <c r="T824" s="5">
        <v>23190</v>
      </c>
      <c r="U824" s="6">
        <v>3</v>
      </c>
      <c r="V824" t="s">
        <v>77</v>
      </c>
      <c r="W824" s="4">
        <v>46048</v>
      </c>
      <c r="X824" t="s">
        <v>64</v>
      </c>
      <c r="Y824" t="s">
        <v>64</v>
      </c>
      <c r="Z824" t="s">
        <v>96</v>
      </c>
    </row>
    <row r="825" spans="1:26">
      <c r="A825" t="s">
        <v>1493</v>
      </c>
      <c r="B825" t="s">
        <v>551</v>
      </c>
      <c r="C825" s="4">
        <v>46131</v>
      </c>
      <c r="D825" t="s">
        <v>110</v>
      </c>
      <c r="E825" t="s">
        <v>70</v>
      </c>
      <c r="F825" s="4">
        <v>46131</v>
      </c>
      <c r="G825" s="4">
        <v>46132</v>
      </c>
      <c r="H825" t="s">
        <v>150</v>
      </c>
      <c r="I825" t="s">
        <v>187</v>
      </c>
      <c r="J825" t="s">
        <v>188</v>
      </c>
      <c r="K825" t="s">
        <v>60</v>
      </c>
      <c r="L825" t="s">
        <v>94</v>
      </c>
      <c r="M825" s="5">
        <v>81300</v>
      </c>
      <c r="N825" s="5">
        <v>7800</v>
      </c>
      <c r="O825" s="5">
        <v>15300</v>
      </c>
      <c r="P825" s="5">
        <v>2500</v>
      </c>
      <c r="Q825" s="5">
        <v>109400</v>
      </c>
      <c r="R825" t="s">
        <v>141</v>
      </c>
      <c r="S825" t="s">
        <v>76</v>
      </c>
      <c r="T825" s="5">
        <v>17610</v>
      </c>
      <c r="U825" s="6">
        <v>5</v>
      </c>
      <c r="V825" t="s">
        <v>77</v>
      </c>
      <c r="W825" s="4">
        <v>46145</v>
      </c>
      <c r="X825" t="s">
        <v>77</v>
      </c>
      <c r="Y825" t="s">
        <v>64</v>
      </c>
      <c r="Z825" t="s">
        <v>78</v>
      </c>
    </row>
    <row r="826" spans="1:26">
      <c r="A826" t="s">
        <v>1494</v>
      </c>
      <c r="B826" t="s">
        <v>606</v>
      </c>
      <c r="C826" s="4">
        <v>46107</v>
      </c>
      <c r="D826" t="s">
        <v>279</v>
      </c>
      <c r="E826" t="s">
        <v>338</v>
      </c>
      <c r="F826" s="4"/>
      <c r="G826" s="4"/>
      <c r="H826" t="s">
        <v>121</v>
      </c>
      <c r="I826" t="s">
        <v>386</v>
      </c>
      <c r="J826" t="s">
        <v>252</v>
      </c>
      <c r="K826" t="s">
        <v>73</v>
      </c>
      <c r="L826" t="s">
        <v>94</v>
      </c>
      <c r="M826" s="5"/>
      <c r="N826" s="5"/>
      <c r="O826" s="5"/>
      <c r="P826" s="5"/>
      <c r="Q826" s="5"/>
      <c r="R826" t="s">
        <v>85</v>
      </c>
      <c r="S826" t="s">
        <v>63</v>
      </c>
      <c r="T826" s="5"/>
      <c r="U826" s="6"/>
      <c r="V826" t="s">
        <v>64</v>
      </c>
      <c r="W826" s="4"/>
      <c r="X826" t="s">
        <v>65</v>
      </c>
      <c r="Z826" t="s">
        <v>66</v>
      </c>
    </row>
    <row r="827" spans="1:26">
      <c r="A827" t="s">
        <v>1495</v>
      </c>
      <c r="B827" t="s">
        <v>1496</v>
      </c>
      <c r="C827" s="4">
        <v>46067</v>
      </c>
      <c r="D827" t="s">
        <v>210</v>
      </c>
      <c r="E827" t="s">
        <v>314</v>
      </c>
      <c r="F827" s="4"/>
      <c r="G827" s="4"/>
      <c r="H827" t="s">
        <v>103</v>
      </c>
      <c r="I827" t="s">
        <v>214</v>
      </c>
      <c r="J827" t="s">
        <v>244</v>
      </c>
      <c r="K827" t="s">
        <v>73</v>
      </c>
      <c r="L827" t="s">
        <v>94</v>
      </c>
      <c r="M827" s="5"/>
      <c r="N827" s="5"/>
      <c r="O827" s="5"/>
      <c r="P827" s="5"/>
      <c r="Q827" s="5"/>
      <c r="R827" t="s">
        <v>75</v>
      </c>
      <c r="S827" t="s">
        <v>63</v>
      </c>
      <c r="T827" s="5"/>
      <c r="U827" s="6"/>
      <c r="V827" t="s">
        <v>64</v>
      </c>
      <c r="W827" s="4"/>
      <c r="X827" t="s">
        <v>65</v>
      </c>
      <c r="Z827" t="s">
        <v>66</v>
      </c>
    </row>
    <row r="828" spans="1:26">
      <c r="A828" t="s">
        <v>1497</v>
      </c>
      <c r="B828" t="s">
        <v>1498</v>
      </c>
      <c r="C828" s="4">
        <v>46097</v>
      </c>
      <c r="D828" t="s">
        <v>217</v>
      </c>
      <c r="E828" t="s">
        <v>70</v>
      </c>
      <c r="F828" s="4">
        <v>46097</v>
      </c>
      <c r="G828" s="4">
        <v>46098</v>
      </c>
      <c r="H828" t="s">
        <v>138</v>
      </c>
      <c r="I828" t="s">
        <v>343</v>
      </c>
      <c r="J828" t="s">
        <v>261</v>
      </c>
      <c r="K828" t="s">
        <v>73</v>
      </c>
      <c r="L828" t="s">
        <v>61</v>
      </c>
      <c r="M828" s="5">
        <v>5100</v>
      </c>
      <c r="N828" s="5">
        <v>850</v>
      </c>
      <c r="O828" s="5">
        <v>600</v>
      </c>
      <c r="P828" s="5">
        <v>3000</v>
      </c>
      <c r="Q828" s="5">
        <v>11350</v>
      </c>
      <c r="R828" t="s">
        <v>95</v>
      </c>
      <c r="S828" t="s">
        <v>63</v>
      </c>
      <c r="T828" s="5">
        <v>11350</v>
      </c>
      <c r="U828" s="6">
        <v>5</v>
      </c>
      <c r="V828" t="s">
        <v>77</v>
      </c>
      <c r="W828" s="4">
        <v>46108</v>
      </c>
      <c r="X828" t="s">
        <v>77</v>
      </c>
      <c r="Y828" t="s">
        <v>64</v>
      </c>
      <c r="Z828" t="s">
        <v>78</v>
      </c>
    </row>
    <row r="829" spans="1:26">
      <c r="A829" t="s">
        <v>1499</v>
      </c>
      <c r="B829" t="s">
        <v>1500</v>
      </c>
      <c r="C829" s="4">
        <v>46096</v>
      </c>
      <c r="D829" t="s">
        <v>161</v>
      </c>
      <c r="E829" t="s">
        <v>56</v>
      </c>
      <c r="F829" s="4"/>
      <c r="G829" s="4"/>
      <c r="H829" t="s">
        <v>103</v>
      </c>
      <c r="I829" t="s">
        <v>412</v>
      </c>
      <c r="J829" t="s">
        <v>244</v>
      </c>
      <c r="K829" t="s">
        <v>124</v>
      </c>
      <c r="L829" t="s">
        <v>94</v>
      </c>
      <c r="M829" s="5"/>
      <c r="N829" s="5"/>
      <c r="O829" s="5"/>
      <c r="P829" s="5"/>
      <c r="Q829" s="5"/>
      <c r="R829" t="s">
        <v>106</v>
      </c>
      <c r="S829" t="s">
        <v>63</v>
      </c>
      <c r="T829" s="5"/>
      <c r="U829" s="6"/>
      <c r="V829" t="s">
        <v>64</v>
      </c>
      <c r="W829" s="4"/>
      <c r="X829" t="s">
        <v>65</v>
      </c>
      <c r="Z829" t="s">
        <v>66</v>
      </c>
    </row>
    <row r="830" spans="1:26">
      <c r="A830" t="s">
        <v>1501</v>
      </c>
      <c r="B830" t="s">
        <v>872</v>
      </c>
      <c r="C830" s="4">
        <v>46080</v>
      </c>
      <c r="D830" t="s">
        <v>81</v>
      </c>
      <c r="E830" t="s">
        <v>70</v>
      </c>
      <c r="F830" s="4">
        <v>46081</v>
      </c>
      <c r="G830" s="4">
        <v>46082</v>
      </c>
      <c r="H830" t="s">
        <v>150</v>
      </c>
      <c r="I830" t="s">
        <v>187</v>
      </c>
      <c r="J830" t="s">
        <v>229</v>
      </c>
      <c r="K830" t="s">
        <v>124</v>
      </c>
      <c r="L830" t="s">
        <v>94</v>
      </c>
      <c r="M830" s="5">
        <v>34400</v>
      </c>
      <c r="N830" s="5">
        <v>2800</v>
      </c>
      <c r="O830" s="5">
        <v>4200</v>
      </c>
      <c r="P830" s="5">
        <v>6000</v>
      </c>
      <c r="Q830" s="5">
        <v>49900</v>
      </c>
      <c r="R830" t="s">
        <v>75</v>
      </c>
      <c r="S830" t="s">
        <v>76</v>
      </c>
      <c r="T830" s="5">
        <v>22750</v>
      </c>
      <c r="U830" s="6">
        <v>5</v>
      </c>
      <c r="V830" t="s">
        <v>64</v>
      </c>
      <c r="W830" s="4"/>
      <c r="X830" t="s">
        <v>65</v>
      </c>
      <c r="Y830" t="s">
        <v>64</v>
      </c>
      <c r="Z830" t="s">
        <v>107</v>
      </c>
    </row>
    <row r="831" spans="1:26">
      <c r="A831" t="s">
        <v>1502</v>
      </c>
      <c r="B831" t="s">
        <v>1466</v>
      </c>
      <c r="C831" s="4">
        <v>46044</v>
      </c>
      <c r="D831" t="s">
        <v>234</v>
      </c>
      <c r="E831" t="s">
        <v>70</v>
      </c>
      <c r="F831" s="4">
        <v>46044</v>
      </c>
      <c r="G831" s="4">
        <v>46046</v>
      </c>
      <c r="H831" t="s">
        <v>121</v>
      </c>
      <c r="I831" t="s">
        <v>665</v>
      </c>
      <c r="J831" t="s">
        <v>256</v>
      </c>
      <c r="K831" t="s">
        <v>73</v>
      </c>
      <c r="L831" t="s">
        <v>61</v>
      </c>
      <c r="M831" s="5">
        <v>15100</v>
      </c>
      <c r="N831" s="5">
        <v>2550</v>
      </c>
      <c r="O831" s="5">
        <v>3300</v>
      </c>
      <c r="P831" s="5">
        <v>9000</v>
      </c>
      <c r="Q831" s="5">
        <v>30950</v>
      </c>
      <c r="R831" t="s">
        <v>75</v>
      </c>
      <c r="S831" t="s">
        <v>76</v>
      </c>
      <c r="T831" s="5">
        <v>14230</v>
      </c>
      <c r="U831" s="6">
        <v>3</v>
      </c>
      <c r="V831" t="s">
        <v>64</v>
      </c>
      <c r="W831" s="4"/>
      <c r="X831" t="s">
        <v>65</v>
      </c>
      <c r="Y831" t="s">
        <v>64</v>
      </c>
      <c r="Z831" t="s">
        <v>78</v>
      </c>
    </row>
    <row r="832" spans="1:26">
      <c r="A832" t="s">
        <v>1503</v>
      </c>
      <c r="B832" t="s">
        <v>1500</v>
      </c>
      <c r="C832" s="4">
        <v>46043</v>
      </c>
      <c r="D832" t="s">
        <v>302</v>
      </c>
      <c r="E832" t="s">
        <v>70</v>
      </c>
      <c r="F832" s="4">
        <v>46043</v>
      </c>
      <c r="G832" s="4">
        <v>46044</v>
      </c>
      <c r="H832" t="s">
        <v>111</v>
      </c>
      <c r="I832" t="s">
        <v>397</v>
      </c>
      <c r="J832" t="s">
        <v>384</v>
      </c>
      <c r="K832" t="s">
        <v>60</v>
      </c>
      <c r="L832" t="s">
        <v>61</v>
      </c>
      <c r="M832" s="5">
        <v>53200</v>
      </c>
      <c r="N832" s="5">
        <v>6900</v>
      </c>
      <c r="O832" s="5">
        <v>10200</v>
      </c>
      <c r="P832" s="5">
        <v>3000</v>
      </c>
      <c r="Q832" s="5">
        <v>75300</v>
      </c>
      <c r="R832" t="s">
        <v>95</v>
      </c>
      <c r="S832" t="s">
        <v>63</v>
      </c>
      <c r="T832" s="5">
        <v>75300</v>
      </c>
      <c r="U832" s="6">
        <v>3</v>
      </c>
      <c r="V832" t="s">
        <v>77</v>
      </c>
      <c r="W832" s="4">
        <v>46056</v>
      </c>
      <c r="X832" t="s">
        <v>64</v>
      </c>
      <c r="Y832" t="s">
        <v>77</v>
      </c>
      <c r="Z832" t="s">
        <v>78</v>
      </c>
    </row>
    <row r="833" spans="1:26">
      <c r="A833" t="s">
        <v>1504</v>
      </c>
      <c r="B833" t="s">
        <v>919</v>
      </c>
      <c r="C833" s="4">
        <v>46075</v>
      </c>
      <c r="D833" t="s">
        <v>55</v>
      </c>
      <c r="E833" t="s">
        <v>70</v>
      </c>
      <c r="F833" s="4">
        <v>46075</v>
      </c>
      <c r="G833" s="4">
        <v>46077</v>
      </c>
      <c r="H833" t="s">
        <v>90</v>
      </c>
      <c r="I833" t="s">
        <v>299</v>
      </c>
      <c r="J833" t="s">
        <v>197</v>
      </c>
      <c r="K833" t="s">
        <v>73</v>
      </c>
      <c r="L833" t="s">
        <v>74</v>
      </c>
      <c r="M833" s="5">
        <v>23500</v>
      </c>
      <c r="N833" s="5">
        <v>3600</v>
      </c>
      <c r="O833" s="5">
        <v>3200</v>
      </c>
      <c r="P833" s="5">
        <v>9000</v>
      </c>
      <c r="Q833" s="5">
        <v>40800</v>
      </c>
      <c r="R833" t="s">
        <v>85</v>
      </c>
      <c r="S833" t="s">
        <v>76</v>
      </c>
      <c r="T833" s="5">
        <v>11100</v>
      </c>
      <c r="U833" s="6">
        <v>3</v>
      </c>
      <c r="V833" t="s">
        <v>77</v>
      </c>
      <c r="W833" s="4">
        <v>46087</v>
      </c>
      <c r="X833" t="s">
        <v>64</v>
      </c>
      <c r="Y833" t="s">
        <v>64</v>
      </c>
      <c r="Z833" t="s">
        <v>96</v>
      </c>
    </row>
    <row r="834" spans="1:26">
      <c r="A834" t="s">
        <v>1505</v>
      </c>
      <c r="B834" t="s">
        <v>434</v>
      </c>
      <c r="C834" s="4">
        <v>46102</v>
      </c>
      <c r="D834" t="s">
        <v>298</v>
      </c>
      <c r="E834" t="s">
        <v>70</v>
      </c>
      <c r="F834" s="4">
        <v>46102</v>
      </c>
      <c r="G834" s="4">
        <v>46102</v>
      </c>
      <c r="H834" t="s">
        <v>90</v>
      </c>
      <c r="I834" t="s">
        <v>133</v>
      </c>
      <c r="J834" t="s">
        <v>92</v>
      </c>
      <c r="K834" t="s">
        <v>60</v>
      </c>
      <c r="L834" t="s">
        <v>94</v>
      </c>
      <c r="M834" s="5">
        <v>55100</v>
      </c>
      <c r="N834" s="5">
        <v>4850</v>
      </c>
      <c r="O834" s="5">
        <v>11750</v>
      </c>
      <c r="P834" s="5">
        <v>0</v>
      </c>
      <c r="Q834" s="5">
        <v>73700</v>
      </c>
      <c r="R834" t="s">
        <v>106</v>
      </c>
      <c r="S834" t="s">
        <v>76</v>
      </c>
      <c r="T834" s="5">
        <v>26500</v>
      </c>
      <c r="U834" s="6">
        <v>5</v>
      </c>
      <c r="V834" t="s">
        <v>77</v>
      </c>
      <c r="W834" s="4">
        <v>46115</v>
      </c>
      <c r="X834" t="s">
        <v>77</v>
      </c>
      <c r="Y834" t="s">
        <v>64</v>
      </c>
      <c r="Z834" t="s">
        <v>78</v>
      </c>
    </row>
    <row r="835" spans="1:26">
      <c r="A835" t="s">
        <v>1506</v>
      </c>
      <c r="B835" t="s">
        <v>362</v>
      </c>
      <c r="C835" s="4">
        <v>46026</v>
      </c>
      <c r="D835" t="s">
        <v>383</v>
      </c>
      <c r="E835" t="s">
        <v>70</v>
      </c>
      <c r="F835" s="4">
        <v>46026</v>
      </c>
      <c r="G835" s="4">
        <v>46032</v>
      </c>
      <c r="H835" t="s">
        <v>103</v>
      </c>
      <c r="I835" t="s">
        <v>243</v>
      </c>
      <c r="J835" t="s">
        <v>105</v>
      </c>
      <c r="K835" t="s">
        <v>73</v>
      </c>
      <c r="L835" t="s">
        <v>61</v>
      </c>
      <c r="M835" s="5">
        <v>50600</v>
      </c>
      <c r="N835" s="5">
        <v>7600</v>
      </c>
      <c r="O835" s="5">
        <v>5800</v>
      </c>
      <c r="P835" s="5">
        <v>15000</v>
      </c>
      <c r="Q835" s="5">
        <v>80800</v>
      </c>
      <c r="R835" t="s">
        <v>134</v>
      </c>
      <c r="S835" t="s">
        <v>86</v>
      </c>
      <c r="T835" s="5">
        <v>44640</v>
      </c>
      <c r="U835" s="6">
        <v>3</v>
      </c>
      <c r="V835" t="s">
        <v>77</v>
      </c>
      <c r="W835" s="4">
        <v>46045</v>
      </c>
      <c r="X835" t="s">
        <v>77</v>
      </c>
      <c r="Y835" t="s">
        <v>64</v>
      </c>
      <c r="Z835" t="s">
        <v>78</v>
      </c>
    </row>
    <row r="836" spans="1:26">
      <c r="A836" t="s">
        <v>1507</v>
      </c>
      <c r="B836" t="s">
        <v>276</v>
      </c>
      <c r="C836" s="4">
        <v>46043</v>
      </c>
      <c r="D836" t="s">
        <v>81</v>
      </c>
      <c r="E836" t="s">
        <v>70</v>
      </c>
      <c r="F836" s="4">
        <v>46043</v>
      </c>
      <c r="G836" s="4">
        <v>46047</v>
      </c>
      <c r="H836" t="s">
        <v>90</v>
      </c>
      <c r="I836" t="s">
        <v>162</v>
      </c>
      <c r="J836" t="s">
        <v>197</v>
      </c>
      <c r="K836" t="s">
        <v>124</v>
      </c>
      <c r="L836" t="s">
        <v>74</v>
      </c>
      <c r="M836" s="5">
        <v>22700</v>
      </c>
      <c r="N836" s="5">
        <v>3200</v>
      </c>
      <c r="O836" s="5">
        <v>3450</v>
      </c>
      <c r="P836" s="5">
        <v>18000</v>
      </c>
      <c r="Q836" s="5">
        <v>48550</v>
      </c>
      <c r="R836" t="s">
        <v>95</v>
      </c>
      <c r="S836" t="s">
        <v>63</v>
      </c>
      <c r="T836" s="5">
        <v>48550</v>
      </c>
      <c r="U836" s="6">
        <v>3</v>
      </c>
      <c r="V836" t="s">
        <v>77</v>
      </c>
      <c r="W836" s="4">
        <v>46061</v>
      </c>
      <c r="X836" t="s">
        <v>77</v>
      </c>
      <c r="Y836" t="s">
        <v>77</v>
      </c>
      <c r="Z836" t="s">
        <v>78</v>
      </c>
    </row>
    <row r="837" spans="1:26">
      <c r="A837" t="s">
        <v>1508</v>
      </c>
      <c r="B837" t="s">
        <v>182</v>
      </c>
      <c r="C837" s="4">
        <v>46084</v>
      </c>
      <c r="D837" t="s">
        <v>144</v>
      </c>
      <c r="E837" t="s">
        <v>70</v>
      </c>
      <c r="F837" s="4">
        <v>46085</v>
      </c>
      <c r="G837" s="4">
        <v>46085</v>
      </c>
      <c r="H837" t="s">
        <v>57</v>
      </c>
      <c r="I837" t="s">
        <v>58</v>
      </c>
      <c r="J837" t="s">
        <v>59</v>
      </c>
      <c r="K837" t="s">
        <v>60</v>
      </c>
      <c r="L837" t="s">
        <v>74</v>
      </c>
      <c r="M837" s="5">
        <v>44200</v>
      </c>
      <c r="N837" s="5">
        <v>3650</v>
      </c>
      <c r="O837" s="5">
        <v>6850</v>
      </c>
      <c r="P837" s="5">
        <v>0</v>
      </c>
      <c r="Q837" s="5">
        <v>57200</v>
      </c>
      <c r="R837" t="s">
        <v>75</v>
      </c>
      <c r="S837" t="s">
        <v>76</v>
      </c>
      <c r="T837" s="5">
        <v>26040</v>
      </c>
      <c r="U837" s="6">
        <v>4</v>
      </c>
      <c r="V837" t="s">
        <v>77</v>
      </c>
      <c r="W837" s="4">
        <v>46105</v>
      </c>
      <c r="X837" t="s">
        <v>77</v>
      </c>
      <c r="Y837" t="s">
        <v>64</v>
      </c>
      <c r="Z837" t="s">
        <v>96</v>
      </c>
    </row>
    <row r="838" spans="1:26">
      <c r="A838" t="s">
        <v>1509</v>
      </c>
      <c r="B838" t="s">
        <v>1510</v>
      </c>
      <c r="C838" s="4">
        <v>46100</v>
      </c>
      <c r="D838" t="s">
        <v>55</v>
      </c>
      <c r="E838" t="s">
        <v>338</v>
      </c>
      <c r="F838" s="4"/>
      <c r="G838" s="4"/>
      <c r="H838" t="s">
        <v>57</v>
      </c>
      <c r="I838" t="s">
        <v>100</v>
      </c>
      <c r="J838" t="s">
        <v>59</v>
      </c>
      <c r="K838" t="s">
        <v>73</v>
      </c>
      <c r="L838" t="s">
        <v>94</v>
      </c>
      <c r="M838" s="5"/>
      <c r="N838" s="5"/>
      <c r="O838" s="5"/>
      <c r="P838" s="5"/>
      <c r="Q838" s="5"/>
      <c r="R838" t="s">
        <v>75</v>
      </c>
      <c r="S838" t="s">
        <v>63</v>
      </c>
      <c r="T838" s="5"/>
      <c r="U838" s="6"/>
      <c r="V838" t="s">
        <v>64</v>
      </c>
      <c r="W838" s="4"/>
      <c r="X838" t="s">
        <v>65</v>
      </c>
      <c r="Z838" t="s">
        <v>66</v>
      </c>
    </row>
    <row r="839" spans="1:26">
      <c r="A839" t="s">
        <v>1511</v>
      </c>
      <c r="B839" t="s">
        <v>1308</v>
      </c>
      <c r="C839" s="4">
        <v>46041</v>
      </c>
      <c r="D839" t="s">
        <v>266</v>
      </c>
      <c r="E839" t="s">
        <v>70</v>
      </c>
      <c r="F839" s="4">
        <v>46041</v>
      </c>
      <c r="G839" s="4">
        <v>46047</v>
      </c>
      <c r="H839" t="s">
        <v>201</v>
      </c>
      <c r="I839" t="s">
        <v>421</v>
      </c>
      <c r="J839" t="s">
        <v>295</v>
      </c>
      <c r="K839" t="s">
        <v>124</v>
      </c>
      <c r="L839" t="s">
        <v>94</v>
      </c>
      <c r="M839" s="5">
        <v>61300</v>
      </c>
      <c r="N839" s="5">
        <v>9400</v>
      </c>
      <c r="O839" s="5">
        <v>8050</v>
      </c>
      <c r="P839" s="5">
        <v>27000</v>
      </c>
      <c r="Q839" s="5">
        <v>106750</v>
      </c>
      <c r="R839" t="s">
        <v>106</v>
      </c>
      <c r="S839" t="s">
        <v>76</v>
      </c>
      <c r="T839" s="5">
        <v>38060</v>
      </c>
      <c r="U839" s="6">
        <v>3</v>
      </c>
      <c r="V839" t="s">
        <v>77</v>
      </c>
      <c r="W839" s="4">
        <v>46059</v>
      </c>
      <c r="X839" t="s">
        <v>77</v>
      </c>
      <c r="Y839" t="s">
        <v>64</v>
      </c>
      <c r="Z839" t="s">
        <v>107</v>
      </c>
    </row>
    <row r="840" spans="1:26">
      <c r="A840" t="s">
        <v>1512</v>
      </c>
      <c r="B840" t="s">
        <v>495</v>
      </c>
      <c r="C840" s="4">
        <v>46161</v>
      </c>
      <c r="D840" t="s">
        <v>363</v>
      </c>
      <c r="E840" t="s">
        <v>70</v>
      </c>
      <c r="F840" s="4">
        <v>46161</v>
      </c>
      <c r="G840" s="4">
        <v>46165</v>
      </c>
      <c r="H840" t="s">
        <v>90</v>
      </c>
      <c r="I840" t="s">
        <v>162</v>
      </c>
      <c r="J840" t="s">
        <v>197</v>
      </c>
      <c r="K840" t="s">
        <v>93</v>
      </c>
      <c r="L840" t="s">
        <v>61</v>
      </c>
      <c r="M840" s="5">
        <v>19700</v>
      </c>
      <c r="N840" s="5">
        <v>1750</v>
      </c>
      <c r="O840" s="5">
        <v>3000</v>
      </c>
      <c r="P840" s="5">
        <v>12000</v>
      </c>
      <c r="Q840" s="5">
        <v>37650</v>
      </c>
      <c r="R840" t="s">
        <v>95</v>
      </c>
      <c r="S840" t="s">
        <v>63</v>
      </c>
      <c r="T840" s="5">
        <v>37650</v>
      </c>
      <c r="U840" s="6">
        <v>3</v>
      </c>
      <c r="V840" t="s">
        <v>77</v>
      </c>
      <c r="W840" s="4">
        <v>46183</v>
      </c>
      <c r="X840" t="s">
        <v>64</v>
      </c>
      <c r="Y840" t="s">
        <v>64</v>
      </c>
      <c r="Z840" t="s">
        <v>96</v>
      </c>
    </row>
    <row r="841" spans="1:26">
      <c r="A841" t="s">
        <v>1513</v>
      </c>
      <c r="B841" t="s">
        <v>549</v>
      </c>
      <c r="C841" s="4">
        <v>46060</v>
      </c>
      <c r="D841" t="s">
        <v>173</v>
      </c>
      <c r="E841" t="s">
        <v>70</v>
      </c>
      <c r="F841" s="4">
        <v>46060</v>
      </c>
      <c r="G841" s="4">
        <v>46066</v>
      </c>
      <c r="H841" t="s">
        <v>90</v>
      </c>
      <c r="I841" t="s">
        <v>299</v>
      </c>
      <c r="J841" t="s">
        <v>92</v>
      </c>
      <c r="K841" t="s">
        <v>73</v>
      </c>
      <c r="L841" t="s">
        <v>61</v>
      </c>
      <c r="M841" s="5">
        <v>51200</v>
      </c>
      <c r="N841" s="5">
        <v>6400</v>
      </c>
      <c r="O841" s="5">
        <v>9600</v>
      </c>
      <c r="P841" s="5">
        <v>27000</v>
      </c>
      <c r="Q841" s="5">
        <v>95700</v>
      </c>
      <c r="R841" t="s">
        <v>85</v>
      </c>
      <c r="S841" t="s">
        <v>86</v>
      </c>
      <c r="T841" s="5">
        <v>24820</v>
      </c>
      <c r="U841" s="6">
        <v>5</v>
      </c>
      <c r="V841" t="s">
        <v>77</v>
      </c>
      <c r="W841" s="4">
        <v>46083</v>
      </c>
      <c r="X841" t="s">
        <v>77</v>
      </c>
      <c r="Y841" t="s">
        <v>64</v>
      </c>
      <c r="Z841" t="s">
        <v>107</v>
      </c>
    </row>
    <row r="842" spans="1:26">
      <c r="A842" t="s">
        <v>1514</v>
      </c>
      <c r="B842" t="s">
        <v>1515</v>
      </c>
      <c r="C842" s="4">
        <v>46050</v>
      </c>
      <c r="D842" t="s">
        <v>132</v>
      </c>
      <c r="E842" t="s">
        <v>70</v>
      </c>
      <c r="F842" s="4">
        <v>46050</v>
      </c>
      <c r="G842" s="4">
        <v>46054</v>
      </c>
      <c r="H842" t="s">
        <v>111</v>
      </c>
      <c r="I842" t="s">
        <v>112</v>
      </c>
      <c r="J842" t="s">
        <v>113</v>
      </c>
      <c r="K842" t="s">
        <v>73</v>
      </c>
      <c r="L842" t="s">
        <v>74</v>
      </c>
      <c r="M842" s="5">
        <v>27500</v>
      </c>
      <c r="N842" s="5">
        <v>3200</v>
      </c>
      <c r="O842" s="5">
        <v>5800</v>
      </c>
      <c r="P842" s="5">
        <v>24000</v>
      </c>
      <c r="Q842" s="5">
        <v>61300</v>
      </c>
      <c r="R842" t="s">
        <v>85</v>
      </c>
      <c r="S842" t="s">
        <v>76</v>
      </c>
      <c r="T842" s="5">
        <v>16220</v>
      </c>
      <c r="U842" s="6">
        <v>2</v>
      </c>
      <c r="V842" t="s">
        <v>64</v>
      </c>
      <c r="W842" s="4"/>
      <c r="X842" t="s">
        <v>65</v>
      </c>
      <c r="Y842" t="s">
        <v>77</v>
      </c>
      <c r="Z842" t="s">
        <v>78</v>
      </c>
    </row>
    <row r="843" spans="1:26">
      <c r="A843" t="s">
        <v>1516</v>
      </c>
      <c r="B843" t="s">
        <v>543</v>
      </c>
      <c r="C843" s="4">
        <v>46127</v>
      </c>
      <c r="D843" t="s">
        <v>69</v>
      </c>
      <c r="E843" t="s">
        <v>70</v>
      </c>
      <c r="F843" s="4">
        <v>46128</v>
      </c>
      <c r="G843" s="4">
        <v>46128</v>
      </c>
      <c r="H843" t="s">
        <v>201</v>
      </c>
      <c r="I843" t="s">
        <v>421</v>
      </c>
      <c r="J843" t="s">
        <v>203</v>
      </c>
      <c r="K843" t="s">
        <v>60</v>
      </c>
      <c r="L843" t="s">
        <v>94</v>
      </c>
      <c r="M843" s="5">
        <v>37700</v>
      </c>
      <c r="N843" s="5">
        <v>5300</v>
      </c>
      <c r="O843" s="5">
        <v>5000</v>
      </c>
      <c r="P843" s="5">
        <v>0</v>
      </c>
      <c r="Q843" s="5">
        <v>49000</v>
      </c>
      <c r="R843" t="s">
        <v>62</v>
      </c>
      <c r="S843" t="s">
        <v>76</v>
      </c>
      <c r="T843" s="5">
        <v>15100</v>
      </c>
      <c r="U843" s="6">
        <v>5</v>
      </c>
      <c r="V843" t="s">
        <v>77</v>
      </c>
      <c r="W843" s="4">
        <v>46148</v>
      </c>
      <c r="X843" t="s">
        <v>64</v>
      </c>
      <c r="Y843" t="s">
        <v>64</v>
      </c>
      <c r="Z843" t="s">
        <v>107</v>
      </c>
    </row>
    <row r="844" spans="1:26">
      <c r="A844" t="s">
        <v>1517</v>
      </c>
      <c r="B844" t="s">
        <v>1100</v>
      </c>
      <c r="C844" s="4">
        <v>46026</v>
      </c>
      <c r="D844" t="s">
        <v>132</v>
      </c>
      <c r="E844" t="s">
        <v>70</v>
      </c>
      <c r="F844" s="4">
        <v>46026</v>
      </c>
      <c r="G844" s="4">
        <v>46028</v>
      </c>
      <c r="H844" t="s">
        <v>90</v>
      </c>
      <c r="I844" t="s">
        <v>91</v>
      </c>
      <c r="J844" t="s">
        <v>129</v>
      </c>
      <c r="K844" t="s">
        <v>73</v>
      </c>
      <c r="L844" t="s">
        <v>61</v>
      </c>
      <c r="M844" s="5">
        <v>53300</v>
      </c>
      <c r="N844" s="5">
        <v>7950</v>
      </c>
      <c r="O844" s="5">
        <v>8700</v>
      </c>
      <c r="P844" s="5">
        <v>5000</v>
      </c>
      <c r="Q844" s="5">
        <v>76150</v>
      </c>
      <c r="R844" t="s">
        <v>95</v>
      </c>
      <c r="S844" t="s">
        <v>63</v>
      </c>
      <c r="T844" s="5">
        <v>76150</v>
      </c>
      <c r="U844" s="6">
        <v>4</v>
      </c>
      <c r="V844" t="s">
        <v>77</v>
      </c>
      <c r="W844" s="4">
        <v>46042</v>
      </c>
      <c r="X844" t="s">
        <v>77</v>
      </c>
      <c r="Y844" t="s">
        <v>64</v>
      </c>
      <c r="Z844" t="s">
        <v>107</v>
      </c>
    </row>
    <row r="845" spans="1:26">
      <c r="A845" t="s">
        <v>1518</v>
      </c>
      <c r="B845" t="s">
        <v>1091</v>
      </c>
      <c r="C845" s="4">
        <v>46114</v>
      </c>
      <c r="D845" t="s">
        <v>200</v>
      </c>
      <c r="E845" t="s">
        <v>70</v>
      </c>
      <c r="F845" s="4">
        <v>46115</v>
      </c>
      <c r="G845" s="4">
        <v>46115</v>
      </c>
      <c r="H845" t="s">
        <v>138</v>
      </c>
      <c r="I845" t="s">
        <v>260</v>
      </c>
      <c r="J845" t="s">
        <v>140</v>
      </c>
      <c r="K845" t="s">
        <v>60</v>
      </c>
      <c r="L845" t="s">
        <v>61</v>
      </c>
      <c r="M845" s="5">
        <v>15700</v>
      </c>
      <c r="N845" s="5">
        <v>2200</v>
      </c>
      <c r="O845" s="5">
        <v>3350</v>
      </c>
      <c r="P845" s="5">
        <v>0</v>
      </c>
      <c r="Q845" s="5">
        <v>23750</v>
      </c>
      <c r="R845" t="s">
        <v>75</v>
      </c>
      <c r="S845" t="s">
        <v>76</v>
      </c>
      <c r="T845" s="5">
        <v>10990</v>
      </c>
      <c r="U845" s="6">
        <v>5</v>
      </c>
      <c r="V845" t="s">
        <v>77</v>
      </c>
      <c r="W845" s="4">
        <v>46133</v>
      </c>
      <c r="X845" t="s">
        <v>77</v>
      </c>
      <c r="Y845" t="s">
        <v>64</v>
      </c>
      <c r="Z845" t="s">
        <v>107</v>
      </c>
    </row>
    <row r="846" spans="1:26">
      <c r="A846" t="s">
        <v>1519</v>
      </c>
      <c r="B846" t="s">
        <v>1234</v>
      </c>
      <c r="C846" s="4">
        <v>46070</v>
      </c>
      <c r="D846" t="s">
        <v>168</v>
      </c>
      <c r="E846" t="s">
        <v>70</v>
      </c>
      <c r="F846" s="4">
        <v>46070</v>
      </c>
      <c r="G846" s="4">
        <v>46072</v>
      </c>
      <c r="H846" t="s">
        <v>150</v>
      </c>
      <c r="I846" t="s">
        <v>247</v>
      </c>
      <c r="J846" t="s">
        <v>229</v>
      </c>
      <c r="K846" t="s">
        <v>124</v>
      </c>
      <c r="L846" t="s">
        <v>94</v>
      </c>
      <c r="M846" s="5">
        <v>50500</v>
      </c>
      <c r="N846" s="5">
        <v>8400</v>
      </c>
      <c r="O846" s="5">
        <v>11850</v>
      </c>
      <c r="P846" s="5">
        <v>5000</v>
      </c>
      <c r="Q846" s="5">
        <v>76750</v>
      </c>
      <c r="R846" t="s">
        <v>95</v>
      </c>
      <c r="S846" t="s">
        <v>63</v>
      </c>
      <c r="T846" s="5">
        <v>76750</v>
      </c>
      <c r="U846" s="6">
        <v>4</v>
      </c>
      <c r="V846" t="s">
        <v>64</v>
      </c>
      <c r="W846" s="4"/>
      <c r="X846" t="s">
        <v>65</v>
      </c>
      <c r="Y846" t="s">
        <v>64</v>
      </c>
      <c r="Z846" t="s">
        <v>96</v>
      </c>
    </row>
    <row r="847" spans="1:26">
      <c r="A847" t="s">
        <v>1520</v>
      </c>
      <c r="B847" t="s">
        <v>553</v>
      </c>
      <c r="C847" s="4">
        <v>46165</v>
      </c>
      <c r="D847" t="s">
        <v>200</v>
      </c>
      <c r="E847" t="s">
        <v>70</v>
      </c>
      <c r="F847" s="4">
        <v>46165</v>
      </c>
      <c r="G847" s="4">
        <v>46165</v>
      </c>
      <c r="H847" t="s">
        <v>121</v>
      </c>
      <c r="I847" t="s">
        <v>334</v>
      </c>
      <c r="J847" t="s">
        <v>252</v>
      </c>
      <c r="K847" t="s">
        <v>60</v>
      </c>
      <c r="L847" t="s">
        <v>61</v>
      </c>
      <c r="M847" s="5">
        <v>75800</v>
      </c>
      <c r="N847" s="5">
        <v>11100</v>
      </c>
      <c r="O847" s="5">
        <v>11400</v>
      </c>
      <c r="P847" s="5">
        <v>0</v>
      </c>
      <c r="Q847" s="5">
        <v>99300</v>
      </c>
      <c r="R847" t="s">
        <v>134</v>
      </c>
      <c r="S847" t="s">
        <v>76</v>
      </c>
      <c r="T847" s="5">
        <v>54820</v>
      </c>
      <c r="U847" s="6">
        <v>5</v>
      </c>
      <c r="V847" t="s">
        <v>77</v>
      </c>
      <c r="W847" s="4">
        <v>46183</v>
      </c>
      <c r="X847" t="s">
        <v>77</v>
      </c>
      <c r="Y847" t="s">
        <v>64</v>
      </c>
      <c r="Z847" t="s">
        <v>96</v>
      </c>
    </row>
    <row r="848" spans="1:26">
      <c r="A848" t="s">
        <v>1521</v>
      </c>
      <c r="B848" t="s">
        <v>54</v>
      </c>
      <c r="C848" s="4">
        <v>46146</v>
      </c>
      <c r="D848" t="s">
        <v>210</v>
      </c>
      <c r="E848" t="s">
        <v>70</v>
      </c>
      <c r="F848" s="4">
        <v>46147</v>
      </c>
      <c r="G848" s="4">
        <v>46148</v>
      </c>
      <c r="H848" t="s">
        <v>57</v>
      </c>
      <c r="I848" t="s">
        <v>58</v>
      </c>
      <c r="J848" t="s">
        <v>72</v>
      </c>
      <c r="K848" t="s">
        <v>124</v>
      </c>
      <c r="L848" t="s">
        <v>61</v>
      </c>
      <c r="M848" s="5">
        <v>7700</v>
      </c>
      <c r="N848" s="5">
        <v>650</v>
      </c>
      <c r="O848" s="5">
        <v>1000</v>
      </c>
      <c r="P848" s="5">
        <v>6000</v>
      </c>
      <c r="Q848" s="5">
        <v>17850</v>
      </c>
      <c r="R848" t="s">
        <v>141</v>
      </c>
      <c r="S848" t="s">
        <v>86</v>
      </c>
      <c r="T848" s="5">
        <v>3880</v>
      </c>
      <c r="U848" s="6">
        <v>4</v>
      </c>
      <c r="V848" t="s">
        <v>64</v>
      </c>
      <c r="W848" s="4"/>
      <c r="X848" t="s">
        <v>65</v>
      </c>
      <c r="Y848" t="s">
        <v>64</v>
      </c>
      <c r="Z848" t="s">
        <v>78</v>
      </c>
    </row>
    <row r="849" spans="1:26">
      <c r="A849" t="s">
        <v>1522</v>
      </c>
      <c r="B849" t="s">
        <v>286</v>
      </c>
      <c r="C849" s="4">
        <v>46066</v>
      </c>
      <c r="D849" t="s">
        <v>259</v>
      </c>
      <c r="E849" t="s">
        <v>70</v>
      </c>
      <c r="F849" s="4">
        <v>46066</v>
      </c>
      <c r="G849" s="4">
        <v>46069</v>
      </c>
      <c r="H849" t="s">
        <v>111</v>
      </c>
      <c r="I849" t="s">
        <v>116</v>
      </c>
      <c r="J849" t="s">
        <v>113</v>
      </c>
      <c r="K849" t="s">
        <v>73</v>
      </c>
      <c r="L849" t="s">
        <v>94</v>
      </c>
      <c r="M849" s="5">
        <v>23900</v>
      </c>
      <c r="N849" s="5">
        <v>2500</v>
      </c>
      <c r="O849" s="5">
        <v>5000</v>
      </c>
      <c r="P849" s="5">
        <v>13500</v>
      </c>
      <c r="Q849" s="5">
        <v>45700</v>
      </c>
      <c r="R849" t="s">
        <v>106</v>
      </c>
      <c r="S849" t="s">
        <v>86</v>
      </c>
      <c r="T849" s="5">
        <v>16700</v>
      </c>
      <c r="U849" s="6">
        <v>4</v>
      </c>
      <c r="V849" t="s">
        <v>77</v>
      </c>
      <c r="W849" s="4">
        <v>46084</v>
      </c>
      <c r="X849" t="s">
        <v>77</v>
      </c>
      <c r="Y849" t="s">
        <v>64</v>
      </c>
      <c r="Z849" t="s">
        <v>96</v>
      </c>
    </row>
    <row r="850" spans="1:26">
      <c r="A850" t="s">
        <v>1523</v>
      </c>
      <c r="B850" t="s">
        <v>1524</v>
      </c>
      <c r="C850" s="4">
        <v>46085</v>
      </c>
      <c r="D850" t="s">
        <v>168</v>
      </c>
      <c r="E850" t="s">
        <v>70</v>
      </c>
      <c r="F850" s="4">
        <v>46085</v>
      </c>
      <c r="G850" s="4">
        <v>46085</v>
      </c>
      <c r="H850" t="s">
        <v>90</v>
      </c>
      <c r="I850" t="s">
        <v>162</v>
      </c>
      <c r="J850" t="s">
        <v>129</v>
      </c>
      <c r="K850" t="s">
        <v>60</v>
      </c>
      <c r="L850" t="s">
        <v>74</v>
      </c>
      <c r="M850" s="5">
        <v>44100</v>
      </c>
      <c r="N850" s="5">
        <v>7850</v>
      </c>
      <c r="O850" s="5">
        <v>7150</v>
      </c>
      <c r="P850" s="5">
        <v>0</v>
      </c>
      <c r="Q850" s="5">
        <v>60300</v>
      </c>
      <c r="R850" t="s">
        <v>106</v>
      </c>
      <c r="S850" t="s">
        <v>76</v>
      </c>
      <c r="T850" s="5">
        <v>21800</v>
      </c>
      <c r="U850" s="6">
        <v>5</v>
      </c>
      <c r="V850" t="s">
        <v>77</v>
      </c>
      <c r="W850" s="4">
        <v>46093</v>
      </c>
      <c r="X850" t="s">
        <v>77</v>
      </c>
      <c r="Y850" t="s">
        <v>64</v>
      </c>
      <c r="Z850" t="s">
        <v>78</v>
      </c>
    </row>
    <row r="851" spans="1:26">
      <c r="A851" t="s">
        <v>1525</v>
      </c>
      <c r="B851" t="s">
        <v>1526</v>
      </c>
      <c r="C851" s="4">
        <v>46046</v>
      </c>
      <c r="D851" t="s">
        <v>173</v>
      </c>
      <c r="E851" t="s">
        <v>70</v>
      </c>
      <c r="F851" s="4">
        <v>46046</v>
      </c>
      <c r="G851" s="4">
        <v>46051</v>
      </c>
      <c r="H851" t="s">
        <v>90</v>
      </c>
      <c r="I851" t="s">
        <v>162</v>
      </c>
      <c r="J851" t="s">
        <v>129</v>
      </c>
      <c r="K851" t="s">
        <v>124</v>
      </c>
      <c r="L851" t="s">
        <v>74</v>
      </c>
      <c r="M851" s="5">
        <v>34500</v>
      </c>
      <c r="N851" s="5">
        <v>4100</v>
      </c>
      <c r="O851" s="5">
        <v>6650</v>
      </c>
      <c r="P851" s="5">
        <v>15000</v>
      </c>
      <c r="Q851" s="5">
        <v>61450</v>
      </c>
      <c r="R851" t="s">
        <v>95</v>
      </c>
      <c r="S851" t="s">
        <v>63</v>
      </c>
      <c r="T851" s="5">
        <v>61450</v>
      </c>
      <c r="U851" s="6">
        <v>4</v>
      </c>
      <c r="V851" t="s">
        <v>77</v>
      </c>
      <c r="W851" s="4">
        <v>46060</v>
      </c>
      <c r="X851" t="s">
        <v>77</v>
      </c>
      <c r="Y851" t="s">
        <v>64</v>
      </c>
      <c r="Z851" t="s">
        <v>78</v>
      </c>
    </row>
    <row r="852" spans="1:26">
      <c r="A852" t="s">
        <v>1527</v>
      </c>
      <c r="B852" t="s">
        <v>990</v>
      </c>
      <c r="C852" s="4">
        <v>46111</v>
      </c>
      <c r="D852" t="s">
        <v>127</v>
      </c>
      <c r="E852" t="s">
        <v>70</v>
      </c>
      <c r="F852" s="4">
        <v>46111</v>
      </c>
      <c r="G852" s="4">
        <v>46111</v>
      </c>
      <c r="H852" t="s">
        <v>57</v>
      </c>
      <c r="I852" t="s">
        <v>211</v>
      </c>
      <c r="J852" t="s">
        <v>59</v>
      </c>
      <c r="K852" t="s">
        <v>60</v>
      </c>
      <c r="L852" t="s">
        <v>61</v>
      </c>
      <c r="M852" s="5">
        <v>66100</v>
      </c>
      <c r="N852" s="5">
        <v>9300</v>
      </c>
      <c r="O852" s="5">
        <v>6750</v>
      </c>
      <c r="P852" s="5">
        <v>0</v>
      </c>
      <c r="Q852" s="5">
        <v>84150</v>
      </c>
      <c r="R852" t="s">
        <v>85</v>
      </c>
      <c r="S852" t="s">
        <v>76</v>
      </c>
      <c r="T852" s="5">
        <v>21940</v>
      </c>
      <c r="U852" s="6">
        <v>2</v>
      </c>
      <c r="V852" t="s">
        <v>77</v>
      </c>
      <c r="W852" s="4">
        <v>46128</v>
      </c>
      <c r="X852" t="s">
        <v>77</v>
      </c>
      <c r="Y852" t="s">
        <v>77</v>
      </c>
      <c r="Z852" t="s">
        <v>78</v>
      </c>
    </row>
    <row r="853" spans="1:26">
      <c r="A853" t="s">
        <v>1528</v>
      </c>
      <c r="B853" t="s">
        <v>499</v>
      </c>
      <c r="C853" s="4">
        <v>46155</v>
      </c>
      <c r="D853" t="s">
        <v>469</v>
      </c>
      <c r="E853" t="s">
        <v>177</v>
      </c>
      <c r="F853" s="4"/>
      <c r="G853" s="4"/>
      <c r="H853" t="s">
        <v>150</v>
      </c>
      <c r="I853" t="s">
        <v>247</v>
      </c>
      <c r="J853" t="s">
        <v>152</v>
      </c>
      <c r="K853" t="s">
        <v>60</v>
      </c>
      <c r="L853" t="s">
        <v>74</v>
      </c>
      <c r="M853" s="5"/>
      <c r="N853" s="5"/>
      <c r="O853" s="5"/>
      <c r="P853" s="5"/>
      <c r="Q853" s="5"/>
      <c r="R853" t="s">
        <v>75</v>
      </c>
      <c r="S853" t="s">
        <v>63</v>
      </c>
      <c r="T853" s="5"/>
      <c r="U853" s="6"/>
      <c r="V853" t="s">
        <v>64</v>
      </c>
      <c r="W853" s="4"/>
      <c r="X853" t="s">
        <v>65</v>
      </c>
      <c r="Z853" t="s">
        <v>66</v>
      </c>
    </row>
    <row r="854" spans="1:26">
      <c r="A854" t="s">
        <v>1529</v>
      </c>
      <c r="B854" t="s">
        <v>1530</v>
      </c>
      <c r="C854" s="4">
        <v>46088</v>
      </c>
      <c r="D854" t="s">
        <v>234</v>
      </c>
      <c r="E854" t="s">
        <v>70</v>
      </c>
      <c r="F854" s="4">
        <v>46088</v>
      </c>
      <c r="G854" s="4">
        <v>46088</v>
      </c>
      <c r="H854" t="s">
        <v>138</v>
      </c>
      <c r="I854" t="s">
        <v>444</v>
      </c>
      <c r="J854" t="s">
        <v>140</v>
      </c>
      <c r="K854" t="s">
        <v>60</v>
      </c>
      <c r="L854" t="s">
        <v>74</v>
      </c>
      <c r="M854" s="5">
        <v>15900</v>
      </c>
      <c r="N854" s="5">
        <v>1500</v>
      </c>
      <c r="O854" s="5">
        <v>2400</v>
      </c>
      <c r="P854" s="5">
        <v>0</v>
      </c>
      <c r="Q854" s="5">
        <v>21300</v>
      </c>
      <c r="R854" t="s">
        <v>75</v>
      </c>
      <c r="S854" t="s">
        <v>76</v>
      </c>
      <c r="T854" s="5">
        <v>9880</v>
      </c>
      <c r="U854" s="6">
        <v>5</v>
      </c>
      <c r="V854" t="s">
        <v>77</v>
      </c>
      <c r="W854" s="4">
        <v>46108</v>
      </c>
      <c r="X854" t="s">
        <v>77</v>
      </c>
      <c r="Y854" t="s">
        <v>64</v>
      </c>
      <c r="Z854" t="s">
        <v>107</v>
      </c>
    </row>
    <row r="855" spans="1:26">
      <c r="A855" t="s">
        <v>1531</v>
      </c>
      <c r="B855" t="s">
        <v>657</v>
      </c>
      <c r="C855" s="4">
        <v>46025</v>
      </c>
      <c r="D855" t="s">
        <v>363</v>
      </c>
      <c r="E855" t="s">
        <v>314</v>
      </c>
      <c r="F855" s="4"/>
      <c r="G855" s="4"/>
      <c r="H855" t="s">
        <v>138</v>
      </c>
      <c r="I855" t="s">
        <v>235</v>
      </c>
      <c r="J855" t="s">
        <v>236</v>
      </c>
      <c r="K855" t="s">
        <v>93</v>
      </c>
      <c r="L855" t="s">
        <v>74</v>
      </c>
      <c r="M855" s="5"/>
      <c r="N855" s="5"/>
      <c r="O855" s="5"/>
      <c r="P855" s="5"/>
      <c r="Q855" s="5"/>
      <c r="R855" t="s">
        <v>106</v>
      </c>
      <c r="S855" t="s">
        <v>63</v>
      </c>
      <c r="T855" s="5"/>
      <c r="U855" s="6"/>
      <c r="V855" t="s">
        <v>64</v>
      </c>
      <c r="W855" s="4"/>
      <c r="X855" t="s">
        <v>65</v>
      </c>
      <c r="Z855" t="s">
        <v>66</v>
      </c>
    </row>
    <row r="856" spans="1:26">
      <c r="A856" t="s">
        <v>1532</v>
      </c>
      <c r="B856" t="s">
        <v>517</v>
      </c>
      <c r="C856" s="4">
        <v>46126</v>
      </c>
      <c r="D856" t="s">
        <v>168</v>
      </c>
      <c r="E856" t="s">
        <v>70</v>
      </c>
      <c r="F856" s="4">
        <v>46126</v>
      </c>
      <c r="G856" s="4">
        <v>46127</v>
      </c>
      <c r="H856" t="s">
        <v>103</v>
      </c>
      <c r="I856" t="s">
        <v>207</v>
      </c>
      <c r="J856" t="s">
        <v>244</v>
      </c>
      <c r="K856" t="s">
        <v>60</v>
      </c>
      <c r="L856" t="s">
        <v>74</v>
      </c>
      <c r="M856" s="5">
        <v>54900</v>
      </c>
      <c r="N856" s="5">
        <v>5150</v>
      </c>
      <c r="O856" s="5">
        <v>9700</v>
      </c>
      <c r="P856" s="5">
        <v>4500</v>
      </c>
      <c r="Q856" s="5">
        <v>75750</v>
      </c>
      <c r="R856" t="s">
        <v>75</v>
      </c>
      <c r="S856" t="s">
        <v>76</v>
      </c>
      <c r="T856" s="5">
        <v>34390</v>
      </c>
      <c r="U856" s="6">
        <v>5</v>
      </c>
      <c r="V856" t="s">
        <v>77</v>
      </c>
      <c r="W856" s="4">
        <v>46145</v>
      </c>
      <c r="X856" t="s">
        <v>77</v>
      </c>
      <c r="Y856" t="s">
        <v>64</v>
      </c>
      <c r="Z856" t="s">
        <v>78</v>
      </c>
    </row>
    <row r="857" spans="1:26">
      <c r="A857" t="s">
        <v>1533</v>
      </c>
      <c r="B857" t="s">
        <v>725</v>
      </c>
      <c r="C857" s="4">
        <v>46050</v>
      </c>
      <c r="D857" t="s">
        <v>132</v>
      </c>
      <c r="E857" t="s">
        <v>56</v>
      </c>
      <c r="F857" s="4"/>
      <c r="G857" s="4"/>
      <c r="H857" t="s">
        <v>90</v>
      </c>
      <c r="I857" t="s">
        <v>299</v>
      </c>
      <c r="J857" t="s">
        <v>197</v>
      </c>
      <c r="K857" t="s">
        <v>73</v>
      </c>
      <c r="L857" t="s">
        <v>61</v>
      </c>
      <c r="M857" s="5"/>
      <c r="N857" s="5"/>
      <c r="O857" s="5"/>
      <c r="P857" s="5"/>
      <c r="Q857" s="5"/>
      <c r="R857" t="s">
        <v>134</v>
      </c>
      <c r="S857" t="s">
        <v>63</v>
      </c>
      <c r="T857" s="5"/>
      <c r="U857" s="6"/>
      <c r="V857" t="s">
        <v>64</v>
      </c>
      <c r="W857" s="4"/>
      <c r="X857" t="s">
        <v>65</v>
      </c>
      <c r="Z857" t="s">
        <v>66</v>
      </c>
    </row>
    <row r="858" spans="1:26">
      <c r="A858" t="s">
        <v>1534</v>
      </c>
      <c r="B858" t="s">
        <v>828</v>
      </c>
      <c r="C858" s="4">
        <v>46043</v>
      </c>
      <c r="D858" t="s">
        <v>99</v>
      </c>
      <c r="E858" t="s">
        <v>314</v>
      </c>
      <c r="F858" s="4"/>
      <c r="G858" s="4"/>
      <c r="H858" t="s">
        <v>103</v>
      </c>
      <c r="I858" t="s">
        <v>214</v>
      </c>
      <c r="J858" t="s">
        <v>244</v>
      </c>
      <c r="K858" t="s">
        <v>93</v>
      </c>
      <c r="L858" t="s">
        <v>94</v>
      </c>
      <c r="M858" s="5"/>
      <c r="N858" s="5"/>
      <c r="O858" s="5"/>
      <c r="P858" s="5"/>
      <c r="Q858" s="5"/>
      <c r="R858" t="s">
        <v>85</v>
      </c>
      <c r="S858" t="s">
        <v>63</v>
      </c>
      <c r="T858" s="5"/>
      <c r="U858" s="6"/>
      <c r="V858" t="s">
        <v>64</v>
      </c>
      <c r="W858" s="4"/>
      <c r="X858" t="s">
        <v>65</v>
      </c>
      <c r="Z858" t="s">
        <v>66</v>
      </c>
    </row>
    <row r="859" spans="1:26">
      <c r="A859" t="s">
        <v>1535</v>
      </c>
      <c r="B859" t="s">
        <v>921</v>
      </c>
      <c r="C859" s="4">
        <v>46114</v>
      </c>
      <c r="D859" t="s">
        <v>183</v>
      </c>
      <c r="E859" t="s">
        <v>70</v>
      </c>
      <c r="F859" s="4">
        <v>46115</v>
      </c>
      <c r="G859" s="4">
        <v>46115</v>
      </c>
      <c r="H859" t="s">
        <v>82</v>
      </c>
      <c r="I859" t="s">
        <v>155</v>
      </c>
      <c r="J859" t="s">
        <v>291</v>
      </c>
      <c r="K859" t="s">
        <v>60</v>
      </c>
      <c r="L859" t="s">
        <v>74</v>
      </c>
      <c r="M859" s="5">
        <v>43000</v>
      </c>
      <c r="N859" s="5">
        <v>4550</v>
      </c>
      <c r="O859" s="5">
        <v>10000</v>
      </c>
      <c r="P859" s="5">
        <v>0</v>
      </c>
      <c r="Q859" s="5">
        <v>60050</v>
      </c>
      <c r="R859" t="s">
        <v>95</v>
      </c>
      <c r="S859" t="s">
        <v>63</v>
      </c>
      <c r="T859" s="5">
        <v>60050</v>
      </c>
      <c r="U859" s="6">
        <v>5</v>
      </c>
      <c r="V859" t="s">
        <v>77</v>
      </c>
      <c r="W859" s="4">
        <v>46133</v>
      </c>
      <c r="X859" t="s">
        <v>77</v>
      </c>
      <c r="Y859" t="s">
        <v>64</v>
      </c>
      <c r="Z859" t="s">
        <v>219</v>
      </c>
    </row>
    <row r="860" spans="1:26">
      <c r="A860" t="s">
        <v>1536</v>
      </c>
      <c r="B860" t="s">
        <v>1537</v>
      </c>
      <c r="C860" s="4">
        <v>46108</v>
      </c>
      <c r="D860" t="s">
        <v>183</v>
      </c>
      <c r="E860" t="s">
        <v>314</v>
      </c>
      <c r="F860" s="4"/>
      <c r="G860" s="4"/>
      <c r="H860" t="s">
        <v>82</v>
      </c>
      <c r="I860" t="s">
        <v>194</v>
      </c>
      <c r="J860" t="s">
        <v>156</v>
      </c>
      <c r="K860" t="s">
        <v>93</v>
      </c>
      <c r="L860" t="s">
        <v>74</v>
      </c>
      <c r="M860" s="5"/>
      <c r="N860" s="5"/>
      <c r="O860" s="5"/>
      <c r="P860" s="5"/>
      <c r="Q860" s="5"/>
      <c r="R860" t="s">
        <v>141</v>
      </c>
      <c r="S860" t="s">
        <v>63</v>
      </c>
      <c r="T860" s="5"/>
      <c r="U860" s="6"/>
      <c r="V860" t="s">
        <v>64</v>
      </c>
      <c r="W860" s="4"/>
      <c r="X860" t="s">
        <v>65</v>
      </c>
      <c r="Z860" t="s">
        <v>66</v>
      </c>
    </row>
    <row r="861" spans="1:26">
      <c r="A861" t="s">
        <v>1538</v>
      </c>
      <c r="B861" t="s">
        <v>702</v>
      </c>
      <c r="C861" s="4">
        <v>46090</v>
      </c>
      <c r="D861" t="s">
        <v>110</v>
      </c>
      <c r="E861" t="s">
        <v>70</v>
      </c>
      <c r="F861" s="4">
        <v>46090</v>
      </c>
      <c r="G861" s="4">
        <v>46091</v>
      </c>
      <c r="H861" t="s">
        <v>121</v>
      </c>
      <c r="I861" t="s">
        <v>122</v>
      </c>
      <c r="J861" t="s">
        <v>256</v>
      </c>
      <c r="K861" t="s">
        <v>124</v>
      </c>
      <c r="L861" t="s">
        <v>74</v>
      </c>
      <c r="M861" s="5">
        <v>19200</v>
      </c>
      <c r="N861" s="5">
        <v>3050</v>
      </c>
      <c r="O861" s="5">
        <v>2300</v>
      </c>
      <c r="P861" s="5">
        <v>2500</v>
      </c>
      <c r="Q861" s="5">
        <v>28050</v>
      </c>
      <c r="R861" t="s">
        <v>95</v>
      </c>
      <c r="S861" t="s">
        <v>63</v>
      </c>
      <c r="T861" s="5">
        <v>28050</v>
      </c>
      <c r="U861" s="6">
        <v>5</v>
      </c>
      <c r="V861" t="s">
        <v>77</v>
      </c>
      <c r="W861" s="4">
        <v>46111</v>
      </c>
      <c r="X861" t="s">
        <v>77</v>
      </c>
      <c r="Y861" t="s">
        <v>64</v>
      </c>
      <c r="Z861" t="s">
        <v>219</v>
      </c>
    </row>
    <row r="862" spans="1:26">
      <c r="A862" t="s">
        <v>1539</v>
      </c>
      <c r="B862" t="s">
        <v>1540</v>
      </c>
      <c r="C862" s="4">
        <v>46128</v>
      </c>
      <c r="D862" t="s">
        <v>210</v>
      </c>
      <c r="E862" t="s">
        <v>70</v>
      </c>
      <c r="F862" s="4">
        <v>46128</v>
      </c>
      <c r="G862" s="4">
        <v>46129</v>
      </c>
      <c r="H862" t="s">
        <v>138</v>
      </c>
      <c r="I862" t="s">
        <v>343</v>
      </c>
      <c r="J862" t="s">
        <v>261</v>
      </c>
      <c r="K862" t="s">
        <v>124</v>
      </c>
      <c r="L862" t="s">
        <v>74</v>
      </c>
      <c r="M862" s="5">
        <v>6300</v>
      </c>
      <c r="N862" s="5">
        <v>650</v>
      </c>
      <c r="O862" s="5">
        <v>1300</v>
      </c>
      <c r="P862" s="5">
        <v>2500</v>
      </c>
      <c r="Q862" s="5">
        <v>12550</v>
      </c>
      <c r="R862" t="s">
        <v>75</v>
      </c>
      <c r="S862" t="s">
        <v>76</v>
      </c>
      <c r="T862" s="5">
        <v>5950</v>
      </c>
      <c r="U862" s="6">
        <v>5</v>
      </c>
      <c r="V862" t="s">
        <v>64</v>
      </c>
      <c r="W862" s="4"/>
      <c r="X862" t="s">
        <v>65</v>
      </c>
      <c r="Y862" t="s">
        <v>64</v>
      </c>
      <c r="Z862" t="s">
        <v>96</v>
      </c>
    </row>
    <row r="863" spans="1:26">
      <c r="A863" t="s">
        <v>1541</v>
      </c>
      <c r="B863" t="s">
        <v>1542</v>
      </c>
      <c r="C863" s="4">
        <v>46117</v>
      </c>
      <c r="D863" t="s">
        <v>110</v>
      </c>
      <c r="E863" t="s">
        <v>70</v>
      </c>
      <c r="F863" s="4">
        <v>46117</v>
      </c>
      <c r="G863" s="4">
        <v>46120</v>
      </c>
      <c r="H863" t="s">
        <v>103</v>
      </c>
      <c r="I863" t="s">
        <v>243</v>
      </c>
      <c r="J863" t="s">
        <v>105</v>
      </c>
      <c r="K863" t="s">
        <v>73</v>
      </c>
      <c r="L863" t="s">
        <v>94</v>
      </c>
      <c r="M863" s="5">
        <v>53800</v>
      </c>
      <c r="N863" s="5">
        <v>6550</v>
      </c>
      <c r="O863" s="5">
        <v>5800</v>
      </c>
      <c r="P863" s="5">
        <v>9000</v>
      </c>
      <c r="Q863" s="5">
        <v>76950</v>
      </c>
      <c r="R863" t="s">
        <v>95</v>
      </c>
      <c r="S863" t="s">
        <v>63</v>
      </c>
      <c r="T863" s="5">
        <v>76950</v>
      </c>
      <c r="U863" s="6">
        <v>5</v>
      </c>
      <c r="V863" t="s">
        <v>77</v>
      </c>
      <c r="W863" s="4">
        <v>46131</v>
      </c>
      <c r="X863" t="s">
        <v>77</v>
      </c>
      <c r="Y863" t="s">
        <v>64</v>
      </c>
      <c r="Z863" t="s">
        <v>78</v>
      </c>
    </row>
    <row r="864" spans="1:26">
      <c r="A864" t="s">
        <v>1543</v>
      </c>
      <c r="B864" t="s">
        <v>379</v>
      </c>
      <c r="C864" s="4">
        <v>46061</v>
      </c>
      <c r="D864" t="s">
        <v>127</v>
      </c>
      <c r="E864" t="s">
        <v>70</v>
      </c>
      <c r="F864" s="4">
        <v>46061</v>
      </c>
      <c r="G864" s="4">
        <v>46065</v>
      </c>
      <c r="H864" t="s">
        <v>90</v>
      </c>
      <c r="I864" t="s">
        <v>388</v>
      </c>
      <c r="J864" t="s">
        <v>129</v>
      </c>
      <c r="K864" t="s">
        <v>73</v>
      </c>
      <c r="L864" t="s">
        <v>61</v>
      </c>
      <c r="M864" s="5">
        <v>41400</v>
      </c>
      <c r="N864" s="5">
        <v>6900</v>
      </c>
      <c r="O864" s="5">
        <v>7000</v>
      </c>
      <c r="P864" s="5">
        <v>18000</v>
      </c>
      <c r="Q864" s="5">
        <v>74800</v>
      </c>
      <c r="R864" t="s">
        <v>75</v>
      </c>
      <c r="S864" t="s">
        <v>76</v>
      </c>
      <c r="T864" s="5">
        <v>33960</v>
      </c>
      <c r="U864" s="6">
        <v>3</v>
      </c>
      <c r="V864" t="s">
        <v>77</v>
      </c>
      <c r="W864" s="4">
        <v>46075</v>
      </c>
      <c r="X864" t="s">
        <v>64</v>
      </c>
      <c r="Y864" t="s">
        <v>64</v>
      </c>
      <c r="Z864" t="s">
        <v>78</v>
      </c>
    </row>
    <row r="865" spans="1:26">
      <c r="A865" t="s">
        <v>1544</v>
      </c>
      <c r="B865" t="s">
        <v>1545</v>
      </c>
      <c r="C865" s="4">
        <v>46149</v>
      </c>
      <c r="D865" t="s">
        <v>149</v>
      </c>
      <c r="E865" t="s">
        <v>70</v>
      </c>
      <c r="F865" s="4">
        <v>46149</v>
      </c>
      <c r="G865" s="4">
        <v>46153</v>
      </c>
      <c r="H865" t="s">
        <v>150</v>
      </c>
      <c r="I865" t="s">
        <v>187</v>
      </c>
      <c r="J865" t="s">
        <v>229</v>
      </c>
      <c r="K865" t="s">
        <v>73</v>
      </c>
      <c r="L865" t="s">
        <v>146</v>
      </c>
      <c r="M865" s="5">
        <v>35100</v>
      </c>
      <c r="N865" s="5">
        <v>4050</v>
      </c>
      <c r="O865" s="5">
        <v>4500</v>
      </c>
      <c r="P865" s="5">
        <v>18000</v>
      </c>
      <c r="Q865" s="5">
        <v>64150</v>
      </c>
      <c r="R865" t="s">
        <v>95</v>
      </c>
      <c r="S865" t="s">
        <v>63</v>
      </c>
      <c r="T865" s="5">
        <v>64150</v>
      </c>
      <c r="U865" s="6">
        <v>5</v>
      </c>
      <c r="V865" t="s">
        <v>64</v>
      </c>
      <c r="W865" s="4"/>
      <c r="X865" t="s">
        <v>65</v>
      </c>
      <c r="Y865" t="s">
        <v>64</v>
      </c>
      <c r="Z865" t="s">
        <v>78</v>
      </c>
    </row>
    <row r="866" spans="1:26">
      <c r="A866" t="s">
        <v>1546</v>
      </c>
      <c r="B866" t="s">
        <v>514</v>
      </c>
      <c r="C866" s="4">
        <v>46130</v>
      </c>
      <c r="D866" t="s">
        <v>383</v>
      </c>
      <c r="E866" t="s">
        <v>70</v>
      </c>
      <c r="F866" s="4">
        <v>46130</v>
      </c>
      <c r="G866" s="4">
        <v>46133</v>
      </c>
      <c r="H866" t="s">
        <v>90</v>
      </c>
      <c r="I866" t="s">
        <v>128</v>
      </c>
      <c r="J866" t="s">
        <v>197</v>
      </c>
      <c r="K866" t="s">
        <v>73</v>
      </c>
      <c r="L866" t="s">
        <v>74</v>
      </c>
      <c r="M866" s="5">
        <v>17700</v>
      </c>
      <c r="N866" s="5">
        <v>1800</v>
      </c>
      <c r="O866" s="5">
        <v>3850</v>
      </c>
      <c r="P866" s="5">
        <v>7500</v>
      </c>
      <c r="Q866" s="5">
        <v>32850</v>
      </c>
      <c r="R866" t="s">
        <v>85</v>
      </c>
      <c r="S866" t="s">
        <v>76</v>
      </c>
      <c r="T866" s="5">
        <v>9110</v>
      </c>
      <c r="U866" s="6">
        <v>3</v>
      </c>
      <c r="V866" t="s">
        <v>77</v>
      </c>
      <c r="W866" s="4">
        <v>46151</v>
      </c>
      <c r="X866" t="s">
        <v>77</v>
      </c>
      <c r="Y866" t="s">
        <v>64</v>
      </c>
      <c r="Z866" t="s">
        <v>96</v>
      </c>
    </row>
    <row r="867" spans="1:26">
      <c r="A867" t="s">
        <v>1547</v>
      </c>
      <c r="B867" t="s">
        <v>651</v>
      </c>
      <c r="C867" s="4">
        <v>46085</v>
      </c>
      <c r="D867" t="s">
        <v>337</v>
      </c>
      <c r="E867" t="s">
        <v>70</v>
      </c>
      <c r="F867" s="4">
        <v>46085</v>
      </c>
      <c r="G867" s="4">
        <v>46087</v>
      </c>
      <c r="H867" t="s">
        <v>57</v>
      </c>
      <c r="I867" t="s">
        <v>184</v>
      </c>
      <c r="J867" t="s">
        <v>72</v>
      </c>
      <c r="K867" t="s">
        <v>73</v>
      </c>
      <c r="L867" t="s">
        <v>61</v>
      </c>
      <c r="M867" s="5">
        <v>9300</v>
      </c>
      <c r="N867" s="5">
        <v>1550</v>
      </c>
      <c r="O867" s="5">
        <v>1100</v>
      </c>
      <c r="P867" s="5">
        <v>9000</v>
      </c>
      <c r="Q867" s="5">
        <v>22150</v>
      </c>
      <c r="R867" t="s">
        <v>141</v>
      </c>
      <c r="S867" t="s">
        <v>76</v>
      </c>
      <c r="T867" s="5">
        <v>4520</v>
      </c>
      <c r="U867" s="6">
        <v>3</v>
      </c>
      <c r="V867" t="s">
        <v>64</v>
      </c>
      <c r="W867" s="4"/>
      <c r="X867" t="s">
        <v>65</v>
      </c>
      <c r="Y867" t="s">
        <v>64</v>
      </c>
      <c r="Z867" t="s">
        <v>96</v>
      </c>
    </row>
    <row r="868" spans="1:26">
      <c r="A868" t="s">
        <v>1548</v>
      </c>
      <c r="B868" t="s">
        <v>1491</v>
      </c>
      <c r="C868" s="4">
        <v>46085</v>
      </c>
      <c r="D868" t="s">
        <v>200</v>
      </c>
      <c r="E868" t="s">
        <v>255</v>
      </c>
      <c r="F868" s="4"/>
      <c r="G868" s="4"/>
      <c r="H868" t="s">
        <v>90</v>
      </c>
      <c r="I868" t="s">
        <v>299</v>
      </c>
      <c r="J868" t="s">
        <v>92</v>
      </c>
      <c r="K868" t="s">
        <v>124</v>
      </c>
      <c r="L868" t="s">
        <v>146</v>
      </c>
      <c r="M868" s="5"/>
      <c r="N868" s="5"/>
      <c r="O868" s="5"/>
      <c r="P868" s="5"/>
      <c r="Q868" s="5"/>
      <c r="R868" t="s">
        <v>75</v>
      </c>
      <c r="S868" t="s">
        <v>63</v>
      </c>
      <c r="T868" s="5"/>
      <c r="U868" s="6"/>
      <c r="V868" t="s">
        <v>64</v>
      </c>
      <c r="W868" s="4"/>
      <c r="X868" t="s">
        <v>65</v>
      </c>
      <c r="Z868" t="s">
        <v>66</v>
      </c>
    </row>
    <row r="869" spans="1:26">
      <c r="A869" t="s">
        <v>1549</v>
      </c>
      <c r="B869" t="s">
        <v>1550</v>
      </c>
      <c r="C869" s="4">
        <v>46151</v>
      </c>
      <c r="D869" t="s">
        <v>363</v>
      </c>
      <c r="E869" t="s">
        <v>314</v>
      </c>
      <c r="F869" s="4"/>
      <c r="G869" s="4"/>
      <c r="H869" t="s">
        <v>90</v>
      </c>
      <c r="I869" t="s">
        <v>162</v>
      </c>
      <c r="J869" t="s">
        <v>92</v>
      </c>
      <c r="K869" t="s">
        <v>73</v>
      </c>
      <c r="L869" t="s">
        <v>74</v>
      </c>
      <c r="M869" s="5"/>
      <c r="N869" s="5"/>
      <c r="O869" s="5"/>
      <c r="P869" s="5"/>
      <c r="Q869" s="5"/>
      <c r="R869" t="s">
        <v>141</v>
      </c>
      <c r="S869" t="s">
        <v>63</v>
      </c>
      <c r="T869" s="5"/>
      <c r="U869" s="6"/>
      <c r="V869" t="s">
        <v>64</v>
      </c>
      <c r="W869" s="4"/>
      <c r="X869" t="s">
        <v>65</v>
      </c>
      <c r="Z869" t="s">
        <v>66</v>
      </c>
    </row>
    <row r="870" spans="1:26">
      <c r="A870" t="s">
        <v>1551</v>
      </c>
      <c r="B870" t="s">
        <v>1136</v>
      </c>
      <c r="C870" s="4">
        <v>46153</v>
      </c>
      <c r="D870" t="s">
        <v>183</v>
      </c>
      <c r="E870" t="s">
        <v>70</v>
      </c>
      <c r="F870" s="4">
        <v>46154</v>
      </c>
      <c r="G870" s="4">
        <v>46157</v>
      </c>
      <c r="H870" t="s">
        <v>178</v>
      </c>
      <c r="I870" t="s">
        <v>339</v>
      </c>
      <c r="J870" t="s">
        <v>180</v>
      </c>
      <c r="K870" t="s">
        <v>93</v>
      </c>
      <c r="L870" t="s">
        <v>94</v>
      </c>
      <c r="M870" s="5">
        <v>76700</v>
      </c>
      <c r="N870" s="5">
        <v>7250</v>
      </c>
      <c r="O870" s="5">
        <v>14750</v>
      </c>
      <c r="P870" s="5">
        <v>10500</v>
      </c>
      <c r="Q870" s="5">
        <v>110000</v>
      </c>
      <c r="R870" t="s">
        <v>95</v>
      </c>
      <c r="S870" t="s">
        <v>63</v>
      </c>
      <c r="T870" s="5">
        <v>110000</v>
      </c>
      <c r="U870" s="6">
        <v>2</v>
      </c>
      <c r="V870" t="s">
        <v>77</v>
      </c>
      <c r="W870" s="4">
        <v>46169</v>
      </c>
      <c r="X870" t="s">
        <v>64</v>
      </c>
      <c r="Y870" t="s">
        <v>64</v>
      </c>
      <c r="Z870" t="s">
        <v>78</v>
      </c>
    </row>
    <row r="871" spans="1:26">
      <c r="A871" t="s">
        <v>1552</v>
      </c>
      <c r="B871" t="s">
        <v>532</v>
      </c>
      <c r="C871" s="4">
        <v>46170</v>
      </c>
      <c r="D871" t="s">
        <v>110</v>
      </c>
      <c r="E871" t="s">
        <v>70</v>
      </c>
      <c r="F871" s="4">
        <v>46170</v>
      </c>
      <c r="G871" s="4">
        <v>46171</v>
      </c>
      <c r="H871" t="s">
        <v>90</v>
      </c>
      <c r="I871" t="s">
        <v>91</v>
      </c>
      <c r="J871" t="s">
        <v>197</v>
      </c>
      <c r="K871" t="s">
        <v>60</v>
      </c>
      <c r="L871" t="s">
        <v>61</v>
      </c>
      <c r="M871" s="5">
        <v>25200</v>
      </c>
      <c r="N871" s="5">
        <v>3600</v>
      </c>
      <c r="O871" s="5">
        <v>4100</v>
      </c>
      <c r="P871" s="5">
        <v>3000</v>
      </c>
      <c r="Q871" s="5">
        <v>37100</v>
      </c>
      <c r="R871" t="s">
        <v>75</v>
      </c>
      <c r="S871" t="s">
        <v>76</v>
      </c>
      <c r="T871" s="5">
        <v>17000</v>
      </c>
      <c r="U871" s="6">
        <v>3</v>
      </c>
      <c r="V871" t="s">
        <v>77</v>
      </c>
      <c r="W871" s="4">
        <v>46192</v>
      </c>
      <c r="X871" t="s">
        <v>77</v>
      </c>
      <c r="Y871" t="s">
        <v>64</v>
      </c>
      <c r="Z871" t="s">
        <v>96</v>
      </c>
    </row>
    <row r="872" spans="1:26">
      <c r="A872" t="s">
        <v>1553</v>
      </c>
      <c r="B872" t="s">
        <v>1554</v>
      </c>
      <c r="C872" s="4">
        <v>46151</v>
      </c>
      <c r="D872" t="s">
        <v>302</v>
      </c>
      <c r="E872" t="s">
        <v>70</v>
      </c>
      <c r="F872" s="4">
        <v>46151</v>
      </c>
      <c r="G872" s="4">
        <v>46151</v>
      </c>
      <c r="H872" t="s">
        <v>121</v>
      </c>
      <c r="I872" t="s">
        <v>122</v>
      </c>
      <c r="J872" t="s">
        <v>252</v>
      </c>
      <c r="K872" t="s">
        <v>60</v>
      </c>
      <c r="L872" t="s">
        <v>74</v>
      </c>
      <c r="M872" s="5">
        <v>96300</v>
      </c>
      <c r="N872" s="5">
        <v>16100</v>
      </c>
      <c r="O872" s="5">
        <v>12050</v>
      </c>
      <c r="P872" s="5">
        <v>0</v>
      </c>
      <c r="Q872" s="5">
        <v>125450</v>
      </c>
      <c r="R872" t="s">
        <v>95</v>
      </c>
      <c r="S872" t="s">
        <v>63</v>
      </c>
      <c r="T872" s="5">
        <v>125450</v>
      </c>
      <c r="U872" s="6">
        <v>4</v>
      </c>
      <c r="V872" t="s">
        <v>64</v>
      </c>
      <c r="W872" s="4"/>
      <c r="X872" t="s">
        <v>65</v>
      </c>
      <c r="Y872" t="s">
        <v>64</v>
      </c>
      <c r="Z872" t="s">
        <v>78</v>
      </c>
    </row>
    <row r="873" spans="1:26">
      <c r="A873" t="s">
        <v>1555</v>
      </c>
      <c r="B873" t="s">
        <v>1556</v>
      </c>
      <c r="C873" s="4">
        <v>46145</v>
      </c>
      <c r="D873" t="s">
        <v>206</v>
      </c>
      <c r="E873" t="s">
        <v>70</v>
      </c>
      <c r="F873" s="4">
        <v>46145</v>
      </c>
      <c r="G873" s="4">
        <v>46148</v>
      </c>
      <c r="H873" t="s">
        <v>111</v>
      </c>
      <c r="I873" t="s">
        <v>222</v>
      </c>
      <c r="J873" t="s">
        <v>113</v>
      </c>
      <c r="K873" t="s">
        <v>93</v>
      </c>
      <c r="L873" t="s">
        <v>94</v>
      </c>
      <c r="M873" s="5">
        <v>22000</v>
      </c>
      <c r="N873" s="5">
        <v>2150</v>
      </c>
      <c r="O873" s="5">
        <v>2650</v>
      </c>
      <c r="P873" s="5">
        <v>18000</v>
      </c>
      <c r="Q873" s="5">
        <v>45800</v>
      </c>
      <c r="R873" t="s">
        <v>106</v>
      </c>
      <c r="S873" t="s">
        <v>76</v>
      </c>
      <c r="T873" s="5">
        <v>16730</v>
      </c>
      <c r="U873" s="6">
        <v>4</v>
      </c>
      <c r="V873" t="s">
        <v>64</v>
      </c>
      <c r="W873" s="4"/>
      <c r="X873" t="s">
        <v>65</v>
      </c>
      <c r="Y873" t="s">
        <v>64</v>
      </c>
      <c r="Z873" t="s">
        <v>96</v>
      </c>
    </row>
    <row r="874" spans="1:26">
      <c r="A874" t="s">
        <v>1557</v>
      </c>
      <c r="B874" t="s">
        <v>1280</v>
      </c>
      <c r="C874" s="4">
        <v>46053</v>
      </c>
      <c r="D874" t="s">
        <v>383</v>
      </c>
      <c r="E874" t="s">
        <v>70</v>
      </c>
      <c r="F874" s="4">
        <v>46053</v>
      </c>
      <c r="G874" s="4">
        <v>46058</v>
      </c>
      <c r="H874" t="s">
        <v>111</v>
      </c>
      <c r="I874" t="s">
        <v>112</v>
      </c>
      <c r="J874" t="s">
        <v>384</v>
      </c>
      <c r="K874" t="s">
        <v>73</v>
      </c>
      <c r="L874" t="s">
        <v>94</v>
      </c>
      <c r="M874" s="5">
        <v>65400</v>
      </c>
      <c r="N874" s="5">
        <v>11600</v>
      </c>
      <c r="O874" s="5">
        <v>11950</v>
      </c>
      <c r="P874" s="5">
        <v>22500</v>
      </c>
      <c r="Q874" s="5">
        <v>112250</v>
      </c>
      <c r="R874" t="s">
        <v>106</v>
      </c>
      <c r="S874" t="s">
        <v>86</v>
      </c>
      <c r="T874" s="5">
        <v>39990</v>
      </c>
      <c r="U874" s="6">
        <v>4</v>
      </c>
      <c r="V874" t="s">
        <v>64</v>
      </c>
      <c r="W874" s="4"/>
      <c r="X874" t="s">
        <v>65</v>
      </c>
      <c r="Y874" t="s">
        <v>64</v>
      </c>
      <c r="Z874" t="s">
        <v>78</v>
      </c>
    </row>
    <row r="875" spans="1:26">
      <c r="A875" t="s">
        <v>1558</v>
      </c>
      <c r="B875" t="s">
        <v>88</v>
      </c>
      <c r="C875" s="4">
        <v>46046</v>
      </c>
      <c r="D875" t="s">
        <v>419</v>
      </c>
      <c r="E875" t="s">
        <v>70</v>
      </c>
      <c r="F875" s="4">
        <v>46046</v>
      </c>
      <c r="G875" s="4">
        <v>46046</v>
      </c>
      <c r="H875" t="s">
        <v>82</v>
      </c>
      <c r="I875" t="s">
        <v>83</v>
      </c>
      <c r="J875" t="s">
        <v>84</v>
      </c>
      <c r="K875" t="s">
        <v>93</v>
      </c>
      <c r="L875" t="s">
        <v>146</v>
      </c>
      <c r="M875" s="5">
        <v>9500</v>
      </c>
      <c r="N875" s="5">
        <v>1600</v>
      </c>
      <c r="O875" s="5">
        <v>1200</v>
      </c>
      <c r="P875" s="5">
        <v>0</v>
      </c>
      <c r="Q875" s="5">
        <v>14100</v>
      </c>
      <c r="R875" t="s">
        <v>75</v>
      </c>
      <c r="S875" t="s">
        <v>76</v>
      </c>
      <c r="T875" s="5">
        <v>6640</v>
      </c>
      <c r="U875" s="6">
        <v>5</v>
      </c>
      <c r="V875" t="s">
        <v>64</v>
      </c>
      <c r="W875" s="4"/>
      <c r="X875" t="s">
        <v>65</v>
      </c>
      <c r="Y875" t="s">
        <v>64</v>
      </c>
      <c r="Z875" t="s">
        <v>78</v>
      </c>
    </row>
    <row r="876" spans="1:26">
      <c r="A876" t="s">
        <v>1559</v>
      </c>
      <c r="B876" t="s">
        <v>615</v>
      </c>
      <c r="C876" s="4">
        <v>46049</v>
      </c>
      <c r="D876" t="s">
        <v>217</v>
      </c>
      <c r="E876" t="s">
        <v>70</v>
      </c>
      <c r="F876" s="4">
        <v>46049</v>
      </c>
      <c r="G876" s="4">
        <v>46052</v>
      </c>
      <c r="H876" t="s">
        <v>201</v>
      </c>
      <c r="I876" t="s">
        <v>515</v>
      </c>
      <c r="J876" t="s">
        <v>203</v>
      </c>
      <c r="K876" t="s">
        <v>73</v>
      </c>
      <c r="L876" t="s">
        <v>74</v>
      </c>
      <c r="M876" s="5">
        <v>32800</v>
      </c>
      <c r="N876" s="5">
        <v>4750</v>
      </c>
      <c r="O876" s="5">
        <v>5050</v>
      </c>
      <c r="P876" s="5">
        <v>7500</v>
      </c>
      <c r="Q876" s="5">
        <v>51300</v>
      </c>
      <c r="R876" t="s">
        <v>134</v>
      </c>
      <c r="S876" t="s">
        <v>76</v>
      </c>
      <c r="T876" s="5">
        <v>28420</v>
      </c>
      <c r="U876" s="6">
        <v>4</v>
      </c>
      <c r="V876" t="s">
        <v>77</v>
      </c>
      <c r="W876" s="4">
        <v>46059</v>
      </c>
      <c r="X876" t="s">
        <v>64</v>
      </c>
      <c r="Y876" t="s">
        <v>64</v>
      </c>
      <c r="Z876" t="s">
        <v>96</v>
      </c>
    </row>
    <row r="877" spans="1:26">
      <c r="A877" t="s">
        <v>1560</v>
      </c>
      <c r="B877" t="s">
        <v>1335</v>
      </c>
      <c r="C877" s="4">
        <v>46100</v>
      </c>
      <c r="D877" t="s">
        <v>149</v>
      </c>
      <c r="E877" t="s">
        <v>70</v>
      </c>
      <c r="F877" s="4">
        <v>46100</v>
      </c>
      <c r="G877" s="4">
        <v>46107</v>
      </c>
      <c r="H877" t="s">
        <v>111</v>
      </c>
      <c r="I877" t="s">
        <v>397</v>
      </c>
      <c r="J877" t="s">
        <v>384</v>
      </c>
      <c r="K877" t="s">
        <v>124</v>
      </c>
      <c r="L877" t="s">
        <v>94</v>
      </c>
      <c r="M877" s="5">
        <v>48500</v>
      </c>
      <c r="N877" s="5">
        <v>8650</v>
      </c>
      <c r="O877" s="5">
        <v>7050</v>
      </c>
      <c r="P877" s="5">
        <v>42000</v>
      </c>
      <c r="Q877" s="5">
        <v>108200</v>
      </c>
      <c r="R877" t="s">
        <v>95</v>
      </c>
      <c r="S877" t="s">
        <v>63</v>
      </c>
      <c r="T877" s="5">
        <v>108200</v>
      </c>
      <c r="U877" s="6">
        <v>5</v>
      </c>
      <c r="V877" t="s">
        <v>77</v>
      </c>
      <c r="W877" s="4">
        <v>46123</v>
      </c>
      <c r="X877" t="s">
        <v>77</v>
      </c>
      <c r="Y877" t="s">
        <v>64</v>
      </c>
      <c r="Z877" t="s">
        <v>78</v>
      </c>
    </row>
    <row r="878" spans="1:26">
      <c r="A878" t="s">
        <v>1561</v>
      </c>
      <c r="B878" t="s">
        <v>1562</v>
      </c>
      <c r="C878" s="4">
        <v>46049</v>
      </c>
      <c r="D878" t="s">
        <v>234</v>
      </c>
      <c r="E878" t="s">
        <v>177</v>
      </c>
      <c r="F878" s="4"/>
      <c r="G878" s="4"/>
      <c r="H878" t="s">
        <v>201</v>
      </c>
      <c r="I878" t="s">
        <v>515</v>
      </c>
      <c r="J878" t="s">
        <v>203</v>
      </c>
      <c r="K878" t="s">
        <v>73</v>
      </c>
      <c r="L878" t="s">
        <v>146</v>
      </c>
      <c r="M878" s="5"/>
      <c r="N878" s="5"/>
      <c r="O878" s="5"/>
      <c r="P878" s="5"/>
      <c r="Q878" s="5"/>
      <c r="R878" t="s">
        <v>85</v>
      </c>
      <c r="S878" t="s">
        <v>63</v>
      </c>
      <c r="T878" s="5"/>
      <c r="U878" s="6"/>
      <c r="V878" t="s">
        <v>64</v>
      </c>
      <c r="W878" s="4"/>
      <c r="X878" t="s">
        <v>65</v>
      </c>
      <c r="Z878" t="s">
        <v>66</v>
      </c>
    </row>
    <row r="879" spans="1:26">
      <c r="A879" t="s">
        <v>1563</v>
      </c>
      <c r="B879" t="s">
        <v>909</v>
      </c>
      <c r="C879" s="4">
        <v>46157</v>
      </c>
      <c r="D879" t="s">
        <v>298</v>
      </c>
      <c r="E879" t="s">
        <v>70</v>
      </c>
      <c r="F879" s="4">
        <v>46158</v>
      </c>
      <c r="G879" s="4">
        <v>46158</v>
      </c>
      <c r="H879" t="s">
        <v>90</v>
      </c>
      <c r="I879" t="s">
        <v>299</v>
      </c>
      <c r="J879" t="s">
        <v>197</v>
      </c>
      <c r="K879" t="s">
        <v>60</v>
      </c>
      <c r="L879" t="s">
        <v>94</v>
      </c>
      <c r="M879" s="5">
        <v>14500</v>
      </c>
      <c r="N879" s="5">
        <v>2150</v>
      </c>
      <c r="O879" s="5">
        <v>2850</v>
      </c>
      <c r="P879" s="5">
        <v>0</v>
      </c>
      <c r="Q879" s="5">
        <v>21000</v>
      </c>
      <c r="R879" t="s">
        <v>141</v>
      </c>
      <c r="S879" t="s">
        <v>86</v>
      </c>
      <c r="T879" s="5">
        <v>4350</v>
      </c>
      <c r="U879" s="6">
        <v>5</v>
      </c>
      <c r="V879" t="s">
        <v>64</v>
      </c>
      <c r="W879" s="4"/>
      <c r="X879" t="s">
        <v>65</v>
      </c>
      <c r="Y879" t="s">
        <v>64</v>
      </c>
      <c r="Z879" t="s">
        <v>78</v>
      </c>
    </row>
    <row r="880" spans="1:26">
      <c r="A880" t="s">
        <v>1564</v>
      </c>
      <c r="B880" t="s">
        <v>1110</v>
      </c>
      <c r="C880" s="4">
        <v>46045</v>
      </c>
      <c r="D880" t="s">
        <v>225</v>
      </c>
      <c r="E880" t="s">
        <v>70</v>
      </c>
      <c r="F880" s="4">
        <v>46045</v>
      </c>
      <c r="G880" s="4">
        <v>46045</v>
      </c>
      <c r="H880" t="s">
        <v>138</v>
      </c>
      <c r="I880" t="s">
        <v>139</v>
      </c>
      <c r="J880" t="s">
        <v>261</v>
      </c>
      <c r="K880" t="s">
        <v>60</v>
      </c>
      <c r="L880" t="s">
        <v>94</v>
      </c>
      <c r="M880" s="5">
        <v>6200</v>
      </c>
      <c r="N880" s="5">
        <v>850</v>
      </c>
      <c r="O880" s="5">
        <v>1050</v>
      </c>
      <c r="P880" s="5">
        <v>0</v>
      </c>
      <c r="Q880" s="5">
        <v>10100</v>
      </c>
      <c r="R880" t="s">
        <v>95</v>
      </c>
      <c r="S880" t="s">
        <v>63</v>
      </c>
      <c r="T880" s="5">
        <v>10100</v>
      </c>
      <c r="U880" s="6">
        <v>5</v>
      </c>
      <c r="V880" t="s">
        <v>77</v>
      </c>
      <c r="W880" s="4">
        <v>46052</v>
      </c>
      <c r="X880" t="s">
        <v>77</v>
      </c>
      <c r="Y880" t="s">
        <v>64</v>
      </c>
      <c r="Z880" t="s">
        <v>96</v>
      </c>
    </row>
    <row r="881" spans="1:26">
      <c r="A881" t="s">
        <v>1565</v>
      </c>
      <c r="B881" t="s">
        <v>684</v>
      </c>
      <c r="C881" s="4">
        <v>46060</v>
      </c>
      <c r="D881" t="s">
        <v>144</v>
      </c>
      <c r="E881" t="s">
        <v>70</v>
      </c>
      <c r="F881" s="4">
        <v>46060</v>
      </c>
      <c r="G881" s="4">
        <v>46061</v>
      </c>
      <c r="H881" t="s">
        <v>103</v>
      </c>
      <c r="I881" t="s">
        <v>214</v>
      </c>
      <c r="J881" t="s">
        <v>145</v>
      </c>
      <c r="K881" t="s">
        <v>60</v>
      </c>
      <c r="L881" t="s">
        <v>94</v>
      </c>
      <c r="M881" s="5">
        <v>34100</v>
      </c>
      <c r="N881" s="5">
        <v>2800</v>
      </c>
      <c r="O881" s="5">
        <v>8150</v>
      </c>
      <c r="P881" s="5">
        <v>6000</v>
      </c>
      <c r="Q881" s="5">
        <v>51850</v>
      </c>
      <c r="R881" t="s">
        <v>106</v>
      </c>
      <c r="S881" t="s">
        <v>86</v>
      </c>
      <c r="T881" s="5">
        <v>18850</v>
      </c>
      <c r="U881" s="6">
        <v>4</v>
      </c>
      <c r="V881" t="s">
        <v>77</v>
      </c>
      <c r="W881" s="4">
        <v>46076</v>
      </c>
      <c r="X881" t="s">
        <v>77</v>
      </c>
      <c r="Y881" t="s">
        <v>64</v>
      </c>
      <c r="Z881" t="s">
        <v>96</v>
      </c>
    </row>
    <row r="882" spans="1:26">
      <c r="A882" t="s">
        <v>1566</v>
      </c>
      <c r="B882" t="s">
        <v>841</v>
      </c>
      <c r="C882" s="4">
        <v>46110</v>
      </c>
      <c r="D882" t="s">
        <v>225</v>
      </c>
      <c r="E882" t="s">
        <v>70</v>
      </c>
      <c r="F882" s="4">
        <v>46110</v>
      </c>
      <c r="G882" s="4">
        <v>46118</v>
      </c>
      <c r="H882" t="s">
        <v>201</v>
      </c>
      <c r="I882" t="s">
        <v>202</v>
      </c>
      <c r="J882" t="s">
        <v>295</v>
      </c>
      <c r="K882" t="s">
        <v>124</v>
      </c>
      <c r="L882" t="s">
        <v>94</v>
      </c>
      <c r="M882" s="5">
        <v>68500</v>
      </c>
      <c r="N882" s="5">
        <v>7250</v>
      </c>
      <c r="O882" s="5">
        <v>7200</v>
      </c>
      <c r="P882" s="5">
        <v>36000</v>
      </c>
      <c r="Q882" s="5">
        <v>121450</v>
      </c>
      <c r="R882" t="s">
        <v>106</v>
      </c>
      <c r="S882" t="s">
        <v>86</v>
      </c>
      <c r="T882" s="5">
        <v>43210</v>
      </c>
      <c r="U882" s="6">
        <v>4</v>
      </c>
      <c r="V882" t="s">
        <v>77</v>
      </c>
      <c r="W882" s="4">
        <v>46127</v>
      </c>
      <c r="X882" t="s">
        <v>77</v>
      </c>
      <c r="Y882" t="s">
        <v>64</v>
      </c>
      <c r="Z882" t="s">
        <v>78</v>
      </c>
    </row>
    <row r="883" spans="1:26">
      <c r="A883" t="s">
        <v>1567</v>
      </c>
      <c r="B883" t="s">
        <v>1376</v>
      </c>
      <c r="C883" s="4">
        <v>46036</v>
      </c>
      <c r="D883" t="s">
        <v>432</v>
      </c>
      <c r="E883" t="s">
        <v>338</v>
      </c>
      <c r="F883" s="4"/>
      <c r="G883" s="4"/>
      <c r="H883" t="s">
        <v>90</v>
      </c>
      <c r="I883" t="s">
        <v>128</v>
      </c>
      <c r="J883" t="s">
        <v>129</v>
      </c>
      <c r="K883" t="s">
        <v>73</v>
      </c>
      <c r="L883" t="s">
        <v>94</v>
      </c>
      <c r="M883" s="5"/>
      <c r="N883" s="5"/>
      <c r="O883" s="5"/>
      <c r="P883" s="5"/>
      <c r="Q883" s="5"/>
      <c r="R883" t="s">
        <v>75</v>
      </c>
      <c r="S883" t="s">
        <v>63</v>
      </c>
      <c r="T883" s="5"/>
      <c r="U883" s="6"/>
      <c r="V883" t="s">
        <v>64</v>
      </c>
      <c r="W883" s="4"/>
      <c r="X883" t="s">
        <v>65</v>
      </c>
      <c r="Z883" t="s">
        <v>66</v>
      </c>
    </row>
    <row r="884" spans="1:26">
      <c r="A884" t="s">
        <v>1568</v>
      </c>
      <c r="B884" t="s">
        <v>1076</v>
      </c>
      <c r="C884" s="4">
        <v>46094</v>
      </c>
      <c r="D884" t="s">
        <v>383</v>
      </c>
      <c r="E884" t="s">
        <v>70</v>
      </c>
      <c r="F884" s="4">
        <v>46094</v>
      </c>
      <c r="G884" s="4">
        <v>46096</v>
      </c>
      <c r="H884" t="s">
        <v>103</v>
      </c>
      <c r="I884" t="s">
        <v>214</v>
      </c>
      <c r="J884" t="s">
        <v>145</v>
      </c>
      <c r="K884" t="s">
        <v>73</v>
      </c>
      <c r="L884" t="s">
        <v>94</v>
      </c>
      <c r="M884" s="5">
        <v>23700</v>
      </c>
      <c r="N884" s="5">
        <v>3700</v>
      </c>
      <c r="O884" s="5">
        <v>4950</v>
      </c>
      <c r="P884" s="5">
        <v>12000</v>
      </c>
      <c r="Q884" s="5">
        <v>45150</v>
      </c>
      <c r="R884" t="s">
        <v>85</v>
      </c>
      <c r="S884" t="s">
        <v>163</v>
      </c>
      <c r="T884" s="5">
        <v>12190</v>
      </c>
      <c r="U884" s="6">
        <v>5</v>
      </c>
      <c r="V884" t="s">
        <v>77</v>
      </c>
      <c r="W884" s="4">
        <v>46106</v>
      </c>
      <c r="X884" t="s">
        <v>77</v>
      </c>
      <c r="Y884" t="s">
        <v>64</v>
      </c>
      <c r="Z884" t="s">
        <v>96</v>
      </c>
    </row>
    <row r="885" spans="1:26">
      <c r="A885" t="s">
        <v>1569</v>
      </c>
      <c r="B885" t="s">
        <v>799</v>
      </c>
      <c r="C885" s="4">
        <v>46082</v>
      </c>
      <c r="D885" t="s">
        <v>55</v>
      </c>
      <c r="E885" t="s">
        <v>70</v>
      </c>
      <c r="F885" s="4">
        <v>46082</v>
      </c>
      <c r="G885" s="4">
        <v>46083</v>
      </c>
      <c r="H885" t="s">
        <v>57</v>
      </c>
      <c r="I885" t="s">
        <v>184</v>
      </c>
      <c r="J885" t="s">
        <v>72</v>
      </c>
      <c r="K885" t="s">
        <v>60</v>
      </c>
      <c r="L885" t="s">
        <v>74</v>
      </c>
      <c r="M885" s="5">
        <v>7300</v>
      </c>
      <c r="N885" s="5">
        <v>750</v>
      </c>
      <c r="O885" s="5">
        <v>800</v>
      </c>
      <c r="P885" s="5">
        <v>6000</v>
      </c>
      <c r="Q885" s="5">
        <v>16050</v>
      </c>
      <c r="R885" t="s">
        <v>106</v>
      </c>
      <c r="S885" t="s">
        <v>76</v>
      </c>
      <c r="T885" s="5">
        <v>6320</v>
      </c>
      <c r="U885" s="6">
        <v>4</v>
      </c>
      <c r="V885" t="s">
        <v>64</v>
      </c>
      <c r="W885" s="4"/>
      <c r="X885" t="s">
        <v>65</v>
      </c>
      <c r="Y885" t="s">
        <v>64</v>
      </c>
      <c r="Z885" t="s">
        <v>96</v>
      </c>
    </row>
    <row r="886" spans="1:26">
      <c r="A886" t="s">
        <v>1570</v>
      </c>
      <c r="B886" t="s">
        <v>794</v>
      </c>
      <c r="C886" s="4">
        <v>46107</v>
      </c>
      <c r="D886" t="s">
        <v>432</v>
      </c>
      <c r="E886" t="s">
        <v>70</v>
      </c>
      <c r="F886" s="4">
        <v>46107</v>
      </c>
      <c r="G886" s="4">
        <v>46107</v>
      </c>
      <c r="H886" t="s">
        <v>57</v>
      </c>
      <c r="I886" t="s">
        <v>58</v>
      </c>
      <c r="J886" t="s">
        <v>170</v>
      </c>
      <c r="K886" t="s">
        <v>60</v>
      </c>
      <c r="L886" t="s">
        <v>94</v>
      </c>
      <c r="M886" s="5">
        <v>72200</v>
      </c>
      <c r="N886" s="5">
        <v>11250</v>
      </c>
      <c r="O886" s="5">
        <v>8400</v>
      </c>
      <c r="P886" s="5">
        <v>0</v>
      </c>
      <c r="Q886" s="5">
        <v>94350</v>
      </c>
      <c r="R886" t="s">
        <v>75</v>
      </c>
      <c r="S886" t="s">
        <v>76</v>
      </c>
      <c r="T886" s="5">
        <v>42760</v>
      </c>
      <c r="U886" s="6">
        <v>3</v>
      </c>
      <c r="V886" t="s">
        <v>77</v>
      </c>
      <c r="W886" s="4">
        <v>46120</v>
      </c>
      <c r="X886" t="s">
        <v>64</v>
      </c>
      <c r="Y886" t="s">
        <v>64</v>
      </c>
      <c r="Z886" t="s">
        <v>96</v>
      </c>
    </row>
    <row r="887" spans="1:26">
      <c r="A887" t="s">
        <v>1571</v>
      </c>
      <c r="B887" t="s">
        <v>1572</v>
      </c>
      <c r="C887" s="4">
        <v>46125</v>
      </c>
      <c r="D887" t="s">
        <v>200</v>
      </c>
      <c r="E887" t="s">
        <v>255</v>
      </c>
      <c r="F887" s="4"/>
      <c r="G887" s="4"/>
      <c r="H887" t="s">
        <v>138</v>
      </c>
      <c r="I887" t="s">
        <v>444</v>
      </c>
      <c r="J887" t="s">
        <v>261</v>
      </c>
      <c r="K887" t="s">
        <v>124</v>
      </c>
      <c r="L887" t="s">
        <v>94</v>
      </c>
      <c r="M887" s="5"/>
      <c r="N887" s="5"/>
      <c r="O887" s="5"/>
      <c r="P887" s="5"/>
      <c r="Q887" s="5"/>
      <c r="R887" t="s">
        <v>134</v>
      </c>
      <c r="S887" t="s">
        <v>63</v>
      </c>
      <c r="T887" s="5"/>
      <c r="U887" s="6"/>
      <c r="V887" t="s">
        <v>64</v>
      </c>
      <c r="W887" s="4"/>
      <c r="X887" t="s">
        <v>65</v>
      </c>
      <c r="Z887" t="s">
        <v>66</v>
      </c>
    </row>
    <row r="888" spans="1:26">
      <c r="A888" t="s">
        <v>1573</v>
      </c>
      <c r="B888" t="s">
        <v>1141</v>
      </c>
      <c r="C888" s="4">
        <v>46043</v>
      </c>
      <c r="D888" t="s">
        <v>210</v>
      </c>
      <c r="E888" t="s">
        <v>70</v>
      </c>
      <c r="F888" s="4">
        <v>46043</v>
      </c>
      <c r="G888" s="4">
        <v>46043</v>
      </c>
      <c r="H888" t="s">
        <v>138</v>
      </c>
      <c r="I888" t="s">
        <v>260</v>
      </c>
      <c r="J888" t="s">
        <v>140</v>
      </c>
      <c r="K888" t="s">
        <v>60</v>
      </c>
      <c r="L888" t="s">
        <v>74</v>
      </c>
      <c r="M888" s="5">
        <v>16600</v>
      </c>
      <c r="N888" s="5">
        <v>2300</v>
      </c>
      <c r="O888" s="5">
        <v>2050</v>
      </c>
      <c r="P888" s="5">
        <v>0</v>
      </c>
      <c r="Q888" s="5">
        <v>23450</v>
      </c>
      <c r="R888" t="s">
        <v>141</v>
      </c>
      <c r="S888" t="s">
        <v>76</v>
      </c>
      <c r="T888" s="5">
        <v>4720</v>
      </c>
      <c r="U888" s="6">
        <v>4</v>
      </c>
      <c r="V888" t="s">
        <v>77</v>
      </c>
      <c r="W888" s="4">
        <v>46061</v>
      </c>
      <c r="X888" t="s">
        <v>77</v>
      </c>
      <c r="Y888" t="s">
        <v>64</v>
      </c>
      <c r="Z888" t="s">
        <v>96</v>
      </c>
    </row>
    <row r="889" spans="1:26">
      <c r="A889" t="s">
        <v>1574</v>
      </c>
      <c r="B889" t="s">
        <v>1270</v>
      </c>
      <c r="C889" s="4">
        <v>46053</v>
      </c>
      <c r="D889" t="s">
        <v>137</v>
      </c>
      <c r="E889" t="s">
        <v>70</v>
      </c>
      <c r="F889" s="4">
        <v>46053</v>
      </c>
      <c r="G889" s="4">
        <v>46058</v>
      </c>
      <c r="H889" t="s">
        <v>178</v>
      </c>
      <c r="I889" t="s">
        <v>179</v>
      </c>
      <c r="J889" t="s">
        <v>358</v>
      </c>
      <c r="K889" t="s">
        <v>93</v>
      </c>
      <c r="L889" t="s">
        <v>74</v>
      </c>
      <c r="M889" s="5">
        <v>51400</v>
      </c>
      <c r="N889" s="5">
        <v>5700</v>
      </c>
      <c r="O889" s="5">
        <v>6000</v>
      </c>
      <c r="P889" s="5">
        <v>22500</v>
      </c>
      <c r="Q889" s="5">
        <v>86600</v>
      </c>
      <c r="R889" t="s">
        <v>141</v>
      </c>
      <c r="S889" t="s">
        <v>76</v>
      </c>
      <c r="T889" s="5">
        <v>14190</v>
      </c>
      <c r="U889" s="6">
        <v>5</v>
      </c>
      <c r="V889" t="s">
        <v>77</v>
      </c>
      <c r="W889" s="4">
        <v>46076</v>
      </c>
      <c r="X889" t="s">
        <v>77</v>
      </c>
      <c r="Y889" t="s">
        <v>64</v>
      </c>
      <c r="Z889" t="s">
        <v>96</v>
      </c>
    </row>
    <row r="890" spans="1:26">
      <c r="A890" t="s">
        <v>1575</v>
      </c>
      <c r="B890" t="s">
        <v>1123</v>
      </c>
      <c r="C890" s="4">
        <v>46044</v>
      </c>
      <c r="D890" t="s">
        <v>89</v>
      </c>
      <c r="E890" t="s">
        <v>70</v>
      </c>
      <c r="F890" s="4">
        <v>46044</v>
      </c>
      <c r="G890" s="4">
        <v>46044</v>
      </c>
      <c r="H890" t="s">
        <v>57</v>
      </c>
      <c r="I890" t="s">
        <v>100</v>
      </c>
      <c r="J890" t="s">
        <v>170</v>
      </c>
      <c r="K890" t="s">
        <v>60</v>
      </c>
      <c r="L890" t="s">
        <v>94</v>
      </c>
      <c r="M890" s="5">
        <v>77800</v>
      </c>
      <c r="N890" s="5">
        <v>7900</v>
      </c>
      <c r="O890" s="5">
        <v>16800</v>
      </c>
      <c r="P890" s="5">
        <v>0</v>
      </c>
      <c r="Q890" s="5">
        <v>104500</v>
      </c>
      <c r="R890" t="s">
        <v>85</v>
      </c>
      <c r="S890" t="s">
        <v>76</v>
      </c>
      <c r="T890" s="5">
        <v>27020</v>
      </c>
      <c r="U890" s="6">
        <v>4</v>
      </c>
      <c r="V890" t="s">
        <v>77</v>
      </c>
      <c r="W890" s="4">
        <v>46051</v>
      </c>
      <c r="X890" t="s">
        <v>77</v>
      </c>
      <c r="Y890" t="s">
        <v>64</v>
      </c>
      <c r="Z890" t="s">
        <v>78</v>
      </c>
    </row>
    <row r="891" spans="1:26">
      <c r="A891" t="s">
        <v>1576</v>
      </c>
      <c r="B891" t="s">
        <v>265</v>
      </c>
      <c r="C891" s="4">
        <v>46073</v>
      </c>
      <c r="D891" t="s">
        <v>206</v>
      </c>
      <c r="E891" t="s">
        <v>70</v>
      </c>
      <c r="F891" s="4">
        <v>46074</v>
      </c>
      <c r="G891" s="4">
        <v>46075</v>
      </c>
      <c r="H891" t="s">
        <v>111</v>
      </c>
      <c r="I891" t="s">
        <v>112</v>
      </c>
      <c r="J891" t="s">
        <v>117</v>
      </c>
      <c r="K891" t="s">
        <v>124</v>
      </c>
      <c r="L891" t="s">
        <v>94</v>
      </c>
      <c r="M891" s="5">
        <v>7100</v>
      </c>
      <c r="N891" s="5">
        <v>850</v>
      </c>
      <c r="O891" s="5">
        <v>1750</v>
      </c>
      <c r="P891" s="5">
        <v>4500</v>
      </c>
      <c r="Q891" s="5">
        <v>15000</v>
      </c>
      <c r="R891" t="s">
        <v>75</v>
      </c>
      <c r="S891" t="s">
        <v>76</v>
      </c>
      <c r="T891" s="5">
        <v>7050</v>
      </c>
      <c r="U891" s="6">
        <v>4</v>
      </c>
      <c r="V891" t="s">
        <v>77</v>
      </c>
      <c r="W891" s="4">
        <v>46088</v>
      </c>
      <c r="X891" t="s">
        <v>64</v>
      </c>
      <c r="Y891" t="s">
        <v>64</v>
      </c>
      <c r="Z891" t="s">
        <v>96</v>
      </c>
    </row>
    <row r="892" spans="1:26">
      <c r="A892" t="s">
        <v>1577</v>
      </c>
      <c r="B892" t="s">
        <v>1429</v>
      </c>
      <c r="C892" s="4">
        <v>46149</v>
      </c>
      <c r="D892" t="s">
        <v>217</v>
      </c>
      <c r="E892" t="s">
        <v>70</v>
      </c>
      <c r="F892" s="4">
        <v>46149</v>
      </c>
      <c r="G892" s="4">
        <v>46152</v>
      </c>
      <c r="H892" t="s">
        <v>138</v>
      </c>
      <c r="I892" t="s">
        <v>260</v>
      </c>
      <c r="J892" t="s">
        <v>236</v>
      </c>
      <c r="K892" t="s">
        <v>124</v>
      </c>
      <c r="L892" t="s">
        <v>74</v>
      </c>
      <c r="M892" s="5">
        <v>29500</v>
      </c>
      <c r="N892" s="5">
        <v>4150</v>
      </c>
      <c r="O892" s="5">
        <v>3650</v>
      </c>
      <c r="P892" s="5">
        <v>18000</v>
      </c>
      <c r="Q892" s="5">
        <v>57800</v>
      </c>
      <c r="R892" t="s">
        <v>95</v>
      </c>
      <c r="S892" t="s">
        <v>63</v>
      </c>
      <c r="T892" s="5">
        <v>57800</v>
      </c>
      <c r="U892" s="6">
        <v>3</v>
      </c>
      <c r="V892" t="s">
        <v>77</v>
      </c>
      <c r="W892" s="4">
        <v>46166</v>
      </c>
      <c r="X892" t="s">
        <v>64</v>
      </c>
      <c r="Y892" t="s">
        <v>64</v>
      </c>
      <c r="Z892" t="s">
        <v>96</v>
      </c>
    </row>
    <row r="893" spans="1:26">
      <c r="A893" t="s">
        <v>1578</v>
      </c>
      <c r="B893" t="s">
        <v>530</v>
      </c>
      <c r="C893" s="4">
        <v>46078</v>
      </c>
      <c r="D893" t="s">
        <v>469</v>
      </c>
      <c r="E893" t="s">
        <v>314</v>
      </c>
      <c r="F893" s="4"/>
      <c r="G893" s="4"/>
      <c r="H893" t="s">
        <v>201</v>
      </c>
      <c r="I893" t="s">
        <v>515</v>
      </c>
      <c r="J893" t="s">
        <v>281</v>
      </c>
      <c r="K893" t="s">
        <v>73</v>
      </c>
      <c r="L893" t="s">
        <v>74</v>
      </c>
      <c r="M893" s="5"/>
      <c r="N893" s="5"/>
      <c r="O893" s="5"/>
      <c r="P893" s="5"/>
      <c r="Q893" s="5"/>
      <c r="R893" t="s">
        <v>75</v>
      </c>
      <c r="S893" t="s">
        <v>63</v>
      </c>
      <c r="T893" s="5"/>
      <c r="U893" s="6"/>
      <c r="V893" t="s">
        <v>64</v>
      </c>
      <c r="W893" s="4"/>
      <c r="X893" t="s">
        <v>65</v>
      </c>
      <c r="Z893" t="s">
        <v>66</v>
      </c>
    </row>
    <row r="894" spans="1:26">
      <c r="A894" t="s">
        <v>1579</v>
      </c>
      <c r="B894" t="s">
        <v>1332</v>
      </c>
      <c r="C894" s="4">
        <v>46089</v>
      </c>
      <c r="D894" t="s">
        <v>210</v>
      </c>
      <c r="E894" t="s">
        <v>70</v>
      </c>
      <c r="F894" s="4">
        <v>46090</v>
      </c>
      <c r="G894" s="4">
        <v>46095</v>
      </c>
      <c r="H894" t="s">
        <v>121</v>
      </c>
      <c r="I894" t="s">
        <v>174</v>
      </c>
      <c r="J894" t="s">
        <v>123</v>
      </c>
      <c r="K894" t="s">
        <v>73</v>
      </c>
      <c r="L894" t="s">
        <v>61</v>
      </c>
      <c r="M894" s="5">
        <v>31800</v>
      </c>
      <c r="N894" s="5">
        <v>4050</v>
      </c>
      <c r="O894" s="5">
        <v>4800</v>
      </c>
      <c r="P894" s="5">
        <v>30000</v>
      </c>
      <c r="Q894" s="5">
        <v>72450</v>
      </c>
      <c r="R894" t="s">
        <v>95</v>
      </c>
      <c r="S894" t="s">
        <v>63</v>
      </c>
      <c r="T894" s="5">
        <v>72450</v>
      </c>
      <c r="U894" s="6">
        <v>3</v>
      </c>
      <c r="V894" t="s">
        <v>64</v>
      </c>
      <c r="W894" s="4"/>
      <c r="X894" t="s">
        <v>65</v>
      </c>
      <c r="Y894" t="s">
        <v>77</v>
      </c>
      <c r="Z894" t="s">
        <v>96</v>
      </c>
    </row>
    <row r="895" spans="1:26">
      <c r="A895" t="s">
        <v>1580</v>
      </c>
      <c r="B895" t="s">
        <v>1581</v>
      </c>
      <c r="C895" s="4">
        <v>46109</v>
      </c>
      <c r="D895" t="s">
        <v>69</v>
      </c>
      <c r="E895" t="s">
        <v>70</v>
      </c>
      <c r="F895" s="4">
        <v>46109</v>
      </c>
      <c r="G895" s="4">
        <v>46109</v>
      </c>
      <c r="H895" t="s">
        <v>57</v>
      </c>
      <c r="I895" t="s">
        <v>71</v>
      </c>
      <c r="J895" t="s">
        <v>59</v>
      </c>
      <c r="K895" t="s">
        <v>60</v>
      </c>
      <c r="L895" t="s">
        <v>74</v>
      </c>
      <c r="M895" s="5">
        <v>49300</v>
      </c>
      <c r="N895" s="5">
        <v>6300</v>
      </c>
      <c r="O895" s="5">
        <v>8200</v>
      </c>
      <c r="P895" s="5">
        <v>0</v>
      </c>
      <c r="Q895" s="5">
        <v>65600</v>
      </c>
      <c r="R895" t="s">
        <v>141</v>
      </c>
      <c r="S895" t="s">
        <v>76</v>
      </c>
      <c r="T895" s="5">
        <v>11040</v>
      </c>
      <c r="U895" s="6">
        <v>4</v>
      </c>
      <c r="V895" t="s">
        <v>77</v>
      </c>
      <c r="W895" s="4">
        <v>46130</v>
      </c>
      <c r="X895" t="s">
        <v>77</v>
      </c>
      <c r="Y895" t="s">
        <v>77</v>
      </c>
      <c r="Z895" t="s">
        <v>78</v>
      </c>
    </row>
    <row r="896" spans="1:26">
      <c r="A896" t="s">
        <v>1582</v>
      </c>
      <c r="B896" t="s">
        <v>1583</v>
      </c>
      <c r="C896" s="4">
        <v>46160</v>
      </c>
      <c r="D896" t="s">
        <v>266</v>
      </c>
      <c r="E896" t="s">
        <v>70</v>
      </c>
      <c r="F896" s="4">
        <v>46160</v>
      </c>
      <c r="G896" s="4">
        <v>46169</v>
      </c>
      <c r="H896" t="s">
        <v>121</v>
      </c>
      <c r="I896" t="s">
        <v>174</v>
      </c>
      <c r="J896" t="s">
        <v>252</v>
      </c>
      <c r="K896" t="s">
        <v>124</v>
      </c>
      <c r="L896" t="s">
        <v>94</v>
      </c>
      <c r="M896" s="5">
        <v>62200</v>
      </c>
      <c r="N896" s="5">
        <v>8800</v>
      </c>
      <c r="O896" s="5">
        <v>14600</v>
      </c>
      <c r="P896" s="5">
        <v>40500</v>
      </c>
      <c r="Q896" s="5">
        <v>127900</v>
      </c>
      <c r="R896" t="s">
        <v>141</v>
      </c>
      <c r="S896" t="s">
        <v>163</v>
      </c>
      <c r="T896" s="5">
        <v>20390</v>
      </c>
      <c r="U896" s="6">
        <v>4</v>
      </c>
      <c r="V896" t="s">
        <v>77</v>
      </c>
      <c r="W896" s="4">
        <v>46189</v>
      </c>
      <c r="X896" t="s">
        <v>77</v>
      </c>
      <c r="Y896" t="s">
        <v>64</v>
      </c>
      <c r="Z896" t="s">
        <v>96</v>
      </c>
    </row>
    <row r="897" spans="1:26">
      <c r="A897" t="s">
        <v>1584</v>
      </c>
      <c r="B897" t="s">
        <v>377</v>
      </c>
      <c r="C897" s="4">
        <v>46139</v>
      </c>
      <c r="D897" t="s">
        <v>210</v>
      </c>
      <c r="E897" t="s">
        <v>70</v>
      </c>
      <c r="F897" s="4">
        <v>46139</v>
      </c>
      <c r="G897" s="4">
        <v>46139</v>
      </c>
      <c r="H897" t="s">
        <v>103</v>
      </c>
      <c r="I897" t="s">
        <v>207</v>
      </c>
      <c r="J897" t="s">
        <v>105</v>
      </c>
      <c r="K897" t="s">
        <v>60</v>
      </c>
      <c r="L897" t="s">
        <v>94</v>
      </c>
      <c r="M897" s="5">
        <v>41800</v>
      </c>
      <c r="N897" s="5">
        <v>7300</v>
      </c>
      <c r="O897" s="5">
        <v>7100</v>
      </c>
      <c r="P897" s="5">
        <v>0</v>
      </c>
      <c r="Q897" s="5">
        <v>57700</v>
      </c>
      <c r="R897" t="s">
        <v>141</v>
      </c>
      <c r="S897" t="s">
        <v>76</v>
      </c>
      <c r="T897" s="5">
        <v>9860</v>
      </c>
      <c r="U897" s="6">
        <v>5</v>
      </c>
      <c r="V897" t="s">
        <v>77</v>
      </c>
      <c r="W897" s="4">
        <v>46151</v>
      </c>
      <c r="X897" t="s">
        <v>77</v>
      </c>
      <c r="Y897" t="s">
        <v>64</v>
      </c>
      <c r="Z897" t="s">
        <v>96</v>
      </c>
    </row>
    <row r="898" spans="1:26">
      <c r="A898" t="s">
        <v>1585</v>
      </c>
      <c r="B898" t="s">
        <v>719</v>
      </c>
      <c r="C898" s="4">
        <v>46160</v>
      </c>
      <c r="D898" t="s">
        <v>149</v>
      </c>
      <c r="E898" t="s">
        <v>70</v>
      </c>
      <c r="F898" s="4">
        <v>46160</v>
      </c>
      <c r="G898" s="4">
        <v>46161</v>
      </c>
      <c r="H898" t="s">
        <v>121</v>
      </c>
      <c r="I898" t="s">
        <v>334</v>
      </c>
      <c r="J898" t="s">
        <v>256</v>
      </c>
      <c r="K898" t="s">
        <v>60</v>
      </c>
      <c r="L898" t="s">
        <v>94</v>
      </c>
      <c r="M898" s="5">
        <v>16900</v>
      </c>
      <c r="N898" s="5">
        <v>2200</v>
      </c>
      <c r="O898" s="5">
        <v>3350</v>
      </c>
      <c r="P898" s="5">
        <v>4500</v>
      </c>
      <c r="Q898" s="5">
        <v>27950</v>
      </c>
      <c r="R898" t="s">
        <v>75</v>
      </c>
      <c r="S898" t="s">
        <v>86</v>
      </c>
      <c r="T898" s="5">
        <v>12880</v>
      </c>
      <c r="U898" s="6">
        <v>5</v>
      </c>
      <c r="V898" t="s">
        <v>64</v>
      </c>
      <c r="W898" s="4"/>
      <c r="X898" t="s">
        <v>65</v>
      </c>
      <c r="Y898" t="s">
        <v>64</v>
      </c>
      <c r="Z898" t="s">
        <v>96</v>
      </c>
    </row>
    <row r="899" spans="1:26">
      <c r="A899" t="s">
        <v>1586</v>
      </c>
      <c r="B899" t="s">
        <v>1587</v>
      </c>
      <c r="C899" s="4">
        <v>46027</v>
      </c>
      <c r="D899" t="s">
        <v>132</v>
      </c>
      <c r="E899" t="s">
        <v>70</v>
      </c>
      <c r="F899" s="4">
        <v>46027</v>
      </c>
      <c r="G899" s="4">
        <v>46027</v>
      </c>
      <c r="H899" t="s">
        <v>178</v>
      </c>
      <c r="I899" t="s">
        <v>179</v>
      </c>
      <c r="J899" t="s">
        <v>340</v>
      </c>
      <c r="K899" t="s">
        <v>60</v>
      </c>
      <c r="L899" t="s">
        <v>74</v>
      </c>
      <c r="M899" s="5">
        <v>71400</v>
      </c>
      <c r="N899" s="5">
        <v>11500</v>
      </c>
      <c r="O899" s="5">
        <v>15950</v>
      </c>
      <c r="P899" s="5">
        <v>0</v>
      </c>
      <c r="Q899" s="5">
        <v>99850</v>
      </c>
      <c r="R899" t="s">
        <v>106</v>
      </c>
      <c r="S899" t="s">
        <v>76</v>
      </c>
      <c r="T899" s="5">
        <v>35650</v>
      </c>
      <c r="U899" s="6">
        <v>4</v>
      </c>
      <c r="V899" t="s">
        <v>77</v>
      </c>
      <c r="W899" s="4">
        <v>46045</v>
      </c>
      <c r="X899" t="s">
        <v>77</v>
      </c>
      <c r="Y899" t="s">
        <v>64</v>
      </c>
      <c r="Z899" t="s">
        <v>96</v>
      </c>
    </row>
    <row r="900" spans="1:26">
      <c r="A900" t="s">
        <v>1588</v>
      </c>
      <c r="B900" t="s">
        <v>664</v>
      </c>
      <c r="C900" s="4">
        <v>46071</v>
      </c>
      <c r="D900" t="s">
        <v>242</v>
      </c>
      <c r="E900" t="s">
        <v>70</v>
      </c>
      <c r="F900" s="4">
        <v>46071</v>
      </c>
      <c r="G900" s="4">
        <v>46071</v>
      </c>
      <c r="H900" t="s">
        <v>90</v>
      </c>
      <c r="I900" t="s">
        <v>388</v>
      </c>
      <c r="J900" t="s">
        <v>129</v>
      </c>
      <c r="K900" t="s">
        <v>60</v>
      </c>
      <c r="L900" t="s">
        <v>74</v>
      </c>
      <c r="M900" s="5">
        <v>33800</v>
      </c>
      <c r="N900" s="5">
        <v>4650</v>
      </c>
      <c r="O900" s="5">
        <v>6650</v>
      </c>
      <c r="P900" s="5">
        <v>0</v>
      </c>
      <c r="Q900" s="5">
        <v>46600</v>
      </c>
      <c r="R900" t="s">
        <v>85</v>
      </c>
      <c r="S900" t="s">
        <v>76</v>
      </c>
      <c r="T900" s="5">
        <v>12550</v>
      </c>
      <c r="U900" s="6">
        <v>5</v>
      </c>
      <c r="V900" t="s">
        <v>77</v>
      </c>
      <c r="W900" s="4">
        <v>46087</v>
      </c>
      <c r="X900" t="s">
        <v>77</v>
      </c>
      <c r="Y900" t="s">
        <v>64</v>
      </c>
      <c r="Z900" t="s">
        <v>96</v>
      </c>
    </row>
    <row r="901" spans="1:26">
      <c r="A901" t="s">
        <v>1589</v>
      </c>
      <c r="B901" t="s">
        <v>209</v>
      </c>
      <c r="C901" s="4">
        <v>46163</v>
      </c>
      <c r="D901" t="s">
        <v>242</v>
      </c>
      <c r="E901" t="s">
        <v>70</v>
      </c>
      <c r="F901" s="4">
        <v>46163</v>
      </c>
      <c r="G901" s="4">
        <v>46168</v>
      </c>
      <c r="H901" t="s">
        <v>57</v>
      </c>
      <c r="I901" t="s">
        <v>71</v>
      </c>
      <c r="J901" t="s">
        <v>170</v>
      </c>
      <c r="K901" t="s">
        <v>73</v>
      </c>
      <c r="L901" t="s">
        <v>74</v>
      </c>
      <c r="M901" s="5">
        <v>67200</v>
      </c>
      <c r="N901" s="5">
        <v>7000</v>
      </c>
      <c r="O901" s="5">
        <v>15600</v>
      </c>
      <c r="P901" s="5">
        <v>17500</v>
      </c>
      <c r="Q901" s="5">
        <v>109100</v>
      </c>
      <c r="R901" t="s">
        <v>95</v>
      </c>
      <c r="S901" t="s">
        <v>63</v>
      </c>
      <c r="T901" s="5">
        <v>109100</v>
      </c>
      <c r="U901" s="6">
        <v>4</v>
      </c>
      <c r="V901" t="s">
        <v>77</v>
      </c>
      <c r="W901" s="4">
        <v>46175</v>
      </c>
      <c r="X901" t="s">
        <v>77</v>
      </c>
      <c r="Y901" t="s">
        <v>64</v>
      </c>
      <c r="Z901" t="s">
        <v>96</v>
      </c>
    </row>
    <row r="902" spans="1:26">
      <c r="A902" t="s">
        <v>1590</v>
      </c>
      <c r="B902" t="s">
        <v>483</v>
      </c>
      <c r="C902" s="4">
        <v>46024</v>
      </c>
      <c r="D902" t="s">
        <v>294</v>
      </c>
      <c r="E902" t="s">
        <v>70</v>
      </c>
      <c r="F902" s="4">
        <v>46024</v>
      </c>
      <c r="G902" s="4">
        <v>46030</v>
      </c>
      <c r="H902" t="s">
        <v>150</v>
      </c>
      <c r="I902" t="s">
        <v>151</v>
      </c>
      <c r="J902" t="s">
        <v>188</v>
      </c>
      <c r="K902" t="s">
        <v>73</v>
      </c>
      <c r="L902" t="s">
        <v>94</v>
      </c>
      <c r="M902" s="5">
        <v>72000</v>
      </c>
      <c r="N902" s="5">
        <v>8700</v>
      </c>
      <c r="O902" s="5">
        <v>14450</v>
      </c>
      <c r="P902" s="5">
        <v>18000</v>
      </c>
      <c r="Q902" s="5">
        <v>115650</v>
      </c>
      <c r="R902" t="s">
        <v>106</v>
      </c>
      <c r="S902" t="s">
        <v>76</v>
      </c>
      <c r="T902" s="5">
        <v>41180</v>
      </c>
      <c r="U902" s="6">
        <v>4</v>
      </c>
      <c r="V902" t="s">
        <v>77</v>
      </c>
      <c r="W902" s="4">
        <v>46043</v>
      </c>
      <c r="X902" t="s">
        <v>77</v>
      </c>
      <c r="Y902" t="s">
        <v>64</v>
      </c>
      <c r="Z902" t="s">
        <v>96</v>
      </c>
    </row>
    <row r="903" spans="1:26">
      <c r="A903" t="s">
        <v>1591</v>
      </c>
      <c r="B903" t="s">
        <v>1592</v>
      </c>
      <c r="C903" s="4">
        <v>46081</v>
      </c>
      <c r="D903" t="s">
        <v>89</v>
      </c>
      <c r="E903" t="s">
        <v>314</v>
      </c>
      <c r="F903" s="4"/>
      <c r="G903" s="4"/>
      <c r="H903" t="s">
        <v>57</v>
      </c>
      <c r="I903" t="s">
        <v>58</v>
      </c>
      <c r="J903" t="s">
        <v>59</v>
      </c>
      <c r="K903" t="s">
        <v>60</v>
      </c>
      <c r="L903" t="s">
        <v>94</v>
      </c>
      <c r="M903" s="5"/>
      <c r="N903" s="5"/>
      <c r="O903" s="5"/>
      <c r="P903" s="5"/>
      <c r="Q903" s="5"/>
      <c r="R903" t="s">
        <v>95</v>
      </c>
      <c r="S903" t="s">
        <v>63</v>
      </c>
      <c r="T903" s="5"/>
      <c r="U903" s="6"/>
      <c r="V903" t="s">
        <v>64</v>
      </c>
      <c r="W903" s="4"/>
      <c r="X903" t="s">
        <v>65</v>
      </c>
      <c r="Z903" t="s">
        <v>66</v>
      </c>
    </row>
    <row r="904" spans="1:26">
      <c r="A904" t="s">
        <v>1593</v>
      </c>
      <c r="B904" t="s">
        <v>1435</v>
      </c>
      <c r="C904" s="4">
        <v>46069</v>
      </c>
      <c r="D904" t="s">
        <v>432</v>
      </c>
      <c r="E904" t="s">
        <v>56</v>
      </c>
      <c r="F904" s="4"/>
      <c r="G904" s="4"/>
      <c r="H904" t="s">
        <v>201</v>
      </c>
      <c r="I904" t="s">
        <v>327</v>
      </c>
      <c r="J904" t="s">
        <v>281</v>
      </c>
      <c r="K904" t="s">
        <v>124</v>
      </c>
      <c r="L904" t="s">
        <v>94</v>
      </c>
      <c r="M904" s="5"/>
      <c r="N904" s="5"/>
      <c r="O904" s="5"/>
      <c r="P904" s="5"/>
      <c r="Q904" s="5"/>
      <c r="R904" t="s">
        <v>75</v>
      </c>
      <c r="S904" t="s">
        <v>63</v>
      </c>
      <c r="T904" s="5"/>
      <c r="U904" s="6"/>
      <c r="V904" t="s">
        <v>64</v>
      </c>
      <c r="W904" s="4"/>
      <c r="X904" t="s">
        <v>65</v>
      </c>
      <c r="Z904" t="s">
        <v>66</v>
      </c>
    </row>
    <row r="905" spans="1:26">
      <c r="A905" t="s">
        <v>1594</v>
      </c>
      <c r="B905" t="s">
        <v>1148</v>
      </c>
      <c r="C905" s="4">
        <v>46122</v>
      </c>
      <c r="D905" t="s">
        <v>439</v>
      </c>
      <c r="E905" t="s">
        <v>70</v>
      </c>
      <c r="F905" s="4">
        <v>46122</v>
      </c>
      <c r="G905" s="4">
        <v>46123</v>
      </c>
      <c r="H905" t="s">
        <v>150</v>
      </c>
      <c r="I905" t="s">
        <v>239</v>
      </c>
      <c r="J905" t="s">
        <v>229</v>
      </c>
      <c r="K905" t="s">
        <v>60</v>
      </c>
      <c r="L905" t="s">
        <v>61</v>
      </c>
      <c r="M905" s="5">
        <v>35700</v>
      </c>
      <c r="N905" s="5">
        <v>3800</v>
      </c>
      <c r="O905" s="5">
        <v>7100</v>
      </c>
      <c r="P905" s="5">
        <v>3500</v>
      </c>
      <c r="Q905" s="5">
        <v>51900</v>
      </c>
      <c r="R905" t="s">
        <v>95</v>
      </c>
      <c r="S905" t="s">
        <v>63</v>
      </c>
      <c r="T905" s="5">
        <v>51900</v>
      </c>
      <c r="U905" s="6">
        <v>4</v>
      </c>
      <c r="V905" t="s">
        <v>64</v>
      </c>
      <c r="W905" s="4"/>
      <c r="X905" t="s">
        <v>65</v>
      </c>
      <c r="Y905" t="s">
        <v>64</v>
      </c>
      <c r="Z905" t="s">
        <v>107</v>
      </c>
    </row>
    <row r="906" spans="1:26">
      <c r="A906" t="s">
        <v>1595</v>
      </c>
      <c r="B906" t="s">
        <v>377</v>
      </c>
      <c r="C906" s="4">
        <v>46123</v>
      </c>
      <c r="D906" t="s">
        <v>89</v>
      </c>
      <c r="E906" t="s">
        <v>177</v>
      </c>
      <c r="F906" s="4"/>
      <c r="G906" s="4"/>
      <c r="H906" t="s">
        <v>150</v>
      </c>
      <c r="I906" t="s">
        <v>187</v>
      </c>
      <c r="J906" t="s">
        <v>188</v>
      </c>
      <c r="K906" t="s">
        <v>73</v>
      </c>
      <c r="L906" t="s">
        <v>61</v>
      </c>
      <c r="M906" s="5"/>
      <c r="N906" s="5"/>
      <c r="O906" s="5"/>
      <c r="P906" s="5"/>
      <c r="Q906" s="5"/>
      <c r="R906" t="s">
        <v>141</v>
      </c>
      <c r="S906" t="s">
        <v>63</v>
      </c>
      <c r="T906" s="5"/>
      <c r="U906" s="6"/>
      <c r="V906" t="s">
        <v>64</v>
      </c>
      <c r="W906" s="4"/>
      <c r="X906" t="s">
        <v>65</v>
      </c>
      <c r="Z906" t="s">
        <v>66</v>
      </c>
    </row>
    <row r="907" spans="1:26">
      <c r="A907" t="s">
        <v>1596</v>
      </c>
      <c r="B907" t="s">
        <v>675</v>
      </c>
      <c r="C907" s="4">
        <v>46104</v>
      </c>
      <c r="D907" t="s">
        <v>200</v>
      </c>
      <c r="E907" t="s">
        <v>338</v>
      </c>
      <c r="F907" s="4"/>
      <c r="G907" s="4"/>
      <c r="H907" t="s">
        <v>82</v>
      </c>
      <c r="I907" t="s">
        <v>272</v>
      </c>
      <c r="J907" t="s">
        <v>84</v>
      </c>
      <c r="K907" t="s">
        <v>60</v>
      </c>
      <c r="L907" t="s">
        <v>94</v>
      </c>
      <c r="M907" s="5"/>
      <c r="N907" s="5"/>
      <c r="O907" s="5"/>
      <c r="P907" s="5"/>
      <c r="Q907" s="5"/>
      <c r="R907" t="s">
        <v>95</v>
      </c>
      <c r="S907" t="s">
        <v>63</v>
      </c>
      <c r="T907" s="5"/>
      <c r="U907" s="6"/>
      <c r="V907" t="s">
        <v>64</v>
      </c>
      <c r="W907" s="4"/>
      <c r="X907" t="s">
        <v>65</v>
      </c>
      <c r="Z907" t="s">
        <v>66</v>
      </c>
    </row>
    <row r="908" spans="1:26">
      <c r="A908" t="s">
        <v>1597</v>
      </c>
      <c r="B908" t="s">
        <v>984</v>
      </c>
      <c r="C908" s="4">
        <v>46138</v>
      </c>
      <c r="D908" t="s">
        <v>69</v>
      </c>
      <c r="E908" t="s">
        <v>70</v>
      </c>
      <c r="F908" s="4">
        <v>46138</v>
      </c>
      <c r="G908" s="4">
        <v>46138</v>
      </c>
      <c r="H908" t="s">
        <v>90</v>
      </c>
      <c r="I908" t="s">
        <v>128</v>
      </c>
      <c r="J908" t="s">
        <v>92</v>
      </c>
      <c r="K908" t="s">
        <v>60</v>
      </c>
      <c r="L908" t="s">
        <v>61</v>
      </c>
      <c r="M908" s="5">
        <v>50600</v>
      </c>
      <c r="N908" s="5">
        <v>8000</v>
      </c>
      <c r="O908" s="5">
        <v>9150</v>
      </c>
      <c r="P908" s="5">
        <v>0</v>
      </c>
      <c r="Q908" s="5">
        <v>69750</v>
      </c>
      <c r="R908" t="s">
        <v>62</v>
      </c>
      <c r="S908" t="s">
        <v>86</v>
      </c>
      <c r="T908" s="5">
        <v>21330</v>
      </c>
      <c r="U908" s="6">
        <v>3</v>
      </c>
      <c r="V908" t="s">
        <v>77</v>
      </c>
      <c r="W908" s="4">
        <v>46155</v>
      </c>
      <c r="X908" t="s">
        <v>77</v>
      </c>
      <c r="Y908" t="s">
        <v>77</v>
      </c>
      <c r="Z908" t="s">
        <v>78</v>
      </c>
    </row>
    <row r="909" spans="1:26">
      <c r="A909" t="s">
        <v>1598</v>
      </c>
      <c r="B909" t="s">
        <v>375</v>
      </c>
      <c r="C909" s="4">
        <v>46066</v>
      </c>
      <c r="D909" t="s">
        <v>469</v>
      </c>
      <c r="E909" t="s">
        <v>338</v>
      </c>
      <c r="F909" s="4"/>
      <c r="G909" s="4"/>
      <c r="H909" t="s">
        <v>90</v>
      </c>
      <c r="I909" t="s">
        <v>128</v>
      </c>
      <c r="J909" t="s">
        <v>92</v>
      </c>
      <c r="K909" t="s">
        <v>60</v>
      </c>
      <c r="L909" t="s">
        <v>74</v>
      </c>
      <c r="M909" s="5"/>
      <c r="N909" s="5"/>
      <c r="O909" s="5"/>
      <c r="P909" s="5"/>
      <c r="Q909" s="5"/>
      <c r="R909" t="s">
        <v>134</v>
      </c>
      <c r="S909" t="s">
        <v>63</v>
      </c>
      <c r="T909" s="5"/>
      <c r="U909" s="6"/>
      <c r="V909" t="s">
        <v>64</v>
      </c>
      <c r="W909" s="4"/>
      <c r="X909" t="s">
        <v>65</v>
      </c>
      <c r="Z909" t="s">
        <v>66</v>
      </c>
    </row>
    <row r="910" spans="1:26">
      <c r="A910" t="s">
        <v>1599</v>
      </c>
      <c r="B910" t="s">
        <v>216</v>
      </c>
      <c r="C910" s="4">
        <v>46146</v>
      </c>
      <c r="D910" t="s">
        <v>225</v>
      </c>
      <c r="E910" t="s">
        <v>177</v>
      </c>
      <c r="F910" s="4"/>
      <c r="G910" s="4"/>
      <c r="H910" t="s">
        <v>201</v>
      </c>
      <c r="I910" t="s">
        <v>202</v>
      </c>
      <c r="J910" t="s">
        <v>295</v>
      </c>
      <c r="K910" t="s">
        <v>124</v>
      </c>
      <c r="L910" t="s">
        <v>61</v>
      </c>
      <c r="M910" s="5"/>
      <c r="N910" s="5"/>
      <c r="O910" s="5"/>
      <c r="P910" s="5"/>
      <c r="Q910" s="5"/>
      <c r="R910" t="s">
        <v>95</v>
      </c>
      <c r="S910" t="s">
        <v>63</v>
      </c>
      <c r="T910" s="5"/>
      <c r="U910" s="6"/>
      <c r="V910" t="s">
        <v>64</v>
      </c>
      <c r="W910" s="4"/>
      <c r="X910" t="s">
        <v>65</v>
      </c>
      <c r="Z910" t="s">
        <v>66</v>
      </c>
    </row>
    <row r="911" spans="1:26">
      <c r="A911" t="s">
        <v>1600</v>
      </c>
      <c r="B911" t="s">
        <v>866</v>
      </c>
      <c r="C911" s="4">
        <v>46059</v>
      </c>
      <c r="D911" t="s">
        <v>144</v>
      </c>
      <c r="E911" t="s">
        <v>70</v>
      </c>
      <c r="F911" s="4">
        <v>46059</v>
      </c>
      <c r="G911" s="4">
        <v>46061</v>
      </c>
      <c r="H911" t="s">
        <v>150</v>
      </c>
      <c r="I911" t="s">
        <v>228</v>
      </c>
      <c r="J911" t="s">
        <v>229</v>
      </c>
      <c r="K911" t="s">
        <v>73</v>
      </c>
      <c r="L911" t="s">
        <v>74</v>
      </c>
      <c r="M911" s="5">
        <v>40600</v>
      </c>
      <c r="N911" s="5">
        <v>4000</v>
      </c>
      <c r="O911" s="5">
        <v>4650</v>
      </c>
      <c r="P911" s="5">
        <v>6000</v>
      </c>
      <c r="Q911" s="5">
        <v>56750</v>
      </c>
      <c r="R911" t="s">
        <v>75</v>
      </c>
      <c r="S911" t="s">
        <v>76</v>
      </c>
      <c r="T911" s="5">
        <v>25840</v>
      </c>
      <c r="U911" s="6">
        <v>4</v>
      </c>
      <c r="V911" t="s">
        <v>64</v>
      </c>
      <c r="W911" s="4"/>
      <c r="X911" t="s">
        <v>65</v>
      </c>
      <c r="Y911" t="s">
        <v>64</v>
      </c>
      <c r="Z911" t="s">
        <v>96</v>
      </c>
    </row>
    <row r="912" spans="1:26">
      <c r="A912" t="s">
        <v>1601</v>
      </c>
      <c r="B912" t="s">
        <v>438</v>
      </c>
      <c r="C912" s="4">
        <v>46107</v>
      </c>
      <c r="D912" t="s">
        <v>250</v>
      </c>
      <c r="E912" t="s">
        <v>70</v>
      </c>
      <c r="F912" s="4">
        <v>46107</v>
      </c>
      <c r="G912" s="4">
        <v>46108</v>
      </c>
      <c r="H912" t="s">
        <v>138</v>
      </c>
      <c r="I912" t="s">
        <v>352</v>
      </c>
      <c r="J912" t="s">
        <v>140</v>
      </c>
      <c r="K912" t="s">
        <v>73</v>
      </c>
      <c r="L912" t="s">
        <v>61</v>
      </c>
      <c r="M912" s="5">
        <v>18100</v>
      </c>
      <c r="N912" s="5">
        <v>2800</v>
      </c>
      <c r="O912" s="5">
        <v>3450</v>
      </c>
      <c r="P912" s="5">
        <v>2500</v>
      </c>
      <c r="Q912" s="5">
        <v>28650</v>
      </c>
      <c r="R912" t="s">
        <v>106</v>
      </c>
      <c r="S912" t="s">
        <v>86</v>
      </c>
      <c r="T912" s="5">
        <v>10730</v>
      </c>
      <c r="U912" s="6">
        <v>5</v>
      </c>
      <c r="V912" t="s">
        <v>64</v>
      </c>
      <c r="W912" s="4"/>
      <c r="X912" t="s">
        <v>65</v>
      </c>
      <c r="Y912" t="s">
        <v>64</v>
      </c>
      <c r="Z912" t="s">
        <v>107</v>
      </c>
    </row>
    <row r="913" spans="1:26">
      <c r="A913" t="s">
        <v>1602</v>
      </c>
      <c r="B913" t="s">
        <v>354</v>
      </c>
      <c r="C913" s="4">
        <v>46138</v>
      </c>
      <c r="D913" t="s">
        <v>225</v>
      </c>
      <c r="E913" t="s">
        <v>70</v>
      </c>
      <c r="F913" s="4">
        <v>46138</v>
      </c>
      <c r="G913" s="4">
        <v>46141</v>
      </c>
      <c r="H913" t="s">
        <v>150</v>
      </c>
      <c r="I913" t="s">
        <v>239</v>
      </c>
      <c r="J913" t="s">
        <v>152</v>
      </c>
      <c r="K913" t="s">
        <v>124</v>
      </c>
      <c r="L913" t="s">
        <v>74</v>
      </c>
      <c r="M913" s="5">
        <v>20100</v>
      </c>
      <c r="N913" s="5">
        <v>3600</v>
      </c>
      <c r="O913" s="5">
        <v>2450</v>
      </c>
      <c r="P913" s="5">
        <v>13500</v>
      </c>
      <c r="Q913" s="5">
        <v>41450</v>
      </c>
      <c r="R913" t="s">
        <v>141</v>
      </c>
      <c r="S913" t="s">
        <v>76</v>
      </c>
      <c r="T913" s="5">
        <v>7420</v>
      </c>
      <c r="U913" s="6">
        <v>3</v>
      </c>
      <c r="V913" t="s">
        <v>77</v>
      </c>
      <c r="W913" s="4">
        <v>46149</v>
      </c>
      <c r="X913" t="s">
        <v>64</v>
      </c>
      <c r="Y913" t="s">
        <v>64</v>
      </c>
      <c r="Z913" t="s">
        <v>78</v>
      </c>
    </row>
    <row r="914" spans="1:26">
      <c r="A914" t="s">
        <v>1603</v>
      </c>
      <c r="B914" t="s">
        <v>1272</v>
      </c>
      <c r="C914" s="4">
        <v>46058</v>
      </c>
      <c r="D914" t="s">
        <v>217</v>
      </c>
      <c r="E914" t="s">
        <v>70</v>
      </c>
      <c r="F914" s="4">
        <v>46059</v>
      </c>
      <c r="G914" s="4">
        <v>46065</v>
      </c>
      <c r="H914" t="s">
        <v>138</v>
      </c>
      <c r="I914" t="s">
        <v>343</v>
      </c>
      <c r="J914" t="s">
        <v>236</v>
      </c>
      <c r="K914" t="s">
        <v>124</v>
      </c>
      <c r="L914" t="s">
        <v>94</v>
      </c>
      <c r="M914" s="5">
        <v>28900</v>
      </c>
      <c r="N914" s="5">
        <v>4550</v>
      </c>
      <c r="O914" s="5">
        <v>4500</v>
      </c>
      <c r="P914" s="5">
        <v>18000</v>
      </c>
      <c r="Q914" s="5">
        <v>57750</v>
      </c>
      <c r="R914" t="s">
        <v>95</v>
      </c>
      <c r="S914" t="s">
        <v>63</v>
      </c>
      <c r="T914" s="5">
        <v>57750</v>
      </c>
      <c r="U914" s="6">
        <v>3</v>
      </c>
      <c r="V914" t="s">
        <v>77</v>
      </c>
      <c r="W914" s="4">
        <v>46085</v>
      </c>
      <c r="X914" t="s">
        <v>77</v>
      </c>
      <c r="Y914" t="s">
        <v>77</v>
      </c>
      <c r="Z914" t="s">
        <v>96</v>
      </c>
    </row>
    <row r="915" spans="1:26">
      <c r="A915" t="s">
        <v>1604</v>
      </c>
      <c r="B915" t="s">
        <v>819</v>
      </c>
      <c r="C915" s="4">
        <v>46169</v>
      </c>
      <c r="D915" t="s">
        <v>210</v>
      </c>
      <c r="E915" t="s">
        <v>70</v>
      </c>
      <c r="F915" s="4">
        <v>46169</v>
      </c>
      <c r="G915" s="4">
        <v>46176</v>
      </c>
      <c r="H915" t="s">
        <v>201</v>
      </c>
      <c r="I915" t="s">
        <v>202</v>
      </c>
      <c r="J915" t="s">
        <v>295</v>
      </c>
      <c r="K915" t="s">
        <v>73</v>
      </c>
      <c r="L915" t="s">
        <v>74</v>
      </c>
      <c r="M915" s="5">
        <v>37400</v>
      </c>
      <c r="N915" s="5">
        <v>3300</v>
      </c>
      <c r="O915" s="5">
        <v>5600</v>
      </c>
      <c r="P915" s="5">
        <v>42000</v>
      </c>
      <c r="Q915" s="5">
        <v>90800</v>
      </c>
      <c r="R915" t="s">
        <v>134</v>
      </c>
      <c r="S915" t="s">
        <v>76</v>
      </c>
      <c r="T915" s="5">
        <v>50140</v>
      </c>
      <c r="U915" s="6">
        <v>4</v>
      </c>
      <c r="V915" t="s">
        <v>77</v>
      </c>
      <c r="W915" s="4">
        <v>46192</v>
      </c>
      <c r="X915" t="s">
        <v>77</v>
      </c>
      <c r="Y915" t="s">
        <v>64</v>
      </c>
      <c r="Z915" t="s">
        <v>78</v>
      </c>
    </row>
    <row r="916" spans="1:26">
      <c r="A916" t="s">
        <v>1605</v>
      </c>
      <c r="B916" t="s">
        <v>1606</v>
      </c>
      <c r="C916" s="4">
        <v>46151</v>
      </c>
      <c r="D916" t="s">
        <v>132</v>
      </c>
      <c r="E916" t="s">
        <v>56</v>
      </c>
      <c r="F916" s="4"/>
      <c r="G916" s="4"/>
      <c r="H916" t="s">
        <v>90</v>
      </c>
      <c r="I916" t="s">
        <v>128</v>
      </c>
      <c r="J916" t="s">
        <v>92</v>
      </c>
      <c r="K916" t="s">
        <v>60</v>
      </c>
      <c r="L916" t="s">
        <v>94</v>
      </c>
      <c r="M916" s="5"/>
      <c r="N916" s="5"/>
      <c r="O916" s="5"/>
      <c r="P916" s="5"/>
      <c r="Q916" s="5"/>
      <c r="R916" t="s">
        <v>62</v>
      </c>
      <c r="S916" t="s">
        <v>63</v>
      </c>
      <c r="T916" s="5"/>
      <c r="U916" s="6"/>
      <c r="V916" t="s">
        <v>64</v>
      </c>
      <c r="W916" s="4"/>
      <c r="X916" t="s">
        <v>65</v>
      </c>
      <c r="Z916" t="s">
        <v>66</v>
      </c>
    </row>
    <row r="917" spans="1:26">
      <c r="A917" t="s">
        <v>1607</v>
      </c>
      <c r="B917" t="s">
        <v>1223</v>
      </c>
      <c r="C917" s="4">
        <v>46123</v>
      </c>
      <c r="D917" t="s">
        <v>161</v>
      </c>
      <c r="E917" t="s">
        <v>70</v>
      </c>
      <c r="F917" s="4">
        <v>46123</v>
      </c>
      <c r="G917" s="4">
        <v>46125</v>
      </c>
      <c r="H917" t="s">
        <v>90</v>
      </c>
      <c r="I917" t="s">
        <v>388</v>
      </c>
      <c r="J917" t="s">
        <v>197</v>
      </c>
      <c r="K917" t="s">
        <v>73</v>
      </c>
      <c r="L917" t="s">
        <v>94</v>
      </c>
      <c r="M917" s="5">
        <v>15700</v>
      </c>
      <c r="N917" s="5">
        <v>2450</v>
      </c>
      <c r="O917" s="5">
        <v>2650</v>
      </c>
      <c r="P917" s="5">
        <v>9000</v>
      </c>
      <c r="Q917" s="5">
        <v>31300</v>
      </c>
      <c r="R917" t="s">
        <v>141</v>
      </c>
      <c r="S917" t="s">
        <v>86</v>
      </c>
      <c r="T917" s="5">
        <v>5900</v>
      </c>
      <c r="U917" s="6">
        <v>5</v>
      </c>
      <c r="V917" t="s">
        <v>64</v>
      </c>
      <c r="W917" s="4"/>
      <c r="X917" t="s">
        <v>65</v>
      </c>
      <c r="Y917" t="s">
        <v>64</v>
      </c>
      <c r="Z917" t="s">
        <v>96</v>
      </c>
    </row>
    <row r="918" spans="1:26">
      <c r="A918" t="s">
        <v>1608</v>
      </c>
      <c r="B918" t="s">
        <v>301</v>
      </c>
      <c r="C918" s="4">
        <v>46082</v>
      </c>
      <c r="D918" t="s">
        <v>137</v>
      </c>
      <c r="E918" t="s">
        <v>70</v>
      </c>
      <c r="F918" s="4">
        <v>46082</v>
      </c>
      <c r="G918" s="4">
        <v>46082</v>
      </c>
      <c r="H918" t="s">
        <v>57</v>
      </c>
      <c r="I918" t="s">
        <v>169</v>
      </c>
      <c r="J918" t="s">
        <v>72</v>
      </c>
      <c r="K918" t="s">
        <v>60</v>
      </c>
      <c r="L918" t="s">
        <v>61</v>
      </c>
      <c r="M918" s="5">
        <v>7300</v>
      </c>
      <c r="N918" s="5">
        <v>1200</v>
      </c>
      <c r="O918" s="5">
        <v>1500</v>
      </c>
      <c r="P918" s="5">
        <v>0</v>
      </c>
      <c r="Q918" s="5">
        <v>10800</v>
      </c>
      <c r="R918" t="s">
        <v>106</v>
      </c>
      <c r="S918" t="s">
        <v>76</v>
      </c>
      <c r="T918" s="5">
        <v>4480</v>
      </c>
      <c r="U918" s="6">
        <v>5</v>
      </c>
      <c r="V918" t="s">
        <v>64</v>
      </c>
      <c r="W918" s="4"/>
      <c r="X918" t="s">
        <v>65</v>
      </c>
      <c r="Y918" t="s">
        <v>64</v>
      </c>
      <c r="Z918" t="s">
        <v>96</v>
      </c>
    </row>
    <row r="919" spans="1:26">
      <c r="A919" t="s">
        <v>1609</v>
      </c>
      <c r="B919" t="s">
        <v>860</v>
      </c>
      <c r="C919" s="4">
        <v>46078</v>
      </c>
      <c r="D919" t="s">
        <v>81</v>
      </c>
      <c r="E919" t="s">
        <v>177</v>
      </c>
      <c r="F919" s="4"/>
      <c r="G919" s="4"/>
      <c r="H919" t="s">
        <v>150</v>
      </c>
      <c r="I919" t="s">
        <v>228</v>
      </c>
      <c r="J919" t="s">
        <v>152</v>
      </c>
      <c r="K919" t="s">
        <v>60</v>
      </c>
      <c r="L919" t="s">
        <v>94</v>
      </c>
      <c r="M919" s="5"/>
      <c r="N919" s="5"/>
      <c r="O919" s="5"/>
      <c r="P919" s="5"/>
      <c r="Q919" s="5"/>
      <c r="R919" t="s">
        <v>134</v>
      </c>
      <c r="S919" t="s">
        <v>63</v>
      </c>
      <c r="T919" s="5"/>
      <c r="U919" s="6"/>
      <c r="V919" t="s">
        <v>64</v>
      </c>
      <c r="W919" s="4"/>
      <c r="X919" t="s">
        <v>65</v>
      </c>
      <c r="Z919" t="s">
        <v>66</v>
      </c>
    </row>
    <row r="920" spans="1:26">
      <c r="A920" t="s">
        <v>1610</v>
      </c>
      <c r="B920" t="s">
        <v>1611</v>
      </c>
      <c r="C920" s="4">
        <v>46139</v>
      </c>
      <c r="D920" t="s">
        <v>144</v>
      </c>
      <c r="E920" t="s">
        <v>314</v>
      </c>
      <c r="F920" s="4"/>
      <c r="G920" s="4"/>
      <c r="H920" t="s">
        <v>90</v>
      </c>
      <c r="I920" t="s">
        <v>388</v>
      </c>
      <c r="J920" t="s">
        <v>129</v>
      </c>
      <c r="K920" t="s">
        <v>60</v>
      </c>
      <c r="L920" t="s">
        <v>74</v>
      </c>
      <c r="M920" s="5"/>
      <c r="N920" s="5"/>
      <c r="O920" s="5"/>
      <c r="P920" s="5"/>
      <c r="Q920" s="5"/>
      <c r="R920" t="s">
        <v>134</v>
      </c>
      <c r="S920" t="s">
        <v>63</v>
      </c>
      <c r="T920" s="5"/>
      <c r="U920" s="6"/>
      <c r="V920" t="s">
        <v>64</v>
      </c>
      <c r="W920" s="4"/>
      <c r="X920" t="s">
        <v>65</v>
      </c>
      <c r="Z920" t="s">
        <v>66</v>
      </c>
    </row>
    <row r="921" spans="1:26">
      <c r="A921" t="s">
        <v>1612</v>
      </c>
      <c r="B921" t="s">
        <v>274</v>
      </c>
      <c r="C921" s="4">
        <v>46146</v>
      </c>
      <c r="D921" t="s">
        <v>242</v>
      </c>
      <c r="E921" t="s">
        <v>70</v>
      </c>
      <c r="F921" s="4">
        <v>46146</v>
      </c>
      <c r="G921" s="4">
        <v>46146</v>
      </c>
      <c r="H921" t="s">
        <v>121</v>
      </c>
      <c r="I921" t="s">
        <v>386</v>
      </c>
      <c r="J921" t="s">
        <v>256</v>
      </c>
      <c r="K921" t="s">
        <v>124</v>
      </c>
      <c r="L921" t="s">
        <v>74</v>
      </c>
      <c r="M921" s="5">
        <v>18300</v>
      </c>
      <c r="N921" s="5">
        <v>2900</v>
      </c>
      <c r="O921" s="5">
        <v>2250</v>
      </c>
      <c r="P921" s="5">
        <v>0</v>
      </c>
      <c r="Q921" s="5">
        <v>25950</v>
      </c>
      <c r="R921" t="s">
        <v>106</v>
      </c>
      <c r="S921" t="s">
        <v>76</v>
      </c>
      <c r="T921" s="5">
        <v>9780</v>
      </c>
      <c r="U921" s="6">
        <v>4</v>
      </c>
      <c r="V921" t="s">
        <v>77</v>
      </c>
      <c r="W921" s="4">
        <v>46158</v>
      </c>
      <c r="X921" t="s">
        <v>77</v>
      </c>
      <c r="Y921" t="s">
        <v>64</v>
      </c>
      <c r="Z921" t="s">
        <v>78</v>
      </c>
    </row>
    <row r="922" spans="1:26">
      <c r="A922" t="s">
        <v>1613</v>
      </c>
      <c r="B922" t="s">
        <v>794</v>
      </c>
      <c r="C922" s="4">
        <v>46129</v>
      </c>
      <c r="D922" t="s">
        <v>234</v>
      </c>
      <c r="E922" t="s">
        <v>70</v>
      </c>
      <c r="F922" s="4">
        <v>46130</v>
      </c>
      <c r="G922" s="4">
        <v>46132</v>
      </c>
      <c r="H922" t="s">
        <v>57</v>
      </c>
      <c r="I922" t="s">
        <v>169</v>
      </c>
      <c r="J922" t="s">
        <v>72</v>
      </c>
      <c r="K922" t="s">
        <v>73</v>
      </c>
      <c r="L922" t="s">
        <v>94</v>
      </c>
      <c r="M922" s="5">
        <v>6700</v>
      </c>
      <c r="N922" s="5">
        <v>900</v>
      </c>
      <c r="O922" s="5">
        <v>1600</v>
      </c>
      <c r="P922" s="5">
        <v>12000</v>
      </c>
      <c r="Q922" s="5">
        <v>22000</v>
      </c>
      <c r="R922" t="s">
        <v>141</v>
      </c>
      <c r="S922" t="s">
        <v>76</v>
      </c>
      <c r="T922" s="5">
        <v>4500</v>
      </c>
      <c r="U922" s="6">
        <v>4</v>
      </c>
      <c r="V922" t="s">
        <v>64</v>
      </c>
      <c r="W922" s="4"/>
      <c r="X922" t="s">
        <v>65</v>
      </c>
      <c r="Y922" t="s">
        <v>64</v>
      </c>
      <c r="Z922" t="s">
        <v>96</v>
      </c>
    </row>
    <row r="923" spans="1:26">
      <c r="A923" t="s">
        <v>1614</v>
      </c>
      <c r="B923" t="s">
        <v>543</v>
      </c>
      <c r="C923" s="4">
        <v>46150</v>
      </c>
      <c r="D923" t="s">
        <v>307</v>
      </c>
      <c r="E923" t="s">
        <v>56</v>
      </c>
      <c r="F923" s="4"/>
      <c r="G923" s="4"/>
      <c r="H923" t="s">
        <v>121</v>
      </c>
      <c r="I923" t="s">
        <v>334</v>
      </c>
      <c r="J923" t="s">
        <v>256</v>
      </c>
      <c r="K923" t="s">
        <v>93</v>
      </c>
      <c r="L923" t="s">
        <v>61</v>
      </c>
      <c r="M923" s="5"/>
      <c r="N923" s="5"/>
      <c r="O923" s="5"/>
      <c r="P923" s="5"/>
      <c r="Q923" s="5"/>
      <c r="R923" t="s">
        <v>134</v>
      </c>
      <c r="S923" t="s">
        <v>63</v>
      </c>
      <c r="T923" s="5"/>
      <c r="U923" s="6"/>
      <c r="V923" t="s">
        <v>64</v>
      </c>
      <c r="W923" s="4"/>
      <c r="X923" t="s">
        <v>65</v>
      </c>
      <c r="Z923" t="s">
        <v>66</v>
      </c>
    </row>
    <row r="924" spans="1:26">
      <c r="A924" t="s">
        <v>1615</v>
      </c>
      <c r="B924" t="s">
        <v>1455</v>
      </c>
      <c r="C924" s="4">
        <v>46084</v>
      </c>
      <c r="D924" t="s">
        <v>168</v>
      </c>
      <c r="E924" t="s">
        <v>70</v>
      </c>
      <c r="F924" s="4">
        <v>46084</v>
      </c>
      <c r="G924" s="4">
        <v>46084</v>
      </c>
      <c r="H924" t="s">
        <v>90</v>
      </c>
      <c r="I924" t="s">
        <v>128</v>
      </c>
      <c r="J924" t="s">
        <v>129</v>
      </c>
      <c r="K924" t="s">
        <v>73</v>
      </c>
      <c r="L924" t="s">
        <v>61</v>
      </c>
      <c r="M924" s="5">
        <v>33900</v>
      </c>
      <c r="N924" s="5">
        <v>3400</v>
      </c>
      <c r="O924" s="5">
        <v>4550</v>
      </c>
      <c r="P924" s="5">
        <v>0</v>
      </c>
      <c r="Q924" s="5">
        <v>43850</v>
      </c>
      <c r="R924" t="s">
        <v>95</v>
      </c>
      <c r="S924" t="s">
        <v>63</v>
      </c>
      <c r="T924" s="5">
        <v>43850</v>
      </c>
      <c r="U924" s="6">
        <v>5</v>
      </c>
      <c r="V924" t="s">
        <v>77</v>
      </c>
      <c r="W924" s="4">
        <v>46091</v>
      </c>
      <c r="X924" t="s">
        <v>64</v>
      </c>
      <c r="Y924" t="s">
        <v>64</v>
      </c>
      <c r="Z924" t="s">
        <v>96</v>
      </c>
    </row>
    <row r="925" spans="1:26">
      <c r="A925" t="s">
        <v>1616</v>
      </c>
      <c r="B925" t="s">
        <v>1617</v>
      </c>
      <c r="C925" s="4">
        <v>46167</v>
      </c>
      <c r="D925" t="s">
        <v>161</v>
      </c>
      <c r="E925" t="s">
        <v>70</v>
      </c>
      <c r="F925" s="4">
        <v>46167</v>
      </c>
      <c r="G925" s="4">
        <v>46167</v>
      </c>
      <c r="H925" t="s">
        <v>150</v>
      </c>
      <c r="I925" t="s">
        <v>228</v>
      </c>
      <c r="J925" t="s">
        <v>229</v>
      </c>
      <c r="K925" t="s">
        <v>60</v>
      </c>
      <c r="L925" t="s">
        <v>94</v>
      </c>
      <c r="M925" s="5">
        <v>36700</v>
      </c>
      <c r="N925" s="5">
        <v>6150</v>
      </c>
      <c r="O925" s="5">
        <v>5450</v>
      </c>
      <c r="P925" s="5">
        <v>0</v>
      </c>
      <c r="Q925" s="5">
        <v>49800</v>
      </c>
      <c r="R925" t="s">
        <v>75</v>
      </c>
      <c r="S925" t="s">
        <v>76</v>
      </c>
      <c r="T925" s="5">
        <v>22710</v>
      </c>
      <c r="U925" s="6"/>
      <c r="V925" t="s">
        <v>77</v>
      </c>
      <c r="W925" s="4">
        <v>46179</v>
      </c>
      <c r="X925" t="s">
        <v>77</v>
      </c>
      <c r="Y925" t="s">
        <v>64</v>
      </c>
      <c r="Z925" t="s">
        <v>96</v>
      </c>
    </row>
    <row r="926" spans="1:26">
      <c r="A926" t="s">
        <v>1618</v>
      </c>
      <c r="B926" t="s">
        <v>360</v>
      </c>
      <c r="C926" s="4">
        <v>46145</v>
      </c>
      <c r="D926" t="s">
        <v>302</v>
      </c>
      <c r="E926" t="s">
        <v>70</v>
      </c>
      <c r="F926" s="4">
        <v>46145</v>
      </c>
      <c r="G926" s="4">
        <v>46147</v>
      </c>
      <c r="H926" t="s">
        <v>138</v>
      </c>
      <c r="I926" t="s">
        <v>444</v>
      </c>
      <c r="J926" t="s">
        <v>140</v>
      </c>
      <c r="K926" t="s">
        <v>93</v>
      </c>
      <c r="L926" t="s">
        <v>94</v>
      </c>
      <c r="M926" s="5">
        <v>18500</v>
      </c>
      <c r="N926" s="5">
        <v>3150</v>
      </c>
      <c r="O926" s="5">
        <v>3300</v>
      </c>
      <c r="P926" s="5">
        <v>5000</v>
      </c>
      <c r="Q926" s="5">
        <v>31450</v>
      </c>
      <c r="R926" t="s">
        <v>106</v>
      </c>
      <c r="S926" t="s">
        <v>163</v>
      </c>
      <c r="T926" s="5">
        <v>11710</v>
      </c>
      <c r="U926" s="6">
        <v>4</v>
      </c>
      <c r="V926" t="s">
        <v>64</v>
      </c>
      <c r="W926" s="4"/>
      <c r="X926" t="s">
        <v>65</v>
      </c>
      <c r="Y926" t="s">
        <v>64</v>
      </c>
      <c r="Z926" t="s">
        <v>107</v>
      </c>
    </row>
    <row r="927" spans="1:26">
      <c r="A927" t="s">
        <v>1619</v>
      </c>
      <c r="B927" t="s">
        <v>399</v>
      </c>
      <c r="C927" s="4">
        <v>46162</v>
      </c>
      <c r="D927" t="s">
        <v>439</v>
      </c>
      <c r="E927" t="s">
        <v>70</v>
      </c>
      <c r="F927" s="4">
        <v>46162</v>
      </c>
      <c r="G927" s="4">
        <v>46162</v>
      </c>
      <c r="H927" t="s">
        <v>103</v>
      </c>
      <c r="I927" t="s">
        <v>207</v>
      </c>
      <c r="J927" t="s">
        <v>145</v>
      </c>
      <c r="K927" t="s">
        <v>60</v>
      </c>
      <c r="L927" t="s">
        <v>94</v>
      </c>
      <c r="M927" s="5">
        <v>22600</v>
      </c>
      <c r="N927" s="5">
        <v>2000</v>
      </c>
      <c r="O927" s="5">
        <v>3900</v>
      </c>
      <c r="P927" s="5">
        <v>0</v>
      </c>
      <c r="Q927" s="5">
        <v>30000</v>
      </c>
      <c r="R927" t="s">
        <v>62</v>
      </c>
      <c r="S927" t="s">
        <v>76</v>
      </c>
      <c r="T927" s="5">
        <v>9400</v>
      </c>
      <c r="U927" s="6">
        <v>5</v>
      </c>
      <c r="V927" t="s">
        <v>64</v>
      </c>
      <c r="W927" s="4"/>
      <c r="X927" t="s">
        <v>65</v>
      </c>
      <c r="Y927" t="s">
        <v>64</v>
      </c>
      <c r="Z927" t="s">
        <v>96</v>
      </c>
    </row>
    <row r="928" spans="1:26">
      <c r="A928" t="s">
        <v>1620</v>
      </c>
      <c r="B928" t="s">
        <v>199</v>
      </c>
      <c r="C928" s="4">
        <v>46167</v>
      </c>
      <c r="D928" t="s">
        <v>284</v>
      </c>
      <c r="E928" t="s">
        <v>70</v>
      </c>
      <c r="F928" s="4">
        <v>46167</v>
      </c>
      <c r="G928" s="4">
        <v>46169</v>
      </c>
      <c r="H928" t="s">
        <v>103</v>
      </c>
      <c r="J928" t="s">
        <v>145</v>
      </c>
      <c r="K928" t="s">
        <v>124</v>
      </c>
      <c r="L928" t="s">
        <v>74</v>
      </c>
      <c r="M928" s="5">
        <v>26600</v>
      </c>
      <c r="N928" s="5">
        <v>3100</v>
      </c>
      <c r="O928" s="5">
        <v>4300</v>
      </c>
      <c r="P928" s="5">
        <v>12000</v>
      </c>
      <c r="Q928" s="5">
        <v>47500</v>
      </c>
      <c r="R928" t="s">
        <v>95</v>
      </c>
      <c r="S928" t="s">
        <v>63</v>
      </c>
      <c r="T928" s="5">
        <v>47500</v>
      </c>
      <c r="U928" s="6">
        <v>4</v>
      </c>
      <c r="V928" t="s">
        <v>64</v>
      </c>
      <c r="W928" s="4"/>
      <c r="X928" t="s">
        <v>65</v>
      </c>
      <c r="Y928" t="s">
        <v>64</v>
      </c>
      <c r="Z928" t="s">
        <v>96</v>
      </c>
    </row>
    <row r="929" spans="1:26">
      <c r="A929" t="s">
        <v>1621</v>
      </c>
      <c r="B929" t="s">
        <v>213</v>
      </c>
      <c r="C929" s="4">
        <v>46024</v>
      </c>
      <c r="D929" t="s">
        <v>120</v>
      </c>
      <c r="E929" t="s">
        <v>70</v>
      </c>
      <c r="F929" s="4">
        <v>46024</v>
      </c>
      <c r="G929" s="4">
        <v>46024</v>
      </c>
      <c r="H929" t="s">
        <v>103</v>
      </c>
      <c r="I929" t="s">
        <v>207</v>
      </c>
      <c r="J929" t="s">
        <v>145</v>
      </c>
      <c r="K929" t="s">
        <v>60</v>
      </c>
      <c r="L929" t="s">
        <v>74</v>
      </c>
      <c r="M929" s="5">
        <v>26100</v>
      </c>
      <c r="N929" s="5">
        <v>4550</v>
      </c>
      <c r="O929" s="5">
        <v>3200</v>
      </c>
      <c r="P929" s="5">
        <v>0</v>
      </c>
      <c r="Q929" s="5">
        <v>35350</v>
      </c>
      <c r="R929" t="s">
        <v>75</v>
      </c>
      <c r="S929" t="s">
        <v>76</v>
      </c>
      <c r="T929" s="5">
        <v>16210</v>
      </c>
      <c r="U929" s="6">
        <v>4</v>
      </c>
      <c r="V929" t="s">
        <v>77</v>
      </c>
      <c r="W929" s="4">
        <v>46032</v>
      </c>
      <c r="X929" t="s">
        <v>64</v>
      </c>
      <c r="Y929" t="s">
        <v>64</v>
      </c>
      <c r="Z929" t="s">
        <v>96</v>
      </c>
    </row>
    <row r="930" spans="1:26">
      <c r="A930" t="s">
        <v>1622</v>
      </c>
      <c r="B930" t="s">
        <v>830</v>
      </c>
      <c r="C930" s="4">
        <v>46126</v>
      </c>
      <c r="D930" t="s">
        <v>432</v>
      </c>
      <c r="E930" t="s">
        <v>56</v>
      </c>
      <c r="F930" s="4"/>
      <c r="G930" s="4"/>
      <c r="H930" t="s">
        <v>90</v>
      </c>
      <c r="I930" t="s">
        <v>162</v>
      </c>
      <c r="J930" t="s">
        <v>129</v>
      </c>
      <c r="K930" t="s">
        <v>124</v>
      </c>
      <c r="L930" t="s">
        <v>94</v>
      </c>
      <c r="M930" s="5"/>
      <c r="N930" s="5"/>
      <c r="O930" s="5"/>
      <c r="P930" s="5"/>
      <c r="Q930" s="5"/>
      <c r="R930" t="s">
        <v>141</v>
      </c>
      <c r="S930" t="s">
        <v>63</v>
      </c>
      <c r="T930" s="5"/>
      <c r="U930" s="6"/>
      <c r="V930" t="s">
        <v>64</v>
      </c>
      <c r="W930" s="4"/>
      <c r="X930" t="s">
        <v>65</v>
      </c>
      <c r="Z930" t="s">
        <v>66</v>
      </c>
    </row>
    <row r="931" spans="1:26">
      <c r="A931" t="s">
        <v>1623</v>
      </c>
      <c r="B931" t="s">
        <v>1272</v>
      </c>
      <c r="C931" s="4">
        <v>46169</v>
      </c>
      <c r="D931" t="s">
        <v>383</v>
      </c>
      <c r="E931" t="s">
        <v>70</v>
      </c>
      <c r="F931" s="4">
        <v>46170</v>
      </c>
      <c r="G931" s="4">
        <v>46174</v>
      </c>
      <c r="H931" t="s">
        <v>103</v>
      </c>
      <c r="I931" t="s">
        <v>412</v>
      </c>
      <c r="J931" t="s">
        <v>145</v>
      </c>
      <c r="K931" t="s">
        <v>124</v>
      </c>
      <c r="L931" t="s">
        <v>61</v>
      </c>
      <c r="M931" s="5">
        <v>29500</v>
      </c>
      <c r="N931" s="5">
        <v>3200</v>
      </c>
      <c r="O931" s="5">
        <v>5350</v>
      </c>
      <c r="P931" s="5">
        <v>12000</v>
      </c>
      <c r="Q931" s="5">
        <v>51250</v>
      </c>
      <c r="R931" t="s">
        <v>75</v>
      </c>
      <c r="S931" t="s">
        <v>76</v>
      </c>
      <c r="T931" s="5">
        <v>23360</v>
      </c>
      <c r="U931" s="6">
        <v>5</v>
      </c>
      <c r="V931" t="s">
        <v>77</v>
      </c>
      <c r="W931" s="4">
        <v>46188</v>
      </c>
      <c r="X931" t="s">
        <v>77</v>
      </c>
      <c r="Y931" t="s">
        <v>64</v>
      </c>
      <c r="Z931" t="s">
        <v>78</v>
      </c>
    </row>
    <row r="932" spans="1:26">
      <c r="A932" t="s">
        <v>1624</v>
      </c>
      <c r="B932" t="s">
        <v>1081</v>
      </c>
      <c r="C932" s="4">
        <v>46062</v>
      </c>
      <c r="D932" t="s">
        <v>127</v>
      </c>
      <c r="E932" t="s">
        <v>70</v>
      </c>
      <c r="F932" s="4">
        <v>46062</v>
      </c>
      <c r="G932" s="4">
        <v>46062</v>
      </c>
      <c r="H932" t="s">
        <v>111</v>
      </c>
      <c r="I932" t="s">
        <v>397</v>
      </c>
      <c r="J932" t="s">
        <v>113</v>
      </c>
      <c r="K932" t="s">
        <v>60</v>
      </c>
      <c r="L932" t="s">
        <v>94</v>
      </c>
      <c r="M932" s="5">
        <v>17400</v>
      </c>
      <c r="N932" s="5">
        <v>2500</v>
      </c>
      <c r="O932" s="5">
        <v>1750</v>
      </c>
      <c r="P932" s="5">
        <v>0</v>
      </c>
      <c r="Q932" s="5">
        <v>23650</v>
      </c>
      <c r="R932" t="s">
        <v>106</v>
      </c>
      <c r="S932" t="s">
        <v>76</v>
      </c>
      <c r="T932" s="5">
        <v>8980</v>
      </c>
      <c r="U932" s="6">
        <v>5</v>
      </c>
      <c r="V932" t="s">
        <v>64</v>
      </c>
      <c r="W932" s="4"/>
      <c r="X932" t="s">
        <v>65</v>
      </c>
      <c r="Y932" t="s">
        <v>64</v>
      </c>
      <c r="Z932" t="s">
        <v>96</v>
      </c>
    </row>
    <row r="933" spans="1:26">
      <c r="A933" t="s">
        <v>1625</v>
      </c>
      <c r="B933" t="s">
        <v>776</v>
      </c>
      <c r="C933" s="4">
        <v>46163</v>
      </c>
      <c r="D933" t="s">
        <v>302</v>
      </c>
      <c r="E933" t="s">
        <v>70</v>
      </c>
      <c r="F933" s="4">
        <v>46164</v>
      </c>
      <c r="G933" s="4">
        <v>46171</v>
      </c>
      <c r="H933" t="s">
        <v>150</v>
      </c>
      <c r="I933" t="s">
        <v>151</v>
      </c>
      <c r="J933" t="s">
        <v>188</v>
      </c>
      <c r="K933" t="s">
        <v>124</v>
      </c>
      <c r="L933" t="s">
        <v>146</v>
      </c>
      <c r="M933" s="5">
        <v>112500</v>
      </c>
      <c r="N933" s="5">
        <v>17500</v>
      </c>
      <c r="O933" s="5">
        <v>21150</v>
      </c>
      <c r="P933" s="5">
        <v>42000</v>
      </c>
      <c r="Q933" s="5">
        <v>195650</v>
      </c>
      <c r="R933" t="s">
        <v>75</v>
      </c>
      <c r="S933" t="s">
        <v>86</v>
      </c>
      <c r="T933" s="5">
        <v>88340</v>
      </c>
      <c r="U933" s="6">
        <v>2</v>
      </c>
      <c r="V933" t="s">
        <v>77</v>
      </c>
      <c r="W933" s="4">
        <v>46188</v>
      </c>
      <c r="X933" t="s">
        <v>64</v>
      </c>
      <c r="Y933" t="s">
        <v>64</v>
      </c>
      <c r="Z933" t="s">
        <v>107</v>
      </c>
    </row>
    <row r="934" spans="1:26">
      <c r="A934" t="s">
        <v>1626</v>
      </c>
      <c r="B934" t="s">
        <v>1627</v>
      </c>
      <c r="C934" s="4">
        <v>46108</v>
      </c>
      <c r="D934" t="s">
        <v>383</v>
      </c>
      <c r="E934" t="s">
        <v>70</v>
      </c>
      <c r="F934" s="4">
        <v>46108</v>
      </c>
      <c r="G934" s="4">
        <v>46108</v>
      </c>
      <c r="H934" t="s">
        <v>201</v>
      </c>
      <c r="I934" t="s">
        <v>202</v>
      </c>
      <c r="J934" t="s">
        <v>281</v>
      </c>
      <c r="K934" t="s">
        <v>73</v>
      </c>
      <c r="L934" t="s">
        <v>74</v>
      </c>
      <c r="M934" s="5">
        <v>6100</v>
      </c>
      <c r="N934" s="5">
        <v>1000</v>
      </c>
      <c r="O934" s="5">
        <v>1350</v>
      </c>
      <c r="P934" s="5">
        <v>0</v>
      </c>
      <c r="Q934" s="5">
        <v>10950</v>
      </c>
      <c r="R934" t="s">
        <v>85</v>
      </c>
      <c r="S934" t="s">
        <v>76</v>
      </c>
      <c r="T934" s="5">
        <v>3640</v>
      </c>
      <c r="U934" s="6">
        <v>5</v>
      </c>
      <c r="V934" t="s">
        <v>77</v>
      </c>
      <c r="W934" s="4">
        <v>46124</v>
      </c>
      <c r="X934" t="s">
        <v>77</v>
      </c>
      <c r="Y934" t="s">
        <v>64</v>
      </c>
      <c r="Z934" t="s">
        <v>96</v>
      </c>
    </row>
    <row r="935" spans="1:26">
      <c r="A935" t="s">
        <v>1628</v>
      </c>
      <c r="B935" t="s">
        <v>1136</v>
      </c>
      <c r="C935" s="4">
        <v>46134</v>
      </c>
      <c r="D935" t="s">
        <v>266</v>
      </c>
      <c r="E935" t="s">
        <v>70</v>
      </c>
      <c r="F935" s="4">
        <v>46134</v>
      </c>
      <c r="G935" s="4">
        <v>46139</v>
      </c>
      <c r="H935" t="s">
        <v>57</v>
      </c>
      <c r="I935" t="s">
        <v>71</v>
      </c>
      <c r="J935" t="s">
        <v>59</v>
      </c>
      <c r="K935" t="s">
        <v>124</v>
      </c>
      <c r="L935" t="s">
        <v>74</v>
      </c>
      <c r="M935" s="5">
        <v>55000</v>
      </c>
      <c r="N935" s="5">
        <v>6950</v>
      </c>
      <c r="O935" s="5">
        <v>9600</v>
      </c>
      <c r="P935" s="5">
        <v>30000</v>
      </c>
      <c r="Q935" s="5">
        <v>103350</v>
      </c>
      <c r="R935" t="s">
        <v>134</v>
      </c>
      <c r="S935" t="s">
        <v>76</v>
      </c>
      <c r="T935" s="5">
        <v>57040</v>
      </c>
      <c r="U935" s="6">
        <v>3</v>
      </c>
      <c r="V935" t="s">
        <v>77</v>
      </c>
      <c r="W935" s="4">
        <v>46151</v>
      </c>
      <c r="X935" t="s">
        <v>64</v>
      </c>
      <c r="Y935" t="s">
        <v>64</v>
      </c>
      <c r="Z935" t="s">
        <v>78</v>
      </c>
    </row>
    <row r="936" spans="1:26">
      <c r="A936" t="s">
        <v>1629</v>
      </c>
      <c r="B936" t="s">
        <v>468</v>
      </c>
      <c r="C936" s="4">
        <v>46092</v>
      </c>
      <c r="D936" t="s">
        <v>419</v>
      </c>
      <c r="E936" t="s">
        <v>70</v>
      </c>
      <c r="F936" s="4">
        <v>46093</v>
      </c>
      <c r="G936" s="4">
        <v>46094</v>
      </c>
      <c r="H936" t="s">
        <v>90</v>
      </c>
      <c r="I936" t="s">
        <v>91</v>
      </c>
      <c r="J936" t="s">
        <v>197</v>
      </c>
      <c r="K936" t="s">
        <v>60</v>
      </c>
      <c r="L936" t="s">
        <v>74</v>
      </c>
      <c r="M936" s="5">
        <v>21700</v>
      </c>
      <c r="N936" s="5">
        <v>3300</v>
      </c>
      <c r="O936" s="5">
        <v>4000</v>
      </c>
      <c r="P936" s="5">
        <v>2500</v>
      </c>
      <c r="Q936" s="5">
        <v>32700</v>
      </c>
      <c r="R936" t="s">
        <v>85</v>
      </c>
      <c r="S936" t="s">
        <v>76</v>
      </c>
      <c r="T936" s="5">
        <v>9080</v>
      </c>
      <c r="U936" s="6">
        <v>4</v>
      </c>
      <c r="V936" t="s">
        <v>64</v>
      </c>
      <c r="W936" s="4"/>
      <c r="X936" t="s">
        <v>65</v>
      </c>
      <c r="Y936" t="s">
        <v>64</v>
      </c>
      <c r="Z936" t="s">
        <v>107</v>
      </c>
    </row>
    <row r="937" spans="1:26">
      <c r="A937" t="s">
        <v>1630</v>
      </c>
      <c r="B937" t="s">
        <v>709</v>
      </c>
      <c r="C937" s="4">
        <v>46062</v>
      </c>
      <c r="D937" t="s">
        <v>99</v>
      </c>
      <c r="E937" t="s">
        <v>70</v>
      </c>
      <c r="F937" s="4">
        <v>46062</v>
      </c>
      <c r="G937" s="4">
        <v>46063</v>
      </c>
      <c r="H937" t="s">
        <v>121</v>
      </c>
      <c r="I937" t="s">
        <v>251</v>
      </c>
      <c r="J937" t="s">
        <v>256</v>
      </c>
      <c r="K937" t="s">
        <v>73</v>
      </c>
      <c r="L937" t="s">
        <v>61</v>
      </c>
      <c r="M937" s="5">
        <v>18700</v>
      </c>
      <c r="N937" s="5">
        <v>3300</v>
      </c>
      <c r="O937" s="5">
        <v>4450</v>
      </c>
      <c r="P937" s="5">
        <v>3500</v>
      </c>
      <c r="Q937" s="5">
        <v>31950</v>
      </c>
      <c r="R937" t="s">
        <v>75</v>
      </c>
      <c r="S937" t="s">
        <v>76</v>
      </c>
      <c r="T937" s="5">
        <v>14680</v>
      </c>
      <c r="U937" s="6">
        <v>4</v>
      </c>
      <c r="V937" t="s">
        <v>64</v>
      </c>
      <c r="W937" s="4"/>
      <c r="X937" t="s">
        <v>65</v>
      </c>
      <c r="Y937" t="s">
        <v>64</v>
      </c>
      <c r="Z937" t="s">
        <v>96</v>
      </c>
    </row>
    <row r="938" spans="1:26">
      <c r="A938" t="s">
        <v>1631</v>
      </c>
      <c r="B938" t="s">
        <v>487</v>
      </c>
      <c r="C938" s="4">
        <v>46025</v>
      </c>
      <c r="D938" t="s">
        <v>294</v>
      </c>
      <c r="E938" t="s">
        <v>70</v>
      </c>
      <c r="F938" s="4">
        <v>46025</v>
      </c>
      <c r="G938" s="4">
        <v>46028</v>
      </c>
      <c r="H938" t="s">
        <v>178</v>
      </c>
      <c r="I938" t="s">
        <v>339</v>
      </c>
      <c r="J938" t="s">
        <v>180</v>
      </c>
      <c r="K938" t="s">
        <v>93</v>
      </c>
      <c r="L938" t="s">
        <v>146</v>
      </c>
      <c r="M938" s="5">
        <v>67400</v>
      </c>
      <c r="N938" s="5">
        <v>6450</v>
      </c>
      <c r="O938" s="5">
        <v>12200</v>
      </c>
      <c r="P938" s="5">
        <v>9000</v>
      </c>
      <c r="Q938" s="5">
        <v>95850</v>
      </c>
      <c r="R938" t="s">
        <v>95</v>
      </c>
      <c r="S938" t="s">
        <v>63</v>
      </c>
      <c r="T938" s="5">
        <v>95850</v>
      </c>
      <c r="U938" s="6">
        <v>5</v>
      </c>
      <c r="V938" t="s">
        <v>64</v>
      </c>
      <c r="W938" s="4"/>
      <c r="X938" t="s">
        <v>65</v>
      </c>
      <c r="Y938" t="s">
        <v>64</v>
      </c>
      <c r="Z938" t="s">
        <v>107</v>
      </c>
    </row>
    <row r="939" spans="1:26">
      <c r="A939" t="s">
        <v>1632</v>
      </c>
      <c r="B939" t="s">
        <v>231</v>
      </c>
      <c r="C939" s="4">
        <v>46028</v>
      </c>
      <c r="D939" t="s">
        <v>298</v>
      </c>
      <c r="E939" t="s">
        <v>70</v>
      </c>
      <c r="F939" s="4">
        <v>46029</v>
      </c>
      <c r="G939" s="4">
        <v>46033</v>
      </c>
      <c r="H939" t="s">
        <v>90</v>
      </c>
      <c r="I939" t="s">
        <v>133</v>
      </c>
      <c r="J939" t="s">
        <v>129</v>
      </c>
      <c r="K939" t="s">
        <v>93</v>
      </c>
      <c r="L939" t="s">
        <v>94</v>
      </c>
      <c r="M939" s="5">
        <v>40000</v>
      </c>
      <c r="N939" s="5">
        <v>3750</v>
      </c>
      <c r="O939" s="5">
        <v>7400</v>
      </c>
      <c r="P939" s="5">
        <v>24000</v>
      </c>
      <c r="Q939" s="5">
        <v>77150</v>
      </c>
      <c r="R939" t="s">
        <v>75</v>
      </c>
      <c r="S939" t="s">
        <v>163</v>
      </c>
      <c r="T939" s="5">
        <v>35020</v>
      </c>
      <c r="U939" s="6">
        <v>3</v>
      </c>
      <c r="V939" t="s">
        <v>77</v>
      </c>
      <c r="W939" s="4">
        <v>46044</v>
      </c>
      <c r="X939" t="s">
        <v>64</v>
      </c>
      <c r="Y939" t="s">
        <v>64</v>
      </c>
      <c r="Z939" t="s">
        <v>78</v>
      </c>
    </row>
    <row r="940" spans="1:26">
      <c r="A940" t="s">
        <v>1633</v>
      </c>
      <c r="B940" t="s">
        <v>551</v>
      </c>
      <c r="C940" s="4">
        <v>46095</v>
      </c>
      <c r="D940" t="s">
        <v>298</v>
      </c>
      <c r="E940" t="s">
        <v>70</v>
      </c>
      <c r="F940" s="4">
        <v>46095</v>
      </c>
      <c r="G940" s="4">
        <v>46101</v>
      </c>
      <c r="H940" t="s">
        <v>82</v>
      </c>
      <c r="I940" t="s">
        <v>194</v>
      </c>
      <c r="J940" t="s">
        <v>156</v>
      </c>
      <c r="K940" t="s">
        <v>73</v>
      </c>
      <c r="L940" t="s">
        <v>94</v>
      </c>
      <c r="M940" s="5">
        <v>75500</v>
      </c>
      <c r="N940" s="5">
        <v>8800</v>
      </c>
      <c r="O940" s="5">
        <v>17300</v>
      </c>
      <c r="P940" s="5">
        <v>36000</v>
      </c>
      <c r="Q940" s="5">
        <v>139400</v>
      </c>
      <c r="R940" t="s">
        <v>75</v>
      </c>
      <c r="S940" t="s">
        <v>76</v>
      </c>
      <c r="T940" s="5">
        <v>63030</v>
      </c>
      <c r="U940" s="6">
        <v>3</v>
      </c>
      <c r="V940" t="s">
        <v>64</v>
      </c>
      <c r="W940" s="4"/>
      <c r="X940" t="s">
        <v>65</v>
      </c>
      <c r="Y940" t="s">
        <v>64</v>
      </c>
      <c r="Z940" t="s">
        <v>107</v>
      </c>
    </row>
    <row r="941" spans="1:26">
      <c r="A941" t="s">
        <v>1634</v>
      </c>
      <c r="B941" t="s">
        <v>1044</v>
      </c>
      <c r="C941" s="4">
        <v>46165</v>
      </c>
      <c r="D941" t="s">
        <v>210</v>
      </c>
      <c r="E941" t="s">
        <v>70</v>
      </c>
      <c r="F941" s="4">
        <v>46165</v>
      </c>
      <c r="G941" s="4">
        <v>46165</v>
      </c>
      <c r="H941" t="s">
        <v>121</v>
      </c>
      <c r="I941" t="s">
        <v>174</v>
      </c>
      <c r="J941" t="s">
        <v>252</v>
      </c>
      <c r="K941" t="s">
        <v>60</v>
      </c>
      <c r="L941" t="s">
        <v>94</v>
      </c>
      <c r="M941" s="5">
        <v>65000</v>
      </c>
      <c r="N941" s="5">
        <v>9300</v>
      </c>
      <c r="O941" s="5">
        <v>14650</v>
      </c>
      <c r="P941" s="5">
        <v>0</v>
      </c>
      <c r="Q941" s="5">
        <v>90750</v>
      </c>
      <c r="R941" t="s">
        <v>75</v>
      </c>
      <c r="S941" t="s">
        <v>76</v>
      </c>
      <c r="T941" s="5">
        <v>41140</v>
      </c>
      <c r="U941" s="6">
        <v>5</v>
      </c>
      <c r="V941" t="s">
        <v>77</v>
      </c>
      <c r="W941" s="4">
        <v>46176</v>
      </c>
      <c r="X941" t="s">
        <v>77</v>
      </c>
      <c r="Y941" t="s">
        <v>64</v>
      </c>
      <c r="Z941" t="s">
        <v>436</v>
      </c>
    </row>
    <row r="942" spans="1:26">
      <c r="A942" t="s">
        <v>1635</v>
      </c>
      <c r="B942" t="s">
        <v>276</v>
      </c>
      <c r="C942" s="4">
        <v>46081</v>
      </c>
      <c r="D942" t="s">
        <v>168</v>
      </c>
      <c r="E942" t="s">
        <v>70</v>
      </c>
      <c r="F942" s="4">
        <v>46081</v>
      </c>
      <c r="G942" s="4">
        <v>46082</v>
      </c>
      <c r="H942" t="s">
        <v>82</v>
      </c>
      <c r="I942" t="s">
        <v>369</v>
      </c>
      <c r="J942" t="s">
        <v>291</v>
      </c>
      <c r="K942" t="s">
        <v>60</v>
      </c>
      <c r="L942" t="s">
        <v>61</v>
      </c>
      <c r="M942" s="5">
        <v>40800</v>
      </c>
      <c r="N942" s="5">
        <v>6600</v>
      </c>
      <c r="O942" s="5">
        <v>7050</v>
      </c>
      <c r="P942" s="5">
        <v>2500</v>
      </c>
      <c r="Q942" s="5">
        <v>57750</v>
      </c>
      <c r="R942" t="s">
        <v>106</v>
      </c>
      <c r="S942" t="s">
        <v>76</v>
      </c>
      <c r="T942" s="5">
        <v>20910</v>
      </c>
      <c r="U942" s="6">
        <v>5</v>
      </c>
      <c r="V942" t="s">
        <v>77</v>
      </c>
      <c r="W942" s="4">
        <v>46096</v>
      </c>
      <c r="X942" t="s">
        <v>77</v>
      </c>
      <c r="Y942" t="s">
        <v>64</v>
      </c>
      <c r="Z942" t="s">
        <v>78</v>
      </c>
    </row>
    <row r="943" spans="1:26">
      <c r="A943" t="s">
        <v>1636</v>
      </c>
      <c r="B943" t="s">
        <v>405</v>
      </c>
      <c r="C943" s="4">
        <v>46101</v>
      </c>
      <c r="D943" t="s">
        <v>81</v>
      </c>
      <c r="E943" t="s">
        <v>70</v>
      </c>
      <c r="F943" s="4">
        <v>46101</v>
      </c>
      <c r="G943" s="4">
        <v>46102</v>
      </c>
      <c r="H943" t="s">
        <v>201</v>
      </c>
      <c r="I943" t="s">
        <v>202</v>
      </c>
      <c r="J943" t="s">
        <v>281</v>
      </c>
      <c r="K943" t="s">
        <v>73</v>
      </c>
      <c r="L943" t="s">
        <v>94</v>
      </c>
      <c r="M943" s="5">
        <v>7900</v>
      </c>
      <c r="N943" s="5">
        <v>1400</v>
      </c>
      <c r="O943" s="5">
        <v>1700</v>
      </c>
      <c r="P943" s="5">
        <v>2500</v>
      </c>
      <c r="Q943" s="5">
        <v>16000</v>
      </c>
      <c r="R943" t="s">
        <v>85</v>
      </c>
      <c r="S943" t="s">
        <v>86</v>
      </c>
      <c r="T943" s="5">
        <v>4900</v>
      </c>
      <c r="U943" s="6">
        <v>4</v>
      </c>
      <c r="V943" t="s">
        <v>64</v>
      </c>
      <c r="W943" s="4"/>
      <c r="X943" t="s">
        <v>65</v>
      </c>
      <c r="Y943" t="s">
        <v>64</v>
      </c>
      <c r="Z943" t="s">
        <v>96</v>
      </c>
    </row>
    <row r="944" spans="1:26">
      <c r="A944" t="s">
        <v>1637</v>
      </c>
      <c r="B944" t="s">
        <v>1638</v>
      </c>
      <c r="C944" s="4">
        <v>46143</v>
      </c>
      <c r="D944" t="s">
        <v>294</v>
      </c>
      <c r="E944" t="s">
        <v>70</v>
      </c>
      <c r="F944" s="4">
        <v>46143</v>
      </c>
      <c r="G944" s="4">
        <v>46147</v>
      </c>
      <c r="H944" t="s">
        <v>201</v>
      </c>
      <c r="I944" t="s">
        <v>421</v>
      </c>
      <c r="J944" t="s">
        <v>203</v>
      </c>
      <c r="K944" t="s">
        <v>124</v>
      </c>
      <c r="L944" t="s">
        <v>74</v>
      </c>
      <c r="M944" s="5">
        <v>38600</v>
      </c>
      <c r="N944" s="5">
        <v>6150</v>
      </c>
      <c r="O944" s="5">
        <v>4850</v>
      </c>
      <c r="P944" s="5">
        <v>24000</v>
      </c>
      <c r="Q944" s="5">
        <v>74600</v>
      </c>
      <c r="R944" t="s">
        <v>85</v>
      </c>
      <c r="S944" t="s">
        <v>76</v>
      </c>
      <c r="T944" s="5">
        <v>19550</v>
      </c>
      <c r="U944" s="6">
        <v>3</v>
      </c>
      <c r="V944" t="s">
        <v>77</v>
      </c>
      <c r="W944" s="4">
        <v>46157</v>
      </c>
      <c r="X944" t="s">
        <v>77</v>
      </c>
      <c r="Y944" t="s">
        <v>64</v>
      </c>
      <c r="Z944" t="s">
        <v>96</v>
      </c>
    </row>
    <row r="945" spans="1:26">
      <c r="A945" t="s">
        <v>1639</v>
      </c>
      <c r="B945" t="s">
        <v>1640</v>
      </c>
      <c r="C945" s="4">
        <v>46133</v>
      </c>
      <c r="D945" t="s">
        <v>210</v>
      </c>
      <c r="E945" t="s">
        <v>70</v>
      </c>
      <c r="F945" s="4">
        <v>46133</v>
      </c>
      <c r="G945" s="4">
        <v>46138</v>
      </c>
      <c r="H945" t="s">
        <v>201</v>
      </c>
      <c r="I945" t="s">
        <v>515</v>
      </c>
      <c r="J945" t="s">
        <v>203</v>
      </c>
      <c r="K945" t="s">
        <v>124</v>
      </c>
      <c r="L945" t="s">
        <v>74</v>
      </c>
      <c r="M945" s="5">
        <v>42100</v>
      </c>
      <c r="N945" s="5">
        <v>5000</v>
      </c>
      <c r="O945" s="5">
        <v>9300</v>
      </c>
      <c r="P945" s="5">
        <v>22500</v>
      </c>
      <c r="Q945" s="5">
        <v>80100</v>
      </c>
      <c r="R945" t="s">
        <v>85</v>
      </c>
      <c r="S945" t="s">
        <v>76</v>
      </c>
      <c r="T945" s="5">
        <v>20920</v>
      </c>
      <c r="U945" s="6"/>
      <c r="V945" t="s">
        <v>77</v>
      </c>
      <c r="W945" s="4">
        <v>46148</v>
      </c>
      <c r="X945" t="s">
        <v>77</v>
      </c>
      <c r="Y945" t="s">
        <v>64</v>
      </c>
      <c r="Z945" t="s">
        <v>436</v>
      </c>
    </row>
    <row r="946" spans="1:26">
      <c r="A946" t="s">
        <v>1641</v>
      </c>
      <c r="B946" t="s">
        <v>1642</v>
      </c>
      <c r="C946" s="4">
        <v>46129</v>
      </c>
      <c r="D946" t="s">
        <v>81</v>
      </c>
      <c r="E946" t="s">
        <v>70</v>
      </c>
      <c r="F946" s="4">
        <v>46129</v>
      </c>
      <c r="G946" s="4">
        <v>46135</v>
      </c>
      <c r="H946" t="s">
        <v>90</v>
      </c>
      <c r="I946" t="s">
        <v>162</v>
      </c>
      <c r="J946" t="s">
        <v>92</v>
      </c>
      <c r="K946" t="s">
        <v>73</v>
      </c>
      <c r="L946" t="s">
        <v>74</v>
      </c>
      <c r="M946" s="5">
        <v>42700</v>
      </c>
      <c r="N946" s="5">
        <v>4600</v>
      </c>
      <c r="O946" s="5">
        <v>10500</v>
      </c>
      <c r="P946" s="5">
        <v>27000</v>
      </c>
      <c r="Q946" s="5">
        <v>86000</v>
      </c>
      <c r="R946" t="s">
        <v>85</v>
      </c>
      <c r="S946" t="s">
        <v>76</v>
      </c>
      <c r="T946" s="5">
        <v>22400</v>
      </c>
      <c r="U946" s="6">
        <v>4</v>
      </c>
      <c r="V946" t="s">
        <v>77</v>
      </c>
      <c r="W946" s="4">
        <v>46150</v>
      </c>
      <c r="X946" t="s">
        <v>77</v>
      </c>
      <c r="Y946" t="s">
        <v>64</v>
      </c>
      <c r="Z946" t="s">
        <v>78</v>
      </c>
    </row>
    <row r="947" spans="1:26">
      <c r="A947" t="s">
        <v>1643</v>
      </c>
      <c r="B947" t="s">
        <v>954</v>
      </c>
      <c r="C947" s="4">
        <v>46112</v>
      </c>
      <c r="D947" t="s">
        <v>234</v>
      </c>
      <c r="E947" t="s">
        <v>70</v>
      </c>
      <c r="F947" s="4">
        <v>46112</v>
      </c>
      <c r="G947" s="4">
        <v>46113</v>
      </c>
      <c r="H947" t="s">
        <v>150</v>
      </c>
      <c r="I947" t="s">
        <v>304</v>
      </c>
      <c r="J947" t="s">
        <v>188</v>
      </c>
      <c r="K947" t="s">
        <v>60</v>
      </c>
      <c r="L947" t="s">
        <v>94</v>
      </c>
      <c r="M947" s="5">
        <v>105800</v>
      </c>
      <c r="N947" s="5">
        <v>10100</v>
      </c>
      <c r="O947" s="5">
        <v>10600</v>
      </c>
      <c r="P947" s="5">
        <v>6000</v>
      </c>
      <c r="Q947" s="5">
        <v>133700</v>
      </c>
      <c r="R947" t="s">
        <v>75</v>
      </c>
      <c r="S947" t="s">
        <v>76</v>
      </c>
      <c r="T947" s="5">
        <v>60460</v>
      </c>
      <c r="U947" s="6">
        <v>4</v>
      </c>
      <c r="V947" t="s">
        <v>64</v>
      </c>
      <c r="W947" s="4"/>
      <c r="X947" t="s">
        <v>65</v>
      </c>
      <c r="Y947" t="s">
        <v>64</v>
      </c>
      <c r="Z947" t="s">
        <v>96</v>
      </c>
    </row>
    <row r="948" spans="1:26">
      <c r="A948" t="s">
        <v>1644</v>
      </c>
      <c r="B948" t="s">
        <v>1645</v>
      </c>
      <c r="C948" s="4">
        <v>46035</v>
      </c>
      <c r="D948" t="s">
        <v>183</v>
      </c>
      <c r="E948" t="s">
        <v>177</v>
      </c>
      <c r="F948" s="4"/>
      <c r="G948" s="4"/>
      <c r="H948" t="s">
        <v>201</v>
      </c>
      <c r="I948" t="s">
        <v>449</v>
      </c>
      <c r="J948" t="s">
        <v>281</v>
      </c>
      <c r="K948" t="s">
        <v>124</v>
      </c>
      <c r="L948" t="s">
        <v>94</v>
      </c>
      <c r="M948" s="5"/>
      <c r="N948" s="5"/>
      <c r="O948" s="5"/>
      <c r="P948" s="5"/>
      <c r="Q948" s="5"/>
      <c r="R948" t="s">
        <v>95</v>
      </c>
      <c r="S948" t="s">
        <v>63</v>
      </c>
      <c r="T948" s="5"/>
      <c r="U948" s="6"/>
      <c r="V948" t="s">
        <v>64</v>
      </c>
      <c r="W948" s="4"/>
      <c r="X948" t="s">
        <v>65</v>
      </c>
      <c r="Z948" t="s">
        <v>66</v>
      </c>
    </row>
    <row r="949" spans="1:26">
      <c r="A949" t="s">
        <v>1646</v>
      </c>
      <c r="B949" t="s">
        <v>562</v>
      </c>
      <c r="C949" s="4">
        <v>46111</v>
      </c>
      <c r="D949" t="s">
        <v>161</v>
      </c>
      <c r="E949" t="s">
        <v>70</v>
      </c>
      <c r="F949" s="4">
        <v>46112</v>
      </c>
      <c r="G949" s="4">
        <v>46117</v>
      </c>
      <c r="H949" t="s">
        <v>90</v>
      </c>
      <c r="I949" t="s">
        <v>162</v>
      </c>
      <c r="J949" t="s">
        <v>129</v>
      </c>
      <c r="K949" t="s">
        <v>124</v>
      </c>
      <c r="L949" t="s">
        <v>61</v>
      </c>
      <c r="M949" s="5">
        <v>50100</v>
      </c>
      <c r="N949" s="5">
        <v>5900</v>
      </c>
      <c r="O949" s="5">
        <v>8900</v>
      </c>
      <c r="P949" s="5">
        <v>22500</v>
      </c>
      <c r="Q949" s="5">
        <v>88600</v>
      </c>
      <c r="R949" t="s">
        <v>141</v>
      </c>
      <c r="S949" t="s">
        <v>76</v>
      </c>
      <c r="T949" s="5">
        <v>14490</v>
      </c>
      <c r="U949" s="6">
        <v>3</v>
      </c>
      <c r="V949" t="s">
        <v>77</v>
      </c>
      <c r="W949" s="4">
        <v>46136</v>
      </c>
      <c r="X949" t="s">
        <v>77</v>
      </c>
      <c r="Y949" t="s">
        <v>77</v>
      </c>
      <c r="Z949" t="s">
        <v>78</v>
      </c>
    </row>
    <row r="950" spans="1:26">
      <c r="A950" t="s">
        <v>1647</v>
      </c>
      <c r="B950" t="s">
        <v>980</v>
      </c>
      <c r="C950" s="4">
        <v>46086</v>
      </c>
      <c r="D950" t="s">
        <v>81</v>
      </c>
      <c r="E950" t="s">
        <v>56</v>
      </c>
      <c r="F950" s="4"/>
      <c r="G950" s="4"/>
      <c r="H950" t="s">
        <v>111</v>
      </c>
      <c r="I950" t="s">
        <v>355</v>
      </c>
      <c r="J950" t="s">
        <v>117</v>
      </c>
      <c r="K950" t="s">
        <v>60</v>
      </c>
      <c r="L950" t="s">
        <v>146</v>
      </c>
      <c r="M950" s="5"/>
      <c r="N950" s="5"/>
      <c r="O950" s="5"/>
      <c r="P950" s="5"/>
      <c r="Q950" s="5"/>
      <c r="R950" t="s">
        <v>75</v>
      </c>
      <c r="S950" t="s">
        <v>63</v>
      </c>
      <c r="T950" s="5"/>
      <c r="U950" s="6"/>
      <c r="V950" t="s">
        <v>64</v>
      </c>
      <c r="W950" s="4"/>
      <c r="X950" t="s">
        <v>65</v>
      </c>
      <c r="Z950" t="s">
        <v>66</v>
      </c>
    </row>
    <row r="951" spans="1:26">
      <c r="A951" t="s">
        <v>1648</v>
      </c>
      <c r="B951" t="s">
        <v>907</v>
      </c>
      <c r="C951" s="4">
        <v>46111</v>
      </c>
      <c r="D951" t="s">
        <v>250</v>
      </c>
      <c r="E951" t="s">
        <v>70</v>
      </c>
      <c r="F951" s="4">
        <v>46112</v>
      </c>
      <c r="G951" s="4">
        <v>46112</v>
      </c>
      <c r="H951" t="s">
        <v>90</v>
      </c>
      <c r="I951" t="s">
        <v>133</v>
      </c>
      <c r="J951" t="s">
        <v>92</v>
      </c>
      <c r="K951" t="s">
        <v>60</v>
      </c>
      <c r="L951" t="s">
        <v>94</v>
      </c>
      <c r="M951" s="5">
        <v>64400</v>
      </c>
      <c r="N951" s="5">
        <v>8750</v>
      </c>
      <c r="O951" s="5">
        <v>7500</v>
      </c>
      <c r="P951" s="5">
        <v>0</v>
      </c>
      <c r="Q951" s="5">
        <v>82650</v>
      </c>
      <c r="R951" t="s">
        <v>95</v>
      </c>
      <c r="S951" t="s">
        <v>63</v>
      </c>
      <c r="T951" s="5">
        <v>82650</v>
      </c>
      <c r="U951" s="6">
        <v>3</v>
      </c>
      <c r="V951" t="s">
        <v>77</v>
      </c>
      <c r="W951" s="4">
        <v>46123</v>
      </c>
      <c r="X951" t="s">
        <v>77</v>
      </c>
      <c r="Y951" t="s">
        <v>64</v>
      </c>
      <c r="Z951" t="s">
        <v>96</v>
      </c>
    </row>
    <row r="952" spans="1:26">
      <c r="A952" t="s">
        <v>1649</v>
      </c>
      <c r="B952" t="s">
        <v>651</v>
      </c>
      <c r="C952" s="4">
        <v>46037</v>
      </c>
      <c r="D952" t="s">
        <v>149</v>
      </c>
      <c r="E952" t="s">
        <v>70</v>
      </c>
      <c r="F952" s="4">
        <v>46037</v>
      </c>
      <c r="G952" s="4">
        <v>46037</v>
      </c>
      <c r="H952" t="s">
        <v>111</v>
      </c>
      <c r="I952" t="s">
        <v>267</v>
      </c>
      <c r="J952" t="s">
        <v>113</v>
      </c>
      <c r="K952" t="s">
        <v>60</v>
      </c>
      <c r="L952" t="s">
        <v>146</v>
      </c>
      <c r="M952" s="5">
        <v>22900</v>
      </c>
      <c r="N952" s="5">
        <v>3100</v>
      </c>
      <c r="O952" s="5">
        <v>3000</v>
      </c>
      <c r="P952" s="5">
        <v>0</v>
      </c>
      <c r="Q952" s="5">
        <v>30200</v>
      </c>
      <c r="R952" t="s">
        <v>95</v>
      </c>
      <c r="S952" t="s">
        <v>63</v>
      </c>
      <c r="T952" s="5">
        <v>30200</v>
      </c>
      <c r="U952" s="6">
        <v>5</v>
      </c>
      <c r="V952" t="s">
        <v>64</v>
      </c>
      <c r="W952" s="4"/>
      <c r="X952" t="s">
        <v>65</v>
      </c>
      <c r="Y952" t="s">
        <v>64</v>
      </c>
      <c r="Z952" t="s">
        <v>96</v>
      </c>
    </row>
    <row r="953" spans="1:26">
      <c r="A953" t="s">
        <v>1650</v>
      </c>
      <c r="B953" t="s">
        <v>1651</v>
      </c>
      <c r="C953" s="4">
        <v>46038</v>
      </c>
      <c r="D953" t="s">
        <v>225</v>
      </c>
      <c r="E953" t="s">
        <v>70</v>
      </c>
      <c r="F953" s="4">
        <v>46038</v>
      </c>
      <c r="G953" s="4">
        <v>46039</v>
      </c>
      <c r="H953" t="s">
        <v>121</v>
      </c>
      <c r="I953" t="s">
        <v>334</v>
      </c>
      <c r="J953" t="s">
        <v>252</v>
      </c>
      <c r="K953" t="s">
        <v>60</v>
      </c>
      <c r="L953" t="s">
        <v>74</v>
      </c>
      <c r="M953" s="5">
        <v>62700</v>
      </c>
      <c r="N953" s="5">
        <v>7750</v>
      </c>
      <c r="O953" s="5">
        <v>11600</v>
      </c>
      <c r="P953" s="5">
        <v>4500</v>
      </c>
      <c r="Q953" s="5">
        <v>87550</v>
      </c>
      <c r="R953" t="s">
        <v>106</v>
      </c>
      <c r="S953" t="s">
        <v>76</v>
      </c>
      <c r="T953" s="5">
        <v>31340</v>
      </c>
      <c r="U953" s="6">
        <v>5</v>
      </c>
      <c r="V953" t="s">
        <v>77</v>
      </c>
      <c r="W953" s="4">
        <v>46048</v>
      </c>
      <c r="X953" t="s">
        <v>77</v>
      </c>
      <c r="Y953" t="s">
        <v>64</v>
      </c>
      <c r="Z953" t="s">
        <v>78</v>
      </c>
    </row>
    <row r="954" spans="1:26">
      <c r="A954" t="s">
        <v>1652</v>
      </c>
      <c r="B954" t="s">
        <v>573</v>
      </c>
      <c r="C954" s="4">
        <v>46126</v>
      </c>
      <c r="D954" t="s">
        <v>225</v>
      </c>
      <c r="E954" t="s">
        <v>70</v>
      </c>
      <c r="F954" s="4">
        <v>46126</v>
      </c>
      <c r="G954" s="4">
        <v>46126</v>
      </c>
      <c r="H954" t="s">
        <v>150</v>
      </c>
      <c r="I954" t="s">
        <v>247</v>
      </c>
      <c r="J954" t="s">
        <v>229</v>
      </c>
      <c r="K954" t="s">
        <v>60</v>
      </c>
      <c r="L954" t="s">
        <v>61</v>
      </c>
      <c r="M954" s="5">
        <v>40500</v>
      </c>
      <c r="N954" s="5">
        <v>5150</v>
      </c>
      <c r="O954" s="5">
        <v>9250</v>
      </c>
      <c r="P954" s="5">
        <v>0</v>
      </c>
      <c r="Q954" s="5">
        <v>55900</v>
      </c>
      <c r="R954" t="s">
        <v>134</v>
      </c>
      <c r="S954" t="s">
        <v>76</v>
      </c>
      <c r="T954" s="5">
        <v>30950</v>
      </c>
      <c r="U954" s="6">
        <v>5</v>
      </c>
      <c r="V954" t="s">
        <v>64</v>
      </c>
      <c r="W954" s="4"/>
      <c r="X954" t="s">
        <v>65</v>
      </c>
      <c r="Y954" t="s">
        <v>64</v>
      </c>
      <c r="Z954" t="s">
        <v>96</v>
      </c>
    </row>
    <row r="955" spans="1:26">
      <c r="A955" t="s">
        <v>1653</v>
      </c>
      <c r="B955" t="s">
        <v>638</v>
      </c>
      <c r="C955" s="4">
        <v>46026</v>
      </c>
      <c r="D955" t="s">
        <v>168</v>
      </c>
      <c r="E955" t="s">
        <v>70</v>
      </c>
      <c r="F955" s="4">
        <v>46026</v>
      </c>
      <c r="G955" s="4">
        <v>46035</v>
      </c>
      <c r="H955" t="s">
        <v>57</v>
      </c>
      <c r="I955" t="s">
        <v>211</v>
      </c>
      <c r="J955" t="s">
        <v>170</v>
      </c>
      <c r="K955" t="s">
        <v>73</v>
      </c>
      <c r="L955" t="s">
        <v>94</v>
      </c>
      <c r="M955" s="5">
        <v>69500</v>
      </c>
      <c r="N955" s="5">
        <v>10900</v>
      </c>
      <c r="O955" s="5">
        <v>12000</v>
      </c>
      <c r="P955" s="5">
        <v>54000</v>
      </c>
      <c r="Q955" s="5">
        <v>148400</v>
      </c>
      <c r="R955" t="s">
        <v>75</v>
      </c>
      <c r="S955" t="s">
        <v>76</v>
      </c>
      <c r="T955" s="5">
        <v>67080</v>
      </c>
      <c r="U955" s="6">
        <v>3</v>
      </c>
      <c r="V955" t="s">
        <v>64</v>
      </c>
      <c r="W955" s="4"/>
      <c r="X955" t="s">
        <v>65</v>
      </c>
      <c r="Y955" t="s">
        <v>64</v>
      </c>
      <c r="Z955" t="s">
        <v>96</v>
      </c>
    </row>
    <row r="956" spans="1:26">
      <c r="A956" t="s">
        <v>1654</v>
      </c>
      <c r="B956" t="s">
        <v>860</v>
      </c>
      <c r="C956" s="4">
        <v>46060</v>
      </c>
      <c r="D956" t="s">
        <v>259</v>
      </c>
      <c r="E956" t="s">
        <v>70</v>
      </c>
      <c r="F956" s="4">
        <v>46061</v>
      </c>
      <c r="G956" s="4">
        <v>46061</v>
      </c>
      <c r="H956" t="s">
        <v>111</v>
      </c>
      <c r="I956" t="s">
        <v>267</v>
      </c>
      <c r="J956" t="s">
        <v>113</v>
      </c>
      <c r="K956" t="s">
        <v>60</v>
      </c>
      <c r="L956" t="s">
        <v>74</v>
      </c>
      <c r="M956" s="5">
        <v>17100</v>
      </c>
      <c r="N956" s="5">
        <v>2850</v>
      </c>
      <c r="O956" s="5">
        <v>2300</v>
      </c>
      <c r="P956" s="5">
        <v>0</v>
      </c>
      <c r="Q956" s="5">
        <v>23450</v>
      </c>
      <c r="R956" t="s">
        <v>75</v>
      </c>
      <c r="S956" t="s">
        <v>76</v>
      </c>
      <c r="T956" s="5">
        <v>10850</v>
      </c>
      <c r="U956" s="6"/>
      <c r="V956" t="s">
        <v>77</v>
      </c>
      <c r="W956" s="4">
        <v>46069</v>
      </c>
      <c r="X956" t="s">
        <v>64</v>
      </c>
      <c r="Y956" t="s">
        <v>64</v>
      </c>
      <c r="Z956" t="s">
        <v>96</v>
      </c>
    </row>
    <row r="957" spans="1:26">
      <c r="A957" t="s">
        <v>1655</v>
      </c>
      <c r="B957" t="s">
        <v>493</v>
      </c>
      <c r="C957" s="4">
        <v>46086</v>
      </c>
      <c r="D957" t="s">
        <v>242</v>
      </c>
      <c r="E957" t="s">
        <v>70</v>
      </c>
      <c r="F957" s="4">
        <v>46086</v>
      </c>
      <c r="G957" s="4">
        <v>46086</v>
      </c>
      <c r="H957" t="s">
        <v>150</v>
      </c>
      <c r="I957" t="s">
        <v>239</v>
      </c>
      <c r="J957" t="s">
        <v>229</v>
      </c>
      <c r="K957" t="s">
        <v>60</v>
      </c>
      <c r="L957" t="s">
        <v>61</v>
      </c>
      <c r="M957" s="5">
        <v>44400</v>
      </c>
      <c r="N957" s="5">
        <v>7150</v>
      </c>
      <c r="O957" s="5">
        <v>9800</v>
      </c>
      <c r="P957" s="5">
        <v>0</v>
      </c>
      <c r="Q957" s="5">
        <v>63150</v>
      </c>
      <c r="R957" t="s">
        <v>85</v>
      </c>
      <c r="S957" t="s">
        <v>76</v>
      </c>
      <c r="T957" s="5">
        <v>16690</v>
      </c>
      <c r="U957" s="6">
        <v>5</v>
      </c>
      <c r="V957" t="s">
        <v>64</v>
      </c>
      <c r="W957" s="4"/>
      <c r="X957" t="s">
        <v>65</v>
      </c>
      <c r="Y957" t="s">
        <v>64</v>
      </c>
      <c r="Z957" t="s">
        <v>96</v>
      </c>
    </row>
    <row r="958" spans="1:26">
      <c r="A958" t="s">
        <v>1656</v>
      </c>
      <c r="B958" t="s">
        <v>524</v>
      </c>
      <c r="C958" s="4">
        <v>46079</v>
      </c>
      <c r="D958" t="s">
        <v>206</v>
      </c>
      <c r="E958" t="s">
        <v>70</v>
      </c>
      <c r="F958" s="4">
        <v>46079</v>
      </c>
      <c r="G958" s="4">
        <v>46079</v>
      </c>
      <c r="H958" t="s">
        <v>82</v>
      </c>
      <c r="I958" t="s">
        <v>194</v>
      </c>
      <c r="J958" t="s">
        <v>291</v>
      </c>
      <c r="K958" t="s">
        <v>60</v>
      </c>
      <c r="L958" t="s">
        <v>61</v>
      </c>
      <c r="M958" s="5"/>
      <c r="N958" s="5">
        <v>7800</v>
      </c>
      <c r="O958" s="5">
        <v>9150</v>
      </c>
      <c r="P958" s="5">
        <v>0</v>
      </c>
      <c r="Q958" s="5">
        <v>65750</v>
      </c>
      <c r="R958" t="s">
        <v>106</v>
      </c>
      <c r="S958" t="s">
        <v>163</v>
      </c>
      <c r="T958" s="5">
        <v>23710</v>
      </c>
      <c r="U958" s="6">
        <v>4</v>
      </c>
      <c r="V958" t="s">
        <v>77</v>
      </c>
      <c r="W958" s="4">
        <v>46087</v>
      </c>
      <c r="X958" t="s">
        <v>77</v>
      </c>
      <c r="Y958" t="s">
        <v>64</v>
      </c>
      <c r="Z958" t="s">
        <v>78</v>
      </c>
    </row>
    <row r="959" spans="1:26">
      <c r="A959" t="s">
        <v>1657</v>
      </c>
      <c r="B959" t="s">
        <v>678</v>
      </c>
      <c r="C959" s="4">
        <v>46023</v>
      </c>
      <c r="D959" t="s">
        <v>144</v>
      </c>
      <c r="E959" t="s">
        <v>314</v>
      </c>
      <c r="F959" s="4"/>
      <c r="G959" s="4"/>
      <c r="H959" t="s">
        <v>178</v>
      </c>
      <c r="I959" t="s">
        <v>622</v>
      </c>
      <c r="J959" t="s">
        <v>340</v>
      </c>
      <c r="K959" t="s">
        <v>93</v>
      </c>
      <c r="L959" t="s">
        <v>74</v>
      </c>
      <c r="M959" s="5"/>
      <c r="N959" s="5"/>
      <c r="O959" s="5"/>
      <c r="P959" s="5"/>
      <c r="Q959" s="5"/>
      <c r="R959" t="s">
        <v>134</v>
      </c>
      <c r="S959" t="s">
        <v>63</v>
      </c>
      <c r="T959" s="5"/>
      <c r="U959" s="6"/>
      <c r="V959" t="s">
        <v>64</v>
      </c>
      <c r="W959" s="4"/>
      <c r="X959" t="s">
        <v>65</v>
      </c>
      <c r="Z959" t="s">
        <v>66</v>
      </c>
    </row>
    <row r="960" spans="1:26">
      <c r="A960" t="s">
        <v>1658</v>
      </c>
      <c r="B960" t="s">
        <v>297</v>
      </c>
      <c r="C960" s="4">
        <v>46040</v>
      </c>
      <c r="D960" t="s">
        <v>99</v>
      </c>
      <c r="E960" t="s">
        <v>70</v>
      </c>
      <c r="F960" s="4">
        <v>46041</v>
      </c>
      <c r="G960" s="4">
        <v>46045</v>
      </c>
      <c r="H960" t="s">
        <v>138</v>
      </c>
      <c r="I960" t="s">
        <v>260</v>
      </c>
      <c r="J960" t="s">
        <v>236</v>
      </c>
      <c r="K960" t="s">
        <v>124</v>
      </c>
      <c r="L960" t="s">
        <v>74</v>
      </c>
      <c r="M960" s="5">
        <v>31300</v>
      </c>
      <c r="N960" s="5">
        <v>3550</v>
      </c>
      <c r="O960" s="5">
        <v>7700</v>
      </c>
      <c r="P960" s="5">
        <v>24000</v>
      </c>
      <c r="Q960" s="5">
        <v>69050</v>
      </c>
      <c r="R960" t="s">
        <v>106</v>
      </c>
      <c r="S960" t="s">
        <v>76</v>
      </c>
      <c r="T960" s="5">
        <v>24870</v>
      </c>
      <c r="U960" s="6">
        <v>4</v>
      </c>
      <c r="V960" t="s">
        <v>77</v>
      </c>
      <c r="W960" s="4">
        <v>46052</v>
      </c>
      <c r="X960" t="s">
        <v>77</v>
      </c>
      <c r="Y960" t="s">
        <v>64</v>
      </c>
      <c r="Z960" t="s">
        <v>78</v>
      </c>
    </row>
    <row r="961" spans="1:26">
      <c r="A961" t="s">
        <v>1659</v>
      </c>
      <c r="B961" t="s">
        <v>1170</v>
      </c>
      <c r="C961" s="4">
        <v>46086</v>
      </c>
      <c r="D961" t="s">
        <v>173</v>
      </c>
      <c r="E961" t="s">
        <v>70</v>
      </c>
      <c r="F961" s="4">
        <v>46086</v>
      </c>
      <c r="G961" s="4">
        <v>46086</v>
      </c>
      <c r="H961" t="s">
        <v>103</v>
      </c>
      <c r="I961" t="s">
        <v>104</v>
      </c>
      <c r="J961" t="s">
        <v>244</v>
      </c>
      <c r="K961" t="s">
        <v>60</v>
      </c>
      <c r="L961" t="s">
        <v>146</v>
      </c>
      <c r="M961" s="5">
        <v>53700</v>
      </c>
      <c r="N961" s="5">
        <v>4300</v>
      </c>
      <c r="O961" s="5">
        <v>8450</v>
      </c>
      <c r="P961" s="5">
        <v>0</v>
      </c>
      <c r="Q961" s="5">
        <v>68250</v>
      </c>
      <c r="R961" t="s">
        <v>75</v>
      </c>
      <c r="S961" t="s">
        <v>76</v>
      </c>
      <c r="T961" s="5">
        <v>31010</v>
      </c>
      <c r="U961" s="6">
        <v>5</v>
      </c>
      <c r="V961" t="s">
        <v>64</v>
      </c>
      <c r="W961" s="4"/>
      <c r="X961" t="s">
        <v>65</v>
      </c>
      <c r="Y961" t="s">
        <v>64</v>
      </c>
      <c r="Z961" t="s">
        <v>78</v>
      </c>
    </row>
    <row r="962" spans="1:26">
      <c r="A962" t="s">
        <v>1660</v>
      </c>
      <c r="B962" t="s">
        <v>664</v>
      </c>
      <c r="C962" s="4">
        <v>46126</v>
      </c>
      <c r="D962" t="s">
        <v>149</v>
      </c>
      <c r="E962" t="s">
        <v>70</v>
      </c>
      <c r="F962" s="4">
        <v>46127</v>
      </c>
      <c r="G962" s="4">
        <v>46127</v>
      </c>
      <c r="H962" t="s">
        <v>90</v>
      </c>
      <c r="I962" t="s">
        <v>133</v>
      </c>
      <c r="J962" t="s">
        <v>92</v>
      </c>
      <c r="K962" t="s">
        <v>60</v>
      </c>
      <c r="L962" t="s">
        <v>74</v>
      </c>
      <c r="M962" s="5">
        <v>61900</v>
      </c>
      <c r="N962" s="5">
        <v>7450</v>
      </c>
      <c r="O962" s="5">
        <v>11750</v>
      </c>
      <c r="P962" s="5">
        <v>0</v>
      </c>
      <c r="Q962" s="5">
        <v>83100</v>
      </c>
      <c r="R962" t="s">
        <v>95</v>
      </c>
      <c r="S962" t="s">
        <v>63</v>
      </c>
      <c r="T962" s="5">
        <v>83100</v>
      </c>
      <c r="U962" s="6">
        <v>5</v>
      </c>
      <c r="V962" t="s">
        <v>77</v>
      </c>
      <c r="W962" s="4">
        <v>46144</v>
      </c>
      <c r="X962" t="s">
        <v>77</v>
      </c>
      <c r="Y962" t="s">
        <v>64</v>
      </c>
      <c r="Z962" t="s">
        <v>96</v>
      </c>
    </row>
    <row r="963" spans="1:26">
      <c r="A963" t="s">
        <v>1661</v>
      </c>
      <c r="B963" t="s">
        <v>845</v>
      </c>
      <c r="C963" s="4">
        <v>46036</v>
      </c>
      <c r="D963" t="s">
        <v>266</v>
      </c>
      <c r="E963" t="s">
        <v>70</v>
      </c>
      <c r="F963" s="4">
        <v>46036</v>
      </c>
      <c r="G963" s="4">
        <v>46036</v>
      </c>
      <c r="H963" t="s">
        <v>150</v>
      </c>
      <c r="I963" t="s">
        <v>304</v>
      </c>
      <c r="J963" t="s">
        <v>188</v>
      </c>
      <c r="K963" t="s">
        <v>60</v>
      </c>
      <c r="L963" t="s">
        <v>74</v>
      </c>
      <c r="M963" s="5">
        <v>101300</v>
      </c>
      <c r="N963" s="5">
        <v>14150</v>
      </c>
      <c r="O963" s="5">
        <v>22400</v>
      </c>
      <c r="P963" s="5">
        <v>0</v>
      </c>
      <c r="Q963" s="5">
        <v>139050</v>
      </c>
      <c r="R963" t="s">
        <v>95</v>
      </c>
      <c r="S963" t="s">
        <v>63</v>
      </c>
      <c r="T963" s="5">
        <v>139050</v>
      </c>
      <c r="U963" s="6">
        <v>2</v>
      </c>
      <c r="V963" t="s">
        <v>64</v>
      </c>
      <c r="W963" s="4"/>
      <c r="X963" t="s">
        <v>65</v>
      </c>
      <c r="Y963" t="s">
        <v>77</v>
      </c>
      <c r="Z963" t="s">
        <v>78</v>
      </c>
    </row>
    <row r="964" spans="1:26">
      <c r="A964" t="s">
        <v>1662</v>
      </c>
      <c r="B964" t="s">
        <v>1537</v>
      </c>
      <c r="C964" s="4">
        <v>46046</v>
      </c>
      <c r="D964" t="s">
        <v>200</v>
      </c>
      <c r="E964" t="s">
        <v>70</v>
      </c>
      <c r="F964" s="4">
        <v>46046</v>
      </c>
      <c r="G964" s="4">
        <v>46053</v>
      </c>
      <c r="H964" t="s">
        <v>103</v>
      </c>
      <c r="I964" t="s">
        <v>104</v>
      </c>
      <c r="J964" t="s">
        <v>244</v>
      </c>
      <c r="K964" t="s">
        <v>93</v>
      </c>
      <c r="L964" t="s">
        <v>94</v>
      </c>
      <c r="M964" s="5">
        <v>58700</v>
      </c>
      <c r="N964" s="5">
        <v>8600</v>
      </c>
      <c r="O964" s="5">
        <v>8550</v>
      </c>
      <c r="P964" s="5">
        <v>42000</v>
      </c>
      <c r="Q964" s="5">
        <v>119650</v>
      </c>
      <c r="R964" t="s">
        <v>95</v>
      </c>
      <c r="S964" t="s">
        <v>63</v>
      </c>
      <c r="T964" s="5">
        <v>119650</v>
      </c>
      <c r="U964" s="6">
        <v>4</v>
      </c>
      <c r="V964" t="s">
        <v>64</v>
      </c>
      <c r="W964" s="4"/>
      <c r="X964" t="s">
        <v>65</v>
      </c>
      <c r="Y964" t="s">
        <v>64</v>
      </c>
      <c r="Z964" t="s">
        <v>219</v>
      </c>
    </row>
    <row r="965" spans="1:26">
      <c r="A965" t="s">
        <v>1663</v>
      </c>
      <c r="B965" t="s">
        <v>1664</v>
      </c>
      <c r="C965" s="4">
        <v>46037</v>
      </c>
      <c r="D965" t="s">
        <v>161</v>
      </c>
      <c r="E965" t="s">
        <v>70</v>
      </c>
      <c r="F965" s="4">
        <v>46038</v>
      </c>
      <c r="G965" s="4">
        <v>46038</v>
      </c>
      <c r="H965" t="s">
        <v>82</v>
      </c>
      <c r="I965" t="s">
        <v>194</v>
      </c>
      <c r="J965" t="s">
        <v>291</v>
      </c>
      <c r="K965" t="s">
        <v>60</v>
      </c>
      <c r="L965" t="s">
        <v>74</v>
      </c>
      <c r="M965" s="5">
        <v>43100</v>
      </c>
      <c r="N965" s="5">
        <v>6100</v>
      </c>
      <c r="O965" s="5">
        <v>8500</v>
      </c>
      <c r="P965" s="5">
        <v>0</v>
      </c>
      <c r="Q965" s="5">
        <v>59500</v>
      </c>
      <c r="R965" t="s">
        <v>141</v>
      </c>
      <c r="S965" t="s">
        <v>76</v>
      </c>
      <c r="T965" s="5">
        <v>10130</v>
      </c>
      <c r="U965" s="6">
        <v>5</v>
      </c>
      <c r="V965" t="s">
        <v>64</v>
      </c>
      <c r="W965" s="4"/>
      <c r="X965" t="s">
        <v>65</v>
      </c>
      <c r="Y965" t="s">
        <v>64</v>
      </c>
      <c r="Z965" t="s">
        <v>78</v>
      </c>
    </row>
    <row r="966" spans="1:26">
      <c r="A966" t="s">
        <v>1665</v>
      </c>
      <c r="B966" t="s">
        <v>1469</v>
      </c>
      <c r="C966" s="4">
        <v>46166</v>
      </c>
      <c r="D966" t="s">
        <v>89</v>
      </c>
      <c r="E966" t="s">
        <v>314</v>
      </c>
      <c r="F966" s="4"/>
      <c r="G966" s="4"/>
      <c r="H966" t="s">
        <v>201</v>
      </c>
      <c r="I966" t="s">
        <v>449</v>
      </c>
      <c r="J966" t="s">
        <v>203</v>
      </c>
      <c r="K966" t="s">
        <v>124</v>
      </c>
      <c r="L966" t="s">
        <v>94</v>
      </c>
      <c r="M966" s="5"/>
      <c r="N966" s="5"/>
      <c r="O966" s="5"/>
      <c r="P966" s="5"/>
      <c r="Q966" s="5"/>
      <c r="R966" t="s">
        <v>62</v>
      </c>
      <c r="S966" t="s">
        <v>63</v>
      </c>
      <c r="T966" s="5"/>
      <c r="U966" s="6"/>
      <c r="V966" t="s">
        <v>64</v>
      </c>
      <c r="W966" s="4"/>
      <c r="X966" t="s">
        <v>65</v>
      </c>
      <c r="Z966" t="s">
        <v>66</v>
      </c>
    </row>
    <row r="967" spans="1:26">
      <c r="A967" t="s">
        <v>1666</v>
      </c>
      <c r="B967" t="s">
        <v>1297</v>
      </c>
      <c r="C967" s="4">
        <v>46046</v>
      </c>
      <c r="D967" t="s">
        <v>206</v>
      </c>
      <c r="E967" t="s">
        <v>177</v>
      </c>
      <c r="F967" s="4"/>
      <c r="G967" s="4"/>
      <c r="H967" t="s">
        <v>103</v>
      </c>
      <c r="I967" t="s">
        <v>412</v>
      </c>
      <c r="J967" t="s">
        <v>105</v>
      </c>
      <c r="K967" t="s">
        <v>93</v>
      </c>
      <c r="L967" t="s">
        <v>61</v>
      </c>
      <c r="M967" s="5"/>
      <c r="N967" s="5"/>
      <c r="O967" s="5"/>
      <c r="P967" s="5"/>
      <c r="Q967" s="5"/>
      <c r="R967" t="s">
        <v>106</v>
      </c>
      <c r="S967" t="s">
        <v>63</v>
      </c>
      <c r="T967" s="5"/>
      <c r="U967" s="6"/>
      <c r="V967" t="s">
        <v>64</v>
      </c>
      <c r="W967" s="4"/>
      <c r="X967" t="s">
        <v>65</v>
      </c>
      <c r="Z967" t="s">
        <v>66</v>
      </c>
    </row>
    <row r="968" spans="1:26">
      <c r="A968" t="s">
        <v>1667</v>
      </c>
      <c r="B968" t="s">
        <v>1185</v>
      </c>
      <c r="C968" s="4">
        <v>46122</v>
      </c>
      <c r="D968" t="s">
        <v>132</v>
      </c>
      <c r="E968" t="s">
        <v>70</v>
      </c>
      <c r="F968" s="4">
        <v>46122</v>
      </c>
      <c r="G968" s="4">
        <v>46122</v>
      </c>
      <c r="H968" t="s">
        <v>150</v>
      </c>
      <c r="I968" t="s">
        <v>228</v>
      </c>
      <c r="J968" t="s">
        <v>152</v>
      </c>
      <c r="K968" t="s">
        <v>60</v>
      </c>
      <c r="L968" t="s">
        <v>94</v>
      </c>
      <c r="M968" s="5">
        <v>32400</v>
      </c>
      <c r="N968" s="5">
        <v>3000</v>
      </c>
      <c r="O968" s="5">
        <v>6750</v>
      </c>
      <c r="P968" s="5">
        <v>0</v>
      </c>
      <c r="Q968" s="5">
        <v>43650</v>
      </c>
      <c r="R968" t="s">
        <v>106</v>
      </c>
      <c r="S968" t="s">
        <v>76</v>
      </c>
      <c r="T968" s="5">
        <v>15980</v>
      </c>
      <c r="U968" s="6">
        <v>4</v>
      </c>
      <c r="V968" t="s">
        <v>77</v>
      </c>
      <c r="W968" s="4">
        <v>46141</v>
      </c>
      <c r="X968" t="s">
        <v>77</v>
      </c>
      <c r="Y968" t="s">
        <v>64</v>
      </c>
      <c r="Z968" t="s">
        <v>96</v>
      </c>
    </row>
    <row r="969" spans="1:26">
      <c r="A969" t="s">
        <v>1668</v>
      </c>
      <c r="B969" t="s">
        <v>1669</v>
      </c>
      <c r="C969" s="4">
        <v>46106</v>
      </c>
      <c r="D969" t="s">
        <v>89</v>
      </c>
      <c r="E969" t="s">
        <v>70</v>
      </c>
      <c r="F969" s="4">
        <v>46106</v>
      </c>
      <c r="G969" s="4">
        <v>46108</v>
      </c>
      <c r="H969" t="s">
        <v>90</v>
      </c>
      <c r="I969" t="s">
        <v>162</v>
      </c>
      <c r="J969" t="s">
        <v>197</v>
      </c>
      <c r="K969" t="s">
        <v>124</v>
      </c>
      <c r="L969" t="s">
        <v>94</v>
      </c>
      <c r="M969" s="5">
        <v>15700</v>
      </c>
      <c r="N969" s="5">
        <v>1450</v>
      </c>
      <c r="O969" s="5">
        <v>3200</v>
      </c>
      <c r="P969" s="5">
        <v>5000</v>
      </c>
      <c r="Q969" s="5">
        <v>26550</v>
      </c>
      <c r="R969" t="s">
        <v>95</v>
      </c>
      <c r="S969" t="s">
        <v>63</v>
      </c>
      <c r="T969" s="5">
        <v>26550</v>
      </c>
      <c r="U969" s="6">
        <v>5</v>
      </c>
      <c r="V969" t="s">
        <v>64</v>
      </c>
      <c r="W969" s="4"/>
      <c r="X969" t="s">
        <v>65</v>
      </c>
      <c r="Y969" t="s">
        <v>64</v>
      </c>
      <c r="Z969" t="s">
        <v>96</v>
      </c>
    </row>
    <row r="970" spans="1:26">
      <c r="A970" t="s">
        <v>1670</v>
      </c>
      <c r="B970" t="s">
        <v>569</v>
      </c>
      <c r="C970" s="4">
        <v>46122</v>
      </c>
      <c r="D970" t="s">
        <v>225</v>
      </c>
      <c r="E970" t="s">
        <v>70</v>
      </c>
      <c r="F970" s="4">
        <v>46122</v>
      </c>
      <c r="G970" s="4">
        <v>46122</v>
      </c>
      <c r="H970" t="s">
        <v>90</v>
      </c>
      <c r="I970" t="s">
        <v>91</v>
      </c>
      <c r="J970" t="s">
        <v>197</v>
      </c>
      <c r="K970" t="s">
        <v>60</v>
      </c>
      <c r="L970" t="s">
        <v>146</v>
      </c>
      <c r="M970" s="5"/>
      <c r="N970" s="5">
        <v>1650</v>
      </c>
      <c r="O970" s="5">
        <v>2050</v>
      </c>
      <c r="P970" s="5">
        <v>0</v>
      </c>
      <c r="Q970" s="5">
        <v>23500</v>
      </c>
      <c r="R970" t="s">
        <v>85</v>
      </c>
      <c r="S970" t="s">
        <v>76</v>
      </c>
      <c r="T970" s="5">
        <v>6780</v>
      </c>
      <c r="U970" s="6">
        <v>5</v>
      </c>
      <c r="V970" t="s">
        <v>77</v>
      </c>
      <c r="W970" s="4">
        <v>46133</v>
      </c>
      <c r="X970" t="s">
        <v>64</v>
      </c>
      <c r="Y970" t="s">
        <v>64</v>
      </c>
      <c r="Z970" t="s">
        <v>436</v>
      </c>
    </row>
    <row r="971" spans="1:26">
      <c r="A971" t="s">
        <v>1671</v>
      </c>
      <c r="B971" t="s">
        <v>360</v>
      </c>
      <c r="C971" s="4">
        <v>46072</v>
      </c>
      <c r="D971" t="s">
        <v>337</v>
      </c>
      <c r="E971" t="s">
        <v>70</v>
      </c>
      <c r="F971" s="4">
        <v>46072</v>
      </c>
      <c r="G971" s="4">
        <v>46072</v>
      </c>
      <c r="H971" t="s">
        <v>57</v>
      </c>
      <c r="I971" t="s">
        <v>169</v>
      </c>
      <c r="J971" t="s">
        <v>59</v>
      </c>
      <c r="K971" t="s">
        <v>60</v>
      </c>
      <c r="L971" t="s">
        <v>94</v>
      </c>
      <c r="M971" s="5">
        <v>54600</v>
      </c>
      <c r="N971" s="5">
        <v>8250</v>
      </c>
      <c r="O971" s="5">
        <v>10050</v>
      </c>
      <c r="P971" s="5">
        <v>0</v>
      </c>
      <c r="Q971" s="5">
        <v>73700</v>
      </c>
      <c r="R971" t="s">
        <v>141</v>
      </c>
      <c r="S971" t="s">
        <v>76</v>
      </c>
      <c r="T971" s="5">
        <v>12260</v>
      </c>
      <c r="U971" s="6">
        <v>4</v>
      </c>
      <c r="V971" t="s">
        <v>77</v>
      </c>
      <c r="W971" s="4">
        <v>46082</v>
      </c>
      <c r="X971" t="s">
        <v>77</v>
      </c>
      <c r="Y971" t="s">
        <v>64</v>
      </c>
      <c r="Z971" t="s">
        <v>78</v>
      </c>
    </row>
    <row r="972" spans="1:26">
      <c r="A972" t="s">
        <v>1672</v>
      </c>
      <c r="B972" t="s">
        <v>392</v>
      </c>
      <c r="C972" s="4">
        <v>46115</v>
      </c>
      <c r="D972" t="s">
        <v>89</v>
      </c>
      <c r="E972" t="s">
        <v>70</v>
      </c>
      <c r="F972" s="4">
        <v>46115</v>
      </c>
      <c r="G972" s="4">
        <v>46115</v>
      </c>
      <c r="H972" t="s">
        <v>138</v>
      </c>
      <c r="I972" t="s">
        <v>235</v>
      </c>
      <c r="J972" t="s">
        <v>236</v>
      </c>
      <c r="K972" t="s">
        <v>60</v>
      </c>
      <c r="L972" t="s">
        <v>146</v>
      </c>
      <c r="M972" s="5">
        <v>41900</v>
      </c>
      <c r="N972" s="5">
        <v>6800</v>
      </c>
      <c r="O972" s="5">
        <v>4950</v>
      </c>
      <c r="P972" s="5">
        <v>0</v>
      </c>
      <c r="Q972" s="5">
        <v>54650</v>
      </c>
      <c r="R972" t="s">
        <v>106</v>
      </c>
      <c r="S972" t="s">
        <v>76</v>
      </c>
      <c r="T972" s="5">
        <v>19830</v>
      </c>
      <c r="U972" s="6">
        <v>3</v>
      </c>
      <c r="V972" t="s">
        <v>77</v>
      </c>
      <c r="W972" s="4">
        <v>46133</v>
      </c>
      <c r="X972" t="s">
        <v>77</v>
      </c>
      <c r="Y972" t="s">
        <v>77</v>
      </c>
      <c r="Z972" t="s">
        <v>107</v>
      </c>
    </row>
    <row r="973" spans="1:26">
      <c r="A973" t="s">
        <v>1673</v>
      </c>
      <c r="B973" t="s">
        <v>1362</v>
      </c>
      <c r="C973" s="4">
        <v>46039</v>
      </c>
      <c r="D973" t="s">
        <v>183</v>
      </c>
      <c r="E973" t="s">
        <v>70</v>
      </c>
      <c r="F973" s="4">
        <v>46039</v>
      </c>
      <c r="G973" s="4">
        <v>46040</v>
      </c>
      <c r="H973" t="s">
        <v>82</v>
      </c>
      <c r="I973" t="s">
        <v>272</v>
      </c>
      <c r="J973" t="s">
        <v>291</v>
      </c>
      <c r="K973" t="s">
        <v>60</v>
      </c>
      <c r="L973" t="s">
        <v>61</v>
      </c>
      <c r="M973" s="5">
        <v>37900</v>
      </c>
      <c r="N973" s="5">
        <v>5750</v>
      </c>
      <c r="O973" s="5">
        <v>7950</v>
      </c>
      <c r="P973" s="5">
        <v>3000</v>
      </c>
      <c r="Q973" s="5">
        <v>56400</v>
      </c>
      <c r="R973" t="s">
        <v>134</v>
      </c>
      <c r="S973" t="s">
        <v>76</v>
      </c>
      <c r="T973" s="5">
        <v>31220</v>
      </c>
      <c r="U973" s="6">
        <v>5</v>
      </c>
      <c r="V973" t="s">
        <v>64</v>
      </c>
      <c r="W973" s="4"/>
      <c r="X973" t="s">
        <v>65</v>
      </c>
      <c r="Y973" t="s">
        <v>64</v>
      </c>
      <c r="Z973" t="s">
        <v>107</v>
      </c>
    </row>
    <row r="974" spans="1:26">
      <c r="A974" t="s">
        <v>1674</v>
      </c>
      <c r="B974" t="s">
        <v>506</v>
      </c>
      <c r="C974" s="4">
        <v>46168</v>
      </c>
      <c r="D974" t="s">
        <v>302</v>
      </c>
      <c r="E974" t="s">
        <v>56</v>
      </c>
      <c r="F974" s="4"/>
      <c r="G974" s="4"/>
      <c r="H974" t="s">
        <v>111</v>
      </c>
      <c r="I974" t="s">
        <v>397</v>
      </c>
      <c r="J974" t="s">
        <v>113</v>
      </c>
      <c r="K974" t="s">
        <v>124</v>
      </c>
      <c r="L974" t="s">
        <v>74</v>
      </c>
      <c r="M974" s="5"/>
      <c r="N974" s="5"/>
      <c r="O974" s="5"/>
      <c r="P974" s="5"/>
      <c r="Q974" s="5"/>
      <c r="R974" t="s">
        <v>141</v>
      </c>
      <c r="S974" t="s">
        <v>63</v>
      </c>
      <c r="T974" s="5"/>
      <c r="U974" s="6"/>
      <c r="V974" t="s">
        <v>64</v>
      </c>
      <c r="W974" s="4"/>
      <c r="X974" t="s">
        <v>65</v>
      </c>
      <c r="Z974" t="s">
        <v>66</v>
      </c>
    </row>
    <row r="975" spans="1:26">
      <c r="A975" t="s">
        <v>1675</v>
      </c>
      <c r="B975" t="s">
        <v>190</v>
      </c>
      <c r="C975" s="4">
        <v>46094</v>
      </c>
      <c r="D975" t="s">
        <v>363</v>
      </c>
      <c r="E975" t="s">
        <v>70</v>
      </c>
      <c r="F975" s="4">
        <v>46094</v>
      </c>
      <c r="G975" s="4">
        <v>46099</v>
      </c>
      <c r="H975" t="s">
        <v>111</v>
      </c>
      <c r="I975" t="s">
        <v>397</v>
      </c>
      <c r="J975" t="s">
        <v>113</v>
      </c>
      <c r="K975" t="s">
        <v>124</v>
      </c>
      <c r="L975" t="s">
        <v>74</v>
      </c>
      <c r="M975" s="5">
        <v>17100</v>
      </c>
      <c r="N975" s="5">
        <v>2700</v>
      </c>
      <c r="O975" s="5">
        <v>2300</v>
      </c>
      <c r="P975" s="5">
        <v>12500</v>
      </c>
      <c r="Q975" s="5">
        <v>36600</v>
      </c>
      <c r="R975" t="s">
        <v>141</v>
      </c>
      <c r="S975" t="s">
        <v>76</v>
      </c>
      <c r="T975" s="5">
        <v>6690</v>
      </c>
      <c r="U975" s="6">
        <v>4</v>
      </c>
      <c r="V975" t="s">
        <v>77</v>
      </c>
      <c r="W975" s="4">
        <v>46106</v>
      </c>
      <c r="X975" t="s">
        <v>77</v>
      </c>
      <c r="Y975" t="s">
        <v>64</v>
      </c>
      <c r="Z975" t="s">
        <v>96</v>
      </c>
    </row>
    <row r="976" spans="1:26">
      <c r="A976" t="s">
        <v>1676</v>
      </c>
      <c r="B976" t="s">
        <v>1677</v>
      </c>
      <c r="C976" s="4">
        <v>46065</v>
      </c>
      <c r="D976" t="s">
        <v>266</v>
      </c>
      <c r="E976" t="s">
        <v>338</v>
      </c>
      <c r="F976" s="4"/>
      <c r="G976" s="4"/>
      <c r="H976" t="s">
        <v>57</v>
      </c>
      <c r="I976" t="s">
        <v>58</v>
      </c>
      <c r="J976" t="s">
        <v>170</v>
      </c>
      <c r="K976" t="s">
        <v>93</v>
      </c>
      <c r="L976" t="s">
        <v>94</v>
      </c>
      <c r="M976" s="5"/>
      <c r="N976" s="5"/>
      <c r="O976" s="5"/>
      <c r="P976" s="5"/>
      <c r="Q976" s="5"/>
      <c r="R976" t="s">
        <v>62</v>
      </c>
      <c r="S976" t="s">
        <v>63</v>
      </c>
      <c r="T976" s="5"/>
      <c r="U976" s="6"/>
      <c r="V976" t="s">
        <v>64</v>
      </c>
      <c r="W976" s="4"/>
      <c r="X976" t="s">
        <v>65</v>
      </c>
      <c r="Z976" t="s">
        <v>66</v>
      </c>
    </row>
    <row r="977" spans="1:26">
      <c r="A977" t="s">
        <v>1678</v>
      </c>
      <c r="B977" t="s">
        <v>1469</v>
      </c>
      <c r="C977" s="4">
        <v>46091</v>
      </c>
      <c r="D977" t="s">
        <v>432</v>
      </c>
      <c r="E977" t="s">
        <v>70</v>
      </c>
      <c r="F977" s="4">
        <v>46092</v>
      </c>
      <c r="G977" s="4">
        <v>46092</v>
      </c>
      <c r="H977" t="s">
        <v>90</v>
      </c>
      <c r="I977" t="s">
        <v>299</v>
      </c>
      <c r="J977" t="s">
        <v>197</v>
      </c>
      <c r="K977" t="s">
        <v>60</v>
      </c>
      <c r="L977" t="s">
        <v>61</v>
      </c>
      <c r="M977" s="5">
        <v>15400</v>
      </c>
      <c r="N977" s="5">
        <v>1450</v>
      </c>
      <c r="O977" s="5">
        <v>2300</v>
      </c>
      <c r="P977" s="5">
        <v>0</v>
      </c>
      <c r="Q977" s="5">
        <v>20650</v>
      </c>
      <c r="R977" t="s">
        <v>106</v>
      </c>
      <c r="S977" t="s">
        <v>76</v>
      </c>
      <c r="T977" s="5">
        <v>7930</v>
      </c>
      <c r="U977" s="6">
        <v>5</v>
      </c>
      <c r="V977" t="s">
        <v>77</v>
      </c>
      <c r="W977" s="4">
        <v>46108</v>
      </c>
      <c r="X977" t="s">
        <v>77</v>
      </c>
      <c r="Y977" t="s">
        <v>64</v>
      </c>
      <c r="Z977" t="s">
        <v>78</v>
      </c>
    </row>
    <row r="978" spans="1:26">
      <c r="A978" t="s">
        <v>1679</v>
      </c>
      <c r="B978" t="s">
        <v>747</v>
      </c>
      <c r="C978" s="4">
        <v>46148</v>
      </c>
      <c r="D978" t="s">
        <v>144</v>
      </c>
      <c r="E978" t="s">
        <v>70</v>
      </c>
      <c r="F978" s="4">
        <v>46148</v>
      </c>
      <c r="G978" s="4">
        <v>46148</v>
      </c>
      <c r="H978" t="s">
        <v>82</v>
      </c>
      <c r="I978" t="s">
        <v>331</v>
      </c>
      <c r="J978" t="s">
        <v>156</v>
      </c>
      <c r="K978" t="s">
        <v>60</v>
      </c>
      <c r="L978" t="s">
        <v>146</v>
      </c>
      <c r="M978" s="5">
        <v>87500</v>
      </c>
      <c r="N978" s="5">
        <v>8900</v>
      </c>
      <c r="O978" s="5">
        <v>13900</v>
      </c>
      <c r="P978" s="5">
        <v>0</v>
      </c>
      <c r="Q978" s="5">
        <v>111800</v>
      </c>
      <c r="R978" t="s">
        <v>62</v>
      </c>
      <c r="S978" t="s">
        <v>76</v>
      </c>
      <c r="T978" s="5">
        <v>33940</v>
      </c>
      <c r="U978" s="6">
        <v>5</v>
      </c>
      <c r="V978" t="s">
        <v>77</v>
      </c>
      <c r="W978" s="4">
        <v>46161</v>
      </c>
      <c r="X978" t="s">
        <v>77</v>
      </c>
      <c r="Y978" t="s">
        <v>64</v>
      </c>
      <c r="Z978" t="s">
        <v>96</v>
      </c>
    </row>
    <row r="979" spans="1:26">
      <c r="A979" t="s">
        <v>1680</v>
      </c>
      <c r="B979" t="s">
        <v>269</v>
      </c>
      <c r="C979" s="4">
        <v>46026</v>
      </c>
      <c r="D979" t="s">
        <v>419</v>
      </c>
      <c r="E979" t="s">
        <v>70</v>
      </c>
      <c r="F979" s="4">
        <v>46026</v>
      </c>
      <c r="G979" s="4">
        <v>46035</v>
      </c>
      <c r="H979" t="s">
        <v>82</v>
      </c>
      <c r="I979" t="s">
        <v>194</v>
      </c>
      <c r="J979" t="s">
        <v>156</v>
      </c>
      <c r="K979" t="s">
        <v>93</v>
      </c>
      <c r="L979" t="s">
        <v>61</v>
      </c>
      <c r="M979" s="5">
        <v>73300</v>
      </c>
      <c r="N979" s="5">
        <v>7700</v>
      </c>
      <c r="O979" s="5">
        <v>14350</v>
      </c>
      <c r="P979" s="5">
        <v>27000</v>
      </c>
      <c r="Q979" s="5">
        <v>124150</v>
      </c>
      <c r="R979" t="s">
        <v>141</v>
      </c>
      <c r="S979" t="s">
        <v>76</v>
      </c>
      <c r="T979" s="5">
        <v>19820</v>
      </c>
      <c r="U979" s="6">
        <v>3</v>
      </c>
      <c r="V979" t="s">
        <v>64</v>
      </c>
      <c r="W979" s="4"/>
      <c r="X979" t="s">
        <v>65</v>
      </c>
      <c r="Y979" t="s">
        <v>64</v>
      </c>
      <c r="Z979" t="s">
        <v>78</v>
      </c>
    </row>
    <row r="980" spans="1:26">
      <c r="A980" t="s">
        <v>1681</v>
      </c>
      <c r="B980" t="s">
        <v>1682</v>
      </c>
      <c r="C980" s="4">
        <v>46113</v>
      </c>
      <c r="D980" t="s">
        <v>200</v>
      </c>
      <c r="E980" t="s">
        <v>70</v>
      </c>
      <c r="F980" s="4">
        <v>46113</v>
      </c>
      <c r="G980" s="4">
        <v>46113</v>
      </c>
      <c r="H980" t="s">
        <v>121</v>
      </c>
      <c r="I980" t="s">
        <v>174</v>
      </c>
      <c r="J980" t="s">
        <v>123</v>
      </c>
      <c r="K980" t="s">
        <v>60</v>
      </c>
      <c r="L980" t="s">
        <v>61</v>
      </c>
      <c r="M980" s="5">
        <v>46900</v>
      </c>
      <c r="N980" s="5">
        <v>7650</v>
      </c>
      <c r="O980" s="5">
        <v>5200</v>
      </c>
      <c r="P980" s="5">
        <v>0</v>
      </c>
      <c r="Q980" s="5">
        <v>61550</v>
      </c>
      <c r="R980" t="s">
        <v>95</v>
      </c>
      <c r="S980" t="s">
        <v>63</v>
      </c>
      <c r="T980" s="5">
        <v>61550</v>
      </c>
      <c r="U980" s="6">
        <v>4</v>
      </c>
      <c r="V980" t="s">
        <v>77</v>
      </c>
      <c r="W980" s="4">
        <v>46129</v>
      </c>
      <c r="X980" t="s">
        <v>77</v>
      </c>
      <c r="Y980" t="s">
        <v>64</v>
      </c>
      <c r="Z980" t="s">
        <v>96</v>
      </c>
    </row>
    <row r="981" spans="1:26">
      <c r="A981" t="s">
        <v>1683</v>
      </c>
      <c r="B981" t="s">
        <v>713</v>
      </c>
      <c r="C981" s="4">
        <v>46027</v>
      </c>
      <c r="D981" t="s">
        <v>120</v>
      </c>
      <c r="E981" t="s">
        <v>338</v>
      </c>
      <c r="F981" s="4"/>
      <c r="G981" s="4"/>
      <c r="H981" t="s">
        <v>121</v>
      </c>
      <c r="I981" t="s">
        <v>122</v>
      </c>
      <c r="J981" t="s">
        <v>256</v>
      </c>
      <c r="K981" t="s">
        <v>60</v>
      </c>
      <c r="L981" t="s">
        <v>74</v>
      </c>
      <c r="M981" s="5"/>
      <c r="N981" s="5"/>
      <c r="O981" s="5"/>
      <c r="P981" s="5"/>
      <c r="Q981" s="5"/>
      <c r="R981" t="s">
        <v>95</v>
      </c>
      <c r="S981" t="s">
        <v>63</v>
      </c>
      <c r="T981" s="5"/>
      <c r="U981" s="6"/>
      <c r="V981" t="s">
        <v>64</v>
      </c>
      <c r="W981" s="4"/>
      <c r="X981" t="s">
        <v>65</v>
      </c>
      <c r="Z981" t="s">
        <v>66</v>
      </c>
    </row>
    <row r="982" spans="1:26">
      <c r="A982" t="s">
        <v>1684</v>
      </c>
      <c r="B982" t="s">
        <v>1685</v>
      </c>
      <c r="C982" s="4">
        <v>46132</v>
      </c>
      <c r="D982" t="s">
        <v>298</v>
      </c>
      <c r="E982" t="s">
        <v>70</v>
      </c>
      <c r="F982" s="4">
        <v>46133</v>
      </c>
      <c r="G982" s="4">
        <v>46133</v>
      </c>
      <c r="H982" t="s">
        <v>103</v>
      </c>
      <c r="I982" t="s">
        <v>104</v>
      </c>
      <c r="J982" t="s">
        <v>105</v>
      </c>
      <c r="K982" t="s">
        <v>60</v>
      </c>
      <c r="L982" t="s">
        <v>74</v>
      </c>
      <c r="M982" s="5">
        <v>53100</v>
      </c>
      <c r="N982" s="5">
        <v>7700</v>
      </c>
      <c r="O982" s="5">
        <v>7150</v>
      </c>
      <c r="P982" s="5">
        <v>0</v>
      </c>
      <c r="Q982" s="5">
        <v>69750</v>
      </c>
      <c r="R982" t="s">
        <v>95</v>
      </c>
      <c r="S982" t="s">
        <v>63</v>
      </c>
      <c r="T982" s="5">
        <v>69750</v>
      </c>
      <c r="U982" s="6">
        <v>5</v>
      </c>
      <c r="V982" t="s">
        <v>77</v>
      </c>
      <c r="W982" s="4">
        <v>46144</v>
      </c>
      <c r="X982" t="s">
        <v>77</v>
      </c>
      <c r="Y982" t="s">
        <v>64</v>
      </c>
      <c r="Z982" t="s">
        <v>78</v>
      </c>
    </row>
    <row r="983" spans="1:26">
      <c r="A983" t="s">
        <v>1686</v>
      </c>
      <c r="B983" t="s">
        <v>1200</v>
      </c>
      <c r="C983" s="4">
        <v>46030</v>
      </c>
      <c r="D983" t="s">
        <v>173</v>
      </c>
      <c r="E983" t="s">
        <v>56</v>
      </c>
      <c r="F983" s="4"/>
      <c r="G983" s="4"/>
      <c r="H983" t="s">
        <v>82</v>
      </c>
      <c r="I983" t="s">
        <v>83</v>
      </c>
      <c r="J983" t="s">
        <v>291</v>
      </c>
      <c r="K983" t="s">
        <v>60</v>
      </c>
      <c r="L983" t="s">
        <v>74</v>
      </c>
      <c r="M983" s="5"/>
      <c r="N983" s="5"/>
      <c r="O983" s="5"/>
      <c r="P983" s="5"/>
      <c r="Q983" s="5"/>
      <c r="R983" t="s">
        <v>134</v>
      </c>
      <c r="S983" t="s">
        <v>63</v>
      </c>
      <c r="T983" s="5"/>
      <c r="U983" s="6"/>
      <c r="V983" t="s">
        <v>64</v>
      </c>
      <c r="W983" s="4"/>
      <c r="X983" t="s">
        <v>65</v>
      </c>
      <c r="Z983" t="s">
        <v>66</v>
      </c>
    </row>
    <row r="984" spans="1:26">
      <c r="A984" t="s">
        <v>1687</v>
      </c>
      <c r="B984" t="s">
        <v>1237</v>
      </c>
      <c r="C984" s="4">
        <v>46143</v>
      </c>
      <c r="D984" t="s">
        <v>206</v>
      </c>
      <c r="E984" t="s">
        <v>70</v>
      </c>
      <c r="F984" s="4">
        <v>46143</v>
      </c>
      <c r="G984" s="4">
        <v>46149</v>
      </c>
      <c r="H984" t="s">
        <v>57</v>
      </c>
      <c r="I984" t="s">
        <v>211</v>
      </c>
      <c r="J984" t="s">
        <v>59</v>
      </c>
      <c r="K984" t="s">
        <v>124</v>
      </c>
      <c r="L984" t="s">
        <v>61</v>
      </c>
      <c r="M984" s="5">
        <v>44000</v>
      </c>
      <c r="N984" s="5">
        <v>4700</v>
      </c>
      <c r="O984" s="5">
        <v>7450</v>
      </c>
      <c r="P984" s="5">
        <v>15000</v>
      </c>
      <c r="Q984" s="5">
        <v>73150</v>
      </c>
      <c r="R984" t="s">
        <v>95</v>
      </c>
      <c r="S984" t="s">
        <v>63</v>
      </c>
      <c r="T984" s="5">
        <v>73150</v>
      </c>
      <c r="U984" s="6">
        <v>2</v>
      </c>
      <c r="V984" t="s">
        <v>77</v>
      </c>
      <c r="W984" s="4">
        <v>46168</v>
      </c>
      <c r="X984" t="s">
        <v>64</v>
      </c>
      <c r="Y984" t="s">
        <v>64</v>
      </c>
      <c r="Z984" t="s">
        <v>78</v>
      </c>
    </row>
    <row r="985" spans="1:26">
      <c r="A985" t="s">
        <v>1688</v>
      </c>
      <c r="B985" t="s">
        <v>609</v>
      </c>
      <c r="C985" s="4">
        <v>46155</v>
      </c>
      <c r="D985" t="s">
        <v>99</v>
      </c>
      <c r="E985" t="s">
        <v>70</v>
      </c>
      <c r="F985" s="4">
        <v>46155</v>
      </c>
      <c r="G985" s="4">
        <v>46155</v>
      </c>
      <c r="H985" t="s">
        <v>150</v>
      </c>
      <c r="I985" t="s">
        <v>151</v>
      </c>
      <c r="J985" t="s">
        <v>229</v>
      </c>
      <c r="K985" t="s">
        <v>60</v>
      </c>
      <c r="L985" t="s">
        <v>61</v>
      </c>
      <c r="M985" s="5">
        <v>53400</v>
      </c>
      <c r="N985" s="5">
        <v>6450</v>
      </c>
      <c r="O985" s="5">
        <v>9950</v>
      </c>
      <c r="P985" s="5">
        <v>0</v>
      </c>
      <c r="Q985" s="5">
        <v>72300</v>
      </c>
      <c r="R985" t="s">
        <v>95</v>
      </c>
      <c r="S985" t="s">
        <v>63</v>
      </c>
      <c r="T985" s="5">
        <v>72300</v>
      </c>
      <c r="U985" s="6">
        <v>2</v>
      </c>
      <c r="V985" t="s">
        <v>77</v>
      </c>
      <c r="W985" s="4">
        <v>46173</v>
      </c>
      <c r="X985" t="s">
        <v>64</v>
      </c>
      <c r="Y985" t="s">
        <v>77</v>
      </c>
      <c r="Z985" t="s">
        <v>96</v>
      </c>
    </row>
    <row r="986" spans="1:26">
      <c r="A986" t="s">
        <v>1689</v>
      </c>
      <c r="B986" t="s">
        <v>403</v>
      </c>
      <c r="C986" s="4">
        <v>46151</v>
      </c>
      <c r="D986" t="s">
        <v>469</v>
      </c>
      <c r="E986" t="s">
        <v>177</v>
      </c>
      <c r="F986" s="4"/>
      <c r="G986" s="4"/>
      <c r="H986" t="s">
        <v>201</v>
      </c>
      <c r="I986" t="s">
        <v>327</v>
      </c>
      <c r="J986" t="s">
        <v>295</v>
      </c>
      <c r="K986" t="s">
        <v>124</v>
      </c>
      <c r="L986" t="s">
        <v>61</v>
      </c>
      <c r="M986" s="5"/>
      <c r="N986" s="5"/>
      <c r="O986" s="5"/>
      <c r="P986" s="5"/>
      <c r="Q986" s="5"/>
      <c r="R986" t="s">
        <v>141</v>
      </c>
      <c r="S986" t="s">
        <v>63</v>
      </c>
      <c r="T986" s="5"/>
      <c r="U986" s="6"/>
      <c r="V986" t="s">
        <v>64</v>
      </c>
      <c r="W986" s="4"/>
      <c r="X986" t="s">
        <v>65</v>
      </c>
      <c r="Z986" t="s">
        <v>66</v>
      </c>
    </row>
    <row r="987" spans="1:26">
      <c r="A987" t="s">
        <v>1690</v>
      </c>
      <c r="B987" t="s">
        <v>1515</v>
      </c>
      <c r="C987" s="4">
        <v>46101</v>
      </c>
      <c r="D987" t="s">
        <v>266</v>
      </c>
      <c r="E987" t="s">
        <v>70</v>
      </c>
      <c r="F987" s="4">
        <v>46101</v>
      </c>
      <c r="G987" s="4">
        <v>46103</v>
      </c>
      <c r="H987" t="s">
        <v>201</v>
      </c>
      <c r="I987" t="s">
        <v>515</v>
      </c>
      <c r="J987" t="s">
        <v>281</v>
      </c>
      <c r="K987" t="s">
        <v>73</v>
      </c>
      <c r="L987" t="s">
        <v>61</v>
      </c>
      <c r="M987" s="5">
        <v>5400</v>
      </c>
      <c r="N987" s="5">
        <v>600</v>
      </c>
      <c r="O987" s="5">
        <v>650</v>
      </c>
      <c r="P987" s="5">
        <v>7000</v>
      </c>
      <c r="Q987" s="5">
        <v>14850</v>
      </c>
      <c r="R987" t="s">
        <v>106</v>
      </c>
      <c r="S987" t="s">
        <v>76</v>
      </c>
      <c r="T987" s="5">
        <v>5900</v>
      </c>
      <c r="U987" s="6">
        <v>5</v>
      </c>
      <c r="V987" t="s">
        <v>64</v>
      </c>
      <c r="W987" s="4"/>
      <c r="X987" t="s">
        <v>65</v>
      </c>
      <c r="Y987" t="s">
        <v>64</v>
      </c>
      <c r="Z987" t="s">
        <v>96</v>
      </c>
    </row>
    <row r="988" spans="1:26">
      <c r="A988" t="s">
        <v>1691</v>
      </c>
      <c r="B988" t="s">
        <v>786</v>
      </c>
      <c r="C988" s="4">
        <v>46028</v>
      </c>
      <c r="D988" t="s">
        <v>200</v>
      </c>
      <c r="E988" t="s">
        <v>314</v>
      </c>
      <c r="F988" s="4"/>
      <c r="G988" s="4"/>
      <c r="H988" t="s">
        <v>138</v>
      </c>
      <c r="I988" t="s">
        <v>260</v>
      </c>
      <c r="J988" t="s">
        <v>140</v>
      </c>
      <c r="K988" t="s">
        <v>124</v>
      </c>
      <c r="L988" t="s">
        <v>61</v>
      </c>
      <c r="M988" s="5"/>
      <c r="N988" s="5"/>
      <c r="O988" s="5"/>
      <c r="P988" s="5"/>
      <c r="Q988" s="5"/>
      <c r="R988" t="s">
        <v>134</v>
      </c>
      <c r="S988" t="s">
        <v>63</v>
      </c>
      <c r="T988" s="5"/>
      <c r="U988" s="6"/>
      <c r="V988" t="s">
        <v>64</v>
      </c>
      <c r="W988" s="4"/>
      <c r="X988" t="s">
        <v>65</v>
      </c>
      <c r="Z988" t="s">
        <v>66</v>
      </c>
    </row>
    <row r="989" spans="1:26">
      <c r="A989" t="s">
        <v>1692</v>
      </c>
      <c r="B989" t="s">
        <v>1693</v>
      </c>
      <c r="C989" s="4">
        <v>46133</v>
      </c>
      <c r="D989" t="s">
        <v>294</v>
      </c>
      <c r="E989" t="s">
        <v>191</v>
      </c>
      <c r="F989" s="4"/>
      <c r="G989" s="4"/>
      <c r="H989" t="s">
        <v>121</v>
      </c>
      <c r="I989" t="s">
        <v>665</v>
      </c>
      <c r="J989" t="s">
        <v>256</v>
      </c>
      <c r="K989" t="s">
        <v>60</v>
      </c>
      <c r="L989" t="s">
        <v>94</v>
      </c>
      <c r="M989" s="5"/>
      <c r="N989" s="5"/>
      <c r="O989" s="5"/>
      <c r="P989" s="5"/>
      <c r="Q989" s="5"/>
      <c r="R989" t="s">
        <v>62</v>
      </c>
      <c r="S989" t="s">
        <v>63</v>
      </c>
      <c r="T989" s="5"/>
      <c r="U989" s="6"/>
      <c r="V989" t="s">
        <v>64</v>
      </c>
      <c r="W989" s="4"/>
      <c r="X989" t="s">
        <v>65</v>
      </c>
      <c r="Z989" t="s">
        <v>66</v>
      </c>
    </row>
    <row r="990" spans="1:26">
      <c r="A990" t="s">
        <v>1694</v>
      </c>
      <c r="B990" t="s">
        <v>1695</v>
      </c>
      <c r="C990" s="4">
        <v>46069</v>
      </c>
      <c r="D990" t="s">
        <v>120</v>
      </c>
      <c r="E990" t="s">
        <v>70</v>
      </c>
      <c r="F990" s="4">
        <v>46069</v>
      </c>
      <c r="G990" s="4">
        <v>46069</v>
      </c>
      <c r="H990" t="s">
        <v>57</v>
      </c>
      <c r="I990" t="s">
        <v>184</v>
      </c>
      <c r="J990" t="s">
        <v>170</v>
      </c>
      <c r="K990" t="s">
        <v>60</v>
      </c>
      <c r="L990" t="s">
        <v>74</v>
      </c>
      <c r="M990" s="5">
        <v>65700</v>
      </c>
      <c r="N990" s="5">
        <v>5850</v>
      </c>
      <c r="O990" s="5">
        <v>13300</v>
      </c>
      <c r="P990" s="5">
        <v>0</v>
      </c>
      <c r="Q990" s="5">
        <v>86050</v>
      </c>
      <c r="R990" t="s">
        <v>95</v>
      </c>
      <c r="S990" t="s">
        <v>63</v>
      </c>
      <c r="T990" s="5">
        <v>86050</v>
      </c>
      <c r="U990" s="6">
        <v>4</v>
      </c>
      <c r="V990" t="s">
        <v>64</v>
      </c>
      <c r="W990" s="4"/>
      <c r="X990" t="s">
        <v>65</v>
      </c>
      <c r="Y990" t="s">
        <v>64</v>
      </c>
      <c r="Z990" t="s">
        <v>78</v>
      </c>
    </row>
    <row r="991" spans="1:26">
      <c r="A991" t="s">
        <v>1696</v>
      </c>
      <c r="B991" t="s">
        <v>1697</v>
      </c>
      <c r="C991" s="4">
        <v>46023</v>
      </c>
      <c r="D991" t="s">
        <v>337</v>
      </c>
      <c r="E991" t="s">
        <v>177</v>
      </c>
      <c r="F991" s="4"/>
      <c r="G991" s="4"/>
      <c r="H991" t="s">
        <v>121</v>
      </c>
      <c r="I991" t="s">
        <v>174</v>
      </c>
      <c r="J991" t="s">
        <v>256</v>
      </c>
      <c r="K991" t="s">
        <v>73</v>
      </c>
      <c r="L991" t="s">
        <v>94</v>
      </c>
      <c r="M991" s="5"/>
      <c r="N991" s="5"/>
      <c r="O991" s="5"/>
      <c r="P991" s="5"/>
      <c r="Q991" s="5"/>
      <c r="R991" t="s">
        <v>75</v>
      </c>
      <c r="S991" t="s">
        <v>63</v>
      </c>
      <c r="T991" s="5"/>
      <c r="U991" s="6"/>
      <c r="V991" t="s">
        <v>64</v>
      </c>
      <c r="W991" s="4"/>
      <c r="X991" t="s">
        <v>65</v>
      </c>
      <c r="Z991" t="s">
        <v>66</v>
      </c>
    </row>
    <row r="992" spans="1:26">
      <c r="A992" t="s">
        <v>1698</v>
      </c>
      <c r="B992" t="s">
        <v>1699</v>
      </c>
      <c r="C992" s="4">
        <v>46065</v>
      </c>
      <c r="D992" t="s">
        <v>217</v>
      </c>
      <c r="E992" t="s">
        <v>70</v>
      </c>
      <c r="F992" s="4">
        <v>46066</v>
      </c>
      <c r="G992" s="4">
        <v>46073</v>
      </c>
      <c r="H992" t="s">
        <v>201</v>
      </c>
      <c r="I992" t="s">
        <v>515</v>
      </c>
      <c r="J992" t="s">
        <v>203</v>
      </c>
      <c r="K992" t="s">
        <v>124</v>
      </c>
      <c r="L992" t="s">
        <v>94</v>
      </c>
      <c r="M992" s="5">
        <v>34700</v>
      </c>
      <c r="N992" s="5">
        <v>5350</v>
      </c>
      <c r="O992" s="5">
        <v>4150</v>
      </c>
      <c r="P992" s="5">
        <v>42000</v>
      </c>
      <c r="Q992" s="5">
        <v>87400</v>
      </c>
      <c r="R992" t="s">
        <v>85</v>
      </c>
      <c r="S992" t="s">
        <v>86</v>
      </c>
      <c r="T992" s="5">
        <v>22750</v>
      </c>
      <c r="U992" s="6">
        <v>3</v>
      </c>
      <c r="V992" t="s">
        <v>77</v>
      </c>
      <c r="W992" s="4">
        <v>46091</v>
      </c>
      <c r="X992" t="s">
        <v>77</v>
      </c>
      <c r="Y992" t="s">
        <v>64</v>
      </c>
      <c r="Z992" t="s">
        <v>107</v>
      </c>
    </row>
    <row r="993" spans="1:26">
      <c r="A993" t="s">
        <v>1700</v>
      </c>
      <c r="B993" t="s">
        <v>468</v>
      </c>
      <c r="C993" s="4">
        <v>46145</v>
      </c>
      <c r="D993" t="s">
        <v>279</v>
      </c>
      <c r="E993" t="s">
        <v>70</v>
      </c>
      <c r="F993" s="4">
        <v>46146</v>
      </c>
      <c r="G993" s="4">
        <v>46153</v>
      </c>
      <c r="H993" t="s">
        <v>103</v>
      </c>
      <c r="I993" t="s">
        <v>412</v>
      </c>
      <c r="J993" t="s">
        <v>244</v>
      </c>
      <c r="K993" t="s">
        <v>73</v>
      </c>
      <c r="L993" t="s">
        <v>94</v>
      </c>
      <c r="M993" s="5">
        <v>82500</v>
      </c>
      <c r="N993" s="5">
        <v>13650</v>
      </c>
      <c r="O993" s="5">
        <v>11000</v>
      </c>
      <c r="P993" s="5">
        <v>42000</v>
      </c>
      <c r="Q993" s="5">
        <v>150350</v>
      </c>
      <c r="R993" t="s">
        <v>85</v>
      </c>
      <c r="S993" t="s">
        <v>76</v>
      </c>
      <c r="T993" s="5">
        <v>38490</v>
      </c>
      <c r="U993" s="6">
        <v>4</v>
      </c>
      <c r="V993" t="s">
        <v>64</v>
      </c>
      <c r="W993" s="4"/>
      <c r="X993" t="s">
        <v>65</v>
      </c>
      <c r="Y993" t="s">
        <v>64</v>
      </c>
      <c r="Z993" t="s">
        <v>78</v>
      </c>
    </row>
    <row r="994" spans="1:26">
      <c r="A994" t="s">
        <v>1701</v>
      </c>
      <c r="B994" t="s">
        <v>1702</v>
      </c>
      <c r="C994" s="4">
        <v>46162</v>
      </c>
      <c r="D994" t="s">
        <v>161</v>
      </c>
      <c r="E994" t="s">
        <v>177</v>
      </c>
      <c r="F994" s="4"/>
      <c r="G994" s="4"/>
      <c r="H994" t="s">
        <v>138</v>
      </c>
      <c r="I994" t="s">
        <v>343</v>
      </c>
      <c r="J994" t="s">
        <v>140</v>
      </c>
      <c r="K994" t="s">
        <v>73</v>
      </c>
      <c r="L994" t="s">
        <v>94</v>
      </c>
      <c r="M994" s="5"/>
      <c r="N994" s="5"/>
      <c r="O994" s="5"/>
      <c r="P994" s="5"/>
      <c r="Q994" s="5"/>
      <c r="R994" t="s">
        <v>75</v>
      </c>
      <c r="S994" t="s">
        <v>63</v>
      </c>
      <c r="T994" s="5"/>
      <c r="U994" s="6"/>
      <c r="V994" t="s">
        <v>64</v>
      </c>
      <c r="W994" s="4"/>
      <c r="X994" t="s">
        <v>65</v>
      </c>
      <c r="Z994" t="s">
        <v>66</v>
      </c>
    </row>
    <row r="995" spans="1:26">
      <c r="A995" t="s">
        <v>1703</v>
      </c>
      <c r="B995" t="s">
        <v>826</v>
      </c>
      <c r="C995" s="4">
        <v>46143</v>
      </c>
      <c r="D995" t="s">
        <v>363</v>
      </c>
      <c r="E995" t="s">
        <v>70</v>
      </c>
      <c r="F995" s="4">
        <v>46143</v>
      </c>
      <c r="G995" s="4">
        <v>46146</v>
      </c>
      <c r="H995" t="s">
        <v>90</v>
      </c>
      <c r="I995" t="s">
        <v>388</v>
      </c>
      <c r="J995" t="s">
        <v>197</v>
      </c>
      <c r="K995" t="s">
        <v>73</v>
      </c>
      <c r="L995" t="s">
        <v>146</v>
      </c>
      <c r="M995" s="5">
        <v>25200</v>
      </c>
      <c r="N995" s="5">
        <v>3650</v>
      </c>
      <c r="O995" s="5">
        <v>3500</v>
      </c>
      <c r="P995" s="5">
        <v>10500</v>
      </c>
      <c r="Q995" s="5">
        <v>44350</v>
      </c>
      <c r="R995" t="s">
        <v>106</v>
      </c>
      <c r="S995" t="s">
        <v>86</v>
      </c>
      <c r="T995" s="5">
        <v>16220</v>
      </c>
      <c r="U995" s="6">
        <v>4</v>
      </c>
      <c r="V995" t="s">
        <v>77</v>
      </c>
      <c r="W995" s="4">
        <v>46159</v>
      </c>
      <c r="X995" t="s">
        <v>77</v>
      </c>
      <c r="Y995" t="s">
        <v>64</v>
      </c>
      <c r="Z995" t="s">
        <v>78</v>
      </c>
    </row>
    <row r="996" spans="1:26">
      <c r="A996" t="s">
        <v>1704</v>
      </c>
      <c r="B996" t="s">
        <v>851</v>
      </c>
      <c r="C996" s="4">
        <v>46050</v>
      </c>
      <c r="D996" t="s">
        <v>439</v>
      </c>
      <c r="E996" t="s">
        <v>56</v>
      </c>
      <c r="F996" s="4"/>
      <c r="G996" s="4"/>
      <c r="H996" t="s">
        <v>150</v>
      </c>
      <c r="I996" t="s">
        <v>239</v>
      </c>
      <c r="J996" t="s">
        <v>188</v>
      </c>
      <c r="K996" t="s">
        <v>60</v>
      </c>
      <c r="L996" t="s">
        <v>94</v>
      </c>
      <c r="M996" s="5"/>
      <c r="N996" s="5"/>
      <c r="O996" s="5"/>
      <c r="P996" s="5"/>
      <c r="Q996" s="5"/>
      <c r="R996" t="s">
        <v>95</v>
      </c>
      <c r="S996" t="s">
        <v>63</v>
      </c>
      <c r="T996" s="5"/>
      <c r="U996" s="6"/>
      <c r="V996" t="s">
        <v>64</v>
      </c>
      <c r="W996" s="4"/>
      <c r="X996" t="s">
        <v>65</v>
      </c>
      <c r="Z996" t="s">
        <v>66</v>
      </c>
    </row>
    <row r="997" spans="1:26">
      <c r="A997" t="s">
        <v>1705</v>
      </c>
      <c r="B997" t="s">
        <v>148</v>
      </c>
      <c r="C997" s="4">
        <v>46107</v>
      </c>
      <c r="D997" t="s">
        <v>173</v>
      </c>
      <c r="E997" t="s">
        <v>70</v>
      </c>
      <c r="F997" s="4">
        <v>46107</v>
      </c>
      <c r="G997" s="4">
        <v>46109</v>
      </c>
      <c r="H997" t="s">
        <v>201</v>
      </c>
      <c r="I997" t="s">
        <v>280</v>
      </c>
      <c r="J997" t="s">
        <v>295</v>
      </c>
      <c r="K997" t="s">
        <v>73</v>
      </c>
      <c r="L997" t="s">
        <v>146</v>
      </c>
      <c r="M997" s="5">
        <v>39000</v>
      </c>
      <c r="N997" s="5">
        <v>5100</v>
      </c>
      <c r="O997" s="5">
        <v>5200</v>
      </c>
      <c r="P997" s="5">
        <v>9000</v>
      </c>
      <c r="Q997" s="5">
        <v>59300</v>
      </c>
      <c r="R997" t="s">
        <v>106</v>
      </c>
      <c r="S997" t="s">
        <v>76</v>
      </c>
      <c r="T997" s="5">
        <v>21460</v>
      </c>
      <c r="U997" s="6">
        <v>5</v>
      </c>
      <c r="V997" t="s">
        <v>77</v>
      </c>
      <c r="W997" s="4">
        <v>46123</v>
      </c>
      <c r="X997" t="s">
        <v>77</v>
      </c>
      <c r="Y997" t="s">
        <v>64</v>
      </c>
      <c r="Z997" t="s">
        <v>78</v>
      </c>
    </row>
    <row r="998" spans="1:26">
      <c r="A998" t="s">
        <v>1706</v>
      </c>
      <c r="B998" t="s">
        <v>962</v>
      </c>
      <c r="C998" s="4">
        <v>46142</v>
      </c>
      <c r="D998" t="s">
        <v>266</v>
      </c>
      <c r="E998" t="s">
        <v>70</v>
      </c>
      <c r="F998" s="4">
        <v>46142</v>
      </c>
      <c r="G998" s="4">
        <v>46146</v>
      </c>
      <c r="H998" t="s">
        <v>57</v>
      </c>
      <c r="I998" t="s">
        <v>100</v>
      </c>
      <c r="J998" t="s">
        <v>59</v>
      </c>
      <c r="K998" t="s">
        <v>93</v>
      </c>
      <c r="L998" t="s">
        <v>94</v>
      </c>
      <c r="M998" s="5">
        <v>45300</v>
      </c>
      <c r="N998" s="5">
        <v>6050</v>
      </c>
      <c r="O998" s="5">
        <v>7150</v>
      </c>
      <c r="P998" s="5">
        <v>12000</v>
      </c>
      <c r="Q998" s="5">
        <v>72500</v>
      </c>
      <c r="R998" t="s">
        <v>75</v>
      </c>
      <c r="S998" t="s">
        <v>76</v>
      </c>
      <c r="T998" s="5">
        <v>32920</v>
      </c>
      <c r="U998" s="6">
        <v>4</v>
      </c>
      <c r="V998" t="s">
        <v>77</v>
      </c>
      <c r="W998" s="4">
        <v>46158</v>
      </c>
      <c r="X998" t="s">
        <v>77</v>
      </c>
      <c r="Y998" t="s">
        <v>64</v>
      </c>
      <c r="Z998" t="s">
        <v>78</v>
      </c>
    </row>
    <row r="999" spans="1:26">
      <c r="A999" t="s">
        <v>1707</v>
      </c>
      <c r="B999" t="s">
        <v>1432</v>
      </c>
      <c r="C999" s="4">
        <v>46045</v>
      </c>
      <c r="D999" t="s">
        <v>110</v>
      </c>
      <c r="E999" t="s">
        <v>70</v>
      </c>
      <c r="F999" s="4">
        <v>46045</v>
      </c>
      <c r="G999" s="4">
        <v>46046</v>
      </c>
      <c r="H999" t="s">
        <v>57</v>
      </c>
      <c r="I999" t="s">
        <v>71</v>
      </c>
      <c r="J999" t="s">
        <v>72</v>
      </c>
      <c r="K999" t="s">
        <v>60</v>
      </c>
      <c r="L999" t="s">
        <v>61</v>
      </c>
      <c r="M999" s="5">
        <v>7700</v>
      </c>
      <c r="N999" s="5">
        <v>950</v>
      </c>
      <c r="O999" s="5">
        <v>1050</v>
      </c>
      <c r="P999" s="5">
        <v>2500</v>
      </c>
      <c r="Q999" s="5">
        <v>14000</v>
      </c>
      <c r="R999" t="s">
        <v>75</v>
      </c>
      <c r="S999" t="s">
        <v>163</v>
      </c>
      <c r="T999" s="5">
        <v>6600</v>
      </c>
      <c r="U999" s="6">
        <v>5</v>
      </c>
      <c r="V999" t="s">
        <v>77</v>
      </c>
      <c r="W999" s="4">
        <v>46060</v>
      </c>
      <c r="X999" t="s">
        <v>77</v>
      </c>
      <c r="Y999" t="s">
        <v>64</v>
      </c>
      <c r="Z999" t="s">
        <v>96</v>
      </c>
    </row>
    <row r="1000" spans="1:26">
      <c r="A1000" t="s">
        <v>1708</v>
      </c>
      <c r="B1000" t="s">
        <v>851</v>
      </c>
      <c r="C1000" s="4">
        <v>46061</v>
      </c>
      <c r="D1000" t="s">
        <v>225</v>
      </c>
      <c r="E1000" t="s">
        <v>70</v>
      </c>
      <c r="F1000" s="4">
        <v>46061</v>
      </c>
      <c r="G1000" s="4">
        <v>46062</v>
      </c>
      <c r="H1000" t="s">
        <v>201</v>
      </c>
      <c r="I1000" t="s">
        <v>421</v>
      </c>
      <c r="J1000" t="s">
        <v>281</v>
      </c>
      <c r="K1000" t="s">
        <v>124</v>
      </c>
      <c r="L1000" t="s">
        <v>74</v>
      </c>
      <c r="M1000" s="5">
        <v>6300</v>
      </c>
      <c r="N1000" s="5">
        <v>700</v>
      </c>
      <c r="O1000" s="5">
        <v>1050</v>
      </c>
      <c r="P1000" s="5">
        <v>4500</v>
      </c>
      <c r="Q1000" s="5">
        <v>13550</v>
      </c>
      <c r="R1000" t="s">
        <v>75</v>
      </c>
      <c r="S1000" t="s">
        <v>76</v>
      </c>
      <c r="T1000" s="5">
        <v>6400</v>
      </c>
      <c r="U1000" s="6">
        <v>5</v>
      </c>
      <c r="V1000" t="s">
        <v>64</v>
      </c>
      <c r="W1000" s="4"/>
      <c r="X1000" t="s">
        <v>65</v>
      </c>
      <c r="Y1000" t="s">
        <v>64</v>
      </c>
      <c r="Z1000" t="s">
        <v>78</v>
      </c>
    </row>
    <row r="1001" spans="1:26">
      <c r="A1001" t="s">
        <v>1709</v>
      </c>
      <c r="B1001" t="s">
        <v>647</v>
      </c>
      <c r="C1001" s="4">
        <v>46126</v>
      </c>
      <c r="D1001" t="s">
        <v>330</v>
      </c>
      <c r="E1001" t="s">
        <v>70</v>
      </c>
      <c r="F1001" s="4">
        <v>46126</v>
      </c>
      <c r="G1001" s="4">
        <v>46126</v>
      </c>
      <c r="H1001" t="s">
        <v>138</v>
      </c>
      <c r="I1001" t="s">
        <v>235</v>
      </c>
      <c r="J1001" t="s">
        <v>140</v>
      </c>
      <c r="K1001" t="s">
        <v>60</v>
      </c>
      <c r="L1001" t="s">
        <v>146</v>
      </c>
      <c r="M1001" s="5">
        <v>16000</v>
      </c>
      <c r="N1001" s="5">
        <v>1850</v>
      </c>
      <c r="O1001" s="5">
        <v>2300</v>
      </c>
      <c r="P1001" s="5">
        <v>0</v>
      </c>
      <c r="Q1001" s="5">
        <v>21150</v>
      </c>
      <c r="R1001" t="s">
        <v>141</v>
      </c>
      <c r="S1001" t="s">
        <v>76</v>
      </c>
      <c r="T1001" s="5">
        <v>4370</v>
      </c>
      <c r="U1001" s="6">
        <v>4</v>
      </c>
      <c r="V1001" t="s">
        <v>77</v>
      </c>
      <c r="W1001" s="4">
        <v>46133</v>
      </c>
      <c r="X1001" t="s">
        <v>64</v>
      </c>
      <c r="Y1001" t="s">
        <v>64</v>
      </c>
      <c r="Z1001" t="s">
        <v>96</v>
      </c>
    </row>
    <row r="1002" spans="1:26">
      <c r="A1002" t="s">
        <v>1710</v>
      </c>
      <c r="B1002" t="s">
        <v>1711</v>
      </c>
      <c r="C1002" s="4">
        <v>46150</v>
      </c>
      <c r="D1002" t="s">
        <v>383</v>
      </c>
      <c r="E1002" t="s">
        <v>56</v>
      </c>
      <c r="F1002" s="4"/>
      <c r="G1002" s="4"/>
      <c r="H1002" t="s">
        <v>111</v>
      </c>
      <c r="I1002" t="s">
        <v>222</v>
      </c>
      <c r="J1002" t="s">
        <v>117</v>
      </c>
      <c r="K1002" t="s">
        <v>73</v>
      </c>
      <c r="L1002" t="s">
        <v>74</v>
      </c>
      <c r="M1002" s="5"/>
      <c r="N1002" s="5"/>
      <c r="O1002" s="5"/>
      <c r="P1002" s="5"/>
      <c r="Q1002" s="5"/>
      <c r="R1002" t="s">
        <v>134</v>
      </c>
      <c r="S1002" t="s">
        <v>63</v>
      </c>
      <c r="T1002" s="5"/>
      <c r="U1002" s="6"/>
      <c r="V1002" t="s">
        <v>64</v>
      </c>
      <c r="W1002" s="4"/>
      <c r="X1002" t="s">
        <v>65</v>
      </c>
      <c r="Z1002" t="s">
        <v>66</v>
      </c>
    </row>
    <row r="1003" spans="1:26">
      <c r="A1003" t="s">
        <v>1712</v>
      </c>
      <c r="B1003" t="s">
        <v>1606</v>
      </c>
      <c r="C1003" s="4">
        <v>46038</v>
      </c>
      <c r="D1003" t="s">
        <v>55</v>
      </c>
      <c r="E1003" t="s">
        <v>70</v>
      </c>
      <c r="F1003" s="4">
        <v>46038</v>
      </c>
      <c r="G1003" s="4">
        <v>46041</v>
      </c>
      <c r="H1003" t="s">
        <v>103</v>
      </c>
      <c r="I1003" t="s">
        <v>243</v>
      </c>
      <c r="J1003" t="s">
        <v>105</v>
      </c>
      <c r="K1003" t="s">
        <v>73</v>
      </c>
      <c r="L1003" t="s">
        <v>94</v>
      </c>
      <c r="M1003" s="5">
        <v>58500</v>
      </c>
      <c r="N1003" s="5">
        <v>5500</v>
      </c>
      <c r="O1003" s="5">
        <v>14250</v>
      </c>
      <c r="P1003" s="5">
        <v>18000</v>
      </c>
      <c r="Q1003" s="5">
        <v>98050</v>
      </c>
      <c r="R1003" t="s">
        <v>75</v>
      </c>
      <c r="S1003" t="s">
        <v>163</v>
      </c>
      <c r="T1003" s="5">
        <v>44420</v>
      </c>
      <c r="U1003" s="6">
        <v>4</v>
      </c>
      <c r="V1003" t="s">
        <v>77</v>
      </c>
      <c r="W1003" s="4">
        <v>46048</v>
      </c>
      <c r="X1003" t="s">
        <v>77</v>
      </c>
      <c r="Y1003" t="s">
        <v>64</v>
      </c>
      <c r="Z1003" t="s">
        <v>96</v>
      </c>
    </row>
    <row r="1004" spans="1:26">
      <c r="A1004" t="s">
        <v>1713</v>
      </c>
      <c r="B1004" t="s">
        <v>874</v>
      </c>
      <c r="C1004" s="4">
        <v>46040</v>
      </c>
      <c r="D1004" t="s">
        <v>168</v>
      </c>
      <c r="E1004" t="s">
        <v>70</v>
      </c>
      <c r="F1004" s="4">
        <v>46040</v>
      </c>
      <c r="G1004" s="4">
        <v>46040</v>
      </c>
      <c r="H1004" t="s">
        <v>90</v>
      </c>
      <c r="I1004" t="s">
        <v>299</v>
      </c>
      <c r="J1004" t="s">
        <v>92</v>
      </c>
      <c r="K1004" t="s">
        <v>60</v>
      </c>
      <c r="L1004" t="s">
        <v>94</v>
      </c>
      <c r="M1004" s="5">
        <v>48600</v>
      </c>
      <c r="N1004" s="5">
        <v>6200</v>
      </c>
      <c r="O1004" s="5">
        <v>6050</v>
      </c>
      <c r="P1004" s="5">
        <v>0</v>
      </c>
      <c r="Q1004" s="5">
        <v>62350</v>
      </c>
      <c r="R1004" t="s">
        <v>75</v>
      </c>
      <c r="S1004" t="s">
        <v>76</v>
      </c>
      <c r="T1004" s="5">
        <v>28360</v>
      </c>
      <c r="U1004" s="6">
        <v>5</v>
      </c>
      <c r="V1004" t="s">
        <v>77</v>
      </c>
      <c r="W1004" s="4">
        <v>46057</v>
      </c>
      <c r="X1004" t="s">
        <v>77</v>
      </c>
      <c r="Y1004" t="s">
        <v>64</v>
      </c>
      <c r="Z1004" t="s">
        <v>78</v>
      </c>
    </row>
    <row r="1005" spans="1:26">
      <c r="A1005" t="s">
        <v>1714</v>
      </c>
      <c r="B1005" t="s">
        <v>1715</v>
      </c>
      <c r="C1005" s="4">
        <v>46060</v>
      </c>
      <c r="D1005" t="s">
        <v>81</v>
      </c>
      <c r="E1005" t="s">
        <v>255</v>
      </c>
      <c r="F1005" s="4"/>
      <c r="G1005" s="4"/>
      <c r="H1005" t="s">
        <v>57</v>
      </c>
      <c r="I1005" t="s">
        <v>211</v>
      </c>
      <c r="J1005" t="s">
        <v>170</v>
      </c>
      <c r="K1005" t="s">
        <v>60</v>
      </c>
      <c r="L1005" t="s">
        <v>61</v>
      </c>
      <c r="M1005" s="5"/>
      <c r="N1005" s="5"/>
      <c r="O1005" s="5"/>
      <c r="P1005" s="5"/>
      <c r="Q1005" s="5"/>
      <c r="R1005" t="s">
        <v>85</v>
      </c>
      <c r="S1005" t="s">
        <v>63</v>
      </c>
      <c r="T1005" s="5"/>
      <c r="U1005" s="6"/>
      <c r="V1005" t="s">
        <v>64</v>
      </c>
      <c r="W1005" s="4"/>
      <c r="X1005" t="s">
        <v>65</v>
      </c>
      <c r="Z1005" t="s">
        <v>66</v>
      </c>
    </row>
    <row r="1006" spans="1:26">
      <c r="A1006" t="s">
        <v>1716</v>
      </c>
      <c r="B1006" t="s">
        <v>186</v>
      </c>
      <c r="C1006" s="4">
        <v>46055</v>
      </c>
      <c r="D1006" t="s">
        <v>298</v>
      </c>
      <c r="E1006" t="s">
        <v>70</v>
      </c>
      <c r="F1006" s="4">
        <v>46055</v>
      </c>
      <c r="G1006" s="4">
        <v>46059</v>
      </c>
      <c r="H1006" t="s">
        <v>201</v>
      </c>
      <c r="I1006" t="s">
        <v>280</v>
      </c>
      <c r="J1006" t="s">
        <v>203</v>
      </c>
      <c r="K1006" t="s">
        <v>124</v>
      </c>
      <c r="L1006" t="s">
        <v>74</v>
      </c>
      <c r="M1006" s="5">
        <v>36700</v>
      </c>
      <c r="N1006" s="5">
        <v>6200</v>
      </c>
      <c r="O1006" s="5">
        <v>8000</v>
      </c>
      <c r="P1006" s="5">
        <v>24000</v>
      </c>
      <c r="Q1006" s="5">
        <v>75900</v>
      </c>
      <c r="R1006" t="s">
        <v>62</v>
      </c>
      <c r="S1006" t="s">
        <v>76</v>
      </c>
      <c r="T1006" s="5">
        <v>23170</v>
      </c>
      <c r="U1006" s="6">
        <v>3</v>
      </c>
      <c r="V1006" t="s">
        <v>77</v>
      </c>
      <c r="W1006" s="4">
        <v>46068</v>
      </c>
      <c r="X1006" t="s">
        <v>77</v>
      </c>
      <c r="Y1006" t="s">
        <v>64</v>
      </c>
      <c r="Z1006" t="s">
        <v>219</v>
      </c>
    </row>
    <row r="1007" spans="1:26">
      <c r="A1007" t="s">
        <v>1717</v>
      </c>
      <c r="B1007" t="s">
        <v>1450</v>
      </c>
      <c r="C1007" s="4">
        <v>46130</v>
      </c>
      <c r="D1007" t="s">
        <v>149</v>
      </c>
      <c r="E1007" t="s">
        <v>70</v>
      </c>
      <c r="F1007" s="4">
        <v>46130</v>
      </c>
      <c r="G1007" s="4">
        <v>46137</v>
      </c>
      <c r="H1007" t="s">
        <v>111</v>
      </c>
      <c r="I1007" t="s">
        <v>116</v>
      </c>
      <c r="J1007" t="s">
        <v>384</v>
      </c>
      <c r="K1007" t="s">
        <v>124</v>
      </c>
      <c r="L1007" t="s">
        <v>74</v>
      </c>
      <c r="M1007" s="5">
        <v>66200</v>
      </c>
      <c r="N1007" s="5">
        <v>9900</v>
      </c>
      <c r="O1007" s="5">
        <v>6800</v>
      </c>
      <c r="P1007" s="5">
        <v>31500</v>
      </c>
      <c r="Q1007" s="5">
        <v>115200</v>
      </c>
      <c r="R1007" t="s">
        <v>62</v>
      </c>
      <c r="S1007" t="s">
        <v>163</v>
      </c>
      <c r="T1007" s="5">
        <v>34960</v>
      </c>
      <c r="U1007" s="6">
        <v>4</v>
      </c>
      <c r="V1007" t="s">
        <v>77</v>
      </c>
      <c r="W1007" s="4">
        <v>46155</v>
      </c>
      <c r="X1007" t="s">
        <v>77</v>
      </c>
      <c r="Y1007" t="s">
        <v>64</v>
      </c>
      <c r="Z1007" t="s">
        <v>78</v>
      </c>
    </row>
    <row r="1008" spans="1:26">
      <c r="A1008" t="s">
        <v>1718</v>
      </c>
      <c r="B1008" t="s">
        <v>633</v>
      </c>
      <c r="C1008" s="4">
        <v>46089</v>
      </c>
      <c r="D1008" t="s">
        <v>234</v>
      </c>
      <c r="E1008" t="s">
        <v>70</v>
      </c>
      <c r="F1008" s="4">
        <v>46090</v>
      </c>
      <c r="G1008" s="4">
        <v>46092</v>
      </c>
      <c r="H1008" t="s">
        <v>138</v>
      </c>
      <c r="I1008" t="s">
        <v>444</v>
      </c>
      <c r="J1008" t="s">
        <v>140</v>
      </c>
      <c r="K1008" t="s">
        <v>124</v>
      </c>
      <c r="L1008" t="s">
        <v>94</v>
      </c>
      <c r="M1008" s="5">
        <v>21900</v>
      </c>
      <c r="N1008" s="5">
        <v>1850</v>
      </c>
      <c r="O1008" s="5">
        <v>3600</v>
      </c>
      <c r="P1008" s="5">
        <v>6000</v>
      </c>
      <c r="Q1008" s="5">
        <v>34850</v>
      </c>
      <c r="R1008" t="s">
        <v>62</v>
      </c>
      <c r="S1008" t="s">
        <v>76</v>
      </c>
      <c r="T1008" s="5">
        <v>10860</v>
      </c>
      <c r="U1008" s="6">
        <v>4</v>
      </c>
      <c r="V1008" t="s">
        <v>77</v>
      </c>
      <c r="W1008" s="4">
        <v>46113</v>
      </c>
      <c r="X1008" t="s">
        <v>77</v>
      </c>
      <c r="Y1008" t="s">
        <v>64</v>
      </c>
      <c r="Z1008" t="s">
        <v>107</v>
      </c>
    </row>
    <row r="1009" spans="1:26">
      <c r="A1009" t="s">
        <v>1719</v>
      </c>
      <c r="B1009" t="s">
        <v>754</v>
      </c>
      <c r="C1009" s="4">
        <v>46119</v>
      </c>
      <c r="D1009" t="s">
        <v>206</v>
      </c>
      <c r="E1009" t="s">
        <v>70</v>
      </c>
      <c r="F1009" s="4">
        <v>46120</v>
      </c>
      <c r="G1009" s="4">
        <v>46121</v>
      </c>
      <c r="H1009" t="s">
        <v>103</v>
      </c>
      <c r="I1009" t="s">
        <v>214</v>
      </c>
      <c r="J1009" t="s">
        <v>105</v>
      </c>
      <c r="K1009" t="s">
        <v>60</v>
      </c>
      <c r="L1009" t="s">
        <v>61</v>
      </c>
      <c r="M1009" s="5">
        <v>43400</v>
      </c>
      <c r="N1009" s="5">
        <v>5150</v>
      </c>
      <c r="O1009" s="5">
        <v>9000</v>
      </c>
      <c r="P1009" s="5">
        <v>6000</v>
      </c>
      <c r="Q1009" s="5">
        <v>64350</v>
      </c>
      <c r="R1009" t="s">
        <v>141</v>
      </c>
      <c r="S1009" t="s">
        <v>86</v>
      </c>
      <c r="T1009" s="5">
        <v>10850</v>
      </c>
      <c r="U1009" s="6">
        <v>4</v>
      </c>
      <c r="V1009" t="s">
        <v>77</v>
      </c>
      <c r="W1009" s="4">
        <v>46141</v>
      </c>
      <c r="X1009" t="s">
        <v>64</v>
      </c>
      <c r="Y1009" t="s">
        <v>64</v>
      </c>
      <c r="Z1009" t="s">
        <v>436</v>
      </c>
    </row>
    <row r="1010" spans="1:26">
      <c r="A1010" t="s">
        <v>1720</v>
      </c>
      <c r="B1010" t="s">
        <v>1721</v>
      </c>
      <c r="C1010" s="4">
        <v>46054</v>
      </c>
      <c r="D1010" t="s">
        <v>259</v>
      </c>
      <c r="E1010" t="s">
        <v>70</v>
      </c>
      <c r="F1010" s="4">
        <v>46054</v>
      </c>
      <c r="G1010" s="4">
        <v>46056</v>
      </c>
      <c r="H1010" t="s">
        <v>103</v>
      </c>
      <c r="I1010" t="s">
        <v>104</v>
      </c>
      <c r="J1010" t="s">
        <v>145</v>
      </c>
      <c r="K1010" t="s">
        <v>73</v>
      </c>
      <c r="L1010" t="s">
        <v>61</v>
      </c>
      <c r="M1010" s="5"/>
      <c r="N1010" s="5">
        <v>4850</v>
      </c>
      <c r="O1010" s="5">
        <v>3450</v>
      </c>
      <c r="P1010" s="5">
        <v>12000</v>
      </c>
      <c r="Q1010" s="5">
        <v>52500</v>
      </c>
      <c r="R1010" t="s">
        <v>75</v>
      </c>
      <c r="S1010" t="s">
        <v>76</v>
      </c>
      <c r="T1010" s="5">
        <v>23920</v>
      </c>
      <c r="U1010" s="6">
        <v>5</v>
      </c>
      <c r="V1010" t="s">
        <v>64</v>
      </c>
      <c r="W1010" s="4"/>
      <c r="X1010" t="s">
        <v>65</v>
      </c>
      <c r="Y1010" t="s">
        <v>64</v>
      </c>
      <c r="Z1010" t="s">
        <v>436</v>
      </c>
    </row>
    <row r="1011" spans="1:26">
      <c r="A1011" t="s">
        <v>1722</v>
      </c>
      <c r="B1011" t="s">
        <v>815</v>
      </c>
      <c r="C1011" s="4">
        <v>46116</v>
      </c>
      <c r="D1011" t="s">
        <v>217</v>
      </c>
      <c r="E1011" t="s">
        <v>70</v>
      </c>
      <c r="F1011" s="4">
        <v>46116</v>
      </c>
      <c r="G1011" s="4">
        <v>46116</v>
      </c>
      <c r="H1011" t="s">
        <v>138</v>
      </c>
      <c r="I1011" t="s">
        <v>343</v>
      </c>
      <c r="J1011" t="s">
        <v>261</v>
      </c>
      <c r="K1011" t="s">
        <v>73</v>
      </c>
      <c r="L1011" t="s">
        <v>94</v>
      </c>
      <c r="M1011" s="5">
        <v>5400</v>
      </c>
      <c r="N1011" s="5">
        <v>600</v>
      </c>
      <c r="O1011" s="5">
        <v>750</v>
      </c>
      <c r="P1011" s="5">
        <v>0</v>
      </c>
      <c r="Q1011" s="5">
        <v>8550</v>
      </c>
      <c r="R1011" t="s">
        <v>75</v>
      </c>
      <c r="S1011" t="s">
        <v>163</v>
      </c>
      <c r="T1011" s="5">
        <v>4150</v>
      </c>
      <c r="U1011" s="6">
        <v>5</v>
      </c>
      <c r="V1011" t="s">
        <v>64</v>
      </c>
      <c r="W1011" s="4"/>
      <c r="X1011" t="s">
        <v>65</v>
      </c>
      <c r="Y1011" t="s">
        <v>64</v>
      </c>
      <c r="Z1011" t="s">
        <v>78</v>
      </c>
    </row>
    <row r="1012" spans="1:26">
      <c r="A1012" t="s">
        <v>1723</v>
      </c>
      <c r="B1012" t="s">
        <v>835</v>
      </c>
      <c r="C1012" s="4">
        <v>46046</v>
      </c>
      <c r="D1012" t="s">
        <v>225</v>
      </c>
      <c r="E1012" t="s">
        <v>70</v>
      </c>
      <c r="F1012" s="4">
        <v>46046</v>
      </c>
      <c r="G1012" s="4">
        <v>46053</v>
      </c>
      <c r="H1012" t="s">
        <v>178</v>
      </c>
      <c r="I1012" t="s">
        <v>339</v>
      </c>
      <c r="J1012" t="s">
        <v>340</v>
      </c>
      <c r="K1012" t="s">
        <v>73</v>
      </c>
      <c r="L1012" t="s">
        <v>74</v>
      </c>
      <c r="M1012" s="5">
        <v>58800</v>
      </c>
      <c r="N1012" s="5">
        <v>8600</v>
      </c>
      <c r="O1012" s="5">
        <v>10850</v>
      </c>
      <c r="P1012" s="5">
        <v>21000</v>
      </c>
      <c r="Q1012" s="5">
        <v>100050</v>
      </c>
      <c r="R1012" t="s">
        <v>95</v>
      </c>
      <c r="S1012" t="s">
        <v>63</v>
      </c>
      <c r="T1012" s="5">
        <v>100050</v>
      </c>
      <c r="U1012" s="6">
        <v>3</v>
      </c>
      <c r="V1012" t="s">
        <v>77</v>
      </c>
      <c r="W1012" s="4">
        <v>46070</v>
      </c>
      <c r="X1012" t="s">
        <v>77</v>
      </c>
      <c r="Y1012" t="s">
        <v>77</v>
      </c>
      <c r="Z1012" t="s">
        <v>96</v>
      </c>
    </row>
    <row r="1013" spans="1:26">
      <c r="A1013" t="s">
        <v>1724</v>
      </c>
      <c r="B1013" t="s">
        <v>1725</v>
      </c>
      <c r="C1013" s="4">
        <v>46108</v>
      </c>
      <c r="D1013" t="s">
        <v>363</v>
      </c>
      <c r="E1013" t="s">
        <v>70</v>
      </c>
      <c r="F1013" s="4">
        <v>46108</v>
      </c>
      <c r="G1013" s="4">
        <v>46115</v>
      </c>
      <c r="H1013" t="s">
        <v>121</v>
      </c>
      <c r="I1013" t="s">
        <v>174</v>
      </c>
      <c r="J1013" t="s">
        <v>252</v>
      </c>
      <c r="K1013" t="s">
        <v>124</v>
      </c>
      <c r="L1013" t="s">
        <v>146</v>
      </c>
      <c r="M1013" s="5">
        <v>65200</v>
      </c>
      <c r="N1013" s="5">
        <v>7700</v>
      </c>
      <c r="O1013" s="5">
        <v>13150</v>
      </c>
      <c r="P1013" s="5">
        <v>42000</v>
      </c>
      <c r="Q1013" s="5">
        <v>129850</v>
      </c>
      <c r="R1013" t="s">
        <v>95</v>
      </c>
      <c r="S1013" t="s">
        <v>63</v>
      </c>
      <c r="T1013" s="5">
        <v>129850</v>
      </c>
      <c r="U1013" s="6">
        <v>4</v>
      </c>
      <c r="V1013" t="s">
        <v>77</v>
      </c>
      <c r="W1013" s="4">
        <v>46132</v>
      </c>
      <c r="X1013" t="s">
        <v>77</v>
      </c>
      <c r="Y1013" t="s">
        <v>64</v>
      </c>
      <c r="Z1013" t="s">
        <v>96</v>
      </c>
    </row>
    <row r="1014" spans="1:26">
      <c r="A1014" t="s">
        <v>1726</v>
      </c>
      <c r="B1014" t="s">
        <v>1013</v>
      </c>
      <c r="C1014" s="4">
        <v>46084</v>
      </c>
      <c r="D1014" t="s">
        <v>307</v>
      </c>
      <c r="E1014" t="s">
        <v>314</v>
      </c>
      <c r="F1014" s="4"/>
      <c r="G1014" s="4"/>
      <c r="H1014" t="s">
        <v>121</v>
      </c>
      <c r="I1014" t="s">
        <v>334</v>
      </c>
      <c r="J1014" t="s">
        <v>252</v>
      </c>
      <c r="K1014" t="s">
        <v>124</v>
      </c>
      <c r="L1014" t="s">
        <v>74</v>
      </c>
      <c r="M1014" s="5"/>
      <c r="N1014" s="5"/>
      <c r="O1014" s="5"/>
      <c r="P1014" s="5"/>
      <c r="Q1014" s="5"/>
      <c r="R1014" t="s">
        <v>95</v>
      </c>
      <c r="S1014" t="s">
        <v>63</v>
      </c>
      <c r="T1014" s="5"/>
      <c r="U1014" s="6"/>
      <c r="V1014" t="s">
        <v>64</v>
      </c>
      <c r="W1014" s="4"/>
      <c r="X1014" t="s">
        <v>65</v>
      </c>
      <c r="Z1014" t="s">
        <v>66</v>
      </c>
    </row>
    <row r="1015" spans="1:26">
      <c r="A1015" t="s">
        <v>1727</v>
      </c>
      <c r="B1015" t="s">
        <v>1669</v>
      </c>
      <c r="C1015" s="4">
        <v>46119</v>
      </c>
      <c r="D1015" t="s">
        <v>120</v>
      </c>
      <c r="E1015" t="s">
        <v>70</v>
      </c>
      <c r="F1015" s="4">
        <v>46119</v>
      </c>
      <c r="G1015" s="4">
        <v>46124</v>
      </c>
      <c r="H1015" t="s">
        <v>178</v>
      </c>
      <c r="I1015" t="s">
        <v>339</v>
      </c>
      <c r="J1015" t="s">
        <v>180</v>
      </c>
      <c r="K1015" t="s">
        <v>73</v>
      </c>
      <c r="L1015" t="s">
        <v>74</v>
      </c>
      <c r="M1015" s="5">
        <v>62100</v>
      </c>
      <c r="N1015" s="5">
        <v>8150</v>
      </c>
      <c r="O1015" s="5">
        <v>8750</v>
      </c>
      <c r="P1015" s="5">
        <v>30000</v>
      </c>
      <c r="Q1015" s="5">
        <v>109800</v>
      </c>
      <c r="R1015" t="s">
        <v>85</v>
      </c>
      <c r="S1015" t="s">
        <v>76</v>
      </c>
      <c r="T1015" s="5">
        <v>28350</v>
      </c>
      <c r="U1015" s="6">
        <v>3</v>
      </c>
      <c r="V1015" t="s">
        <v>77</v>
      </c>
      <c r="W1015" s="4">
        <v>46144</v>
      </c>
      <c r="X1015" t="s">
        <v>64</v>
      </c>
      <c r="Y1015" t="s">
        <v>64</v>
      </c>
      <c r="Z1015" t="s">
        <v>96</v>
      </c>
    </row>
    <row r="1016" spans="1:26">
      <c r="A1016" t="s">
        <v>1728</v>
      </c>
      <c r="B1016" t="s">
        <v>1729</v>
      </c>
      <c r="C1016" s="4">
        <v>46134</v>
      </c>
      <c r="D1016" t="s">
        <v>127</v>
      </c>
      <c r="E1016" t="s">
        <v>70</v>
      </c>
      <c r="F1016" s="4">
        <v>46135</v>
      </c>
      <c r="G1016" s="4">
        <v>46138</v>
      </c>
      <c r="H1016" t="s">
        <v>138</v>
      </c>
      <c r="I1016" t="s">
        <v>444</v>
      </c>
      <c r="J1016" t="s">
        <v>236</v>
      </c>
      <c r="K1016" t="s">
        <v>124</v>
      </c>
      <c r="L1016" t="s">
        <v>74</v>
      </c>
      <c r="M1016" s="5">
        <v>26800</v>
      </c>
      <c r="N1016" s="5">
        <v>4550</v>
      </c>
      <c r="O1016" s="5">
        <v>3050</v>
      </c>
      <c r="P1016" s="5">
        <v>7500</v>
      </c>
      <c r="Q1016" s="5">
        <v>43400</v>
      </c>
      <c r="R1016" t="s">
        <v>62</v>
      </c>
      <c r="S1016" t="s">
        <v>76</v>
      </c>
      <c r="T1016" s="5">
        <v>13420</v>
      </c>
      <c r="U1016" s="6">
        <v>5</v>
      </c>
      <c r="V1016" t="s">
        <v>64</v>
      </c>
      <c r="W1016" s="4"/>
      <c r="X1016" t="s">
        <v>65</v>
      </c>
      <c r="Y1016" t="s">
        <v>64</v>
      </c>
      <c r="Z1016" t="s">
        <v>78</v>
      </c>
    </row>
    <row r="1017" spans="1:26">
      <c r="A1017" t="s">
        <v>1730</v>
      </c>
      <c r="B1017" t="s">
        <v>905</v>
      </c>
      <c r="C1017" s="4">
        <v>46042</v>
      </c>
      <c r="D1017" t="s">
        <v>210</v>
      </c>
      <c r="E1017" t="s">
        <v>314</v>
      </c>
      <c r="F1017" s="4"/>
      <c r="G1017" s="4"/>
      <c r="H1017" t="s">
        <v>103</v>
      </c>
      <c r="I1017" t="s">
        <v>104</v>
      </c>
      <c r="J1017" t="s">
        <v>244</v>
      </c>
      <c r="K1017" t="s">
        <v>73</v>
      </c>
      <c r="L1017" t="s">
        <v>61</v>
      </c>
      <c r="M1017" s="5"/>
      <c r="N1017" s="5"/>
      <c r="O1017" s="5"/>
      <c r="P1017" s="5"/>
      <c r="Q1017" s="5"/>
      <c r="R1017" t="s">
        <v>134</v>
      </c>
      <c r="S1017" t="s">
        <v>63</v>
      </c>
      <c r="T1017" s="5"/>
      <c r="U1017" s="6"/>
      <c r="V1017" t="s">
        <v>64</v>
      </c>
      <c r="W1017" s="4"/>
      <c r="X1017" t="s">
        <v>65</v>
      </c>
      <c r="Z1017" t="s">
        <v>66</v>
      </c>
    </row>
    <row r="1018" spans="1:26">
      <c r="A1018" t="s">
        <v>1731</v>
      </c>
      <c r="B1018" t="s">
        <v>583</v>
      </c>
      <c r="C1018" s="4">
        <v>46093</v>
      </c>
      <c r="D1018" t="s">
        <v>419</v>
      </c>
      <c r="E1018" t="s">
        <v>338</v>
      </c>
      <c r="F1018" s="4"/>
      <c r="G1018" s="4"/>
      <c r="H1018" t="s">
        <v>150</v>
      </c>
      <c r="I1018" t="s">
        <v>151</v>
      </c>
      <c r="J1018" t="s">
        <v>152</v>
      </c>
      <c r="K1018" t="s">
        <v>60</v>
      </c>
      <c r="L1018" t="s">
        <v>94</v>
      </c>
      <c r="M1018" s="5"/>
      <c r="N1018" s="5"/>
      <c r="O1018" s="5"/>
      <c r="P1018" s="5"/>
      <c r="Q1018" s="5"/>
      <c r="R1018" t="s">
        <v>85</v>
      </c>
      <c r="S1018" t="s">
        <v>63</v>
      </c>
      <c r="T1018" s="5"/>
      <c r="U1018" s="6"/>
      <c r="V1018" t="s">
        <v>64</v>
      </c>
      <c r="W1018" s="4"/>
      <c r="X1018" t="s">
        <v>65</v>
      </c>
      <c r="Z1018" t="s">
        <v>66</v>
      </c>
    </row>
    <row r="1019" spans="1:26">
      <c r="A1019" t="s">
        <v>1732</v>
      </c>
      <c r="B1019" t="s">
        <v>883</v>
      </c>
      <c r="C1019" s="4">
        <v>46149</v>
      </c>
      <c r="D1019" t="s">
        <v>217</v>
      </c>
      <c r="E1019" t="s">
        <v>70</v>
      </c>
      <c r="F1019" s="4">
        <v>46149</v>
      </c>
      <c r="G1019" s="4">
        <v>46149</v>
      </c>
      <c r="H1019" t="s">
        <v>90</v>
      </c>
      <c r="I1019" t="s">
        <v>133</v>
      </c>
      <c r="J1019" t="s">
        <v>129</v>
      </c>
      <c r="K1019" t="s">
        <v>60</v>
      </c>
      <c r="L1019" t="s">
        <v>74</v>
      </c>
      <c r="M1019" s="5"/>
      <c r="N1019" s="5">
        <v>8800</v>
      </c>
      <c r="O1019" s="5">
        <v>11000</v>
      </c>
      <c r="P1019" s="5">
        <v>0</v>
      </c>
      <c r="Q1019" s="5">
        <v>74800</v>
      </c>
      <c r="R1019" t="s">
        <v>75</v>
      </c>
      <c r="S1019" t="s">
        <v>76</v>
      </c>
      <c r="T1019" s="5">
        <v>33960</v>
      </c>
      <c r="U1019" s="6">
        <v>5</v>
      </c>
      <c r="V1019" t="s">
        <v>77</v>
      </c>
      <c r="W1019" s="4">
        <v>46160</v>
      </c>
      <c r="X1019" t="s">
        <v>77</v>
      </c>
      <c r="Y1019" t="s">
        <v>64</v>
      </c>
      <c r="Z1019" t="s">
        <v>96</v>
      </c>
    </row>
    <row r="1020" spans="1:26">
      <c r="A1020" t="s">
        <v>1733</v>
      </c>
      <c r="B1020" t="s">
        <v>1734</v>
      </c>
      <c r="C1020" s="4">
        <v>46146</v>
      </c>
      <c r="D1020" t="s">
        <v>337</v>
      </c>
      <c r="E1020" t="s">
        <v>70</v>
      </c>
      <c r="F1020" s="4">
        <v>46147</v>
      </c>
      <c r="G1020" s="4">
        <v>46149</v>
      </c>
      <c r="H1020" t="s">
        <v>201</v>
      </c>
      <c r="I1020" t="s">
        <v>421</v>
      </c>
      <c r="J1020" t="s">
        <v>203</v>
      </c>
      <c r="K1020" t="s">
        <v>73</v>
      </c>
      <c r="L1020" t="s">
        <v>61</v>
      </c>
      <c r="M1020" s="5">
        <v>46100</v>
      </c>
      <c r="N1020" s="5">
        <v>6150</v>
      </c>
      <c r="O1020" s="5">
        <v>10200</v>
      </c>
      <c r="P1020" s="5">
        <v>7000</v>
      </c>
      <c r="Q1020" s="5">
        <v>70450</v>
      </c>
      <c r="R1020" t="s">
        <v>95</v>
      </c>
      <c r="S1020" t="s">
        <v>63</v>
      </c>
      <c r="T1020" s="5">
        <v>70450</v>
      </c>
      <c r="U1020" s="6">
        <v>4</v>
      </c>
      <c r="V1020" t="s">
        <v>77</v>
      </c>
      <c r="W1020" s="4">
        <v>46170</v>
      </c>
      <c r="X1020" t="s">
        <v>77</v>
      </c>
      <c r="Y1020" t="s">
        <v>64</v>
      </c>
      <c r="Z1020" t="s">
        <v>78</v>
      </c>
    </row>
    <row r="1021" spans="1:26">
      <c r="A1021" t="s">
        <v>1735</v>
      </c>
      <c r="B1021" t="s">
        <v>1343</v>
      </c>
      <c r="C1021" s="4">
        <v>46107</v>
      </c>
      <c r="D1021" t="s">
        <v>200</v>
      </c>
      <c r="E1021" t="s">
        <v>70</v>
      </c>
      <c r="F1021" s="4">
        <v>46107</v>
      </c>
      <c r="G1021" s="4">
        <v>46107</v>
      </c>
      <c r="H1021" t="s">
        <v>103</v>
      </c>
      <c r="I1021" t="s">
        <v>207</v>
      </c>
      <c r="J1021" t="s">
        <v>145</v>
      </c>
      <c r="K1021" t="s">
        <v>60</v>
      </c>
      <c r="L1021" t="s">
        <v>74</v>
      </c>
      <c r="M1021" s="5">
        <v>35800</v>
      </c>
      <c r="N1021" s="5">
        <v>6200</v>
      </c>
      <c r="O1021" s="5">
        <v>4300</v>
      </c>
      <c r="P1021" s="5">
        <v>0</v>
      </c>
      <c r="Q1021" s="5">
        <v>47800</v>
      </c>
      <c r="R1021" t="s">
        <v>62</v>
      </c>
      <c r="S1021" t="s">
        <v>163</v>
      </c>
      <c r="T1021" s="5">
        <v>14740</v>
      </c>
      <c r="U1021" s="6">
        <v>3</v>
      </c>
      <c r="V1021" t="s">
        <v>64</v>
      </c>
      <c r="W1021" s="4"/>
      <c r="X1021" t="s">
        <v>65</v>
      </c>
      <c r="Y1021" t="s">
        <v>64</v>
      </c>
      <c r="Z1021" t="s">
        <v>436</v>
      </c>
    </row>
    <row r="1022" spans="1:26">
      <c r="A1022" t="s">
        <v>1736</v>
      </c>
      <c r="B1022" t="s">
        <v>723</v>
      </c>
      <c r="C1022" s="4">
        <v>46076</v>
      </c>
      <c r="D1022" t="s">
        <v>55</v>
      </c>
      <c r="E1022" t="s">
        <v>56</v>
      </c>
      <c r="F1022" s="4"/>
      <c r="G1022" s="4"/>
      <c r="H1022" t="s">
        <v>201</v>
      </c>
      <c r="I1022" t="s">
        <v>280</v>
      </c>
      <c r="J1022" t="s">
        <v>281</v>
      </c>
      <c r="K1022" t="s">
        <v>124</v>
      </c>
      <c r="L1022" t="s">
        <v>61</v>
      </c>
      <c r="M1022" s="5"/>
      <c r="N1022" s="5"/>
      <c r="O1022" s="5"/>
      <c r="P1022" s="5"/>
      <c r="Q1022" s="5"/>
      <c r="R1022" t="s">
        <v>95</v>
      </c>
      <c r="S1022" t="s">
        <v>63</v>
      </c>
      <c r="T1022" s="5"/>
      <c r="U1022" s="6"/>
      <c r="V1022" t="s">
        <v>64</v>
      </c>
      <c r="W1022" s="4"/>
      <c r="X1022" t="s">
        <v>65</v>
      </c>
      <c r="Z1022" t="s">
        <v>66</v>
      </c>
    </row>
    <row r="1023" spans="1:26">
      <c r="A1023" t="s">
        <v>1737</v>
      </c>
      <c r="B1023" t="s">
        <v>1738</v>
      </c>
      <c r="C1023" s="4">
        <v>46085</v>
      </c>
      <c r="D1023" t="s">
        <v>250</v>
      </c>
      <c r="E1023" t="s">
        <v>70</v>
      </c>
      <c r="F1023" s="4">
        <v>46085</v>
      </c>
      <c r="G1023" s="4">
        <v>46087</v>
      </c>
      <c r="H1023" t="s">
        <v>150</v>
      </c>
      <c r="I1023" t="s">
        <v>228</v>
      </c>
      <c r="J1023" t="s">
        <v>152</v>
      </c>
      <c r="K1023" t="s">
        <v>93</v>
      </c>
      <c r="L1023" t="s">
        <v>61</v>
      </c>
      <c r="M1023" s="5">
        <v>26000</v>
      </c>
      <c r="N1023" s="5">
        <v>4150</v>
      </c>
      <c r="O1023" s="5">
        <v>3150</v>
      </c>
      <c r="P1023" s="5">
        <v>6000</v>
      </c>
      <c r="Q1023" s="5">
        <v>40800</v>
      </c>
      <c r="R1023" t="s">
        <v>95</v>
      </c>
      <c r="S1023" t="s">
        <v>63</v>
      </c>
      <c r="T1023" s="5">
        <v>40800</v>
      </c>
      <c r="U1023" s="6"/>
      <c r="V1023" t="s">
        <v>77</v>
      </c>
      <c r="W1023" s="4">
        <v>46108</v>
      </c>
      <c r="X1023" t="s">
        <v>77</v>
      </c>
      <c r="Y1023" t="s">
        <v>64</v>
      </c>
      <c r="Z1023" t="s">
        <v>96</v>
      </c>
    </row>
    <row r="1024" spans="1:26">
      <c r="A1024" t="s">
        <v>1739</v>
      </c>
      <c r="B1024" t="s">
        <v>532</v>
      </c>
      <c r="C1024" s="4">
        <v>46056</v>
      </c>
      <c r="D1024" t="s">
        <v>110</v>
      </c>
      <c r="E1024" t="s">
        <v>70</v>
      </c>
      <c r="F1024" s="4">
        <v>46056</v>
      </c>
      <c r="G1024" s="4">
        <v>46056</v>
      </c>
      <c r="H1024" t="s">
        <v>90</v>
      </c>
      <c r="I1024" t="s">
        <v>388</v>
      </c>
      <c r="J1024" t="s">
        <v>129</v>
      </c>
      <c r="K1024" t="s">
        <v>60</v>
      </c>
      <c r="L1024" t="s">
        <v>61</v>
      </c>
      <c r="M1024" s="5">
        <v>55800</v>
      </c>
      <c r="N1024" s="5">
        <v>4850</v>
      </c>
      <c r="O1024" s="5">
        <v>9050</v>
      </c>
      <c r="P1024" s="5">
        <v>0</v>
      </c>
      <c r="Q1024" s="5">
        <v>71200</v>
      </c>
      <c r="R1024" t="s">
        <v>85</v>
      </c>
      <c r="S1024" t="s">
        <v>76</v>
      </c>
      <c r="T1024" s="5">
        <v>18700</v>
      </c>
      <c r="U1024" s="6">
        <v>3</v>
      </c>
      <c r="V1024" t="s">
        <v>77</v>
      </c>
      <c r="W1024" s="4">
        <v>46076</v>
      </c>
      <c r="X1024" t="s">
        <v>77</v>
      </c>
      <c r="Y1024" t="s">
        <v>64</v>
      </c>
      <c r="Z1024" t="s">
        <v>96</v>
      </c>
    </row>
    <row r="1025" spans="1:26">
      <c r="A1025" t="s">
        <v>1740</v>
      </c>
      <c r="B1025" t="s">
        <v>1741</v>
      </c>
      <c r="C1025" s="4">
        <v>46165</v>
      </c>
      <c r="D1025" t="s">
        <v>132</v>
      </c>
      <c r="E1025" t="s">
        <v>56</v>
      </c>
      <c r="F1025" s="4"/>
      <c r="G1025" s="4"/>
      <c r="H1025" t="s">
        <v>138</v>
      </c>
      <c r="I1025" t="s">
        <v>260</v>
      </c>
      <c r="J1025" t="s">
        <v>236</v>
      </c>
      <c r="K1025" t="s">
        <v>60</v>
      </c>
      <c r="L1025" t="s">
        <v>94</v>
      </c>
      <c r="M1025" s="5"/>
      <c r="N1025" s="5"/>
      <c r="O1025" s="5"/>
      <c r="P1025" s="5"/>
      <c r="Q1025" s="5"/>
      <c r="R1025" t="s">
        <v>141</v>
      </c>
      <c r="S1025" t="s">
        <v>63</v>
      </c>
      <c r="T1025" s="5"/>
      <c r="U1025" s="6"/>
      <c r="V1025" t="s">
        <v>64</v>
      </c>
      <c r="W1025" s="4"/>
      <c r="X1025" t="s">
        <v>65</v>
      </c>
      <c r="Z1025" t="s">
        <v>66</v>
      </c>
    </row>
    <row r="1026" spans="1:26">
      <c r="A1026" t="s">
        <v>1742</v>
      </c>
      <c r="B1026" t="s">
        <v>1743</v>
      </c>
      <c r="C1026" s="4">
        <v>46119</v>
      </c>
      <c r="D1026" t="s">
        <v>210</v>
      </c>
      <c r="E1026" t="s">
        <v>70</v>
      </c>
      <c r="F1026" s="4">
        <v>46119</v>
      </c>
      <c r="G1026" s="4">
        <v>46122</v>
      </c>
      <c r="H1026" t="s">
        <v>121</v>
      </c>
      <c r="I1026" t="s">
        <v>174</v>
      </c>
      <c r="J1026" t="s">
        <v>123</v>
      </c>
      <c r="K1026" t="s">
        <v>124</v>
      </c>
      <c r="L1026" t="s">
        <v>74</v>
      </c>
      <c r="M1026" s="5">
        <v>40600</v>
      </c>
      <c r="N1026" s="5">
        <v>3950</v>
      </c>
      <c r="O1026" s="5">
        <v>4900</v>
      </c>
      <c r="P1026" s="5">
        <v>9000</v>
      </c>
      <c r="Q1026" s="5">
        <v>60250</v>
      </c>
      <c r="R1026" t="s">
        <v>62</v>
      </c>
      <c r="S1026" t="s">
        <v>76</v>
      </c>
      <c r="T1026" s="5">
        <v>18480</v>
      </c>
      <c r="U1026" s="6">
        <v>4</v>
      </c>
      <c r="V1026" t="s">
        <v>77</v>
      </c>
      <c r="W1026" s="4">
        <v>46135</v>
      </c>
      <c r="X1026" t="s">
        <v>77</v>
      </c>
      <c r="Y1026" t="s">
        <v>64</v>
      </c>
      <c r="Z1026" t="s">
        <v>78</v>
      </c>
    </row>
    <row r="1027" spans="1:26">
      <c r="A1027" t="s">
        <v>1744</v>
      </c>
      <c r="B1027" t="s">
        <v>409</v>
      </c>
      <c r="C1027" s="4">
        <v>46063</v>
      </c>
      <c r="D1027" t="s">
        <v>337</v>
      </c>
      <c r="E1027" t="s">
        <v>70</v>
      </c>
      <c r="F1027" s="4">
        <v>46063</v>
      </c>
      <c r="G1027" s="4">
        <v>46064</v>
      </c>
      <c r="H1027" t="s">
        <v>121</v>
      </c>
      <c r="I1027" t="s">
        <v>665</v>
      </c>
      <c r="J1027" t="s">
        <v>252</v>
      </c>
      <c r="K1027" t="s">
        <v>60</v>
      </c>
      <c r="L1027" t="s">
        <v>61</v>
      </c>
      <c r="M1027" s="5">
        <v>72200</v>
      </c>
      <c r="N1027" s="5">
        <v>12050</v>
      </c>
      <c r="O1027" s="5">
        <v>12200</v>
      </c>
      <c r="P1027" s="5">
        <v>3000</v>
      </c>
      <c r="Q1027" s="5">
        <v>100450</v>
      </c>
      <c r="R1027" t="s">
        <v>75</v>
      </c>
      <c r="S1027" t="s">
        <v>76</v>
      </c>
      <c r="T1027" s="5">
        <v>45500</v>
      </c>
      <c r="U1027" s="6">
        <v>4</v>
      </c>
      <c r="V1027" t="s">
        <v>77</v>
      </c>
      <c r="W1027" s="4">
        <v>46084</v>
      </c>
      <c r="X1027" t="s">
        <v>77</v>
      </c>
      <c r="Y1027" t="s">
        <v>64</v>
      </c>
      <c r="Z1027" t="s">
        <v>96</v>
      </c>
    </row>
    <row r="1028" spans="1:26">
      <c r="A1028" t="s">
        <v>1745</v>
      </c>
      <c r="B1028" t="s">
        <v>491</v>
      </c>
      <c r="C1028" s="4">
        <v>46109</v>
      </c>
      <c r="D1028" t="s">
        <v>110</v>
      </c>
      <c r="E1028" t="s">
        <v>70</v>
      </c>
      <c r="F1028" s="4">
        <v>46109</v>
      </c>
      <c r="G1028" s="4">
        <v>46111</v>
      </c>
      <c r="H1028" t="s">
        <v>121</v>
      </c>
      <c r="I1028" t="s">
        <v>665</v>
      </c>
      <c r="J1028" t="s">
        <v>256</v>
      </c>
      <c r="K1028" t="s">
        <v>73</v>
      </c>
      <c r="L1028" t="s">
        <v>74</v>
      </c>
      <c r="M1028" s="5">
        <v>17800</v>
      </c>
      <c r="N1028" s="5">
        <v>1700</v>
      </c>
      <c r="O1028" s="5">
        <v>3150</v>
      </c>
      <c r="P1028" s="5">
        <v>9000</v>
      </c>
      <c r="Q1028" s="5">
        <v>32650</v>
      </c>
      <c r="R1028" t="s">
        <v>141</v>
      </c>
      <c r="S1028" t="s">
        <v>76</v>
      </c>
      <c r="T1028" s="5">
        <v>6100</v>
      </c>
      <c r="U1028" s="6">
        <v>2</v>
      </c>
      <c r="V1028" t="s">
        <v>77</v>
      </c>
      <c r="W1028" s="4">
        <v>46119</v>
      </c>
      <c r="X1028" t="s">
        <v>64</v>
      </c>
      <c r="Y1028" t="s">
        <v>77</v>
      </c>
      <c r="Z1028" t="s">
        <v>96</v>
      </c>
    </row>
    <row r="1029" spans="1:26">
      <c r="A1029" t="s">
        <v>1746</v>
      </c>
      <c r="B1029" t="s">
        <v>567</v>
      </c>
      <c r="C1029" s="4">
        <v>46131</v>
      </c>
      <c r="D1029" t="s">
        <v>298</v>
      </c>
      <c r="E1029" t="s">
        <v>177</v>
      </c>
      <c r="F1029" s="4"/>
      <c r="G1029" s="4"/>
      <c r="H1029" t="s">
        <v>138</v>
      </c>
      <c r="I1029" t="s">
        <v>352</v>
      </c>
      <c r="J1029" t="s">
        <v>140</v>
      </c>
      <c r="K1029" t="s">
        <v>60</v>
      </c>
      <c r="L1029" t="s">
        <v>94</v>
      </c>
      <c r="M1029" s="5"/>
      <c r="N1029" s="5"/>
      <c r="O1029" s="5"/>
      <c r="P1029" s="5"/>
      <c r="Q1029" s="5"/>
      <c r="R1029" t="s">
        <v>134</v>
      </c>
      <c r="S1029" t="s">
        <v>63</v>
      </c>
      <c r="T1029" s="5"/>
      <c r="U1029" s="6"/>
      <c r="V1029" t="s">
        <v>64</v>
      </c>
      <c r="W1029" s="4"/>
      <c r="X1029" t="s">
        <v>65</v>
      </c>
      <c r="Z1029" t="s">
        <v>66</v>
      </c>
    </row>
    <row r="1030" spans="1:26">
      <c r="A1030" t="s">
        <v>1747</v>
      </c>
      <c r="B1030" t="s">
        <v>573</v>
      </c>
      <c r="C1030" s="4">
        <v>46032</v>
      </c>
      <c r="D1030" t="s">
        <v>120</v>
      </c>
      <c r="E1030" t="s">
        <v>70</v>
      </c>
      <c r="F1030" s="4">
        <v>46033</v>
      </c>
      <c r="G1030" s="4">
        <v>46034</v>
      </c>
      <c r="H1030" t="s">
        <v>138</v>
      </c>
      <c r="I1030" t="s">
        <v>139</v>
      </c>
      <c r="J1030" t="s">
        <v>261</v>
      </c>
      <c r="K1030" t="s">
        <v>60</v>
      </c>
      <c r="L1030" t="s">
        <v>74</v>
      </c>
      <c r="M1030" s="5">
        <v>5400</v>
      </c>
      <c r="N1030" s="5">
        <v>800</v>
      </c>
      <c r="O1030" s="5">
        <v>1200</v>
      </c>
      <c r="P1030" s="5">
        <v>3000</v>
      </c>
      <c r="Q1030" s="5">
        <v>12400</v>
      </c>
      <c r="R1030" t="s">
        <v>85</v>
      </c>
      <c r="S1030" t="s">
        <v>86</v>
      </c>
      <c r="T1030" s="5">
        <v>4000</v>
      </c>
      <c r="U1030" s="6">
        <v>3</v>
      </c>
      <c r="V1030" t="s">
        <v>64</v>
      </c>
      <c r="W1030" s="4"/>
      <c r="X1030" t="s">
        <v>65</v>
      </c>
      <c r="Y1030" t="s">
        <v>64</v>
      </c>
      <c r="Z1030" t="s">
        <v>96</v>
      </c>
    </row>
    <row r="1031" spans="1:26">
      <c r="A1031" t="s">
        <v>1748</v>
      </c>
      <c r="B1031" t="s">
        <v>713</v>
      </c>
      <c r="C1031" s="4">
        <v>46128</v>
      </c>
      <c r="D1031" t="s">
        <v>469</v>
      </c>
      <c r="E1031" t="s">
        <v>177</v>
      </c>
      <c r="F1031" s="4"/>
      <c r="G1031" s="4"/>
      <c r="H1031" t="s">
        <v>138</v>
      </c>
      <c r="I1031" t="s">
        <v>352</v>
      </c>
      <c r="J1031" t="s">
        <v>140</v>
      </c>
      <c r="K1031" t="s">
        <v>124</v>
      </c>
      <c r="L1031" t="s">
        <v>94</v>
      </c>
      <c r="M1031" s="5"/>
      <c r="N1031" s="5"/>
      <c r="O1031" s="5"/>
      <c r="P1031" s="5"/>
      <c r="Q1031" s="5"/>
      <c r="R1031" t="s">
        <v>85</v>
      </c>
      <c r="S1031" t="s">
        <v>63</v>
      </c>
      <c r="T1031" s="5"/>
      <c r="U1031" s="6"/>
      <c r="V1031" t="s">
        <v>64</v>
      </c>
      <c r="W1031" s="4"/>
      <c r="X1031" t="s">
        <v>65</v>
      </c>
      <c r="Z1031" t="s">
        <v>66</v>
      </c>
    </row>
    <row r="1032" spans="1:26">
      <c r="A1032" t="s">
        <v>1749</v>
      </c>
      <c r="B1032" t="s">
        <v>678</v>
      </c>
      <c r="C1032" s="4">
        <v>46129</v>
      </c>
      <c r="D1032" t="s">
        <v>132</v>
      </c>
      <c r="E1032" t="s">
        <v>70</v>
      </c>
      <c r="F1032" s="4">
        <v>46129</v>
      </c>
      <c r="G1032" s="4">
        <v>46136</v>
      </c>
      <c r="H1032" t="s">
        <v>111</v>
      </c>
      <c r="I1032" t="s">
        <v>267</v>
      </c>
      <c r="J1032" t="s">
        <v>113</v>
      </c>
      <c r="K1032" t="s">
        <v>73</v>
      </c>
      <c r="L1032" t="s">
        <v>94</v>
      </c>
      <c r="M1032" s="5">
        <v>23700</v>
      </c>
      <c r="N1032" s="5">
        <v>3400</v>
      </c>
      <c r="O1032" s="5">
        <v>3200</v>
      </c>
      <c r="P1032" s="5">
        <v>31500</v>
      </c>
      <c r="Q1032" s="5">
        <v>63000</v>
      </c>
      <c r="R1032" t="s">
        <v>95</v>
      </c>
      <c r="S1032" t="s">
        <v>63</v>
      </c>
      <c r="T1032" s="5">
        <v>63000</v>
      </c>
      <c r="U1032" s="6">
        <v>3</v>
      </c>
      <c r="V1032" t="s">
        <v>77</v>
      </c>
      <c r="W1032" s="4">
        <v>46152</v>
      </c>
      <c r="X1032" t="s">
        <v>77</v>
      </c>
      <c r="Y1032" t="s">
        <v>64</v>
      </c>
      <c r="Z1032" t="s">
        <v>436</v>
      </c>
    </row>
    <row r="1033" spans="1:26">
      <c r="A1033" t="s">
        <v>1750</v>
      </c>
      <c r="B1033" t="s">
        <v>1496</v>
      </c>
      <c r="C1033" s="4">
        <v>46068</v>
      </c>
      <c r="D1033" t="s">
        <v>173</v>
      </c>
      <c r="E1033" t="s">
        <v>177</v>
      </c>
      <c r="F1033" s="4"/>
      <c r="G1033" s="4"/>
      <c r="H1033" t="s">
        <v>82</v>
      </c>
      <c r="I1033" t="s">
        <v>272</v>
      </c>
      <c r="J1033" t="s">
        <v>156</v>
      </c>
      <c r="K1033" t="s">
        <v>60</v>
      </c>
      <c r="L1033" t="s">
        <v>74</v>
      </c>
      <c r="M1033" s="5"/>
      <c r="N1033" s="5"/>
      <c r="O1033" s="5"/>
      <c r="P1033" s="5"/>
      <c r="Q1033" s="5"/>
      <c r="R1033" t="s">
        <v>141</v>
      </c>
      <c r="S1033" t="s">
        <v>63</v>
      </c>
      <c r="T1033" s="5"/>
      <c r="U1033" s="6"/>
      <c r="V1033" t="s">
        <v>64</v>
      </c>
      <c r="W1033" s="4"/>
      <c r="X1033" t="s">
        <v>65</v>
      </c>
      <c r="Z1033" t="s">
        <v>66</v>
      </c>
    </row>
    <row r="1034" spans="1:26">
      <c r="A1034" t="s">
        <v>1751</v>
      </c>
      <c r="B1034" t="s">
        <v>1481</v>
      </c>
      <c r="C1034" s="4">
        <v>46135</v>
      </c>
      <c r="D1034" t="s">
        <v>225</v>
      </c>
      <c r="E1034" t="s">
        <v>70</v>
      </c>
      <c r="F1034" s="4">
        <v>46135</v>
      </c>
      <c r="G1034" s="4">
        <v>46141</v>
      </c>
      <c r="H1034" t="s">
        <v>138</v>
      </c>
      <c r="I1034" t="s">
        <v>139</v>
      </c>
      <c r="J1034" t="s">
        <v>236</v>
      </c>
      <c r="K1034" t="s">
        <v>73</v>
      </c>
      <c r="L1034" t="s">
        <v>61</v>
      </c>
      <c r="M1034" s="5">
        <v>50600</v>
      </c>
      <c r="N1034" s="5">
        <v>8900</v>
      </c>
      <c r="O1034" s="5">
        <v>8250</v>
      </c>
      <c r="P1034" s="5">
        <v>15000</v>
      </c>
      <c r="Q1034" s="5">
        <v>84750</v>
      </c>
      <c r="R1034" t="s">
        <v>141</v>
      </c>
      <c r="S1034" t="s">
        <v>76</v>
      </c>
      <c r="T1034" s="5">
        <v>13910</v>
      </c>
      <c r="U1034" s="6">
        <v>2</v>
      </c>
      <c r="V1034" t="s">
        <v>77</v>
      </c>
      <c r="W1034" s="4">
        <v>46153</v>
      </c>
      <c r="X1034" t="s">
        <v>77</v>
      </c>
      <c r="Y1034" t="s">
        <v>77</v>
      </c>
      <c r="Z1034" t="s">
        <v>436</v>
      </c>
    </row>
    <row r="1035" spans="1:26">
      <c r="A1035" t="s">
        <v>1752</v>
      </c>
      <c r="B1035" t="s">
        <v>131</v>
      </c>
      <c r="C1035" s="4">
        <v>46059</v>
      </c>
      <c r="D1035" t="s">
        <v>469</v>
      </c>
      <c r="E1035" t="s">
        <v>70</v>
      </c>
      <c r="F1035" s="4">
        <v>46059</v>
      </c>
      <c r="G1035" s="4">
        <v>46061</v>
      </c>
      <c r="H1035" t="s">
        <v>103</v>
      </c>
      <c r="I1035" t="s">
        <v>207</v>
      </c>
      <c r="J1035" t="s">
        <v>145</v>
      </c>
      <c r="K1035" t="s">
        <v>73</v>
      </c>
      <c r="L1035" t="s">
        <v>94</v>
      </c>
      <c r="M1035" s="5">
        <v>31200</v>
      </c>
      <c r="N1035" s="5">
        <v>4200</v>
      </c>
      <c r="O1035" s="5">
        <v>7800</v>
      </c>
      <c r="P1035" s="5">
        <v>5000</v>
      </c>
      <c r="Q1035" s="5">
        <v>49700</v>
      </c>
      <c r="R1035" t="s">
        <v>85</v>
      </c>
      <c r="S1035" t="s">
        <v>76</v>
      </c>
      <c r="T1035" s="5">
        <v>13320</v>
      </c>
      <c r="U1035" s="6">
        <v>4</v>
      </c>
      <c r="V1035" t="s">
        <v>77</v>
      </c>
      <c r="W1035" s="4">
        <v>46081</v>
      </c>
      <c r="X1035" t="s">
        <v>77</v>
      </c>
      <c r="Y1035" t="s">
        <v>64</v>
      </c>
      <c r="Z1035" t="s">
        <v>78</v>
      </c>
    </row>
    <row r="1036" spans="1:26">
      <c r="A1036" t="s">
        <v>1753</v>
      </c>
      <c r="B1036" t="s">
        <v>715</v>
      </c>
      <c r="C1036" s="4">
        <v>46104</v>
      </c>
      <c r="D1036" t="s">
        <v>250</v>
      </c>
      <c r="E1036" t="s">
        <v>70</v>
      </c>
      <c r="F1036" s="4">
        <v>46104</v>
      </c>
      <c r="G1036" s="4">
        <v>46106</v>
      </c>
      <c r="H1036" t="s">
        <v>150</v>
      </c>
      <c r="I1036" t="s">
        <v>304</v>
      </c>
      <c r="J1036" t="s">
        <v>229</v>
      </c>
      <c r="K1036" t="s">
        <v>73</v>
      </c>
      <c r="L1036" t="s">
        <v>74</v>
      </c>
      <c r="M1036" s="5">
        <v>39200</v>
      </c>
      <c r="N1036" s="5">
        <v>5550</v>
      </c>
      <c r="O1036" s="5">
        <v>6100</v>
      </c>
      <c r="P1036" s="5">
        <v>7000</v>
      </c>
      <c r="Q1036" s="5">
        <v>59050</v>
      </c>
      <c r="R1036" t="s">
        <v>75</v>
      </c>
      <c r="S1036" t="s">
        <v>76</v>
      </c>
      <c r="T1036" s="5">
        <v>26870</v>
      </c>
      <c r="U1036" s="6">
        <v>5</v>
      </c>
      <c r="V1036" t="s">
        <v>64</v>
      </c>
      <c r="W1036" s="4"/>
      <c r="X1036" t="s">
        <v>65</v>
      </c>
      <c r="Y1036" t="s">
        <v>64</v>
      </c>
      <c r="Z1036" t="s">
        <v>78</v>
      </c>
    </row>
    <row r="1037" spans="1:26">
      <c r="A1037" t="s">
        <v>1754</v>
      </c>
      <c r="B1037" t="s">
        <v>1738</v>
      </c>
      <c r="C1037" s="4">
        <v>46080</v>
      </c>
      <c r="D1037" t="s">
        <v>144</v>
      </c>
      <c r="E1037" t="s">
        <v>177</v>
      </c>
      <c r="F1037" s="4"/>
      <c r="G1037" s="4"/>
      <c r="H1037" t="s">
        <v>201</v>
      </c>
      <c r="I1037" t="s">
        <v>280</v>
      </c>
      <c r="J1037" t="s">
        <v>203</v>
      </c>
      <c r="K1037" t="s">
        <v>124</v>
      </c>
      <c r="L1037" t="s">
        <v>94</v>
      </c>
      <c r="M1037" s="5"/>
      <c r="N1037" s="5"/>
      <c r="O1037" s="5"/>
      <c r="P1037" s="5"/>
      <c r="Q1037" s="5"/>
      <c r="R1037" t="s">
        <v>141</v>
      </c>
      <c r="S1037" t="s">
        <v>63</v>
      </c>
      <c r="T1037" s="5"/>
      <c r="U1037" s="6"/>
      <c r="V1037" t="s">
        <v>64</v>
      </c>
      <c r="W1037" s="4"/>
      <c r="X1037" t="s">
        <v>65</v>
      </c>
      <c r="Z1037" t="s">
        <v>66</v>
      </c>
    </row>
    <row r="1038" spans="1:26">
      <c r="A1038" t="s">
        <v>1755</v>
      </c>
      <c r="B1038" t="s">
        <v>1311</v>
      </c>
      <c r="C1038" s="4">
        <v>46139</v>
      </c>
      <c r="D1038" t="s">
        <v>469</v>
      </c>
      <c r="E1038" t="s">
        <v>70</v>
      </c>
      <c r="F1038" s="4">
        <v>46139</v>
      </c>
      <c r="G1038" s="4">
        <v>46140</v>
      </c>
      <c r="H1038" t="s">
        <v>150</v>
      </c>
      <c r="I1038" t="s">
        <v>304</v>
      </c>
      <c r="J1038" t="s">
        <v>152</v>
      </c>
      <c r="K1038" t="s">
        <v>60</v>
      </c>
      <c r="L1038" t="s">
        <v>94</v>
      </c>
      <c r="M1038" s="5">
        <v>28800</v>
      </c>
      <c r="N1038" s="5">
        <v>4350</v>
      </c>
      <c r="O1038" s="5">
        <v>3300</v>
      </c>
      <c r="P1038" s="5">
        <v>3500</v>
      </c>
      <c r="Q1038" s="5">
        <v>41150</v>
      </c>
      <c r="R1038" t="s">
        <v>141</v>
      </c>
      <c r="S1038" t="s">
        <v>76</v>
      </c>
      <c r="T1038" s="5">
        <v>7370</v>
      </c>
      <c r="U1038" s="6">
        <v>3</v>
      </c>
      <c r="V1038" t="s">
        <v>77</v>
      </c>
      <c r="W1038" s="4">
        <v>46147</v>
      </c>
      <c r="X1038" t="s">
        <v>64</v>
      </c>
      <c r="Y1038" t="s">
        <v>77</v>
      </c>
      <c r="Z1038" t="s">
        <v>96</v>
      </c>
    </row>
    <row r="1039" spans="1:26">
      <c r="A1039" t="s">
        <v>1756</v>
      </c>
      <c r="B1039" t="s">
        <v>205</v>
      </c>
      <c r="C1039" s="4">
        <v>46059</v>
      </c>
      <c r="D1039" t="s">
        <v>206</v>
      </c>
      <c r="E1039" t="s">
        <v>70</v>
      </c>
      <c r="F1039" s="4">
        <v>46059</v>
      </c>
      <c r="G1039" s="4">
        <v>46063</v>
      </c>
      <c r="H1039" t="s">
        <v>150</v>
      </c>
      <c r="I1039" t="s">
        <v>239</v>
      </c>
      <c r="J1039" t="s">
        <v>152</v>
      </c>
      <c r="K1039" t="s">
        <v>124</v>
      </c>
      <c r="L1039" t="s">
        <v>94</v>
      </c>
      <c r="M1039" s="5">
        <v>27500</v>
      </c>
      <c r="N1039" s="5">
        <v>4250</v>
      </c>
      <c r="O1039" s="5">
        <v>3900</v>
      </c>
      <c r="P1039" s="5">
        <v>14000</v>
      </c>
      <c r="Q1039" s="5">
        <v>51450</v>
      </c>
      <c r="R1039" t="s">
        <v>75</v>
      </c>
      <c r="S1039" t="s">
        <v>76</v>
      </c>
      <c r="T1039" s="5">
        <v>23450</v>
      </c>
      <c r="U1039" s="6">
        <v>3</v>
      </c>
      <c r="V1039" t="s">
        <v>77</v>
      </c>
      <c r="W1039" s="4">
        <v>46082</v>
      </c>
      <c r="X1039" t="s">
        <v>77</v>
      </c>
      <c r="Y1039" t="s">
        <v>64</v>
      </c>
      <c r="Z1039" t="s">
        <v>96</v>
      </c>
    </row>
    <row r="1040" spans="1:26">
      <c r="A1040" t="s">
        <v>1757</v>
      </c>
      <c r="B1040" t="s">
        <v>678</v>
      </c>
      <c r="C1040" s="4">
        <v>46065</v>
      </c>
      <c r="D1040" t="s">
        <v>89</v>
      </c>
      <c r="E1040" t="s">
        <v>70</v>
      </c>
      <c r="F1040" s="4">
        <v>46065</v>
      </c>
      <c r="G1040" s="4">
        <v>46075</v>
      </c>
      <c r="H1040" t="s">
        <v>111</v>
      </c>
      <c r="I1040" t="s">
        <v>116</v>
      </c>
      <c r="J1040" t="s">
        <v>384</v>
      </c>
      <c r="K1040" t="s">
        <v>73</v>
      </c>
      <c r="L1040" t="s">
        <v>61</v>
      </c>
      <c r="M1040" s="5">
        <v>64600</v>
      </c>
      <c r="N1040" s="5">
        <v>6800</v>
      </c>
      <c r="O1040" s="5">
        <v>7800</v>
      </c>
      <c r="P1040" s="5">
        <v>30000</v>
      </c>
      <c r="Q1040" s="5">
        <v>110000</v>
      </c>
      <c r="R1040" t="s">
        <v>62</v>
      </c>
      <c r="S1040" t="s">
        <v>76</v>
      </c>
      <c r="T1040" s="5">
        <v>33400</v>
      </c>
      <c r="U1040" s="6">
        <v>2</v>
      </c>
      <c r="V1040" t="s">
        <v>77</v>
      </c>
      <c r="W1040" s="4">
        <v>46083</v>
      </c>
      <c r="X1040" t="s">
        <v>77</v>
      </c>
      <c r="Y1040" t="s">
        <v>64</v>
      </c>
      <c r="Z1040" t="s">
        <v>96</v>
      </c>
    </row>
    <row r="1041" spans="1:26">
      <c r="A1041" t="s">
        <v>1758</v>
      </c>
      <c r="B1041" t="s">
        <v>1444</v>
      </c>
      <c r="C1041" s="4">
        <v>46040</v>
      </c>
      <c r="D1041" t="s">
        <v>127</v>
      </c>
      <c r="E1041" t="s">
        <v>70</v>
      </c>
      <c r="F1041" s="4">
        <v>46040</v>
      </c>
      <c r="G1041" s="4">
        <v>46044</v>
      </c>
      <c r="H1041" t="s">
        <v>150</v>
      </c>
      <c r="I1041" t="s">
        <v>228</v>
      </c>
      <c r="J1041" t="s">
        <v>152</v>
      </c>
      <c r="K1041" t="s">
        <v>73</v>
      </c>
      <c r="L1041" t="s">
        <v>74</v>
      </c>
      <c r="M1041" s="5">
        <v>22900</v>
      </c>
      <c r="N1041" s="5">
        <v>2250</v>
      </c>
      <c r="O1041" s="5">
        <v>3100</v>
      </c>
      <c r="P1041" s="5">
        <v>12000</v>
      </c>
      <c r="Q1041" s="5">
        <v>41750</v>
      </c>
      <c r="R1041" t="s">
        <v>75</v>
      </c>
      <c r="S1041" t="s">
        <v>76</v>
      </c>
      <c r="T1041" s="5">
        <v>19090</v>
      </c>
      <c r="U1041" s="6">
        <v>5</v>
      </c>
      <c r="V1041" t="s">
        <v>77</v>
      </c>
      <c r="W1041" s="4">
        <v>46053</v>
      </c>
      <c r="X1041" t="s">
        <v>77</v>
      </c>
      <c r="Y1041" t="s">
        <v>64</v>
      </c>
      <c r="Z1041" t="s">
        <v>219</v>
      </c>
    </row>
    <row r="1042" spans="1:26">
      <c r="A1042" t="s">
        <v>1759</v>
      </c>
      <c r="B1042" t="s">
        <v>1760</v>
      </c>
      <c r="C1042" s="4">
        <v>46157</v>
      </c>
      <c r="D1042" t="s">
        <v>173</v>
      </c>
      <c r="E1042" t="s">
        <v>70</v>
      </c>
      <c r="F1042" s="4">
        <v>46158</v>
      </c>
      <c r="G1042" s="4">
        <v>46162</v>
      </c>
      <c r="H1042" t="s">
        <v>90</v>
      </c>
      <c r="I1042" t="s">
        <v>133</v>
      </c>
      <c r="J1042" t="s">
        <v>92</v>
      </c>
      <c r="K1042" t="s">
        <v>73</v>
      </c>
      <c r="L1042" t="s">
        <v>94</v>
      </c>
      <c r="M1042" s="5">
        <v>51300</v>
      </c>
      <c r="N1042" s="5">
        <v>5950</v>
      </c>
      <c r="O1042" s="5">
        <v>6600</v>
      </c>
      <c r="P1042" s="5">
        <v>24000</v>
      </c>
      <c r="Q1042" s="5">
        <v>89850</v>
      </c>
      <c r="R1042" t="s">
        <v>75</v>
      </c>
      <c r="S1042" t="s">
        <v>76</v>
      </c>
      <c r="T1042" s="5">
        <v>40730</v>
      </c>
      <c r="U1042" s="6">
        <v>4</v>
      </c>
      <c r="V1042" t="s">
        <v>77</v>
      </c>
      <c r="W1042" s="4">
        <v>46177</v>
      </c>
      <c r="X1042" t="s">
        <v>77</v>
      </c>
      <c r="Y1042" t="s">
        <v>64</v>
      </c>
      <c r="Z1042" t="s">
        <v>436</v>
      </c>
    </row>
    <row r="1043" spans="1:26">
      <c r="A1043" t="s">
        <v>1761</v>
      </c>
      <c r="B1043" t="s">
        <v>1469</v>
      </c>
      <c r="C1043" s="4">
        <v>46125</v>
      </c>
      <c r="D1043" t="s">
        <v>132</v>
      </c>
      <c r="E1043" t="s">
        <v>177</v>
      </c>
      <c r="F1043" s="4"/>
      <c r="G1043" s="4"/>
      <c r="H1043" t="s">
        <v>121</v>
      </c>
      <c r="I1043" t="s">
        <v>174</v>
      </c>
      <c r="J1043" t="s">
        <v>252</v>
      </c>
      <c r="K1043" t="s">
        <v>93</v>
      </c>
      <c r="L1043" t="s">
        <v>94</v>
      </c>
      <c r="M1043" s="5"/>
      <c r="N1043" s="5"/>
      <c r="O1043" s="5"/>
      <c r="P1043" s="5"/>
      <c r="Q1043" s="5"/>
      <c r="R1043" t="s">
        <v>62</v>
      </c>
      <c r="S1043" t="s">
        <v>63</v>
      </c>
      <c r="T1043" s="5"/>
      <c r="U1043" s="6"/>
      <c r="V1043" t="s">
        <v>64</v>
      </c>
      <c r="W1043" s="4"/>
      <c r="X1043" t="s">
        <v>65</v>
      </c>
      <c r="Z1043" t="s">
        <v>66</v>
      </c>
    </row>
    <row r="1044" spans="1:26">
      <c r="A1044" t="s">
        <v>1762</v>
      </c>
      <c r="B1044" t="s">
        <v>382</v>
      </c>
      <c r="C1044" s="4">
        <v>46025</v>
      </c>
      <c r="D1044" t="s">
        <v>69</v>
      </c>
      <c r="E1044" t="s">
        <v>70</v>
      </c>
      <c r="F1044" s="4">
        <v>46025</v>
      </c>
      <c r="G1044" s="4">
        <v>46029</v>
      </c>
      <c r="H1044" t="s">
        <v>201</v>
      </c>
      <c r="I1044" t="s">
        <v>421</v>
      </c>
      <c r="J1044" t="s">
        <v>203</v>
      </c>
      <c r="K1044" t="s">
        <v>73</v>
      </c>
      <c r="L1044" t="s">
        <v>74</v>
      </c>
      <c r="M1044" s="5">
        <v>34700</v>
      </c>
      <c r="N1044" s="5">
        <v>3350</v>
      </c>
      <c r="O1044" s="5">
        <v>7450</v>
      </c>
      <c r="P1044" s="5">
        <v>12000</v>
      </c>
      <c r="Q1044" s="5">
        <v>58500</v>
      </c>
      <c r="R1044" t="s">
        <v>106</v>
      </c>
      <c r="S1044" t="s">
        <v>86</v>
      </c>
      <c r="T1044" s="5">
        <v>21180</v>
      </c>
      <c r="U1044" s="6">
        <v>4</v>
      </c>
      <c r="V1044" t="s">
        <v>77</v>
      </c>
      <c r="W1044" s="4">
        <v>46042</v>
      </c>
      <c r="X1044" t="s">
        <v>77</v>
      </c>
      <c r="Y1044" t="s">
        <v>64</v>
      </c>
      <c r="Z1044" t="s">
        <v>78</v>
      </c>
    </row>
    <row r="1045" spans="1:26">
      <c r="A1045" t="s">
        <v>1763</v>
      </c>
      <c r="B1045" t="s">
        <v>583</v>
      </c>
      <c r="C1045" s="4">
        <v>46062</v>
      </c>
      <c r="D1045" t="s">
        <v>89</v>
      </c>
      <c r="E1045" t="s">
        <v>70</v>
      </c>
      <c r="F1045" s="4">
        <v>46062</v>
      </c>
      <c r="G1045" s="4">
        <v>46069</v>
      </c>
      <c r="H1045" t="s">
        <v>178</v>
      </c>
      <c r="I1045" t="s">
        <v>415</v>
      </c>
      <c r="J1045" t="s">
        <v>180</v>
      </c>
      <c r="K1045" t="s">
        <v>93</v>
      </c>
      <c r="L1045" t="s">
        <v>94</v>
      </c>
      <c r="M1045" s="5">
        <v>77200</v>
      </c>
      <c r="N1045" s="5">
        <v>11300</v>
      </c>
      <c r="O1045" s="5">
        <v>18850</v>
      </c>
      <c r="P1045" s="5">
        <v>42000</v>
      </c>
      <c r="Q1045" s="5">
        <v>150150</v>
      </c>
      <c r="R1045" t="s">
        <v>95</v>
      </c>
      <c r="S1045" t="s">
        <v>63</v>
      </c>
      <c r="T1045" s="5">
        <v>150150</v>
      </c>
      <c r="U1045" s="6">
        <v>2</v>
      </c>
      <c r="V1045" t="s">
        <v>77</v>
      </c>
      <c r="W1045" s="4">
        <v>46089</v>
      </c>
      <c r="X1045" t="s">
        <v>77</v>
      </c>
      <c r="Y1045" t="s">
        <v>64</v>
      </c>
      <c r="Z1045" t="s">
        <v>107</v>
      </c>
    </row>
    <row r="1046" spans="1:26">
      <c r="A1046" t="s">
        <v>1764</v>
      </c>
      <c r="B1046" t="s">
        <v>936</v>
      </c>
      <c r="C1046" s="4">
        <v>46120</v>
      </c>
      <c r="D1046" t="s">
        <v>69</v>
      </c>
      <c r="E1046" t="s">
        <v>70</v>
      </c>
      <c r="F1046" s="4">
        <v>46120</v>
      </c>
      <c r="G1046" s="4">
        <v>46124</v>
      </c>
      <c r="H1046" t="s">
        <v>57</v>
      </c>
      <c r="I1046" t="s">
        <v>211</v>
      </c>
      <c r="J1046" t="s">
        <v>170</v>
      </c>
      <c r="K1046" t="s">
        <v>124</v>
      </c>
      <c r="L1046" t="s">
        <v>61</v>
      </c>
      <c r="M1046" s="5">
        <v>62500</v>
      </c>
      <c r="N1046" s="5">
        <v>11050</v>
      </c>
      <c r="O1046" s="5">
        <v>9950</v>
      </c>
      <c r="P1046" s="5">
        <v>24000</v>
      </c>
      <c r="Q1046" s="5">
        <v>109500</v>
      </c>
      <c r="R1046" t="s">
        <v>106</v>
      </c>
      <c r="S1046" t="s">
        <v>76</v>
      </c>
      <c r="T1046" s="5">
        <v>39020</v>
      </c>
      <c r="U1046" s="6">
        <v>2</v>
      </c>
      <c r="V1046" t="s">
        <v>77</v>
      </c>
      <c r="W1046" s="4">
        <v>46142</v>
      </c>
      <c r="X1046" t="s">
        <v>77</v>
      </c>
      <c r="Y1046" t="s">
        <v>77</v>
      </c>
      <c r="Z1046" t="s">
        <v>96</v>
      </c>
    </row>
    <row r="1047" spans="1:26">
      <c r="A1047" t="s">
        <v>1765</v>
      </c>
      <c r="B1047" t="s">
        <v>154</v>
      </c>
      <c r="C1047" s="4">
        <v>46166</v>
      </c>
      <c r="D1047" t="s">
        <v>432</v>
      </c>
      <c r="E1047" t="s">
        <v>70</v>
      </c>
      <c r="F1047" s="4">
        <v>46167</v>
      </c>
      <c r="G1047" s="4">
        <v>46174</v>
      </c>
      <c r="H1047" t="s">
        <v>178</v>
      </c>
      <c r="I1047" t="s">
        <v>339</v>
      </c>
      <c r="J1047" t="s">
        <v>180</v>
      </c>
      <c r="K1047" t="s">
        <v>93</v>
      </c>
      <c r="L1047" t="s">
        <v>61</v>
      </c>
      <c r="M1047" s="5">
        <v>85600</v>
      </c>
      <c r="N1047" s="5">
        <v>9350</v>
      </c>
      <c r="O1047" s="5">
        <v>19900</v>
      </c>
      <c r="P1047" s="5">
        <v>42000</v>
      </c>
      <c r="Q1047" s="5">
        <v>157650</v>
      </c>
      <c r="R1047" t="s">
        <v>95</v>
      </c>
      <c r="S1047" t="s">
        <v>63</v>
      </c>
      <c r="T1047" s="5">
        <v>157650</v>
      </c>
      <c r="U1047" s="6">
        <v>1</v>
      </c>
      <c r="V1047" t="s">
        <v>77</v>
      </c>
      <c r="W1047" s="4">
        <v>46190</v>
      </c>
      <c r="X1047" t="s">
        <v>64</v>
      </c>
      <c r="Y1047" t="s">
        <v>77</v>
      </c>
      <c r="Z1047" t="s">
        <v>78</v>
      </c>
    </row>
    <row r="1048" spans="1:26">
      <c r="A1048" t="s">
        <v>1766</v>
      </c>
      <c r="B1048" t="s">
        <v>1360</v>
      </c>
      <c r="C1048" s="4">
        <v>46059</v>
      </c>
      <c r="D1048" t="s">
        <v>149</v>
      </c>
      <c r="E1048" t="s">
        <v>70</v>
      </c>
      <c r="F1048" s="4">
        <v>46059</v>
      </c>
      <c r="G1048" s="4">
        <v>46060</v>
      </c>
      <c r="H1048" t="s">
        <v>201</v>
      </c>
      <c r="I1048" t="s">
        <v>515</v>
      </c>
      <c r="J1048" t="s">
        <v>295</v>
      </c>
      <c r="K1048" t="s">
        <v>60</v>
      </c>
      <c r="L1048" t="s">
        <v>61</v>
      </c>
      <c r="M1048" s="5">
        <v>52400</v>
      </c>
      <c r="N1048" s="5">
        <v>6900</v>
      </c>
      <c r="O1048" s="5">
        <v>6550</v>
      </c>
      <c r="P1048" s="5">
        <v>3000</v>
      </c>
      <c r="Q1048" s="5">
        <v>70050</v>
      </c>
      <c r="R1048" t="s">
        <v>141</v>
      </c>
      <c r="S1048" t="s">
        <v>76</v>
      </c>
      <c r="T1048" s="5">
        <v>11710</v>
      </c>
      <c r="U1048" s="6">
        <v>4</v>
      </c>
      <c r="V1048" t="s">
        <v>64</v>
      </c>
      <c r="W1048" s="4"/>
      <c r="X1048" t="s">
        <v>65</v>
      </c>
      <c r="Y1048" t="s">
        <v>64</v>
      </c>
      <c r="Z1048" t="s">
        <v>107</v>
      </c>
    </row>
    <row r="1049" spans="1:26">
      <c r="A1049" t="s">
        <v>1767</v>
      </c>
      <c r="B1049" t="s">
        <v>907</v>
      </c>
      <c r="C1049" s="4">
        <v>46128</v>
      </c>
      <c r="D1049" t="s">
        <v>55</v>
      </c>
      <c r="E1049" t="s">
        <v>70</v>
      </c>
      <c r="F1049" s="4">
        <v>46128</v>
      </c>
      <c r="G1049" s="4">
        <v>46128</v>
      </c>
      <c r="H1049" t="s">
        <v>121</v>
      </c>
      <c r="I1049" t="s">
        <v>334</v>
      </c>
      <c r="J1049" t="s">
        <v>252</v>
      </c>
      <c r="K1049" t="s">
        <v>60</v>
      </c>
      <c r="L1049" t="s">
        <v>74</v>
      </c>
      <c r="M1049" s="5">
        <v>98200</v>
      </c>
      <c r="N1049" s="5">
        <v>10450</v>
      </c>
      <c r="O1049" s="5">
        <v>15600</v>
      </c>
      <c r="P1049" s="5">
        <v>0</v>
      </c>
      <c r="Q1049" s="5">
        <v>125250</v>
      </c>
      <c r="R1049" t="s">
        <v>141</v>
      </c>
      <c r="S1049" t="s">
        <v>76</v>
      </c>
      <c r="T1049" s="5">
        <v>19990</v>
      </c>
      <c r="U1049" s="6">
        <v>4</v>
      </c>
      <c r="V1049" t="s">
        <v>77</v>
      </c>
      <c r="W1049" s="4">
        <v>46138</v>
      </c>
      <c r="X1049" t="s">
        <v>77</v>
      </c>
      <c r="Y1049" t="s">
        <v>64</v>
      </c>
      <c r="Z1049" t="s">
        <v>78</v>
      </c>
    </row>
    <row r="1050" spans="1:26">
      <c r="A1050" t="s">
        <v>1768</v>
      </c>
      <c r="B1050" t="s">
        <v>1461</v>
      </c>
      <c r="C1050" s="4">
        <v>46091</v>
      </c>
      <c r="D1050" t="s">
        <v>206</v>
      </c>
      <c r="E1050" t="s">
        <v>70</v>
      </c>
      <c r="F1050" s="4">
        <v>46091</v>
      </c>
      <c r="G1050" s="4">
        <v>46092</v>
      </c>
      <c r="H1050" t="s">
        <v>138</v>
      </c>
      <c r="I1050" t="s">
        <v>343</v>
      </c>
      <c r="J1050" t="s">
        <v>261</v>
      </c>
      <c r="K1050" t="s">
        <v>60</v>
      </c>
      <c r="L1050" t="s">
        <v>61</v>
      </c>
      <c r="M1050" s="5">
        <v>4900</v>
      </c>
      <c r="N1050" s="5">
        <v>650</v>
      </c>
      <c r="O1050" s="5">
        <v>600</v>
      </c>
      <c r="P1050" s="5">
        <v>3500</v>
      </c>
      <c r="Q1050" s="5">
        <v>11450</v>
      </c>
      <c r="R1050" t="s">
        <v>106</v>
      </c>
      <c r="S1050" t="s">
        <v>76</v>
      </c>
      <c r="T1050" s="5">
        <v>4710</v>
      </c>
      <c r="U1050" s="6">
        <v>5</v>
      </c>
      <c r="V1050" t="s">
        <v>77</v>
      </c>
      <c r="W1050" s="4">
        <v>46105</v>
      </c>
      <c r="X1050" t="s">
        <v>77</v>
      </c>
      <c r="Y1050" t="s">
        <v>64</v>
      </c>
      <c r="Z1050" t="s">
        <v>107</v>
      </c>
    </row>
    <row r="1051" spans="1:26">
      <c r="A1051" t="s">
        <v>1769</v>
      </c>
      <c r="B1051" t="s">
        <v>1770</v>
      </c>
      <c r="C1051" s="4">
        <v>46089</v>
      </c>
      <c r="D1051" t="s">
        <v>110</v>
      </c>
      <c r="E1051" t="s">
        <v>70</v>
      </c>
      <c r="F1051" s="4">
        <v>46089</v>
      </c>
      <c r="G1051" s="4">
        <v>46090</v>
      </c>
      <c r="H1051" t="s">
        <v>111</v>
      </c>
      <c r="I1051" t="s">
        <v>355</v>
      </c>
      <c r="J1051" t="s">
        <v>384</v>
      </c>
      <c r="K1051" t="s">
        <v>60</v>
      </c>
      <c r="L1051" t="s">
        <v>74</v>
      </c>
      <c r="M1051" s="5">
        <v>66900</v>
      </c>
      <c r="N1051" s="5">
        <v>12000</v>
      </c>
      <c r="O1051" s="5">
        <v>11700</v>
      </c>
      <c r="P1051" s="5">
        <v>2500</v>
      </c>
      <c r="Q1051" s="5">
        <v>94600</v>
      </c>
      <c r="R1051" t="s">
        <v>134</v>
      </c>
      <c r="S1051" t="s">
        <v>86</v>
      </c>
      <c r="T1051" s="5">
        <v>52230</v>
      </c>
      <c r="U1051" s="6">
        <v>3</v>
      </c>
      <c r="V1051" t="s">
        <v>77</v>
      </c>
      <c r="W1051" s="4">
        <v>46111</v>
      </c>
      <c r="X1051" t="s">
        <v>64</v>
      </c>
      <c r="Y1051" t="s">
        <v>64</v>
      </c>
      <c r="Z1051" t="s">
        <v>96</v>
      </c>
    </row>
    <row r="1052" spans="1:26">
      <c r="A1052" t="s">
        <v>1771</v>
      </c>
      <c r="B1052" t="s">
        <v>1645</v>
      </c>
      <c r="C1052" s="4">
        <v>46045</v>
      </c>
      <c r="D1052" t="s">
        <v>137</v>
      </c>
      <c r="E1052" t="s">
        <v>70</v>
      </c>
      <c r="F1052" s="4">
        <v>46045</v>
      </c>
      <c r="G1052" s="4">
        <v>46045</v>
      </c>
      <c r="H1052" t="s">
        <v>90</v>
      </c>
      <c r="I1052" t="s">
        <v>388</v>
      </c>
      <c r="J1052" t="s">
        <v>197</v>
      </c>
      <c r="K1052" t="s">
        <v>60</v>
      </c>
      <c r="L1052" t="s">
        <v>74</v>
      </c>
      <c r="M1052" s="5">
        <v>18800</v>
      </c>
      <c r="N1052" s="5">
        <v>3200</v>
      </c>
      <c r="O1052" s="5">
        <v>3800</v>
      </c>
      <c r="P1052" s="5">
        <v>0</v>
      </c>
      <c r="Q1052" s="5">
        <v>27300</v>
      </c>
      <c r="R1052" t="s">
        <v>95</v>
      </c>
      <c r="S1052" t="s">
        <v>63</v>
      </c>
      <c r="T1052" s="5">
        <v>27300</v>
      </c>
      <c r="U1052" s="6">
        <v>5</v>
      </c>
      <c r="V1052" t="s">
        <v>64</v>
      </c>
      <c r="W1052" s="4"/>
      <c r="X1052" t="s">
        <v>65</v>
      </c>
      <c r="Y1052" t="s">
        <v>64</v>
      </c>
      <c r="Z1052" t="s">
        <v>107</v>
      </c>
    </row>
    <row r="1053" spans="1:26">
      <c r="A1053" t="s">
        <v>1772</v>
      </c>
      <c r="B1053" t="s">
        <v>591</v>
      </c>
      <c r="C1053" s="4">
        <v>46138</v>
      </c>
      <c r="D1053" t="s">
        <v>99</v>
      </c>
      <c r="E1053" t="s">
        <v>70</v>
      </c>
      <c r="F1053" s="4">
        <v>46138</v>
      </c>
      <c r="G1053" s="4">
        <v>46141</v>
      </c>
      <c r="H1053" t="s">
        <v>201</v>
      </c>
      <c r="I1053" t="s">
        <v>327</v>
      </c>
      <c r="J1053" t="s">
        <v>295</v>
      </c>
      <c r="K1053" t="s">
        <v>124</v>
      </c>
      <c r="L1053" t="s">
        <v>61</v>
      </c>
      <c r="M1053" s="5">
        <v>38100</v>
      </c>
      <c r="N1053" s="5">
        <v>4600</v>
      </c>
      <c r="O1053" s="5">
        <v>7750</v>
      </c>
      <c r="P1053" s="5">
        <v>10500</v>
      </c>
      <c r="Q1053" s="5">
        <v>61950</v>
      </c>
      <c r="R1053" t="s">
        <v>95</v>
      </c>
      <c r="S1053" t="s">
        <v>63</v>
      </c>
      <c r="T1053" s="5">
        <v>61950</v>
      </c>
      <c r="U1053" s="6">
        <v>5</v>
      </c>
      <c r="V1053" t="s">
        <v>77</v>
      </c>
      <c r="W1053" s="4">
        <v>46148</v>
      </c>
      <c r="X1053" t="s">
        <v>77</v>
      </c>
      <c r="Y1053" t="s">
        <v>64</v>
      </c>
      <c r="Z1053" t="s">
        <v>96</v>
      </c>
    </row>
    <row r="1054" spans="1:26">
      <c r="A1054" t="s">
        <v>1773</v>
      </c>
      <c r="B1054" t="s">
        <v>789</v>
      </c>
      <c r="C1054" s="4">
        <v>46147</v>
      </c>
      <c r="D1054" t="s">
        <v>144</v>
      </c>
      <c r="E1054" t="s">
        <v>70</v>
      </c>
      <c r="F1054" s="4">
        <v>46147</v>
      </c>
      <c r="G1054" s="4">
        <v>46151</v>
      </c>
      <c r="H1054" t="s">
        <v>103</v>
      </c>
      <c r="I1054" t="s">
        <v>104</v>
      </c>
      <c r="J1054" t="s">
        <v>105</v>
      </c>
      <c r="K1054" t="s">
        <v>73</v>
      </c>
      <c r="L1054" t="s">
        <v>94</v>
      </c>
      <c r="M1054" s="5">
        <v>56400</v>
      </c>
      <c r="N1054" s="5">
        <v>7950</v>
      </c>
      <c r="O1054" s="5">
        <v>8900</v>
      </c>
      <c r="P1054" s="5">
        <v>24000</v>
      </c>
      <c r="Q1054" s="5">
        <v>99050</v>
      </c>
      <c r="R1054" t="s">
        <v>106</v>
      </c>
      <c r="S1054" t="s">
        <v>76</v>
      </c>
      <c r="T1054" s="5">
        <v>35370</v>
      </c>
      <c r="U1054" s="6">
        <v>3</v>
      </c>
      <c r="V1054" t="s">
        <v>77</v>
      </c>
      <c r="W1054" s="4">
        <v>46169</v>
      </c>
      <c r="X1054" t="s">
        <v>64</v>
      </c>
      <c r="Y1054" t="s">
        <v>64</v>
      </c>
      <c r="Z1054" t="s">
        <v>96</v>
      </c>
    </row>
    <row r="1055" spans="1:26">
      <c r="A1055" t="s">
        <v>1774</v>
      </c>
      <c r="B1055" t="s">
        <v>158</v>
      </c>
      <c r="C1055" s="4">
        <v>46040</v>
      </c>
      <c r="D1055" t="s">
        <v>307</v>
      </c>
      <c r="E1055" t="s">
        <v>70</v>
      </c>
      <c r="F1055" s="4">
        <v>46040</v>
      </c>
      <c r="G1055" s="4">
        <v>46045</v>
      </c>
      <c r="H1055" t="s">
        <v>178</v>
      </c>
      <c r="I1055" t="s">
        <v>415</v>
      </c>
      <c r="J1055" t="s">
        <v>180</v>
      </c>
      <c r="K1055" t="s">
        <v>73</v>
      </c>
      <c r="L1055" t="s">
        <v>74</v>
      </c>
      <c r="M1055" s="5">
        <v>64600</v>
      </c>
      <c r="N1055" s="5">
        <v>9500</v>
      </c>
      <c r="O1055" s="5">
        <v>14350</v>
      </c>
      <c r="P1055" s="5">
        <v>15000</v>
      </c>
      <c r="Q1055" s="5">
        <v>104250</v>
      </c>
      <c r="R1055" t="s">
        <v>85</v>
      </c>
      <c r="S1055" t="s">
        <v>86</v>
      </c>
      <c r="T1055" s="5">
        <v>26960</v>
      </c>
      <c r="U1055" s="6">
        <v>2</v>
      </c>
      <c r="V1055" t="s">
        <v>77</v>
      </c>
      <c r="W1055" s="4">
        <v>46066</v>
      </c>
      <c r="X1055" t="s">
        <v>64</v>
      </c>
      <c r="Y1055" t="s">
        <v>64</v>
      </c>
      <c r="Z1055" t="s">
        <v>78</v>
      </c>
    </row>
    <row r="1056" spans="1:26">
      <c r="A1056" t="s">
        <v>1775</v>
      </c>
      <c r="B1056" t="s">
        <v>360</v>
      </c>
      <c r="C1056" s="4">
        <v>46055</v>
      </c>
      <c r="D1056" t="s">
        <v>144</v>
      </c>
      <c r="E1056" t="s">
        <v>70</v>
      </c>
      <c r="F1056" s="4">
        <v>46055</v>
      </c>
      <c r="G1056" s="4">
        <v>46057</v>
      </c>
      <c r="H1056" t="s">
        <v>201</v>
      </c>
      <c r="I1056" t="s">
        <v>421</v>
      </c>
      <c r="J1056" t="s">
        <v>281</v>
      </c>
      <c r="K1056" t="s">
        <v>124</v>
      </c>
      <c r="L1056" t="s">
        <v>61</v>
      </c>
      <c r="M1056" s="5">
        <v>8500</v>
      </c>
      <c r="N1056" s="5">
        <v>1500</v>
      </c>
      <c r="O1056" s="5">
        <v>1550</v>
      </c>
      <c r="P1056" s="5">
        <v>12000</v>
      </c>
      <c r="Q1056" s="5">
        <v>24550</v>
      </c>
      <c r="R1056" t="s">
        <v>106</v>
      </c>
      <c r="S1056" t="s">
        <v>76</v>
      </c>
      <c r="T1056" s="5">
        <v>9290</v>
      </c>
      <c r="U1056" s="6">
        <v>4</v>
      </c>
      <c r="V1056" t="s">
        <v>64</v>
      </c>
      <c r="W1056" s="4"/>
      <c r="X1056" t="s">
        <v>65</v>
      </c>
      <c r="Y1056" t="s">
        <v>64</v>
      </c>
      <c r="Z1056" t="s">
        <v>96</v>
      </c>
    </row>
    <row r="1057" spans="1:26">
      <c r="A1057" t="s">
        <v>1776</v>
      </c>
      <c r="B1057" t="s">
        <v>976</v>
      </c>
      <c r="C1057" s="4">
        <v>46146</v>
      </c>
      <c r="D1057" t="s">
        <v>110</v>
      </c>
      <c r="E1057" t="s">
        <v>70</v>
      </c>
      <c r="F1057" s="4">
        <v>46146</v>
      </c>
      <c r="G1057" s="4">
        <v>46150</v>
      </c>
      <c r="H1057" t="s">
        <v>90</v>
      </c>
      <c r="I1057" t="s">
        <v>91</v>
      </c>
      <c r="J1057" t="s">
        <v>129</v>
      </c>
      <c r="K1057" t="s">
        <v>124</v>
      </c>
      <c r="L1057" t="s">
        <v>94</v>
      </c>
      <c r="M1057" s="5">
        <v>31300</v>
      </c>
      <c r="N1057" s="5">
        <v>2950</v>
      </c>
      <c r="O1057" s="5">
        <v>7300</v>
      </c>
      <c r="P1057" s="5">
        <v>18000</v>
      </c>
      <c r="Q1057" s="5">
        <v>60750</v>
      </c>
      <c r="R1057" t="s">
        <v>106</v>
      </c>
      <c r="S1057" t="s">
        <v>76</v>
      </c>
      <c r="T1057" s="5">
        <v>21960</v>
      </c>
      <c r="U1057" s="6">
        <v>4</v>
      </c>
      <c r="V1057" t="s">
        <v>77</v>
      </c>
      <c r="W1057" s="4">
        <v>46158</v>
      </c>
      <c r="X1057" t="s">
        <v>64</v>
      </c>
      <c r="Y1057" t="s">
        <v>64</v>
      </c>
      <c r="Z1057" t="s">
        <v>78</v>
      </c>
    </row>
    <row r="1058" spans="1:26">
      <c r="A1058" t="s">
        <v>1777</v>
      </c>
      <c r="B1058" t="s">
        <v>1371</v>
      </c>
      <c r="C1058" s="4">
        <v>46156</v>
      </c>
      <c r="D1058" t="s">
        <v>144</v>
      </c>
      <c r="E1058" t="s">
        <v>70</v>
      </c>
      <c r="F1058" s="4">
        <v>46156</v>
      </c>
      <c r="G1058" s="4">
        <v>46162</v>
      </c>
      <c r="H1058" t="s">
        <v>201</v>
      </c>
      <c r="I1058" t="s">
        <v>515</v>
      </c>
      <c r="J1058" t="s">
        <v>295</v>
      </c>
      <c r="K1058" t="s">
        <v>124</v>
      </c>
      <c r="L1058" t="s">
        <v>94</v>
      </c>
      <c r="M1058" s="5">
        <v>37700</v>
      </c>
      <c r="N1058" s="5">
        <v>4450</v>
      </c>
      <c r="O1058" s="5">
        <v>7450</v>
      </c>
      <c r="P1058" s="5">
        <v>15000</v>
      </c>
      <c r="Q1058" s="5">
        <v>65800</v>
      </c>
      <c r="R1058" t="s">
        <v>134</v>
      </c>
      <c r="S1058" t="s">
        <v>86</v>
      </c>
      <c r="T1058" s="5">
        <v>36390</v>
      </c>
      <c r="U1058" s="6">
        <v>3</v>
      </c>
      <c r="V1058" t="s">
        <v>77</v>
      </c>
      <c r="W1058" s="4">
        <v>46181</v>
      </c>
      <c r="X1058" t="s">
        <v>77</v>
      </c>
      <c r="Y1058" t="s">
        <v>64</v>
      </c>
      <c r="Z1058" t="s">
        <v>107</v>
      </c>
    </row>
    <row r="1059" spans="1:26">
      <c r="A1059" t="s">
        <v>1778</v>
      </c>
      <c r="B1059" t="s">
        <v>1779</v>
      </c>
      <c r="C1059" s="4">
        <v>46109</v>
      </c>
      <c r="D1059" t="s">
        <v>298</v>
      </c>
      <c r="E1059" t="s">
        <v>70</v>
      </c>
      <c r="F1059" s="4">
        <v>46110</v>
      </c>
      <c r="G1059" s="4">
        <v>46114</v>
      </c>
      <c r="H1059" t="s">
        <v>201</v>
      </c>
      <c r="I1059" t="s">
        <v>515</v>
      </c>
      <c r="J1059" t="s">
        <v>295</v>
      </c>
      <c r="K1059" t="s">
        <v>124</v>
      </c>
      <c r="L1059" t="s">
        <v>74</v>
      </c>
      <c r="M1059" s="5">
        <v>33300</v>
      </c>
      <c r="N1059" s="5">
        <v>4550</v>
      </c>
      <c r="O1059" s="5">
        <v>7750</v>
      </c>
      <c r="P1059" s="5">
        <v>12000</v>
      </c>
      <c r="Q1059" s="5">
        <v>58800</v>
      </c>
      <c r="R1059" t="s">
        <v>106</v>
      </c>
      <c r="S1059" t="s">
        <v>76</v>
      </c>
      <c r="T1059" s="5">
        <v>21280</v>
      </c>
      <c r="U1059" s="6">
        <v>4</v>
      </c>
      <c r="V1059" t="s">
        <v>77</v>
      </c>
      <c r="W1059" s="4">
        <v>46133</v>
      </c>
      <c r="X1059" t="s">
        <v>77</v>
      </c>
      <c r="Y1059" t="s">
        <v>64</v>
      </c>
      <c r="Z1059" t="s">
        <v>96</v>
      </c>
    </row>
    <row r="1060" spans="1:26">
      <c r="A1060" t="s">
        <v>1780</v>
      </c>
      <c r="B1060" t="s">
        <v>326</v>
      </c>
      <c r="C1060" s="4">
        <v>46126</v>
      </c>
      <c r="D1060" t="s">
        <v>439</v>
      </c>
      <c r="E1060" t="s">
        <v>70</v>
      </c>
      <c r="F1060" s="4">
        <v>46126</v>
      </c>
      <c r="G1060" s="4">
        <v>46130</v>
      </c>
      <c r="H1060" t="s">
        <v>103</v>
      </c>
      <c r="I1060" t="s">
        <v>412</v>
      </c>
      <c r="J1060" t="s">
        <v>244</v>
      </c>
      <c r="K1060" t="s">
        <v>73</v>
      </c>
      <c r="L1060" t="s">
        <v>94</v>
      </c>
      <c r="M1060" s="5">
        <v>75200</v>
      </c>
      <c r="N1060" s="5">
        <v>9450</v>
      </c>
      <c r="O1060" s="5">
        <v>12150</v>
      </c>
      <c r="P1060" s="5">
        <v>18000</v>
      </c>
      <c r="Q1060" s="5">
        <v>116000</v>
      </c>
      <c r="R1060" t="s">
        <v>95</v>
      </c>
      <c r="S1060" t="s">
        <v>63</v>
      </c>
      <c r="T1060" s="5">
        <v>116000</v>
      </c>
      <c r="U1060" s="6">
        <v>2</v>
      </c>
      <c r="V1060" t="s">
        <v>77</v>
      </c>
      <c r="W1060" s="4">
        <v>46139</v>
      </c>
      <c r="X1060" t="s">
        <v>64</v>
      </c>
      <c r="Y1060" t="s">
        <v>64</v>
      </c>
      <c r="Z1060" t="s">
        <v>96</v>
      </c>
    </row>
    <row r="1061" spans="1:26">
      <c r="A1061" t="s">
        <v>1781</v>
      </c>
      <c r="B1061" t="s">
        <v>1782</v>
      </c>
      <c r="C1061" s="4">
        <v>46147</v>
      </c>
      <c r="D1061" t="s">
        <v>419</v>
      </c>
      <c r="E1061" t="s">
        <v>70</v>
      </c>
      <c r="F1061" s="4">
        <v>46148</v>
      </c>
      <c r="G1061" s="4">
        <v>46150</v>
      </c>
      <c r="H1061" t="s">
        <v>138</v>
      </c>
      <c r="I1061" t="s">
        <v>260</v>
      </c>
      <c r="J1061" t="s">
        <v>140</v>
      </c>
      <c r="K1061" t="s">
        <v>73</v>
      </c>
      <c r="L1061" t="s">
        <v>94</v>
      </c>
      <c r="M1061" s="5">
        <v>16900</v>
      </c>
      <c r="N1061" s="5">
        <v>2950</v>
      </c>
      <c r="O1061" s="5">
        <v>2250</v>
      </c>
      <c r="P1061" s="5">
        <v>5000</v>
      </c>
      <c r="Q1061" s="5">
        <v>29600</v>
      </c>
      <c r="R1061" t="s">
        <v>141</v>
      </c>
      <c r="S1061" t="s">
        <v>86</v>
      </c>
      <c r="T1061" s="5">
        <v>5640</v>
      </c>
      <c r="U1061" s="6">
        <v>4</v>
      </c>
      <c r="V1061" t="s">
        <v>64</v>
      </c>
      <c r="W1061" s="4"/>
      <c r="X1061" t="s">
        <v>65</v>
      </c>
      <c r="Y1061" t="s">
        <v>77</v>
      </c>
      <c r="Z1061" t="s">
        <v>78</v>
      </c>
    </row>
    <row r="1062" spans="1:26">
      <c r="A1062" t="s">
        <v>1783</v>
      </c>
      <c r="B1062" t="s">
        <v>1741</v>
      </c>
      <c r="C1062" s="4">
        <v>46135</v>
      </c>
      <c r="D1062" t="s">
        <v>432</v>
      </c>
      <c r="E1062" t="s">
        <v>70</v>
      </c>
      <c r="F1062" s="4">
        <v>46135</v>
      </c>
      <c r="G1062" s="4">
        <v>46135</v>
      </c>
      <c r="H1062" t="s">
        <v>103</v>
      </c>
      <c r="I1062" t="s">
        <v>243</v>
      </c>
      <c r="J1062" t="s">
        <v>105</v>
      </c>
      <c r="K1062" t="s">
        <v>60</v>
      </c>
      <c r="L1062" t="s">
        <v>94</v>
      </c>
      <c r="M1062" s="5">
        <v>62100</v>
      </c>
      <c r="N1062" s="5">
        <v>7400</v>
      </c>
      <c r="O1062" s="5">
        <v>12500</v>
      </c>
      <c r="P1062" s="5">
        <v>0</v>
      </c>
      <c r="Q1062" s="5">
        <v>83800</v>
      </c>
      <c r="R1062" t="s">
        <v>75</v>
      </c>
      <c r="S1062" t="s">
        <v>76</v>
      </c>
      <c r="T1062" s="5">
        <v>38010</v>
      </c>
      <c r="U1062" s="6">
        <v>4</v>
      </c>
      <c r="V1062" t="s">
        <v>77</v>
      </c>
      <c r="W1062" s="4">
        <v>46143</v>
      </c>
      <c r="X1062" t="s">
        <v>77</v>
      </c>
      <c r="Y1062" t="s">
        <v>64</v>
      </c>
      <c r="Z1062" t="s">
        <v>96</v>
      </c>
    </row>
    <row r="1063" spans="1:26">
      <c r="A1063" t="s">
        <v>1784</v>
      </c>
      <c r="B1063" t="s">
        <v>377</v>
      </c>
      <c r="C1063" s="4">
        <v>46038</v>
      </c>
      <c r="D1063" t="s">
        <v>110</v>
      </c>
      <c r="E1063" t="s">
        <v>177</v>
      </c>
      <c r="F1063" s="4"/>
      <c r="G1063" s="4"/>
      <c r="H1063" t="s">
        <v>150</v>
      </c>
      <c r="I1063" t="s">
        <v>151</v>
      </c>
      <c r="J1063" t="s">
        <v>152</v>
      </c>
      <c r="K1063" t="s">
        <v>60</v>
      </c>
      <c r="L1063" t="s">
        <v>146</v>
      </c>
      <c r="M1063" s="5"/>
      <c r="N1063" s="5"/>
      <c r="O1063" s="5"/>
      <c r="P1063" s="5"/>
      <c r="Q1063" s="5"/>
      <c r="R1063" t="s">
        <v>106</v>
      </c>
      <c r="S1063" t="s">
        <v>63</v>
      </c>
      <c r="T1063" s="5"/>
      <c r="U1063" s="6"/>
      <c r="V1063" t="s">
        <v>64</v>
      </c>
      <c r="W1063" s="4"/>
      <c r="X1063" t="s">
        <v>65</v>
      </c>
      <c r="Z1063" t="s">
        <v>66</v>
      </c>
    </row>
    <row r="1064" spans="1:26">
      <c r="A1064" t="s">
        <v>1785</v>
      </c>
      <c r="B1064" t="s">
        <v>1474</v>
      </c>
      <c r="C1064" s="4">
        <v>46122</v>
      </c>
      <c r="D1064" t="s">
        <v>200</v>
      </c>
      <c r="E1064" t="s">
        <v>70</v>
      </c>
      <c r="F1064" s="4">
        <v>46122</v>
      </c>
      <c r="G1064" s="4">
        <v>46122</v>
      </c>
      <c r="H1064" t="s">
        <v>82</v>
      </c>
      <c r="I1064" t="s">
        <v>272</v>
      </c>
      <c r="J1064" t="s">
        <v>84</v>
      </c>
      <c r="K1064" t="s">
        <v>93</v>
      </c>
      <c r="L1064" t="s">
        <v>146</v>
      </c>
      <c r="M1064" s="5">
        <v>6200</v>
      </c>
      <c r="N1064" s="5">
        <v>900</v>
      </c>
      <c r="O1064" s="5">
        <v>1300</v>
      </c>
      <c r="P1064" s="5">
        <v>0</v>
      </c>
      <c r="Q1064" s="5">
        <v>10200</v>
      </c>
      <c r="R1064" t="s">
        <v>75</v>
      </c>
      <c r="S1064" t="s">
        <v>163</v>
      </c>
      <c r="T1064" s="5">
        <v>4890</v>
      </c>
      <c r="U1064" s="6">
        <v>4</v>
      </c>
      <c r="V1064" t="s">
        <v>64</v>
      </c>
      <c r="W1064" s="4"/>
      <c r="X1064" t="s">
        <v>65</v>
      </c>
      <c r="Y1064" t="s">
        <v>64</v>
      </c>
      <c r="Z1064" t="s">
        <v>96</v>
      </c>
    </row>
    <row r="1065" spans="1:26">
      <c r="A1065" t="s">
        <v>1786</v>
      </c>
      <c r="B1065" t="s">
        <v>892</v>
      </c>
      <c r="C1065" s="4">
        <v>46145</v>
      </c>
      <c r="D1065" t="s">
        <v>168</v>
      </c>
      <c r="E1065" t="s">
        <v>70</v>
      </c>
      <c r="F1065" s="4">
        <v>46145</v>
      </c>
      <c r="G1065" s="4">
        <v>46151</v>
      </c>
      <c r="H1065" t="s">
        <v>111</v>
      </c>
      <c r="I1065" t="s">
        <v>222</v>
      </c>
      <c r="J1065" t="s">
        <v>113</v>
      </c>
      <c r="K1065" t="s">
        <v>124</v>
      </c>
      <c r="L1065" t="s">
        <v>61</v>
      </c>
      <c r="M1065" s="5">
        <v>29300</v>
      </c>
      <c r="N1065" s="5">
        <v>4900</v>
      </c>
      <c r="O1065" s="5">
        <v>4700</v>
      </c>
      <c r="P1065" s="5">
        <v>27000</v>
      </c>
      <c r="Q1065" s="5">
        <v>66900</v>
      </c>
      <c r="R1065" t="s">
        <v>85</v>
      </c>
      <c r="S1065" t="s">
        <v>76</v>
      </c>
      <c r="T1065" s="5">
        <v>17620</v>
      </c>
      <c r="U1065" s="6">
        <v>3</v>
      </c>
      <c r="V1065" t="s">
        <v>77</v>
      </c>
      <c r="W1065" s="4">
        <v>46164</v>
      </c>
      <c r="X1065" t="s">
        <v>77</v>
      </c>
      <c r="Y1065" t="s">
        <v>64</v>
      </c>
      <c r="Z1065" t="s">
        <v>436</v>
      </c>
    </row>
    <row r="1066" spans="1:26">
      <c r="A1066" t="s">
        <v>1787</v>
      </c>
      <c r="B1066" t="s">
        <v>1788</v>
      </c>
      <c r="C1066" s="4">
        <v>46079</v>
      </c>
      <c r="D1066" t="s">
        <v>307</v>
      </c>
      <c r="E1066" t="s">
        <v>70</v>
      </c>
      <c r="F1066" s="4">
        <v>46079</v>
      </c>
      <c r="G1066" s="4">
        <v>46088</v>
      </c>
      <c r="H1066" t="s">
        <v>82</v>
      </c>
      <c r="I1066" t="s">
        <v>369</v>
      </c>
      <c r="J1066" t="s">
        <v>156</v>
      </c>
      <c r="K1066" t="s">
        <v>124</v>
      </c>
      <c r="L1066" t="s">
        <v>61</v>
      </c>
      <c r="M1066" s="5">
        <v>86500</v>
      </c>
      <c r="N1066" s="5">
        <v>14050</v>
      </c>
      <c r="O1066" s="5">
        <v>18150</v>
      </c>
      <c r="P1066" s="5">
        <v>22500</v>
      </c>
      <c r="Q1066" s="5">
        <v>142000</v>
      </c>
      <c r="R1066" t="s">
        <v>75</v>
      </c>
      <c r="S1066" t="s">
        <v>76</v>
      </c>
      <c r="T1066" s="5">
        <v>64200</v>
      </c>
      <c r="U1066" s="6">
        <v>3</v>
      </c>
      <c r="V1066" t="s">
        <v>77</v>
      </c>
      <c r="W1066" s="4">
        <v>46105</v>
      </c>
      <c r="X1066" t="s">
        <v>77</v>
      </c>
      <c r="Y1066" t="s">
        <v>64</v>
      </c>
      <c r="Z1066" t="s">
        <v>78</v>
      </c>
    </row>
    <row r="1067" spans="1:26">
      <c r="A1067" t="s">
        <v>1789</v>
      </c>
      <c r="B1067" t="s">
        <v>401</v>
      </c>
      <c r="C1067" s="4">
        <v>46160</v>
      </c>
      <c r="D1067" t="s">
        <v>469</v>
      </c>
      <c r="E1067" t="s">
        <v>70</v>
      </c>
      <c r="F1067" s="4">
        <v>46160</v>
      </c>
      <c r="G1067" s="4">
        <v>46160</v>
      </c>
      <c r="H1067" t="s">
        <v>103</v>
      </c>
      <c r="I1067" t="s">
        <v>412</v>
      </c>
      <c r="J1067" t="s">
        <v>105</v>
      </c>
      <c r="K1067" t="s">
        <v>60</v>
      </c>
      <c r="L1067" t="s">
        <v>94</v>
      </c>
      <c r="M1067" s="5">
        <v>42800</v>
      </c>
      <c r="N1067" s="5">
        <v>5400</v>
      </c>
      <c r="O1067" s="5">
        <v>7100</v>
      </c>
      <c r="P1067" s="5">
        <v>0</v>
      </c>
      <c r="Q1067" s="5">
        <v>56500</v>
      </c>
      <c r="R1067" t="s">
        <v>85</v>
      </c>
      <c r="S1067" t="s">
        <v>86</v>
      </c>
      <c r="T1067" s="5">
        <v>15020</v>
      </c>
      <c r="U1067" s="6">
        <v>3</v>
      </c>
      <c r="V1067" t="s">
        <v>77</v>
      </c>
      <c r="W1067" s="4">
        <v>46172</v>
      </c>
      <c r="X1067" t="s">
        <v>64</v>
      </c>
      <c r="Y1067" t="s">
        <v>64</v>
      </c>
      <c r="Z1067" t="s">
        <v>78</v>
      </c>
    </row>
    <row r="1068" spans="1:26">
      <c r="A1068" t="s">
        <v>1790</v>
      </c>
      <c r="B1068" t="s">
        <v>176</v>
      </c>
      <c r="C1068" s="4">
        <v>46114</v>
      </c>
      <c r="D1068" t="s">
        <v>200</v>
      </c>
      <c r="E1068" t="s">
        <v>70</v>
      </c>
      <c r="F1068" s="4">
        <v>46115</v>
      </c>
      <c r="G1068" s="4">
        <v>46120</v>
      </c>
      <c r="H1068" t="s">
        <v>111</v>
      </c>
      <c r="I1068" t="s">
        <v>116</v>
      </c>
      <c r="J1068" t="s">
        <v>113</v>
      </c>
      <c r="K1068" t="s">
        <v>124</v>
      </c>
      <c r="L1068" t="s">
        <v>61</v>
      </c>
      <c r="M1068" s="5">
        <v>23800</v>
      </c>
      <c r="N1068" s="5">
        <v>3200</v>
      </c>
      <c r="O1068" s="5">
        <v>3150</v>
      </c>
      <c r="P1068" s="5">
        <v>30000</v>
      </c>
      <c r="Q1068" s="5">
        <v>60950</v>
      </c>
      <c r="R1068" t="s">
        <v>85</v>
      </c>
      <c r="S1068" t="s">
        <v>76</v>
      </c>
      <c r="T1068" s="5">
        <v>16140</v>
      </c>
      <c r="U1068" s="6">
        <v>3</v>
      </c>
      <c r="V1068" t="s">
        <v>77</v>
      </c>
      <c r="W1068" s="4">
        <v>46130</v>
      </c>
      <c r="X1068" t="s">
        <v>64</v>
      </c>
      <c r="Y1068" t="s">
        <v>64</v>
      </c>
      <c r="Z1068" t="s">
        <v>436</v>
      </c>
    </row>
    <row r="1069" spans="1:26">
      <c r="A1069" t="s">
        <v>1791</v>
      </c>
      <c r="B1069" t="s">
        <v>1020</v>
      </c>
      <c r="C1069" s="4">
        <v>46157</v>
      </c>
      <c r="D1069" t="s">
        <v>469</v>
      </c>
      <c r="E1069" t="s">
        <v>70</v>
      </c>
      <c r="F1069" s="4">
        <v>46158</v>
      </c>
      <c r="G1069" s="4">
        <v>46158</v>
      </c>
      <c r="H1069" t="s">
        <v>111</v>
      </c>
      <c r="I1069" t="s">
        <v>112</v>
      </c>
      <c r="J1069" t="s">
        <v>117</v>
      </c>
      <c r="K1069" t="s">
        <v>73</v>
      </c>
      <c r="L1069" t="s">
        <v>61</v>
      </c>
      <c r="M1069" s="5">
        <v>7200</v>
      </c>
      <c r="N1069" s="5">
        <v>1050</v>
      </c>
      <c r="O1069" s="5">
        <v>1300</v>
      </c>
      <c r="P1069" s="5">
        <v>0</v>
      </c>
      <c r="Q1069" s="5">
        <v>10350</v>
      </c>
      <c r="R1069" t="s">
        <v>75</v>
      </c>
      <c r="S1069" t="s">
        <v>76</v>
      </c>
      <c r="T1069" s="5">
        <v>4960</v>
      </c>
      <c r="U1069" s="6">
        <v>4</v>
      </c>
      <c r="V1069" t="s">
        <v>64</v>
      </c>
      <c r="W1069" s="4"/>
      <c r="X1069" t="s">
        <v>65</v>
      </c>
      <c r="Y1069" t="s">
        <v>77</v>
      </c>
      <c r="Z1069" t="s">
        <v>78</v>
      </c>
    </row>
    <row r="1070" spans="1:26">
      <c r="A1070" t="s">
        <v>1792</v>
      </c>
      <c r="B1070" t="s">
        <v>483</v>
      </c>
      <c r="C1070" s="4">
        <v>46030</v>
      </c>
      <c r="D1070" t="s">
        <v>259</v>
      </c>
      <c r="E1070" t="s">
        <v>70</v>
      </c>
      <c r="F1070" s="4">
        <v>46031</v>
      </c>
      <c r="G1070" s="4">
        <v>46033</v>
      </c>
      <c r="H1070" t="s">
        <v>150</v>
      </c>
      <c r="I1070" t="s">
        <v>304</v>
      </c>
      <c r="J1070" t="s">
        <v>229</v>
      </c>
      <c r="K1070" t="s">
        <v>73</v>
      </c>
      <c r="L1070" t="s">
        <v>94</v>
      </c>
      <c r="M1070" s="5">
        <v>40600</v>
      </c>
      <c r="N1070" s="5">
        <v>6350</v>
      </c>
      <c r="O1070" s="5">
        <v>6500</v>
      </c>
      <c r="P1070" s="5">
        <v>9000</v>
      </c>
      <c r="Q1070" s="5">
        <v>63650</v>
      </c>
      <c r="R1070" t="s">
        <v>75</v>
      </c>
      <c r="S1070" t="s">
        <v>76</v>
      </c>
      <c r="T1070" s="5">
        <v>28940</v>
      </c>
      <c r="U1070" s="6">
        <v>5</v>
      </c>
      <c r="V1070" t="s">
        <v>64</v>
      </c>
      <c r="W1070" s="4"/>
      <c r="X1070" t="s">
        <v>65</v>
      </c>
      <c r="Y1070" t="s">
        <v>64</v>
      </c>
      <c r="Z1070" t="s">
        <v>78</v>
      </c>
    </row>
    <row r="1071" spans="1:26">
      <c r="A1071" t="s">
        <v>1793</v>
      </c>
      <c r="B1071" t="s">
        <v>553</v>
      </c>
      <c r="C1071" s="4">
        <v>46023</v>
      </c>
      <c r="D1071" t="s">
        <v>210</v>
      </c>
      <c r="E1071" t="s">
        <v>70</v>
      </c>
      <c r="F1071" s="4">
        <v>46023</v>
      </c>
      <c r="G1071" s="4">
        <v>46023</v>
      </c>
      <c r="H1071" t="s">
        <v>103</v>
      </c>
      <c r="I1071" t="s">
        <v>214</v>
      </c>
      <c r="J1071" t="s">
        <v>105</v>
      </c>
      <c r="K1071" t="s">
        <v>60</v>
      </c>
      <c r="L1071" t="s">
        <v>74</v>
      </c>
      <c r="M1071" s="5">
        <v>78100</v>
      </c>
      <c r="N1071" s="5">
        <v>9700</v>
      </c>
      <c r="O1071" s="5">
        <v>10200</v>
      </c>
      <c r="P1071" s="5">
        <v>0</v>
      </c>
      <c r="Q1071" s="5">
        <v>98800</v>
      </c>
      <c r="R1071" t="s">
        <v>85</v>
      </c>
      <c r="S1071" t="s">
        <v>76</v>
      </c>
      <c r="T1071" s="5">
        <v>25600</v>
      </c>
      <c r="U1071" s="6"/>
      <c r="V1071" t="s">
        <v>77</v>
      </c>
      <c r="W1071" s="4">
        <v>46034</v>
      </c>
      <c r="X1071" t="s">
        <v>77</v>
      </c>
      <c r="Y1071" t="s">
        <v>64</v>
      </c>
      <c r="Z1071" t="s">
        <v>78</v>
      </c>
    </row>
    <row r="1072" spans="1:26">
      <c r="A1072" t="s">
        <v>1794</v>
      </c>
      <c r="B1072" t="s">
        <v>317</v>
      </c>
      <c r="C1072" s="4">
        <v>46117</v>
      </c>
      <c r="D1072" t="s">
        <v>69</v>
      </c>
      <c r="E1072" t="s">
        <v>70</v>
      </c>
      <c r="F1072" s="4">
        <v>46117</v>
      </c>
      <c r="G1072" s="4">
        <v>46119</v>
      </c>
      <c r="H1072" t="s">
        <v>138</v>
      </c>
      <c r="I1072" t="s">
        <v>139</v>
      </c>
      <c r="J1072" t="s">
        <v>261</v>
      </c>
      <c r="K1072" t="s">
        <v>73</v>
      </c>
      <c r="L1072" t="s">
        <v>61</v>
      </c>
      <c r="M1072" s="5">
        <v>5100</v>
      </c>
      <c r="N1072" s="5">
        <v>850</v>
      </c>
      <c r="O1072" s="5">
        <v>500</v>
      </c>
      <c r="P1072" s="5">
        <v>6000</v>
      </c>
      <c r="Q1072" s="5">
        <v>14450</v>
      </c>
      <c r="R1072" t="s">
        <v>95</v>
      </c>
      <c r="S1072" t="s">
        <v>63</v>
      </c>
      <c r="T1072" s="5">
        <v>14450</v>
      </c>
      <c r="U1072" s="6">
        <v>4</v>
      </c>
      <c r="V1072" t="s">
        <v>64</v>
      </c>
      <c r="W1072" s="4"/>
      <c r="X1072" t="s">
        <v>65</v>
      </c>
      <c r="Y1072" t="s">
        <v>64</v>
      </c>
      <c r="Z1072" t="s">
        <v>96</v>
      </c>
    </row>
    <row r="1073" spans="1:26">
      <c r="A1073" t="s">
        <v>1795</v>
      </c>
      <c r="B1073" t="s">
        <v>414</v>
      </c>
      <c r="C1073" s="4">
        <v>46070</v>
      </c>
      <c r="D1073" t="s">
        <v>298</v>
      </c>
      <c r="E1073" t="s">
        <v>70</v>
      </c>
      <c r="F1073" s="4">
        <v>46070</v>
      </c>
      <c r="G1073" s="4">
        <v>46074</v>
      </c>
      <c r="H1073" t="s">
        <v>82</v>
      </c>
      <c r="I1073" t="s">
        <v>272</v>
      </c>
      <c r="J1073" t="s">
        <v>291</v>
      </c>
      <c r="K1073" t="s">
        <v>73</v>
      </c>
      <c r="L1073" t="s">
        <v>61</v>
      </c>
      <c r="M1073" s="5">
        <v>37900</v>
      </c>
      <c r="N1073" s="5">
        <v>3050</v>
      </c>
      <c r="O1073" s="5">
        <v>4350</v>
      </c>
      <c r="P1073" s="5">
        <v>10000</v>
      </c>
      <c r="Q1073" s="5">
        <v>57100</v>
      </c>
      <c r="R1073" t="s">
        <v>75</v>
      </c>
      <c r="S1073" t="s">
        <v>76</v>
      </c>
      <c r="T1073" s="5">
        <v>25990</v>
      </c>
      <c r="U1073" s="6">
        <v>4</v>
      </c>
      <c r="V1073" t="s">
        <v>77</v>
      </c>
      <c r="W1073" s="4">
        <v>46087</v>
      </c>
      <c r="X1073" t="s">
        <v>77</v>
      </c>
      <c r="Y1073" t="s">
        <v>64</v>
      </c>
      <c r="Z1073" t="s">
        <v>96</v>
      </c>
    </row>
    <row r="1074" spans="1:26">
      <c r="A1074" t="s">
        <v>1796</v>
      </c>
      <c r="B1074" t="s">
        <v>1669</v>
      </c>
      <c r="C1074" s="4">
        <v>46169</v>
      </c>
      <c r="D1074" t="s">
        <v>363</v>
      </c>
      <c r="E1074" t="s">
        <v>70</v>
      </c>
      <c r="F1074" s="4">
        <v>46169</v>
      </c>
      <c r="G1074" s="4">
        <v>46172</v>
      </c>
      <c r="H1074" t="s">
        <v>150</v>
      </c>
      <c r="I1074" t="s">
        <v>239</v>
      </c>
      <c r="J1074" t="s">
        <v>229</v>
      </c>
      <c r="K1074" t="s">
        <v>73</v>
      </c>
      <c r="L1074" t="s">
        <v>94</v>
      </c>
      <c r="M1074" s="5">
        <v>29900</v>
      </c>
      <c r="N1074" s="5">
        <v>5350</v>
      </c>
      <c r="O1074" s="5">
        <v>6550</v>
      </c>
      <c r="P1074" s="5">
        <v>18000</v>
      </c>
      <c r="Q1074" s="5">
        <v>61600</v>
      </c>
      <c r="R1074" t="s">
        <v>85</v>
      </c>
      <c r="S1074" t="s">
        <v>76</v>
      </c>
      <c r="T1074" s="5">
        <v>16300</v>
      </c>
      <c r="U1074" s="6">
        <v>5</v>
      </c>
      <c r="V1074" t="s">
        <v>64</v>
      </c>
      <c r="W1074" s="4"/>
      <c r="X1074" t="s">
        <v>65</v>
      </c>
      <c r="Y1074" t="s">
        <v>64</v>
      </c>
      <c r="Z1074" t="s">
        <v>107</v>
      </c>
    </row>
    <row r="1075" spans="1:26">
      <c r="A1075" t="s">
        <v>1797</v>
      </c>
      <c r="B1075" t="s">
        <v>1798</v>
      </c>
      <c r="C1075" s="4">
        <v>46148</v>
      </c>
      <c r="D1075" t="s">
        <v>210</v>
      </c>
      <c r="E1075" t="s">
        <v>70</v>
      </c>
      <c r="F1075" s="4">
        <v>46148</v>
      </c>
      <c r="G1075" s="4">
        <v>46153</v>
      </c>
      <c r="H1075" t="s">
        <v>90</v>
      </c>
      <c r="I1075" t="s">
        <v>162</v>
      </c>
      <c r="J1075" t="s">
        <v>197</v>
      </c>
      <c r="K1075" t="s">
        <v>93</v>
      </c>
      <c r="L1075" t="s">
        <v>94</v>
      </c>
      <c r="M1075" s="5">
        <v>19700</v>
      </c>
      <c r="N1075" s="5">
        <v>3500</v>
      </c>
      <c r="O1075" s="5">
        <v>3550</v>
      </c>
      <c r="P1075" s="5">
        <v>30000</v>
      </c>
      <c r="Q1075" s="5">
        <v>57950</v>
      </c>
      <c r="R1075" t="s">
        <v>62</v>
      </c>
      <c r="S1075" t="s">
        <v>76</v>
      </c>
      <c r="T1075" s="5">
        <v>17790</v>
      </c>
      <c r="U1075" s="6">
        <v>4</v>
      </c>
      <c r="V1075" t="s">
        <v>64</v>
      </c>
      <c r="W1075" s="4"/>
      <c r="X1075" t="s">
        <v>65</v>
      </c>
      <c r="Y1075" t="s">
        <v>64</v>
      </c>
      <c r="Z1075" t="s">
        <v>96</v>
      </c>
    </row>
    <row r="1076" spans="1:26">
      <c r="A1076" t="s">
        <v>1799</v>
      </c>
      <c r="B1076" t="s">
        <v>479</v>
      </c>
      <c r="C1076" s="4">
        <v>46161</v>
      </c>
      <c r="D1076" t="s">
        <v>55</v>
      </c>
      <c r="E1076" t="s">
        <v>70</v>
      </c>
      <c r="F1076" s="4">
        <v>46161</v>
      </c>
      <c r="G1076" s="4">
        <v>46164</v>
      </c>
      <c r="H1076" t="s">
        <v>138</v>
      </c>
      <c r="I1076" t="s">
        <v>235</v>
      </c>
      <c r="J1076" t="s">
        <v>236</v>
      </c>
      <c r="K1076" t="s">
        <v>73</v>
      </c>
      <c r="L1076" t="s">
        <v>94</v>
      </c>
      <c r="M1076" s="5">
        <v>29600</v>
      </c>
      <c r="N1076" s="5">
        <v>4800</v>
      </c>
      <c r="O1076" s="5">
        <v>4550</v>
      </c>
      <c r="P1076" s="5">
        <v>18000</v>
      </c>
      <c r="Q1076" s="5">
        <v>57950</v>
      </c>
      <c r="R1076" t="s">
        <v>95</v>
      </c>
      <c r="S1076" t="s">
        <v>63</v>
      </c>
      <c r="T1076" s="5">
        <v>57950</v>
      </c>
      <c r="U1076" s="6">
        <v>3</v>
      </c>
      <c r="V1076" t="s">
        <v>77</v>
      </c>
      <c r="W1076" s="4">
        <v>46180</v>
      </c>
      <c r="X1076" t="s">
        <v>77</v>
      </c>
      <c r="Y1076" t="s">
        <v>77</v>
      </c>
      <c r="Z1076" t="s">
        <v>96</v>
      </c>
    </row>
    <row r="1077" spans="1:26">
      <c r="A1077" t="s">
        <v>1800</v>
      </c>
      <c r="B1077" t="s">
        <v>1801</v>
      </c>
      <c r="C1077" s="4">
        <v>46065</v>
      </c>
      <c r="D1077" t="s">
        <v>161</v>
      </c>
      <c r="E1077" t="s">
        <v>70</v>
      </c>
      <c r="F1077" s="4">
        <v>46066</v>
      </c>
      <c r="G1077" s="4">
        <v>46067</v>
      </c>
      <c r="H1077" t="s">
        <v>111</v>
      </c>
      <c r="I1077" t="s">
        <v>397</v>
      </c>
      <c r="J1077" t="s">
        <v>117</v>
      </c>
      <c r="K1077" t="s">
        <v>124</v>
      </c>
      <c r="L1077" t="s">
        <v>74</v>
      </c>
      <c r="M1077" s="5">
        <v>4800</v>
      </c>
      <c r="N1077" s="5">
        <v>800</v>
      </c>
      <c r="O1077" s="5">
        <v>950</v>
      </c>
      <c r="P1077" s="5">
        <v>4500</v>
      </c>
      <c r="Q1077" s="5">
        <v>13050</v>
      </c>
      <c r="R1077" t="s">
        <v>75</v>
      </c>
      <c r="S1077" t="s">
        <v>76</v>
      </c>
      <c r="T1077" s="5">
        <v>6170</v>
      </c>
      <c r="U1077" s="6">
        <v>4</v>
      </c>
      <c r="V1077" t="s">
        <v>64</v>
      </c>
      <c r="W1077" s="4"/>
      <c r="X1077" t="s">
        <v>65</v>
      </c>
      <c r="Y1077" t="s">
        <v>77</v>
      </c>
      <c r="Z1077" t="s">
        <v>96</v>
      </c>
    </row>
    <row r="1078" spans="1:26">
      <c r="A1078" t="s">
        <v>1802</v>
      </c>
      <c r="B1078" t="s">
        <v>1803</v>
      </c>
      <c r="C1078" s="4">
        <v>46038</v>
      </c>
      <c r="D1078" t="s">
        <v>363</v>
      </c>
      <c r="E1078" t="s">
        <v>70</v>
      </c>
      <c r="F1078" s="4">
        <v>46038</v>
      </c>
      <c r="G1078" s="4">
        <v>46041</v>
      </c>
      <c r="H1078" t="s">
        <v>201</v>
      </c>
      <c r="I1078" t="s">
        <v>280</v>
      </c>
      <c r="J1078" t="s">
        <v>295</v>
      </c>
      <c r="K1078" t="s">
        <v>124</v>
      </c>
      <c r="L1078" t="s">
        <v>94</v>
      </c>
      <c r="M1078" s="5">
        <v>51500</v>
      </c>
      <c r="N1078" s="5">
        <v>6300</v>
      </c>
      <c r="O1078" s="5">
        <v>6600</v>
      </c>
      <c r="P1078" s="5">
        <v>7500</v>
      </c>
      <c r="Q1078" s="5">
        <v>72900</v>
      </c>
      <c r="R1078" t="s">
        <v>95</v>
      </c>
      <c r="S1078" t="s">
        <v>63</v>
      </c>
      <c r="T1078" s="5">
        <v>72900</v>
      </c>
      <c r="U1078" s="6">
        <v>4</v>
      </c>
      <c r="V1078" t="s">
        <v>77</v>
      </c>
      <c r="W1078" s="4">
        <v>46060</v>
      </c>
      <c r="X1078" t="s">
        <v>77</v>
      </c>
      <c r="Y1078" t="s">
        <v>64</v>
      </c>
      <c r="Z1078" t="s">
        <v>219</v>
      </c>
    </row>
    <row r="1079" spans="1:26">
      <c r="A1079" t="s">
        <v>1804</v>
      </c>
      <c r="B1079" t="s">
        <v>1234</v>
      </c>
      <c r="C1079" s="4">
        <v>46034</v>
      </c>
      <c r="D1079" t="s">
        <v>120</v>
      </c>
      <c r="E1079" t="s">
        <v>70</v>
      </c>
      <c r="F1079" s="4">
        <v>46034</v>
      </c>
      <c r="G1079" s="4">
        <v>46037</v>
      </c>
      <c r="H1079" t="s">
        <v>103</v>
      </c>
      <c r="I1079" t="s">
        <v>412</v>
      </c>
      <c r="J1079" t="s">
        <v>244</v>
      </c>
      <c r="K1079" t="s">
        <v>73</v>
      </c>
      <c r="L1079" t="s">
        <v>61</v>
      </c>
      <c r="M1079" s="5">
        <v>75600</v>
      </c>
      <c r="N1079" s="5">
        <v>9100</v>
      </c>
      <c r="O1079" s="5">
        <v>8700</v>
      </c>
      <c r="P1079" s="5">
        <v>9000</v>
      </c>
      <c r="Q1079" s="5">
        <v>103600</v>
      </c>
      <c r="R1079" t="s">
        <v>141</v>
      </c>
      <c r="S1079" t="s">
        <v>76</v>
      </c>
      <c r="T1079" s="5">
        <v>16740</v>
      </c>
      <c r="U1079" s="6">
        <v>4</v>
      </c>
      <c r="V1079" t="s">
        <v>77</v>
      </c>
      <c r="W1079" s="4">
        <v>46057</v>
      </c>
      <c r="X1079" t="s">
        <v>77</v>
      </c>
      <c r="Y1079" t="s">
        <v>64</v>
      </c>
      <c r="Z1079" t="s">
        <v>78</v>
      </c>
    </row>
    <row r="1080" spans="1:26">
      <c r="A1080" t="s">
        <v>1805</v>
      </c>
      <c r="B1080" t="s">
        <v>1437</v>
      </c>
      <c r="C1080" s="4">
        <v>46142</v>
      </c>
      <c r="D1080" t="s">
        <v>81</v>
      </c>
      <c r="E1080" t="s">
        <v>56</v>
      </c>
      <c r="F1080" s="4"/>
      <c r="G1080" s="4"/>
      <c r="H1080" t="s">
        <v>201</v>
      </c>
      <c r="I1080" t="s">
        <v>327</v>
      </c>
      <c r="J1080" t="s">
        <v>203</v>
      </c>
      <c r="K1080" t="s">
        <v>73</v>
      </c>
      <c r="L1080" t="s">
        <v>94</v>
      </c>
      <c r="M1080" s="5"/>
      <c r="N1080" s="5"/>
      <c r="O1080" s="5"/>
      <c r="P1080" s="5"/>
      <c r="Q1080" s="5"/>
      <c r="R1080" t="s">
        <v>95</v>
      </c>
      <c r="S1080" t="s">
        <v>63</v>
      </c>
      <c r="T1080" s="5"/>
      <c r="U1080" s="6"/>
      <c r="V1080" t="s">
        <v>64</v>
      </c>
      <c r="W1080" s="4"/>
      <c r="X1080" t="s">
        <v>65</v>
      </c>
      <c r="Z1080" t="s">
        <v>66</v>
      </c>
    </row>
    <row r="1081" spans="1:26">
      <c r="A1081" t="s">
        <v>1806</v>
      </c>
      <c r="B1081" t="s">
        <v>1695</v>
      </c>
      <c r="C1081" s="4">
        <v>46052</v>
      </c>
      <c r="D1081" t="s">
        <v>363</v>
      </c>
      <c r="E1081" t="s">
        <v>70</v>
      </c>
      <c r="F1081" s="4">
        <v>46052</v>
      </c>
      <c r="G1081" s="4">
        <v>46061</v>
      </c>
      <c r="H1081" t="s">
        <v>57</v>
      </c>
      <c r="J1081" t="s">
        <v>59</v>
      </c>
      <c r="K1081" t="s">
        <v>124</v>
      </c>
      <c r="L1081" t="s">
        <v>61</v>
      </c>
      <c r="M1081" s="5">
        <v>36000</v>
      </c>
      <c r="N1081" s="5">
        <v>5800</v>
      </c>
      <c r="O1081" s="5">
        <v>8000</v>
      </c>
      <c r="P1081" s="5">
        <v>27000</v>
      </c>
      <c r="Q1081" s="5">
        <v>78800</v>
      </c>
      <c r="R1081" t="s">
        <v>95</v>
      </c>
      <c r="S1081" t="s">
        <v>63</v>
      </c>
      <c r="T1081" s="5">
        <v>78800</v>
      </c>
      <c r="U1081" s="6">
        <v>3</v>
      </c>
      <c r="V1081" t="s">
        <v>77</v>
      </c>
      <c r="W1081" s="4">
        <v>46076</v>
      </c>
      <c r="X1081" t="s">
        <v>77</v>
      </c>
      <c r="Y1081" t="s">
        <v>64</v>
      </c>
      <c r="Z1081" t="s">
        <v>96</v>
      </c>
    </row>
    <row r="1082" spans="1:26">
      <c r="A1082" t="s">
        <v>1807</v>
      </c>
      <c r="B1082" t="s">
        <v>602</v>
      </c>
      <c r="C1082" s="4">
        <v>46116</v>
      </c>
      <c r="D1082" t="s">
        <v>234</v>
      </c>
      <c r="E1082" t="s">
        <v>56</v>
      </c>
      <c r="F1082" s="4"/>
      <c r="G1082" s="4"/>
      <c r="H1082" t="s">
        <v>103</v>
      </c>
      <c r="I1082" t="s">
        <v>243</v>
      </c>
      <c r="J1082" t="s">
        <v>244</v>
      </c>
      <c r="K1082" t="s">
        <v>73</v>
      </c>
      <c r="L1082" t="s">
        <v>61</v>
      </c>
      <c r="M1082" s="5"/>
      <c r="N1082" s="5"/>
      <c r="O1082" s="5"/>
      <c r="P1082" s="5"/>
      <c r="Q1082" s="5"/>
      <c r="R1082" t="s">
        <v>95</v>
      </c>
      <c r="S1082" t="s">
        <v>63</v>
      </c>
      <c r="T1082" s="5"/>
      <c r="U1082" s="6"/>
      <c r="V1082" t="s">
        <v>64</v>
      </c>
      <c r="W1082" s="4"/>
      <c r="X1082" t="s">
        <v>65</v>
      </c>
      <c r="Z1082" t="s">
        <v>66</v>
      </c>
    </row>
    <row r="1083" spans="1:26">
      <c r="A1083" t="s">
        <v>1808</v>
      </c>
      <c r="B1083" t="s">
        <v>88</v>
      </c>
      <c r="C1083" s="4">
        <v>46042</v>
      </c>
      <c r="D1083" t="s">
        <v>210</v>
      </c>
      <c r="E1083" t="s">
        <v>70</v>
      </c>
      <c r="F1083" s="4">
        <v>46042</v>
      </c>
      <c r="G1083" s="4">
        <v>46043</v>
      </c>
      <c r="H1083" t="s">
        <v>121</v>
      </c>
      <c r="I1083" t="s">
        <v>334</v>
      </c>
      <c r="J1083" t="s">
        <v>256</v>
      </c>
      <c r="K1083" t="s">
        <v>60</v>
      </c>
      <c r="L1083" t="s">
        <v>61</v>
      </c>
      <c r="M1083" s="5">
        <v>15500</v>
      </c>
      <c r="N1083" s="5">
        <v>2600</v>
      </c>
      <c r="O1083" s="5">
        <v>1700</v>
      </c>
      <c r="P1083" s="5">
        <v>4500</v>
      </c>
      <c r="Q1083" s="5">
        <v>25300</v>
      </c>
      <c r="R1083" t="s">
        <v>141</v>
      </c>
      <c r="S1083" t="s">
        <v>76</v>
      </c>
      <c r="T1083" s="5">
        <v>5000</v>
      </c>
      <c r="U1083" s="6">
        <v>3</v>
      </c>
      <c r="V1083" t="s">
        <v>77</v>
      </c>
      <c r="W1083" s="4">
        <v>46052</v>
      </c>
      <c r="X1083" t="s">
        <v>64</v>
      </c>
      <c r="Y1083" t="s">
        <v>64</v>
      </c>
      <c r="Z1083" t="s">
        <v>96</v>
      </c>
    </row>
    <row r="1084" spans="1:26">
      <c r="A1084" t="s">
        <v>1809</v>
      </c>
      <c r="B1084" t="s">
        <v>1810</v>
      </c>
      <c r="C1084" s="4">
        <v>46056</v>
      </c>
      <c r="D1084" t="s">
        <v>99</v>
      </c>
      <c r="E1084" t="s">
        <v>56</v>
      </c>
      <c r="F1084" s="4"/>
      <c r="G1084" s="4"/>
      <c r="H1084" t="s">
        <v>57</v>
      </c>
      <c r="I1084" t="s">
        <v>169</v>
      </c>
      <c r="J1084" t="s">
        <v>170</v>
      </c>
      <c r="K1084" t="s">
        <v>73</v>
      </c>
      <c r="L1084" t="s">
        <v>94</v>
      </c>
      <c r="M1084" s="5"/>
      <c r="N1084" s="5"/>
      <c r="O1084" s="5"/>
      <c r="P1084" s="5"/>
      <c r="Q1084" s="5"/>
      <c r="R1084" t="s">
        <v>75</v>
      </c>
      <c r="S1084" t="s">
        <v>63</v>
      </c>
      <c r="T1084" s="5"/>
      <c r="U1084" s="6"/>
      <c r="V1084" t="s">
        <v>64</v>
      </c>
      <c r="W1084" s="4"/>
      <c r="X1084" t="s">
        <v>65</v>
      </c>
      <c r="Z1084" t="s">
        <v>66</v>
      </c>
    </row>
    <row r="1085" spans="1:26">
      <c r="A1085" t="s">
        <v>1811</v>
      </c>
      <c r="B1085" t="s">
        <v>1369</v>
      </c>
      <c r="C1085" s="4">
        <v>46046</v>
      </c>
      <c r="D1085" t="s">
        <v>217</v>
      </c>
      <c r="E1085" t="s">
        <v>70</v>
      </c>
      <c r="F1085" s="4">
        <v>46046</v>
      </c>
      <c r="G1085" s="4">
        <v>46049</v>
      </c>
      <c r="H1085" t="s">
        <v>111</v>
      </c>
      <c r="I1085" t="s">
        <v>116</v>
      </c>
      <c r="J1085" t="s">
        <v>113</v>
      </c>
      <c r="K1085" t="s">
        <v>73</v>
      </c>
      <c r="L1085" t="s">
        <v>94</v>
      </c>
      <c r="M1085" s="5">
        <v>22400</v>
      </c>
      <c r="N1085" s="5">
        <v>3800</v>
      </c>
      <c r="O1085" s="5">
        <v>4500</v>
      </c>
      <c r="P1085" s="5">
        <v>9000</v>
      </c>
      <c r="Q1085" s="5">
        <v>40500</v>
      </c>
      <c r="R1085" t="s">
        <v>95</v>
      </c>
      <c r="S1085" t="s">
        <v>63</v>
      </c>
      <c r="T1085" s="5">
        <v>40500</v>
      </c>
      <c r="U1085" s="6">
        <v>5</v>
      </c>
      <c r="V1085" t="s">
        <v>64</v>
      </c>
      <c r="W1085" s="4"/>
      <c r="X1085" t="s">
        <v>65</v>
      </c>
      <c r="Y1085" t="s">
        <v>64</v>
      </c>
      <c r="Z1085" t="s">
        <v>436</v>
      </c>
    </row>
    <row r="1086" spans="1:26">
      <c r="A1086" t="s">
        <v>1812</v>
      </c>
      <c r="B1086" t="s">
        <v>394</v>
      </c>
      <c r="C1086" s="4">
        <v>46057</v>
      </c>
      <c r="D1086" t="s">
        <v>234</v>
      </c>
      <c r="E1086" t="s">
        <v>255</v>
      </c>
      <c r="F1086" s="4"/>
      <c r="G1086" s="4"/>
      <c r="H1086" t="s">
        <v>57</v>
      </c>
      <c r="I1086" t="s">
        <v>211</v>
      </c>
      <c r="J1086" t="s">
        <v>170</v>
      </c>
      <c r="K1086" t="s">
        <v>124</v>
      </c>
      <c r="L1086" t="s">
        <v>74</v>
      </c>
      <c r="M1086" s="5"/>
      <c r="N1086" s="5"/>
      <c r="O1086" s="5"/>
      <c r="P1086" s="5"/>
      <c r="Q1086" s="5"/>
      <c r="R1086" t="s">
        <v>85</v>
      </c>
      <c r="S1086" t="s">
        <v>63</v>
      </c>
      <c r="T1086" s="5"/>
      <c r="U1086" s="6"/>
      <c r="V1086" t="s">
        <v>64</v>
      </c>
      <c r="W1086" s="4"/>
      <c r="X1086" t="s">
        <v>65</v>
      </c>
      <c r="Z1086" t="s">
        <v>66</v>
      </c>
    </row>
    <row r="1087" spans="1:26">
      <c r="A1087" t="s">
        <v>1813</v>
      </c>
      <c r="B1087" t="s">
        <v>357</v>
      </c>
      <c r="C1087" s="4">
        <v>46049</v>
      </c>
      <c r="D1087" t="s">
        <v>234</v>
      </c>
      <c r="E1087" t="s">
        <v>70</v>
      </c>
      <c r="F1087" s="4">
        <v>46049</v>
      </c>
      <c r="G1087" s="4">
        <v>46057</v>
      </c>
      <c r="H1087" t="s">
        <v>103</v>
      </c>
      <c r="I1087" t="s">
        <v>243</v>
      </c>
      <c r="J1087" t="s">
        <v>244</v>
      </c>
      <c r="K1087" t="s">
        <v>73</v>
      </c>
      <c r="L1087" t="s">
        <v>74</v>
      </c>
      <c r="M1087" s="5">
        <v>59700</v>
      </c>
      <c r="N1087" s="5">
        <v>9300</v>
      </c>
      <c r="O1087" s="5">
        <v>13500</v>
      </c>
      <c r="P1087" s="5">
        <v>36000</v>
      </c>
      <c r="Q1087" s="5">
        <v>120300</v>
      </c>
      <c r="R1087" t="s">
        <v>75</v>
      </c>
      <c r="S1087" t="s">
        <v>76</v>
      </c>
      <c r="T1087" s="5">
        <v>54430</v>
      </c>
      <c r="U1087" s="6">
        <v>4</v>
      </c>
      <c r="V1087" t="s">
        <v>64</v>
      </c>
      <c r="W1087" s="4"/>
      <c r="X1087" t="s">
        <v>65</v>
      </c>
      <c r="Y1087" t="s">
        <v>64</v>
      </c>
      <c r="Z1087" t="s">
        <v>96</v>
      </c>
    </row>
    <row r="1088" spans="1:26">
      <c r="A1088" t="s">
        <v>1814</v>
      </c>
      <c r="B1088" t="s">
        <v>976</v>
      </c>
      <c r="C1088" s="4">
        <v>46150</v>
      </c>
      <c r="D1088" t="s">
        <v>294</v>
      </c>
      <c r="E1088" t="s">
        <v>70</v>
      </c>
      <c r="F1088" s="4">
        <v>46150</v>
      </c>
      <c r="G1088" s="4">
        <v>46154</v>
      </c>
      <c r="H1088" t="s">
        <v>103</v>
      </c>
      <c r="I1088" t="s">
        <v>412</v>
      </c>
      <c r="J1088" t="s">
        <v>105</v>
      </c>
      <c r="K1088" t="s">
        <v>124</v>
      </c>
      <c r="L1088" t="s">
        <v>94</v>
      </c>
      <c r="M1088" s="5">
        <v>52000</v>
      </c>
      <c r="N1088" s="5">
        <v>5600</v>
      </c>
      <c r="O1088" s="5">
        <v>12050</v>
      </c>
      <c r="P1088" s="5">
        <v>10000</v>
      </c>
      <c r="Q1088" s="5">
        <v>80850</v>
      </c>
      <c r="R1088" t="s">
        <v>95</v>
      </c>
      <c r="S1088" t="s">
        <v>63</v>
      </c>
      <c r="T1088" s="5">
        <v>80850</v>
      </c>
      <c r="U1088" s="6"/>
      <c r="V1088" t="s">
        <v>77</v>
      </c>
      <c r="W1088" s="4">
        <v>46171</v>
      </c>
      <c r="X1088" t="s">
        <v>64</v>
      </c>
      <c r="Y1088" t="s">
        <v>64</v>
      </c>
      <c r="Z1088" t="s">
        <v>107</v>
      </c>
    </row>
    <row r="1089" spans="1:26">
      <c r="A1089" t="s">
        <v>1815</v>
      </c>
      <c r="B1089" t="s">
        <v>411</v>
      </c>
      <c r="C1089" s="4">
        <v>46162</v>
      </c>
      <c r="D1089" t="s">
        <v>168</v>
      </c>
      <c r="E1089" t="s">
        <v>70</v>
      </c>
      <c r="F1089" s="4">
        <v>46162</v>
      </c>
      <c r="G1089" s="4">
        <v>46162</v>
      </c>
      <c r="H1089" t="s">
        <v>57</v>
      </c>
      <c r="I1089" t="s">
        <v>71</v>
      </c>
      <c r="J1089" t="s">
        <v>170</v>
      </c>
      <c r="K1089" t="s">
        <v>60</v>
      </c>
      <c r="L1089" t="s">
        <v>146</v>
      </c>
      <c r="M1089" s="5">
        <v>55500</v>
      </c>
      <c r="N1089" s="5">
        <v>9600</v>
      </c>
      <c r="O1089" s="5">
        <v>13850</v>
      </c>
      <c r="P1089" s="5">
        <v>0</v>
      </c>
      <c r="Q1089" s="5">
        <v>80750</v>
      </c>
      <c r="R1089" t="s">
        <v>141</v>
      </c>
      <c r="S1089" t="s">
        <v>76</v>
      </c>
      <c r="T1089" s="5">
        <v>13310</v>
      </c>
      <c r="U1089" s="6">
        <v>4</v>
      </c>
      <c r="V1089" t="s">
        <v>77</v>
      </c>
      <c r="W1089" s="4">
        <v>46172</v>
      </c>
      <c r="X1089" t="s">
        <v>77</v>
      </c>
      <c r="Y1089" t="s">
        <v>64</v>
      </c>
      <c r="Z1089" t="s">
        <v>107</v>
      </c>
    </row>
    <row r="1090" spans="1:26">
      <c r="A1090" t="s">
        <v>1816</v>
      </c>
      <c r="B1090" t="s">
        <v>1158</v>
      </c>
      <c r="C1090" s="4">
        <v>46096</v>
      </c>
      <c r="D1090" t="s">
        <v>307</v>
      </c>
      <c r="E1090" t="s">
        <v>70</v>
      </c>
      <c r="F1090" s="4">
        <v>46096</v>
      </c>
      <c r="G1090" s="4">
        <v>46100</v>
      </c>
      <c r="H1090" t="s">
        <v>90</v>
      </c>
      <c r="I1090" t="s">
        <v>128</v>
      </c>
      <c r="J1090" t="s">
        <v>197</v>
      </c>
      <c r="K1090" t="s">
        <v>73</v>
      </c>
      <c r="L1090" t="s">
        <v>61</v>
      </c>
      <c r="M1090" s="5">
        <v>19500</v>
      </c>
      <c r="N1090" s="5">
        <v>2300</v>
      </c>
      <c r="O1090" s="5">
        <v>3450</v>
      </c>
      <c r="P1090" s="5">
        <v>24000</v>
      </c>
      <c r="Q1090" s="5">
        <v>51250</v>
      </c>
      <c r="R1090" t="s">
        <v>62</v>
      </c>
      <c r="S1090" t="s">
        <v>76</v>
      </c>
      <c r="T1090" s="5">
        <v>15780</v>
      </c>
      <c r="U1090" s="6">
        <v>4</v>
      </c>
      <c r="V1090" t="s">
        <v>64</v>
      </c>
      <c r="W1090" s="4"/>
      <c r="X1090" t="s">
        <v>65</v>
      </c>
      <c r="Y1090" t="s">
        <v>64</v>
      </c>
      <c r="Z1090" t="s">
        <v>96</v>
      </c>
    </row>
    <row r="1091" spans="1:26">
      <c r="A1091" t="s">
        <v>1817</v>
      </c>
      <c r="B1091" t="s">
        <v>604</v>
      </c>
      <c r="C1091" s="4">
        <v>46071</v>
      </c>
      <c r="D1091" t="s">
        <v>161</v>
      </c>
      <c r="E1091" t="s">
        <v>70</v>
      </c>
      <c r="F1091" s="4">
        <v>46072</v>
      </c>
      <c r="G1091" s="4">
        <v>46072</v>
      </c>
      <c r="H1091" t="s">
        <v>178</v>
      </c>
      <c r="I1091" t="s">
        <v>339</v>
      </c>
      <c r="J1091" t="s">
        <v>180</v>
      </c>
      <c r="K1091" t="s">
        <v>60</v>
      </c>
      <c r="L1091" t="s">
        <v>94</v>
      </c>
      <c r="M1091" s="5">
        <v>77300</v>
      </c>
      <c r="N1091" s="5">
        <v>11950</v>
      </c>
      <c r="O1091" s="5">
        <v>17250</v>
      </c>
      <c r="P1091" s="5">
        <v>0</v>
      </c>
      <c r="Q1091" s="5">
        <v>107300</v>
      </c>
      <c r="R1091" t="s">
        <v>106</v>
      </c>
      <c r="S1091" t="s">
        <v>76</v>
      </c>
      <c r="T1091" s="5">
        <v>38260</v>
      </c>
      <c r="U1091" s="6">
        <v>4</v>
      </c>
      <c r="V1091" t="s">
        <v>64</v>
      </c>
      <c r="W1091" s="4"/>
      <c r="X1091" t="s">
        <v>65</v>
      </c>
      <c r="Y1091" t="s">
        <v>64</v>
      </c>
      <c r="Z1091" t="s">
        <v>78</v>
      </c>
    </row>
    <row r="1092" spans="1:26">
      <c r="A1092" t="s">
        <v>1818</v>
      </c>
      <c r="B1092" t="s">
        <v>721</v>
      </c>
      <c r="C1092" s="4">
        <v>46122</v>
      </c>
      <c r="D1092" t="s">
        <v>225</v>
      </c>
      <c r="E1092" t="s">
        <v>70</v>
      </c>
      <c r="F1092" s="4">
        <v>46122</v>
      </c>
      <c r="G1092" s="4">
        <v>46125</v>
      </c>
      <c r="H1092" t="s">
        <v>121</v>
      </c>
      <c r="I1092" t="s">
        <v>251</v>
      </c>
      <c r="J1092" t="s">
        <v>123</v>
      </c>
      <c r="K1092" t="s">
        <v>124</v>
      </c>
      <c r="L1092" t="s">
        <v>74</v>
      </c>
      <c r="M1092" s="5">
        <v>50400</v>
      </c>
      <c r="N1092" s="5">
        <v>6300</v>
      </c>
      <c r="O1092" s="5">
        <v>5850</v>
      </c>
      <c r="P1092" s="5">
        <v>7500</v>
      </c>
      <c r="Q1092" s="5">
        <v>72050</v>
      </c>
      <c r="R1092" t="s">
        <v>106</v>
      </c>
      <c r="S1092" t="s">
        <v>76</v>
      </c>
      <c r="T1092" s="5">
        <v>25920</v>
      </c>
      <c r="U1092" s="6">
        <v>3</v>
      </c>
      <c r="V1092" t="s">
        <v>77</v>
      </c>
      <c r="W1092" s="4">
        <v>46146</v>
      </c>
      <c r="X1092" t="s">
        <v>64</v>
      </c>
      <c r="Y1092" t="s">
        <v>64</v>
      </c>
      <c r="Z1092" t="s">
        <v>96</v>
      </c>
    </row>
    <row r="1093" spans="1:26">
      <c r="A1093" t="s">
        <v>1819</v>
      </c>
      <c r="B1093" t="s">
        <v>1125</v>
      </c>
      <c r="C1093" s="4">
        <v>46081</v>
      </c>
      <c r="D1093" t="s">
        <v>161</v>
      </c>
      <c r="E1093" t="s">
        <v>70</v>
      </c>
      <c r="F1093" s="4">
        <v>46081</v>
      </c>
      <c r="G1093" s="4">
        <v>46081</v>
      </c>
      <c r="H1093" t="s">
        <v>121</v>
      </c>
      <c r="I1093" t="s">
        <v>665</v>
      </c>
      <c r="J1093" t="s">
        <v>256</v>
      </c>
      <c r="K1093" t="s">
        <v>60</v>
      </c>
      <c r="L1093" t="s">
        <v>94</v>
      </c>
      <c r="M1093" s="5">
        <v>19100</v>
      </c>
      <c r="N1093" s="5">
        <v>2050</v>
      </c>
      <c r="O1093" s="5">
        <v>2650</v>
      </c>
      <c r="P1093" s="5">
        <v>0</v>
      </c>
      <c r="Q1093" s="5">
        <v>24800</v>
      </c>
      <c r="R1093" t="s">
        <v>95</v>
      </c>
      <c r="S1093" t="s">
        <v>63</v>
      </c>
      <c r="T1093" s="5">
        <v>24800</v>
      </c>
      <c r="U1093" s="6">
        <v>5</v>
      </c>
      <c r="V1093" t="s">
        <v>64</v>
      </c>
      <c r="W1093" s="4"/>
      <c r="X1093" t="s">
        <v>65</v>
      </c>
      <c r="Y1093" t="s">
        <v>64</v>
      </c>
      <c r="Z1093" t="s">
        <v>78</v>
      </c>
    </row>
    <row r="1094" spans="1:26">
      <c r="A1094" t="s">
        <v>1820</v>
      </c>
      <c r="B1094" t="s">
        <v>994</v>
      </c>
      <c r="C1094" s="4">
        <v>46154</v>
      </c>
      <c r="D1094" t="s">
        <v>210</v>
      </c>
      <c r="E1094" t="s">
        <v>70</v>
      </c>
      <c r="F1094" s="4">
        <v>46155</v>
      </c>
      <c r="G1094" s="4">
        <v>46157</v>
      </c>
      <c r="H1094" t="s">
        <v>201</v>
      </c>
      <c r="I1094" t="s">
        <v>202</v>
      </c>
      <c r="J1094" t="s">
        <v>203</v>
      </c>
      <c r="K1094" t="s">
        <v>124</v>
      </c>
      <c r="L1094" t="s">
        <v>94</v>
      </c>
      <c r="M1094" s="5">
        <v>40400</v>
      </c>
      <c r="N1094" s="5">
        <v>6300</v>
      </c>
      <c r="O1094" s="5">
        <v>4950</v>
      </c>
      <c r="P1094" s="5">
        <v>7000</v>
      </c>
      <c r="Q1094" s="5">
        <v>61150</v>
      </c>
      <c r="R1094" t="s">
        <v>75</v>
      </c>
      <c r="S1094" t="s">
        <v>76</v>
      </c>
      <c r="T1094" s="5">
        <v>27820</v>
      </c>
      <c r="U1094" s="6">
        <v>4</v>
      </c>
      <c r="V1094" t="s">
        <v>64</v>
      </c>
      <c r="W1094" s="4"/>
      <c r="X1094" t="s">
        <v>65</v>
      </c>
      <c r="Y1094" t="s">
        <v>64</v>
      </c>
      <c r="Z1094" t="s">
        <v>78</v>
      </c>
    </row>
    <row r="1095" spans="1:26">
      <c r="A1095" t="s">
        <v>1821</v>
      </c>
      <c r="B1095" t="s">
        <v>696</v>
      </c>
      <c r="C1095" s="4">
        <v>46026</v>
      </c>
      <c r="D1095" t="s">
        <v>234</v>
      </c>
      <c r="E1095" t="s">
        <v>70</v>
      </c>
      <c r="F1095" s="4">
        <v>46026</v>
      </c>
      <c r="G1095" s="4">
        <v>46027</v>
      </c>
      <c r="H1095" t="s">
        <v>121</v>
      </c>
      <c r="I1095" t="s">
        <v>386</v>
      </c>
      <c r="J1095" t="s">
        <v>252</v>
      </c>
      <c r="K1095" t="s">
        <v>60</v>
      </c>
      <c r="L1095" t="s">
        <v>146</v>
      </c>
      <c r="M1095" s="5">
        <v>72200</v>
      </c>
      <c r="N1095" s="5">
        <v>10700</v>
      </c>
      <c r="O1095" s="5">
        <v>11150</v>
      </c>
      <c r="P1095" s="5">
        <v>4500</v>
      </c>
      <c r="Q1095" s="5">
        <v>101050</v>
      </c>
      <c r="R1095" t="s">
        <v>141</v>
      </c>
      <c r="S1095" t="s">
        <v>76</v>
      </c>
      <c r="T1095" s="5">
        <v>16360</v>
      </c>
      <c r="U1095" s="6">
        <v>4</v>
      </c>
      <c r="V1095" t="s">
        <v>77</v>
      </c>
      <c r="W1095" s="4">
        <v>46036</v>
      </c>
      <c r="X1095" t="s">
        <v>77</v>
      </c>
      <c r="Y1095" t="s">
        <v>64</v>
      </c>
      <c r="Z1095" t="s">
        <v>436</v>
      </c>
    </row>
    <row r="1096" spans="1:26">
      <c r="A1096" t="s">
        <v>1822</v>
      </c>
      <c r="B1096" t="s">
        <v>892</v>
      </c>
      <c r="C1096" s="4">
        <v>46070</v>
      </c>
      <c r="D1096" t="s">
        <v>259</v>
      </c>
      <c r="E1096" t="s">
        <v>70</v>
      </c>
      <c r="F1096" s="4">
        <v>46070</v>
      </c>
      <c r="G1096" s="4">
        <v>46070</v>
      </c>
      <c r="H1096" t="s">
        <v>111</v>
      </c>
      <c r="I1096" t="s">
        <v>355</v>
      </c>
      <c r="J1096" t="s">
        <v>113</v>
      </c>
      <c r="K1096" t="s">
        <v>60</v>
      </c>
      <c r="L1096" t="s">
        <v>94</v>
      </c>
      <c r="M1096" s="5">
        <v>22800</v>
      </c>
      <c r="N1096" s="5">
        <v>4050</v>
      </c>
      <c r="O1096" s="5">
        <v>3150</v>
      </c>
      <c r="P1096" s="5">
        <v>0</v>
      </c>
      <c r="Q1096" s="5">
        <v>31500</v>
      </c>
      <c r="R1096" t="s">
        <v>106</v>
      </c>
      <c r="S1096" t="s">
        <v>76</v>
      </c>
      <c r="T1096" s="5">
        <v>11720</v>
      </c>
      <c r="U1096" s="6">
        <v>5</v>
      </c>
      <c r="V1096" t="s">
        <v>64</v>
      </c>
      <c r="W1096" s="4"/>
      <c r="X1096" t="s">
        <v>65</v>
      </c>
      <c r="Y1096" t="s">
        <v>64</v>
      </c>
      <c r="Z1096" t="s">
        <v>219</v>
      </c>
    </row>
    <row r="1097" spans="1:26">
      <c r="A1097" t="s">
        <v>1823</v>
      </c>
      <c r="B1097" t="s">
        <v>1824</v>
      </c>
      <c r="C1097" s="4">
        <v>46055</v>
      </c>
      <c r="D1097" t="s">
        <v>284</v>
      </c>
      <c r="E1097" t="s">
        <v>70</v>
      </c>
      <c r="F1097" s="4">
        <v>46056</v>
      </c>
      <c r="G1097" s="4">
        <v>46064</v>
      </c>
      <c r="H1097" t="s">
        <v>103</v>
      </c>
      <c r="I1097" t="s">
        <v>243</v>
      </c>
      <c r="J1097" t="s">
        <v>105</v>
      </c>
      <c r="K1097" t="s">
        <v>124</v>
      </c>
      <c r="L1097" t="s">
        <v>94</v>
      </c>
      <c r="M1097" s="5">
        <v>51700</v>
      </c>
      <c r="N1097" s="5">
        <v>4500</v>
      </c>
      <c r="O1097" s="5">
        <v>11700</v>
      </c>
      <c r="P1097" s="5">
        <v>24000</v>
      </c>
      <c r="Q1097" s="5">
        <v>93700</v>
      </c>
      <c r="R1097" t="s">
        <v>95</v>
      </c>
      <c r="S1097" t="s">
        <v>63</v>
      </c>
      <c r="T1097" s="5">
        <v>93700</v>
      </c>
      <c r="U1097" s="6">
        <v>2</v>
      </c>
      <c r="V1097" t="s">
        <v>77</v>
      </c>
      <c r="W1097" s="4">
        <v>46076</v>
      </c>
      <c r="X1097" t="s">
        <v>77</v>
      </c>
      <c r="Y1097" t="s">
        <v>77</v>
      </c>
      <c r="Z1097" t="s">
        <v>96</v>
      </c>
    </row>
    <row r="1098" spans="1:26">
      <c r="A1098" t="s">
        <v>1825</v>
      </c>
      <c r="B1098" t="s">
        <v>1562</v>
      </c>
      <c r="C1098" s="4">
        <v>46079</v>
      </c>
      <c r="D1098" t="s">
        <v>225</v>
      </c>
      <c r="E1098" t="s">
        <v>70</v>
      </c>
      <c r="F1098" s="4">
        <v>46079</v>
      </c>
      <c r="G1098" s="4">
        <v>46079</v>
      </c>
      <c r="H1098" t="s">
        <v>121</v>
      </c>
      <c r="I1098" t="s">
        <v>251</v>
      </c>
      <c r="J1098" t="s">
        <v>256</v>
      </c>
      <c r="K1098" t="s">
        <v>60</v>
      </c>
      <c r="L1098" t="s">
        <v>61</v>
      </c>
      <c r="M1098" s="5">
        <v>19000</v>
      </c>
      <c r="N1098" s="5">
        <v>3150</v>
      </c>
      <c r="O1098" s="5">
        <v>3000</v>
      </c>
      <c r="P1098" s="5">
        <v>0</v>
      </c>
      <c r="Q1098" s="5">
        <v>27150</v>
      </c>
      <c r="R1098" t="s">
        <v>106</v>
      </c>
      <c r="S1098" t="s">
        <v>76</v>
      </c>
      <c r="T1098" s="5">
        <v>10200</v>
      </c>
      <c r="U1098" s="6">
        <v>5</v>
      </c>
      <c r="V1098" t="s">
        <v>77</v>
      </c>
      <c r="W1098" s="4">
        <v>46100</v>
      </c>
      <c r="X1098" t="s">
        <v>77</v>
      </c>
      <c r="Y1098" t="s">
        <v>64</v>
      </c>
      <c r="Z1098" t="s">
        <v>96</v>
      </c>
    </row>
    <row r="1099" spans="1:26">
      <c r="A1099" t="s">
        <v>1826</v>
      </c>
      <c r="B1099" t="s">
        <v>1091</v>
      </c>
      <c r="C1099" s="4">
        <v>46138</v>
      </c>
      <c r="D1099" t="s">
        <v>110</v>
      </c>
      <c r="E1099" t="s">
        <v>314</v>
      </c>
      <c r="F1099" s="4"/>
      <c r="G1099" s="4"/>
      <c r="H1099" t="s">
        <v>201</v>
      </c>
      <c r="I1099" t="s">
        <v>280</v>
      </c>
      <c r="J1099" t="s">
        <v>203</v>
      </c>
      <c r="K1099" t="s">
        <v>73</v>
      </c>
      <c r="L1099" t="s">
        <v>94</v>
      </c>
      <c r="M1099" s="5"/>
      <c r="N1099" s="5"/>
      <c r="O1099" s="5"/>
      <c r="P1099" s="5"/>
      <c r="Q1099" s="5"/>
      <c r="R1099" t="s">
        <v>134</v>
      </c>
      <c r="S1099" t="s">
        <v>63</v>
      </c>
      <c r="T1099" s="5"/>
      <c r="U1099" s="6"/>
      <c r="V1099" t="s">
        <v>64</v>
      </c>
      <c r="W1099" s="4"/>
      <c r="X1099" t="s">
        <v>65</v>
      </c>
      <c r="Z1099" t="s">
        <v>66</v>
      </c>
    </row>
    <row r="1100" spans="1:26">
      <c r="A1100" t="s">
        <v>1827</v>
      </c>
      <c r="B1100" t="s">
        <v>1587</v>
      </c>
      <c r="C1100" s="4">
        <v>46150</v>
      </c>
      <c r="D1100" t="s">
        <v>149</v>
      </c>
      <c r="E1100" t="s">
        <v>314</v>
      </c>
      <c r="F1100" s="4"/>
      <c r="G1100" s="4"/>
      <c r="H1100" t="s">
        <v>82</v>
      </c>
      <c r="I1100" t="s">
        <v>331</v>
      </c>
      <c r="J1100" t="s">
        <v>84</v>
      </c>
      <c r="K1100" t="s">
        <v>73</v>
      </c>
      <c r="L1100" t="s">
        <v>94</v>
      </c>
      <c r="M1100" s="5"/>
      <c r="N1100" s="5"/>
      <c r="O1100" s="5"/>
      <c r="P1100" s="5"/>
      <c r="Q1100" s="5"/>
      <c r="R1100" t="s">
        <v>95</v>
      </c>
      <c r="S1100" t="s">
        <v>63</v>
      </c>
      <c r="T1100" s="5"/>
      <c r="U1100" s="6"/>
      <c r="V1100" t="s">
        <v>64</v>
      </c>
      <c r="W1100" s="4"/>
      <c r="X1100" t="s">
        <v>65</v>
      </c>
      <c r="Z1100" t="s">
        <v>66</v>
      </c>
    </row>
    <row r="1101" spans="1:26">
      <c r="A1101" t="s">
        <v>1828</v>
      </c>
      <c r="B1101" t="s">
        <v>1362</v>
      </c>
      <c r="C1101" s="4">
        <v>46154</v>
      </c>
      <c r="D1101" t="s">
        <v>439</v>
      </c>
      <c r="E1101" t="s">
        <v>177</v>
      </c>
      <c r="F1101" s="4"/>
      <c r="G1101" s="4"/>
      <c r="H1101" t="s">
        <v>121</v>
      </c>
      <c r="I1101" t="s">
        <v>174</v>
      </c>
      <c r="J1101" t="s">
        <v>252</v>
      </c>
      <c r="K1101" t="s">
        <v>93</v>
      </c>
      <c r="L1101" t="s">
        <v>94</v>
      </c>
      <c r="M1101" s="5"/>
      <c r="N1101" s="5"/>
      <c r="O1101" s="5"/>
      <c r="P1101" s="5"/>
      <c r="Q1101" s="5"/>
      <c r="R1101" t="s">
        <v>106</v>
      </c>
      <c r="S1101" t="s">
        <v>63</v>
      </c>
      <c r="T1101" s="5"/>
      <c r="U1101" s="6"/>
      <c r="V1101" t="s">
        <v>64</v>
      </c>
      <c r="W1101" s="4"/>
      <c r="X1101" t="s">
        <v>65</v>
      </c>
      <c r="Z1101" t="s">
        <v>66</v>
      </c>
    </row>
    <row r="1102" spans="1:26">
      <c r="A1102" t="s">
        <v>1829</v>
      </c>
      <c r="B1102" t="s">
        <v>631</v>
      </c>
      <c r="C1102" s="4">
        <v>46062</v>
      </c>
      <c r="D1102" t="s">
        <v>383</v>
      </c>
      <c r="E1102" t="s">
        <v>70</v>
      </c>
      <c r="F1102" s="4">
        <v>46062</v>
      </c>
      <c r="G1102" s="4">
        <v>46065</v>
      </c>
      <c r="H1102" t="s">
        <v>82</v>
      </c>
      <c r="J1102" t="s">
        <v>291</v>
      </c>
      <c r="K1102" t="s">
        <v>73</v>
      </c>
      <c r="L1102" t="s">
        <v>94</v>
      </c>
      <c r="M1102" s="5">
        <v>47200</v>
      </c>
      <c r="N1102" s="5">
        <v>8250</v>
      </c>
      <c r="O1102" s="5">
        <v>6200</v>
      </c>
      <c r="P1102" s="5">
        <v>7500</v>
      </c>
      <c r="Q1102" s="5">
        <v>70950</v>
      </c>
      <c r="R1102" t="s">
        <v>75</v>
      </c>
      <c r="S1102" t="s">
        <v>76</v>
      </c>
      <c r="T1102" s="5">
        <v>32230</v>
      </c>
      <c r="U1102" s="6">
        <v>5</v>
      </c>
      <c r="V1102" t="s">
        <v>64</v>
      </c>
      <c r="W1102" s="4"/>
      <c r="X1102" t="s">
        <v>65</v>
      </c>
      <c r="Y1102" t="s">
        <v>64</v>
      </c>
      <c r="Z1102" t="s">
        <v>107</v>
      </c>
    </row>
    <row r="1103" spans="1:26">
      <c r="A1103" t="s">
        <v>1830</v>
      </c>
      <c r="B1103" t="s">
        <v>1831</v>
      </c>
      <c r="C1103" s="4">
        <v>46157</v>
      </c>
      <c r="D1103" t="s">
        <v>363</v>
      </c>
      <c r="E1103" t="s">
        <v>70</v>
      </c>
      <c r="F1103" s="4">
        <v>46158</v>
      </c>
      <c r="G1103" s="4">
        <v>46158</v>
      </c>
      <c r="H1103" t="s">
        <v>150</v>
      </c>
      <c r="I1103" t="s">
        <v>247</v>
      </c>
      <c r="J1103" t="s">
        <v>152</v>
      </c>
      <c r="K1103" t="s">
        <v>60</v>
      </c>
      <c r="L1103" t="s">
        <v>74</v>
      </c>
      <c r="M1103" s="5">
        <v>23400</v>
      </c>
      <c r="N1103" s="5">
        <v>2400</v>
      </c>
      <c r="O1103" s="5">
        <v>3700</v>
      </c>
      <c r="P1103" s="5">
        <v>0</v>
      </c>
      <c r="Q1103" s="5">
        <v>30500</v>
      </c>
      <c r="R1103" t="s">
        <v>95</v>
      </c>
      <c r="S1103" t="s">
        <v>63</v>
      </c>
      <c r="T1103" s="5">
        <v>30500</v>
      </c>
      <c r="U1103" s="6"/>
      <c r="V1103" t="s">
        <v>64</v>
      </c>
      <c r="W1103" s="4"/>
      <c r="X1103" t="s">
        <v>65</v>
      </c>
      <c r="Y1103" t="s">
        <v>64</v>
      </c>
      <c r="Z1103" t="s">
        <v>436</v>
      </c>
    </row>
    <row r="1104" spans="1:26">
      <c r="A1104" t="s">
        <v>1832</v>
      </c>
      <c r="B1104" t="s">
        <v>1833</v>
      </c>
      <c r="C1104" s="4">
        <v>46069</v>
      </c>
      <c r="D1104" t="s">
        <v>469</v>
      </c>
      <c r="E1104" t="s">
        <v>70</v>
      </c>
      <c r="F1104" s="4">
        <v>46070</v>
      </c>
      <c r="G1104" s="4">
        <v>46077</v>
      </c>
      <c r="H1104" t="s">
        <v>150</v>
      </c>
      <c r="I1104" t="s">
        <v>304</v>
      </c>
      <c r="J1104" t="s">
        <v>188</v>
      </c>
      <c r="K1104" t="s">
        <v>124</v>
      </c>
      <c r="L1104" t="s">
        <v>61</v>
      </c>
      <c r="M1104" s="5">
        <v>109500</v>
      </c>
      <c r="N1104" s="5">
        <v>17100</v>
      </c>
      <c r="O1104" s="5">
        <v>13150</v>
      </c>
      <c r="P1104" s="5">
        <v>24500</v>
      </c>
      <c r="Q1104" s="5">
        <v>165450</v>
      </c>
      <c r="R1104" t="s">
        <v>95</v>
      </c>
      <c r="S1104" t="s">
        <v>63</v>
      </c>
      <c r="T1104" s="5">
        <v>165450</v>
      </c>
      <c r="U1104" s="6">
        <v>3</v>
      </c>
      <c r="V1104" t="s">
        <v>77</v>
      </c>
      <c r="W1104" s="4">
        <v>46087</v>
      </c>
      <c r="X1104" t="s">
        <v>77</v>
      </c>
      <c r="Y1104" t="s">
        <v>77</v>
      </c>
      <c r="Z1104" t="s">
        <v>96</v>
      </c>
    </row>
    <row r="1105" spans="1:26">
      <c r="A1105" t="s">
        <v>1834</v>
      </c>
      <c r="B1105" t="s">
        <v>664</v>
      </c>
      <c r="C1105" s="4">
        <v>46124</v>
      </c>
      <c r="D1105" t="s">
        <v>120</v>
      </c>
      <c r="E1105" t="s">
        <v>70</v>
      </c>
      <c r="F1105" s="4">
        <v>46124</v>
      </c>
      <c r="G1105" s="4">
        <v>46130</v>
      </c>
      <c r="H1105" t="s">
        <v>150</v>
      </c>
      <c r="I1105" t="s">
        <v>228</v>
      </c>
      <c r="J1105" t="s">
        <v>188</v>
      </c>
      <c r="K1105" t="s">
        <v>93</v>
      </c>
      <c r="L1105" t="s">
        <v>61</v>
      </c>
      <c r="M1105" s="5">
        <v>71100</v>
      </c>
      <c r="N1105" s="5">
        <v>8100</v>
      </c>
      <c r="O1105" s="5">
        <v>15750</v>
      </c>
      <c r="P1105" s="5">
        <v>21000</v>
      </c>
      <c r="Q1105" s="5">
        <v>117450</v>
      </c>
      <c r="R1105" t="s">
        <v>85</v>
      </c>
      <c r="S1105" t="s">
        <v>163</v>
      </c>
      <c r="T1105" s="5">
        <v>30260</v>
      </c>
      <c r="U1105" s="6">
        <v>5</v>
      </c>
      <c r="V1105" t="s">
        <v>77</v>
      </c>
      <c r="W1105" s="4">
        <v>46145</v>
      </c>
      <c r="X1105" t="s">
        <v>77</v>
      </c>
      <c r="Y1105" t="s">
        <v>64</v>
      </c>
      <c r="Z1105" t="s">
        <v>96</v>
      </c>
    </row>
    <row r="1106" spans="1:26">
      <c r="A1106" t="s">
        <v>1835</v>
      </c>
      <c r="B1106" t="s">
        <v>771</v>
      </c>
      <c r="C1106" s="4">
        <v>46045</v>
      </c>
      <c r="D1106" t="s">
        <v>132</v>
      </c>
      <c r="E1106" t="s">
        <v>70</v>
      </c>
      <c r="F1106" s="4">
        <v>46046</v>
      </c>
      <c r="G1106" s="4">
        <v>46048</v>
      </c>
      <c r="H1106" t="s">
        <v>138</v>
      </c>
      <c r="I1106" t="s">
        <v>139</v>
      </c>
      <c r="J1106" t="s">
        <v>140</v>
      </c>
      <c r="K1106" t="s">
        <v>124</v>
      </c>
      <c r="L1106" t="s">
        <v>146</v>
      </c>
      <c r="M1106" s="5">
        <v>11800</v>
      </c>
      <c r="N1106" s="5">
        <v>1750</v>
      </c>
      <c r="O1106" s="5">
        <v>2450</v>
      </c>
      <c r="P1106" s="5">
        <v>12000</v>
      </c>
      <c r="Q1106" s="5">
        <v>30000</v>
      </c>
      <c r="R1106" t="s">
        <v>106</v>
      </c>
      <c r="S1106" t="s">
        <v>76</v>
      </c>
      <c r="T1106" s="5">
        <v>11200</v>
      </c>
      <c r="U1106" s="6">
        <v>4</v>
      </c>
      <c r="V1106" t="s">
        <v>64</v>
      </c>
      <c r="W1106" s="4"/>
      <c r="X1106" t="s">
        <v>65</v>
      </c>
      <c r="Y1106" t="s">
        <v>64</v>
      </c>
      <c r="Z1106" t="s">
        <v>96</v>
      </c>
    </row>
    <row r="1107" spans="1:26">
      <c r="A1107" t="s">
        <v>1836</v>
      </c>
      <c r="B1107" t="s">
        <v>809</v>
      </c>
      <c r="C1107" s="4">
        <v>46127</v>
      </c>
      <c r="D1107" t="s">
        <v>363</v>
      </c>
      <c r="E1107" t="s">
        <v>70</v>
      </c>
      <c r="F1107" s="4">
        <v>46128</v>
      </c>
      <c r="G1107" s="4">
        <v>46135</v>
      </c>
      <c r="H1107" t="s">
        <v>201</v>
      </c>
      <c r="I1107" t="s">
        <v>449</v>
      </c>
      <c r="J1107" t="s">
        <v>295</v>
      </c>
      <c r="K1107" t="s">
        <v>124</v>
      </c>
      <c r="L1107" t="s">
        <v>74</v>
      </c>
      <c r="M1107" s="5">
        <v>45600</v>
      </c>
      <c r="N1107" s="5">
        <v>4600</v>
      </c>
      <c r="O1107" s="5">
        <v>9950</v>
      </c>
      <c r="P1107" s="5">
        <v>31500</v>
      </c>
      <c r="Q1107" s="5">
        <v>92450</v>
      </c>
      <c r="R1107" t="s">
        <v>75</v>
      </c>
      <c r="S1107" t="s">
        <v>86</v>
      </c>
      <c r="T1107" s="5">
        <v>41900</v>
      </c>
      <c r="U1107" s="6">
        <v>4</v>
      </c>
      <c r="V1107" t="s">
        <v>77</v>
      </c>
      <c r="W1107" s="4">
        <v>46149</v>
      </c>
      <c r="X1107" t="s">
        <v>77</v>
      </c>
      <c r="Y1107" t="s">
        <v>64</v>
      </c>
      <c r="Z1107" t="s">
        <v>107</v>
      </c>
    </row>
    <row r="1108" spans="1:26">
      <c r="A1108" t="s">
        <v>1837</v>
      </c>
      <c r="B1108" t="s">
        <v>1838</v>
      </c>
      <c r="C1108" s="4">
        <v>46133</v>
      </c>
      <c r="D1108" t="s">
        <v>307</v>
      </c>
      <c r="E1108" t="s">
        <v>70</v>
      </c>
      <c r="F1108" s="4">
        <v>46134</v>
      </c>
      <c r="G1108" s="4">
        <v>46138</v>
      </c>
      <c r="H1108" t="s">
        <v>150</v>
      </c>
      <c r="I1108" t="s">
        <v>151</v>
      </c>
      <c r="J1108" t="s">
        <v>229</v>
      </c>
      <c r="K1108" t="s">
        <v>73</v>
      </c>
      <c r="L1108" t="s">
        <v>61</v>
      </c>
      <c r="M1108" s="5">
        <v>45000</v>
      </c>
      <c r="N1108" s="5">
        <v>3750</v>
      </c>
      <c r="O1108" s="5">
        <v>5000</v>
      </c>
      <c r="P1108" s="5">
        <v>12000</v>
      </c>
      <c r="Q1108" s="5">
        <v>68250</v>
      </c>
      <c r="R1108" t="s">
        <v>85</v>
      </c>
      <c r="S1108" t="s">
        <v>76</v>
      </c>
      <c r="T1108" s="5">
        <v>17960</v>
      </c>
      <c r="U1108" s="6">
        <v>5</v>
      </c>
      <c r="V1108" t="s">
        <v>77</v>
      </c>
      <c r="W1108" s="4">
        <v>46145</v>
      </c>
      <c r="X1108" t="s">
        <v>77</v>
      </c>
      <c r="Y1108" t="s">
        <v>64</v>
      </c>
      <c r="Z1108" t="s">
        <v>96</v>
      </c>
    </row>
    <row r="1109" spans="1:26">
      <c r="A1109" t="s">
        <v>1839</v>
      </c>
      <c r="B1109" t="s">
        <v>926</v>
      </c>
      <c r="C1109" s="4">
        <v>46023</v>
      </c>
      <c r="D1109" t="s">
        <v>284</v>
      </c>
      <c r="E1109" t="s">
        <v>70</v>
      </c>
      <c r="F1109" s="4">
        <v>46023</v>
      </c>
      <c r="G1109" s="4">
        <v>46027</v>
      </c>
      <c r="H1109" t="s">
        <v>57</v>
      </c>
      <c r="I1109" t="s">
        <v>100</v>
      </c>
      <c r="J1109" t="s">
        <v>59</v>
      </c>
      <c r="K1109" t="s">
        <v>93</v>
      </c>
      <c r="L1109" t="s">
        <v>94</v>
      </c>
      <c r="M1109" s="5">
        <v>50300</v>
      </c>
      <c r="N1109" s="5">
        <v>4100</v>
      </c>
      <c r="O1109" s="5">
        <v>11350</v>
      </c>
      <c r="P1109" s="5">
        <v>24000</v>
      </c>
      <c r="Q1109" s="5">
        <v>91750</v>
      </c>
      <c r="R1109" t="s">
        <v>85</v>
      </c>
      <c r="S1109" t="s">
        <v>76</v>
      </c>
      <c r="T1109" s="5">
        <v>23840</v>
      </c>
      <c r="U1109" s="6">
        <v>3</v>
      </c>
      <c r="V1109" t="s">
        <v>64</v>
      </c>
      <c r="W1109" s="4"/>
      <c r="X1109" t="s">
        <v>65</v>
      </c>
      <c r="Y1109" t="s">
        <v>64</v>
      </c>
      <c r="Z1109" t="s">
        <v>78</v>
      </c>
    </row>
    <row r="1110" spans="1:26">
      <c r="A1110" t="s">
        <v>1840</v>
      </c>
      <c r="B1110" t="s">
        <v>851</v>
      </c>
      <c r="C1110" s="4">
        <v>46172</v>
      </c>
      <c r="D1110" t="s">
        <v>439</v>
      </c>
      <c r="E1110" t="s">
        <v>70</v>
      </c>
      <c r="F1110" s="4">
        <v>46172</v>
      </c>
      <c r="G1110" s="4">
        <v>46172</v>
      </c>
      <c r="H1110" t="s">
        <v>82</v>
      </c>
      <c r="I1110" t="s">
        <v>194</v>
      </c>
      <c r="J1110" t="s">
        <v>291</v>
      </c>
      <c r="K1110" t="s">
        <v>60</v>
      </c>
      <c r="L1110" t="s">
        <v>61</v>
      </c>
      <c r="M1110" s="5">
        <v>32500</v>
      </c>
      <c r="N1110" s="5">
        <v>5200</v>
      </c>
      <c r="O1110" s="5">
        <v>6000</v>
      </c>
      <c r="P1110" s="5">
        <v>0</v>
      </c>
      <c r="Q1110" s="5">
        <v>45500</v>
      </c>
      <c r="R1110" t="s">
        <v>141</v>
      </c>
      <c r="S1110" t="s">
        <v>76</v>
      </c>
      <c r="T1110" s="5">
        <v>8030</v>
      </c>
      <c r="U1110" s="6">
        <v>5</v>
      </c>
      <c r="V1110" t="s">
        <v>77</v>
      </c>
      <c r="W1110" s="4">
        <v>46184</v>
      </c>
      <c r="X1110" t="s">
        <v>77</v>
      </c>
      <c r="Y1110" t="s">
        <v>64</v>
      </c>
      <c r="Z1110" t="s">
        <v>78</v>
      </c>
    </row>
    <row r="1111" spans="1:26">
      <c r="A1111" t="s">
        <v>1841</v>
      </c>
      <c r="B1111" t="s">
        <v>1842</v>
      </c>
      <c r="C1111" s="4">
        <v>46108</v>
      </c>
      <c r="D1111" t="s">
        <v>206</v>
      </c>
      <c r="E1111" t="s">
        <v>314</v>
      </c>
      <c r="F1111" s="4"/>
      <c r="G1111" s="4"/>
      <c r="H1111" t="s">
        <v>90</v>
      </c>
      <c r="I1111" t="s">
        <v>388</v>
      </c>
      <c r="J1111" t="s">
        <v>197</v>
      </c>
      <c r="K1111" t="s">
        <v>73</v>
      </c>
      <c r="L1111" t="s">
        <v>94</v>
      </c>
      <c r="M1111" s="5"/>
      <c r="N1111" s="5"/>
      <c r="O1111" s="5"/>
      <c r="P1111" s="5"/>
      <c r="Q1111" s="5"/>
      <c r="R1111" t="s">
        <v>106</v>
      </c>
      <c r="S1111" t="s">
        <v>63</v>
      </c>
      <c r="T1111" s="5"/>
      <c r="U1111" s="6"/>
      <c r="V1111" t="s">
        <v>64</v>
      </c>
      <c r="W1111" s="4"/>
      <c r="X1111" t="s">
        <v>65</v>
      </c>
      <c r="Z1111" t="s">
        <v>66</v>
      </c>
    </row>
    <row r="1112" spans="1:26">
      <c r="A1112" t="s">
        <v>1843</v>
      </c>
      <c r="B1112" t="s">
        <v>1556</v>
      </c>
      <c r="C1112" s="4">
        <v>46131</v>
      </c>
      <c r="D1112" t="s">
        <v>337</v>
      </c>
      <c r="E1112" t="s">
        <v>70</v>
      </c>
      <c r="F1112" s="4">
        <v>46132</v>
      </c>
      <c r="G1112" s="4">
        <v>46135</v>
      </c>
      <c r="H1112" t="s">
        <v>90</v>
      </c>
      <c r="I1112" t="s">
        <v>133</v>
      </c>
      <c r="J1112" t="s">
        <v>197</v>
      </c>
      <c r="K1112" t="s">
        <v>73</v>
      </c>
      <c r="L1112" t="s">
        <v>74</v>
      </c>
      <c r="M1112" s="5">
        <v>20300</v>
      </c>
      <c r="N1112" s="5">
        <v>1700</v>
      </c>
      <c r="O1112" s="5">
        <v>4350</v>
      </c>
      <c r="P1112" s="5">
        <v>10500</v>
      </c>
      <c r="Q1112" s="5">
        <v>38850</v>
      </c>
      <c r="R1112" t="s">
        <v>85</v>
      </c>
      <c r="S1112" t="s">
        <v>76</v>
      </c>
      <c r="T1112" s="5">
        <v>10610</v>
      </c>
      <c r="U1112" s="6">
        <v>4</v>
      </c>
      <c r="V1112" t="s">
        <v>64</v>
      </c>
      <c r="W1112" s="4"/>
      <c r="X1112" t="s">
        <v>65</v>
      </c>
      <c r="Y1112" t="s">
        <v>64</v>
      </c>
      <c r="Z1112" t="s">
        <v>107</v>
      </c>
    </row>
    <row r="1113" spans="1:26">
      <c r="A1113" t="s">
        <v>1844</v>
      </c>
      <c r="B1113" t="s">
        <v>1158</v>
      </c>
      <c r="C1113" s="4">
        <v>46093</v>
      </c>
      <c r="D1113" t="s">
        <v>55</v>
      </c>
      <c r="E1113" t="s">
        <v>70</v>
      </c>
      <c r="F1113" s="4">
        <v>46094</v>
      </c>
      <c r="G1113" s="4">
        <v>46094</v>
      </c>
      <c r="H1113" t="s">
        <v>201</v>
      </c>
      <c r="I1113" t="s">
        <v>202</v>
      </c>
      <c r="J1113" t="s">
        <v>281</v>
      </c>
      <c r="K1113" t="s">
        <v>124</v>
      </c>
      <c r="L1113" t="s">
        <v>74</v>
      </c>
      <c r="M1113" s="5">
        <v>7700</v>
      </c>
      <c r="N1113" s="5">
        <v>900</v>
      </c>
      <c r="O1113" s="5">
        <v>1200</v>
      </c>
      <c r="P1113" s="5">
        <v>0</v>
      </c>
      <c r="Q1113" s="5">
        <v>12300</v>
      </c>
      <c r="R1113" t="s">
        <v>95</v>
      </c>
      <c r="S1113" t="s">
        <v>63</v>
      </c>
      <c r="T1113" s="5">
        <v>12300</v>
      </c>
      <c r="U1113" s="6">
        <v>5</v>
      </c>
      <c r="V1113" t="s">
        <v>77</v>
      </c>
      <c r="W1113" s="4">
        <v>46106</v>
      </c>
      <c r="X1113" t="s">
        <v>77</v>
      </c>
      <c r="Y1113" t="s">
        <v>64</v>
      </c>
      <c r="Z1113" t="s">
        <v>96</v>
      </c>
    </row>
    <row r="1114" spans="1:26">
      <c r="A1114" t="s">
        <v>1845</v>
      </c>
      <c r="B1114" t="s">
        <v>1491</v>
      </c>
      <c r="C1114" s="4">
        <v>46084</v>
      </c>
      <c r="D1114" t="s">
        <v>55</v>
      </c>
      <c r="E1114" t="s">
        <v>56</v>
      </c>
      <c r="F1114" s="4"/>
      <c r="G1114" s="4"/>
      <c r="H1114" t="s">
        <v>121</v>
      </c>
      <c r="I1114" t="s">
        <v>122</v>
      </c>
      <c r="J1114" t="s">
        <v>256</v>
      </c>
      <c r="K1114" t="s">
        <v>73</v>
      </c>
      <c r="L1114" t="s">
        <v>94</v>
      </c>
      <c r="M1114" s="5"/>
      <c r="N1114" s="5"/>
      <c r="O1114" s="5"/>
      <c r="P1114" s="5"/>
      <c r="Q1114" s="5"/>
      <c r="R1114" t="s">
        <v>106</v>
      </c>
      <c r="S1114" t="s">
        <v>63</v>
      </c>
      <c r="T1114" s="5"/>
      <c r="U1114" s="6"/>
      <c r="V1114" t="s">
        <v>64</v>
      </c>
      <c r="W1114" s="4"/>
      <c r="X1114" t="s">
        <v>65</v>
      </c>
      <c r="Z1114" t="s">
        <v>66</v>
      </c>
    </row>
    <row r="1115" spans="1:26">
      <c r="A1115" t="s">
        <v>1846</v>
      </c>
      <c r="B1115" t="s">
        <v>1219</v>
      </c>
      <c r="C1115" s="4">
        <v>46084</v>
      </c>
      <c r="D1115" t="s">
        <v>266</v>
      </c>
      <c r="E1115" t="s">
        <v>70</v>
      </c>
      <c r="F1115" s="4">
        <v>46084</v>
      </c>
      <c r="G1115" s="4">
        <v>46087</v>
      </c>
      <c r="H1115" t="s">
        <v>90</v>
      </c>
      <c r="J1115" t="s">
        <v>92</v>
      </c>
      <c r="K1115" t="s">
        <v>73</v>
      </c>
      <c r="L1115" t="s">
        <v>94</v>
      </c>
      <c r="M1115" s="5">
        <v>56700</v>
      </c>
      <c r="N1115" s="5">
        <v>8000</v>
      </c>
      <c r="O1115" s="5">
        <v>8350</v>
      </c>
      <c r="P1115" s="5">
        <v>9000</v>
      </c>
      <c r="Q1115" s="5">
        <v>83250</v>
      </c>
      <c r="R1115" t="s">
        <v>85</v>
      </c>
      <c r="S1115" t="s">
        <v>76</v>
      </c>
      <c r="T1115" s="5">
        <v>21710</v>
      </c>
      <c r="U1115" s="6">
        <v>2</v>
      </c>
      <c r="V1115" t="s">
        <v>77</v>
      </c>
      <c r="W1115" s="4">
        <v>46106</v>
      </c>
      <c r="X1115" t="s">
        <v>64</v>
      </c>
      <c r="Y1115" t="s">
        <v>64</v>
      </c>
      <c r="Z1115" t="s">
        <v>78</v>
      </c>
    </row>
    <row r="1116" spans="1:26">
      <c r="A1116" t="s">
        <v>1847</v>
      </c>
      <c r="B1116" t="s">
        <v>661</v>
      </c>
      <c r="C1116" s="4">
        <v>46171</v>
      </c>
      <c r="D1116" t="s">
        <v>127</v>
      </c>
      <c r="E1116" t="s">
        <v>70</v>
      </c>
      <c r="F1116" s="4">
        <v>46172</v>
      </c>
      <c r="G1116" s="4">
        <v>46172</v>
      </c>
      <c r="H1116" t="s">
        <v>138</v>
      </c>
      <c r="I1116" t="s">
        <v>235</v>
      </c>
      <c r="J1116" t="s">
        <v>261</v>
      </c>
      <c r="K1116" t="s">
        <v>60</v>
      </c>
      <c r="L1116" t="s">
        <v>74</v>
      </c>
      <c r="M1116" s="5">
        <v>6700</v>
      </c>
      <c r="N1116" s="5">
        <v>1100</v>
      </c>
      <c r="O1116" s="5">
        <v>700</v>
      </c>
      <c r="P1116" s="5">
        <v>0</v>
      </c>
      <c r="Q1116" s="5">
        <v>9500</v>
      </c>
      <c r="R1116" t="s">
        <v>75</v>
      </c>
      <c r="S1116" t="s">
        <v>76</v>
      </c>
      <c r="T1116" s="5">
        <v>4580</v>
      </c>
      <c r="U1116" s="6">
        <v>4</v>
      </c>
      <c r="V1116" t="s">
        <v>64</v>
      </c>
      <c r="W1116" s="4"/>
      <c r="X1116" t="s">
        <v>65</v>
      </c>
      <c r="Y1116" t="s">
        <v>64</v>
      </c>
      <c r="Z1116" t="s">
        <v>78</v>
      </c>
    </row>
    <row r="1117" spans="1:26">
      <c r="A1117" t="s">
        <v>1848</v>
      </c>
      <c r="B1117" t="s">
        <v>453</v>
      </c>
      <c r="C1117" s="4">
        <v>46049</v>
      </c>
      <c r="D1117" t="s">
        <v>99</v>
      </c>
      <c r="E1117" t="s">
        <v>70</v>
      </c>
      <c r="F1117" s="4">
        <v>46050</v>
      </c>
      <c r="G1117" s="4">
        <v>46057</v>
      </c>
      <c r="H1117" t="s">
        <v>201</v>
      </c>
      <c r="I1117" t="s">
        <v>327</v>
      </c>
      <c r="J1117" t="s">
        <v>203</v>
      </c>
      <c r="K1117" t="s">
        <v>73</v>
      </c>
      <c r="L1117" t="s">
        <v>74</v>
      </c>
      <c r="M1117" s="5">
        <v>43800</v>
      </c>
      <c r="N1117" s="5">
        <v>5550</v>
      </c>
      <c r="O1117" s="5">
        <v>8650</v>
      </c>
      <c r="P1117" s="5">
        <v>24500</v>
      </c>
      <c r="Q1117" s="5">
        <v>83500</v>
      </c>
      <c r="R1117" t="s">
        <v>95</v>
      </c>
      <c r="S1117" t="s">
        <v>63</v>
      </c>
      <c r="T1117" s="5">
        <v>83500</v>
      </c>
      <c r="U1117" s="6">
        <v>3</v>
      </c>
      <c r="V1117" t="s">
        <v>64</v>
      </c>
      <c r="W1117" s="4"/>
      <c r="X1117" t="s">
        <v>65</v>
      </c>
      <c r="Y1117" t="s">
        <v>64</v>
      </c>
      <c r="Z1117" t="s">
        <v>96</v>
      </c>
    </row>
    <row r="1118" spans="1:26">
      <c r="A1118" t="s">
        <v>1849</v>
      </c>
      <c r="B1118" t="s">
        <v>401</v>
      </c>
      <c r="C1118" s="4">
        <v>46144</v>
      </c>
      <c r="D1118" t="s">
        <v>206</v>
      </c>
      <c r="E1118" t="s">
        <v>70</v>
      </c>
      <c r="F1118" s="4">
        <v>46144</v>
      </c>
      <c r="G1118" s="4">
        <v>46145</v>
      </c>
      <c r="H1118" t="s">
        <v>150</v>
      </c>
      <c r="I1118" t="s">
        <v>239</v>
      </c>
      <c r="J1118" t="s">
        <v>229</v>
      </c>
      <c r="K1118" t="s">
        <v>60</v>
      </c>
      <c r="L1118" t="s">
        <v>61</v>
      </c>
      <c r="M1118" s="5">
        <v>32500</v>
      </c>
      <c r="N1118" s="5">
        <v>4650</v>
      </c>
      <c r="O1118" s="5">
        <v>5400</v>
      </c>
      <c r="P1118" s="5">
        <v>4500</v>
      </c>
      <c r="Q1118" s="5">
        <v>48850</v>
      </c>
      <c r="R1118" t="s">
        <v>95</v>
      </c>
      <c r="S1118" t="s">
        <v>63</v>
      </c>
      <c r="T1118" s="5">
        <v>48850</v>
      </c>
      <c r="U1118" s="6">
        <v>5</v>
      </c>
      <c r="V1118" t="s">
        <v>77</v>
      </c>
      <c r="W1118" s="4">
        <v>46165</v>
      </c>
      <c r="X1118" t="s">
        <v>77</v>
      </c>
      <c r="Y1118" t="s">
        <v>64</v>
      </c>
      <c r="Z1118" t="s">
        <v>96</v>
      </c>
    </row>
    <row r="1119" spans="1:26">
      <c r="A1119" t="s">
        <v>1850</v>
      </c>
      <c r="B1119" t="s">
        <v>721</v>
      </c>
      <c r="C1119" s="4">
        <v>46028</v>
      </c>
      <c r="D1119" t="s">
        <v>439</v>
      </c>
      <c r="E1119" t="s">
        <v>70</v>
      </c>
      <c r="F1119" s="4">
        <v>46028</v>
      </c>
      <c r="G1119" s="4">
        <v>46034</v>
      </c>
      <c r="H1119" t="s">
        <v>178</v>
      </c>
      <c r="I1119" t="s">
        <v>462</v>
      </c>
      <c r="J1119" t="s">
        <v>180</v>
      </c>
      <c r="K1119" t="s">
        <v>93</v>
      </c>
      <c r="L1119" t="s">
        <v>94</v>
      </c>
      <c r="M1119" s="5">
        <v>75900</v>
      </c>
      <c r="N1119" s="5">
        <v>7650</v>
      </c>
      <c r="O1119" s="5">
        <v>11500</v>
      </c>
      <c r="P1119" s="5">
        <v>21000</v>
      </c>
      <c r="Q1119" s="5">
        <v>118550</v>
      </c>
      <c r="R1119" t="s">
        <v>85</v>
      </c>
      <c r="S1119" t="s">
        <v>76</v>
      </c>
      <c r="T1119" s="5">
        <v>30540</v>
      </c>
      <c r="U1119" s="6">
        <v>3</v>
      </c>
      <c r="V1119" t="s">
        <v>77</v>
      </c>
      <c r="W1119" s="4">
        <v>46047</v>
      </c>
      <c r="X1119" t="s">
        <v>77</v>
      </c>
      <c r="Y1119" t="s">
        <v>64</v>
      </c>
      <c r="Z1119" t="s">
        <v>107</v>
      </c>
    </row>
    <row r="1120" spans="1:26">
      <c r="A1120" t="s">
        <v>1851</v>
      </c>
      <c r="B1120" t="s">
        <v>1852</v>
      </c>
      <c r="C1120" s="4">
        <v>46161</v>
      </c>
      <c r="D1120" t="s">
        <v>330</v>
      </c>
      <c r="E1120" t="s">
        <v>70</v>
      </c>
      <c r="F1120" s="4">
        <v>46161</v>
      </c>
      <c r="G1120" s="4">
        <v>46161</v>
      </c>
      <c r="H1120" t="s">
        <v>121</v>
      </c>
      <c r="I1120" t="s">
        <v>122</v>
      </c>
      <c r="J1120" t="s">
        <v>252</v>
      </c>
      <c r="K1120" t="s">
        <v>60</v>
      </c>
      <c r="L1120" t="s">
        <v>94</v>
      </c>
      <c r="M1120" s="5">
        <v>65800</v>
      </c>
      <c r="N1120" s="5">
        <v>9500</v>
      </c>
      <c r="O1120" s="5">
        <v>11700</v>
      </c>
      <c r="P1120" s="5">
        <v>0</v>
      </c>
      <c r="Q1120" s="5">
        <v>88000</v>
      </c>
      <c r="R1120" t="s">
        <v>106</v>
      </c>
      <c r="S1120" t="s">
        <v>76</v>
      </c>
      <c r="T1120" s="5">
        <v>31500</v>
      </c>
      <c r="U1120" s="6">
        <v>4</v>
      </c>
      <c r="V1120" t="s">
        <v>77</v>
      </c>
      <c r="W1120" s="4">
        <v>46171</v>
      </c>
      <c r="X1120" t="s">
        <v>64</v>
      </c>
      <c r="Y1120" t="s">
        <v>64</v>
      </c>
      <c r="Z1120" t="s">
        <v>78</v>
      </c>
    </row>
    <row r="1121" spans="1:26">
      <c r="A1121" t="s">
        <v>1853</v>
      </c>
      <c r="B1121" t="s">
        <v>1592</v>
      </c>
      <c r="C1121" s="4">
        <v>46034</v>
      </c>
      <c r="D1121" t="s">
        <v>250</v>
      </c>
      <c r="E1121" t="s">
        <v>70</v>
      </c>
      <c r="F1121" s="4">
        <v>46034</v>
      </c>
      <c r="G1121" s="4">
        <v>46034</v>
      </c>
      <c r="H1121" t="s">
        <v>138</v>
      </c>
      <c r="I1121" t="s">
        <v>343</v>
      </c>
      <c r="J1121" t="s">
        <v>140</v>
      </c>
      <c r="K1121" t="s">
        <v>60</v>
      </c>
      <c r="L1121" t="s">
        <v>74</v>
      </c>
      <c r="M1121" s="5">
        <v>18500</v>
      </c>
      <c r="N1121" s="5">
        <v>2450</v>
      </c>
      <c r="O1121" s="5">
        <v>3950</v>
      </c>
      <c r="P1121" s="5">
        <v>0</v>
      </c>
      <c r="Q1121" s="5">
        <v>26700</v>
      </c>
      <c r="R1121" t="s">
        <v>95</v>
      </c>
      <c r="S1121" t="s">
        <v>63</v>
      </c>
      <c r="T1121" s="5">
        <v>26700</v>
      </c>
      <c r="U1121" s="6">
        <v>4</v>
      </c>
      <c r="V1121" t="s">
        <v>77</v>
      </c>
      <c r="W1121" s="4">
        <v>46049</v>
      </c>
      <c r="X1121" t="s">
        <v>64</v>
      </c>
      <c r="Y1121" t="s">
        <v>64</v>
      </c>
      <c r="Z1121" t="s">
        <v>96</v>
      </c>
    </row>
    <row r="1122" spans="1:26">
      <c r="A1122" t="s">
        <v>1854</v>
      </c>
      <c r="B1122" t="s">
        <v>805</v>
      </c>
      <c r="C1122" s="4">
        <v>46095</v>
      </c>
      <c r="D1122" t="s">
        <v>120</v>
      </c>
      <c r="E1122" t="s">
        <v>56</v>
      </c>
      <c r="F1122" s="4"/>
      <c r="G1122" s="4"/>
      <c r="H1122" t="s">
        <v>201</v>
      </c>
      <c r="I1122" t="s">
        <v>327</v>
      </c>
      <c r="J1122" t="s">
        <v>295</v>
      </c>
      <c r="K1122" t="s">
        <v>124</v>
      </c>
      <c r="L1122" t="s">
        <v>94</v>
      </c>
      <c r="M1122" s="5"/>
      <c r="N1122" s="5"/>
      <c r="O1122" s="5"/>
      <c r="P1122" s="5"/>
      <c r="Q1122" s="5"/>
      <c r="R1122" t="s">
        <v>106</v>
      </c>
      <c r="S1122" t="s">
        <v>63</v>
      </c>
      <c r="T1122" s="5"/>
      <c r="U1122" s="6"/>
      <c r="V1122" t="s">
        <v>64</v>
      </c>
      <c r="W1122" s="4"/>
      <c r="X1122" t="s">
        <v>65</v>
      </c>
      <c r="Z1122" t="s">
        <v>66</v>
      </c>
    </row>
    <row r="1123" spans="1:26">
      <c r="A1123" t="s">
        <v>1855</v>
      </c>
      <c r="B1123" t="s">
        <v>274</v>
      </c>
      <c r="C1123" s="4">
        <v>46152</v>
      </c>
      <c r="D1123" t="s">
        <v>363</v>
      </c>
      <c r="E1123" t="s">
        <v>314</v>
      </c>
      <c r="F1123" s="4"/>
      <c r="G1123" s="4"/>
      <c r="H1123" t="s">
        <v>150</v>
      </c>
      <c r="I1123" t="s">
        <v>239</v>
      </c>
      <c r="J1123" t="s">
        <v>188</v>
      </c>
      <c r="K1123" t="s">
        <v>124</v>
      </c>
      <c r="L1123" t="s">
        <v>61</v>
      </c>
      <c r="M1123" s="5"/>
      <c r="N1123" s="5"/>
      <c r="O1123" s="5"/>
      <c r="P1123" s="5"/>
      <c r="Q1123" s="5"/>
      <c r="R1123" t="s">
        <v>85</v>
      </c>
      <c r="S1123" t="s">
        <v>63</v>
      </c>
      <c r="T1123" s="5"/>
      <c r="U1123" s="6"/>
      <c r="V1123" t="s">
        <v>64</v>
      </c>
      <c r="W1123" s="4"/>
      <c r="X1123" t="s">
        <v>65</v>
      </c>
      <c r="Z1123" t="s">
        <v>66</v>
      </c>
    </row>
    <row r="1124" spans="1:26">
      <c r="A1124" t="s">
        <v>1856</v>
      </c>
      <c r="B1124" t="s">
        <v>1320</v>
      </c>
      <c r="C1124" s="4">
        <v>46151</v>
      </c>
      <c r="D1124" t="s">
        <v>200</v>
      </c>
      <c r="E1124" t="s">
        <v>177</v>
      </c>
      <c r="F1124" s="4"/>
      <c r="G1124" s="4"/>
      <c r="H1124" t="s">
        <v>138</v>
      </c>
      <c r="I1124" t="s">
        <v>444</v>
      </c>
      <c r="J1124" t="s">
        <v>140</v>
      </c>
      <c r="K1124" t="s">
        <v>124</v>
      </c>
      <c r="L1124" t="s">
        <v>94</v>
      </c>
      <c r="M1124" s="5"/>
      <c r="N1124" s="5"/>
      <c r="O1124" s="5"/>
      <c r="P1124" s="5"/>
      <c r="Q1124" s="5"/>
      <c r="R1124" t="s">
        <v>62</v>
      </c>
      <c r="S1124" t="s">
        <v>63</v>
      </c>
      <c r="T1124" s="5"/>
      <c r="U1124" s="6"/>
      <c r="V1124" t="s">
        <v>64</v>
      </c>
      <c r="W1124" s="4"/>
      <c r="X1124" t="s">
        <v>65</v>
      </c>
      <c r="Z1124" t="s">
        <v>66</v>
      </c>
    </row>
    <row r="1125" spans="1:26">
      <c r="A1125" t="s">
        <v>1857</v>
      </c>
      <c r="B1125" t="s">
        <v>1200</v>
      </c>
      <c r="C1125" s="4">
        <v>46078</v>
      </c>
      <c r="D1125" t="s">
        <v>99</v>
      </c>
      <c r="E1125" t="s">
        <v>177</v>
      </c>
      <c r="F1125" s="4"/>
      <c r="G1125" s="4"/>
      <c r="H1125" t="s">
        <v>201</v>
      </c>
      <c r="I1125" t="s">
        <v>515</v>
      </c>
      <c r="J1125" t="s">
        <v>203</v>
      </c>
      <c r="K1125" t="s">
        <v>124</v>
      </c>
      <c r="L1125" t="s">
        <v>94</v>
      </c>
      <c r="M1125" s="5"/>
      <c r="N1125" s="5"/>
      <c r="O1125" s="5"/>
      <c r="P1125" s="5"/>
      <c r="Q1125" s="5"/>
      <c r="R1125" t="s">
        <v>141</v>
      </c>
      <c r="S1125" t="s">
        <v>63</v>
      </c>
      <c r="T1125" s="5"/>
      <c r="U1125" s="6"/>
      <c r="V1125" t="s">
        <v>64</v>
      </c>
      <c r="W1125" s="4"/>
      <c r="X1125" t="s">
        <v>65</v>
      </c>
      <c r="Z1125" t="s">
        <v>66</v>
      </c>
    </row>
    <row r="1126" spans="1:26">
      <c r="A1126" t="s">
        <v>1858</v>
      </c>
      <c r="B1126" t="s">
        <v>872</v>
      </c>
      <c r="C1126" s="4">
        <v>46110</v>
      </c>
      <c r="D1126" t="s">
        <v>110</v>
      </c>
      <c r="E1126" t="s">
        <v>70</v>
      </c>
      <c r="F1126" s="4">
        <v>46110</v>
      </c>
      <c r="G1126" s="4">
        <v>46114</v>
      </c>
      <c r="H1126" t="s">
        <v>90</v>
      </c>
      <c r="I1126" t="s">
        <v>299</v>
      </c>
      <c r="J1126" t="s">
        <v>197</v>
      </c>
      <c r="K1126" t="s">
        <v>124</v>
      </c>
      <c r="L1126" t="s">
        <v>61</v>
      </c>
      <c r="M1126" s="5">
        <v>22000</v>
      </c>
      <c r="N1126" s="5">
        <v>3750</v>
      </c>
      <c r="O1126" s="5">
        <v>4200</v>
      </c>
      <c r="P1126" s="5">
        <v>24000</v>
      </c>
      <c r="Q1126" s="5">
        <v>55450</v>
      </c>
      <c r="R1126" t="s">
        <v>85</v>
      </c>
      <c r="S1126" t="s">
        <v>76</v>
      </c>
      <c r="T1126" s="5">
        <v>14760</v>
      </c>
      <c r="U1126" s="6">
        <v>3</v>
      </c>
      <c r="V1126" t="s">
        <v>77</v>
      </c>
      <c r="W1126" s="4">
        <v>46121</v>
      </c>
      <c r="X1126" t="s">
        <v>64</v>
      </c>
      <c r="Y1126" t="s">
        <v>64</v>
      </c>
      <c r="Z1126" t="s">
        <v>96</v>
      </c>
    </row>
    <row r="1127" spans="1:26">
      <c r="A1127" t="s">
        <v>1859</v>
      </c>
      <c r="B1127" t="s">
        <v>392</v>
      </c>
      <c r="C1127" s="4">
        <v>46053</v>
      </c>
      <c r="D1127" t="s">
        <v>149</v>
      </c>
      <c r="E1127" t="s">
        <v>314</v>
      </c>
      <c r="F1127" s="4"/>
      <c r="G1127" s="4"/>
      <c r="H1127" t="s">
        <v>90</v>
      </c>
      <c r="I1127" t="s">
        <v>133</v>
      </c>
      <c r="J1127" t="s">
        <v>92</v>
      </c>
      <c r="K1127" t="s">
        <v>124</v>
      </c>
      <c r="L1127" t="s">
        <v>94</v>
      </c>
      <c r="M1127" s="5"/>
      <c r="N1127" s="5"/>
      <c r="O1127" s="5"/>
      <c r="P1127" s="5"/>
      <c r="Q1127" s="5"/>
      <c r="R1127" t="s">
        <v>106</v>
      </c>
      <c r="S1127" t="s">
        <v>63</v>
      </c>
      <c r="T1127" s="5"/>
      <c r="U1127" s="6"/>
      <c r="V1127" t="s">
        <v>64</v>
      </c>
      <c r="W1127" s="4"/>
      <c r="X1127" t="s">
        <v>65</v>
      </c>
      <c r="Z1127" t="s">
        <v>66</v>
      </c>
    </row>
    <row r="1128" spans="1:26">
      <c r="A1128" t="s">
        <v>1860</v>
      </c>
      <c r="B1128" t="s">
        <v>1861</v>
      </c>
      <c r="C1128" s="4">
        <v>46114</v>
      </c>
      <c r="D1128" t="s">
        <v>69</v>
      </c>
      <c r="E1128" t="s">
        <v>70</v>
      </c>
      <c r="F1128" s="4">
        <v>46114</v>
      </c>
      <c r="G1128" s="4">
        <v>46123</v>
      </c>
      <c r="H1128" t="s">
        <v>90</v>
      </c>
      <c r="I1128" t="s">
        <v>91</v>
      </c>
      <c r="J1128" t="s">
        <v>92</v>
      </c>
      <c r="K1128" t="s">
        <v>93</v>
      </c>
      <c r="L1128" t="s">
        <v>61</v>
      </c>
      <c r="M1128" s="5">
        <v>62000</v>
      </c>
      <c r="N1128" s="5">
        <v>8250</v>
      </c>
      <c r="O1128" s="5">
        <v>12700</v>
      </c>
      <c r="P1128" s="5">
        <v>40500</v>
      </c>
      <c r="Q1128" s="5">
        <v>124650</v>
      </c>
      <c r="R1128" t="s">
        <v>62</v>
      </c>
      <c r="S1128" t="s">
        <v>76</v>
      </c>
      <c r="T1128" s="5">
        <v>37800</v>
      </c>
      <c r="U1128" s="6">
        <v>4</v>
      </c>
      <c r="V1128" t="s">
        <v>77</v>
      </c>
      <c r="W1128" s="4">
        <v>46143</v>
      </c>
      <c r="X1128" t="s">
        <v>77</v>
      </c>
      <c r="Y1128" t="s">
        <v>64</v>
      </c>
      <c r="Z1128" t="s">
        <v>436</v>
      </c>
    </row>
    <row r="1129" spans="1:26">
      <c r="A1129" t="s">
        <v>1862</v>
      </c>
      <c r="B1129" t="s">
        <v>1863</v>
      </c>
      <c r="C1129" s="4">
        <v>46114</v>
      </c>
      <c r="D1129" t="s">
        <v>266</v>
      </c>
      <c r="E1129" t="s">
        <v>70</v>
      </c>
      <c r="F1129" s="4">
        <v>46114</v>
      </c>
      <c r="G1129" s="4">
        <v>46115</v>
      </c>
      <c r="H1129" t="s">
        <v>82</v>
      </c>
      <c r="I1129" t="s">
        <v>83</v>
      </c>
      <c r="J1129" t="s">
        <v>84</v>
      </c>
      <c r="K1129" t="s">
        <v>124</v>
      </c>
      <c r="L1129" t="s">
        <v>94</v>
      </c>
      <c r="M1129" s="5">
        <v>7700</v>
      </c>
      <c r="N1129" s="5">
        <v>850</v>
      </c>
      <c r="O1129" s="5">
        <v>1400</v>
      </c>
      <c r="P1129" s="5">
        <v>2500</v>
      </c>
      <c r="Q1129" s="5">
        <v>14250</v>
      </c>
      <c r="R1129" t="s">
        <v>106</v>
      </c>
      <c r="S1129" t="s">
        <v>76</v>
      </c>
      <c r="T1129" s="5">
        <v>5690</v>
      </c>
      <c r="U1129" s="6">
        <v>5</v>
      </c>
      <c r="V1129" t="s">
        <v>77</v>
      </c>
      <c r="W1129" s="4">
        <v>46124</v>
      </c>
      <c r="X1129" t="s">
        <v>64</v>
      </c>
      <c r="Y1129" t="s">
        <v>64</v>
      </c>
      <c r="Z1129" t="s">
        <v>78</v>
      </c>
    </row>
    <row r="1130" spans="1:26">
      <c r="A1130" t="s">
        <v>1864</v>
      </c>
      <c r="B1130" t="s">
        <v>762</v>
      </c>
      <c r="C1130" s="4">
        <v>46115</v>
      </c>
      <c r="D1130" t="s">
        <v>89</v>
      </c>
      <c r="E1130" t="s">
        <v>70</v>
      </c>
      <c r="F1130" s="4">
        <v>46115</v>
      </c>
      <c r="G1130" s="4">
        <v>46124</v>
      </c>
      <c r="H1130" t="s">
        <v>138</v>
      </c>
      <c r="I1130" t="s">
        <v>260</v>
      </c>
      <c r="J1130" t="s">
        <v>236</v>
      </c>
      <c r="K1130" t="s">
        <v>124</v>
      </c>
      <c r="L1130" t="s">
        <v>94</v>
      </c>
      <c r="M1130" s="5">
        <v>35100</v>
      </c>
      <c r="N1130" s="5">
        <v>3650</v>
      </c>
      <c r="O1130" s="5">
        <v>8450</v>
      </c>
      <c r="P1130" s="5">
        <v>22500</v>
      </c>
      <c r="Q1130" s="5">
        <v>72200</v>
      </c>
      <c r="R1130" t="s">
        <v>85</v>
      </c>
      <c r="S1130" t="s">
        <v>76</v>
      </c>
      <c r="T1130" s="5">
        <v>18950</v>
      </c>
      <c r="U1130" s="6">
        <v>3</v>
      </c>
      <c r="V1130" t="s">
        <v>64</v>
      </c>
      <c r="W1130" s="4"/>
      <c r="X1130" t="s">
        <v>65</v>
      </c>
      <c r="Y1130" t="s">
        <v>64</v>
      </c>
      <c r="Z1130" t="s">
        <v>78</v>
      </c>
    </row>
    <row r="1131" spans="1:26">
      <c r="A1131" t="s">
        <v>1865</v>
      </c>
      <c r="B1131" t="s">
        <v>1542</v>
      </c>
      <c r="C1131" s="4">
        <v>46172</v>
      </c>
      <c r="D1131" t="s">
        <v>294</v>
      </c>
      <c r="E1131" t="s">
        <v>70</v>
      </c>
      <c r="F1131" s="4">
        <v>46172</v>
      </c>
      <c r="G1131" s="4">
        <v>46178</v>
      </c>
      <c r="H1131" t="s">
        <v>138</v>
      </c>
      <c r="I1131" t="s">
        <v>352</v>
      </c>
      <c r="J1131" t="s">
        <v>236</v>
      </c>
      <c r="K1131" t="s">
        <v>73</v>
      </c>
      <c r="L1131" t="s">
        <v>61</v>
      </c>
      <c r="M1131" s="5">
        <v>28800</v>
      </c>
      <c r="N1131" s="5">
        <v>5000</v>
      </c>
      <c r="O1131" s="5">
        <v>4650</v>
      </c>
      <c r="P1131" s="5">
        <v>21000</v>
      </c>
      <c r="Q1131" s="5">
        <v>61250</v>
      </c>
      <c r="R1131" t="s">
        <v>106</v>
      </c>
      <c r="S1131" t="s">
        <v>76</v>
      </c>
      <c r="T1131" s="5">
        <v>22140</v>
      </c>
      <c r="U1131" s="6">
        <v>3</v>
      </c>
      <c r="V1131" t="s">
        <v>77</v>
      </c>
      <c r="W1131" s="4">
        <v>46197</v>
      </c>
      <c r="X1131" t="s">
        <v>64</v>
      </c>
      <c r="Y1131" t="s">
        <v>64</v>
      </c>
      <c r="Z1131" t="s">
        <v>96</v>
      </c>
    </row>
    <row r="1132" spans="1:26">
      <c r="A1132" t="s">
        <v>1866</v>
      </c>
      <c r="B1132" t="s">
        <v>736</v>
      </c>
      <c r="C1132" s="4">
        <v>46099</v>
      </c>
      <c r="D1132" t="s">
        <v>266</v>
      </c>
      <c r="E1132" t="s">
        <v>70</v>
      </c>
      <c r="F1132" s="4">
        <v>46099</v>
      </c>
      <c r="G1132" s="4">
        <v>46106</v>
      </c>
      <c r="H1132" t="s">
        <v>178</v>
      </c>
      <c r="I1132" t="s">
        <v>179</v>
      </c>
      <c r="J1132" t="s">
        <v>180</v>
      </c>
      <c r="K1132" t="s">
        <v>93</v>
      </c>
      <c r="L1132" t="s">
        <v>94</v>
      </c>
      <c r="M1132" s="5">
        <v>89400</v>
      </c>
      <c r="N1132" s="5">
        <v>8200</v>
      </c>
      <c r="O1132" s="5">
        <v>11850</v>
      </c>
      <c r="P1132" s="5">
        <v>31500</v>
      </c>
      <c r="Q1132" s="5">
        <v>141950</v>
      </c>
      <c r="R1132" t="s">
        <v>75</v>
      </c>
      <c r="S1132" t="s">
        <v>76</v>
      </c>
      <c r="T1132" s="5">
        <v>64180</v>
      </c>
      <c r="U1132" s="6">
        <v>4</v>
      </c>
      <c r="V1132" t="s">
        <v>77</v>
      </c>
      <c r="W1132" s="4">
        <v>46125</v>
      </c>
      <c r="X1132" t="s">
        <v>77</v>
      </c>
      <c r="Y1132" t="s">
        <v>64</v>
      </c>
      <c r="Z1132" t="s">
        <v>78</v>
      </c>
    </row>
    <row r="1133" spans="1:26">
      <c r="A1133" t="s">
        <v>1867</v>
      </c>
      <c r="B1133" t="s">
        <v>968</v>
      </c>
      <c r="C1133" s="4">
        <v>46168</v>
      </c>
      <c r="D1133" t="s">
        <v>183</v>
      </c>
      <c r="E1133" t="s">
        <v>56</v>
      </c>
      <c r="F1133" s="4"/>
      <c r="G1133" s="4"/>
      <c r="H1133" t="s">
        <v>138</v>
      </c>
      <c r="I1133" t="s">
        <v>352</v>
      </c>
      <c r="J1133" t="s">
        <v>236</v>
      </c>
      <c r="K1133" t="s">
        <v>124</v>
      </c>
      <c r="L1133" t="s">
        <v>61</v>
      </c>
      <c r="M1133" s="5"/>
      <c r="N1133" s="5"/>
      <c r="O1133" s="5"/>
      <c r="P1133" s="5"/>
      <c r="Q1133" s="5"/>
      <c r="R1133" t="s">
        <v>85</v>
      </c>
      <c r="S1133" t="s">
        <v>63</v>
      </c>
      <c r="T1133" s="5"/>
      <c r="U1133" s="6"/>
      <c r="V1133" t="s">
        <v>64</v>
      </c>
      <c r="W1133" s="4"/>
      <c r="X1133" t="s">
        <v>65</v>
      </c>
      <c r="Z1133" t="s">
        <v>66</v>
      </c>
    </row>
    <row r="1134" spans="1:26">
      <c r="A1134" t="s">
        <v>1868</v>
      </c>
      <c r="B1134" t="s">
        <v>278</v>
      </c>
      <c r="C1134" s="4">
        <v>46110</v>
      </c>
      <c r="D1134" t="s">
        <v>183</v>
      </c>
      <c r="E1134" t="s">
        <v>70</v>
      </c>
      <c r="F1134" s="4">
        <v>46110</v>
      </c>
      <c r="G1134" s="4">
        <v>46111</v>
      </c>
      <c r="H1134" t="s">
        <v>82</v>
      </c>
      <c r="I1134" t="s">
        <v>83</v>
      </c>
      <c r="J1134" t="s">
        <v>291</v>
      </c>
      <c r="K1134" t="s">
        <v>60</v>
      </c>
      <c r="L1134" t="s">
        <v>94</v>
      </c>
      <c r="M1134" s="5">
        <v>33700</v>
      </c>
      <c r="N1134" s="5">
        <v>3600</v>
      </c>
      <c r="O1134" s="5">
        <v>7100</v>
      </c>
      <c r="P1134" s="5">
        <v>2500</v>
      </c>
      <c r="Q1134" s="5">
        <v>48700</v>
      </c>
      <c r="R1134" t="s">
        <v>106</v>
      </c>
      <c r="S1134" t="s">
        <v>76</v>
      </c>
      <c r="T1134" s="5">
        <v>17740</v>
      </c>
      <c r="U1134" s="6">
        <v>4</v>
      </c>
      <c r="V1134" t="s">
        <v>77</v>
      </c>
      <c r="W1134" s="4">
        <v>46130</v>
      </c>
      <c r="X1134" t="s">
        <v>64</v>
      </c>
      <c r="Y1134" t="s">
        <v>64</v>
      </c>
      <c r="Z1134" t="s">
        <v>96</v>
      </c>
    </row>
    <row r="1135" spans="1:26">
      <c r="A1135" t="s">
        <v>1869</v>
      </c>
      <c r="B1135" t="s">
        <v>1870</v>
      </c>
      <c r="C1135" s="4">
        <v>46093</v>
      </c>
      <c r="D1135" t="s">
        <v>137</v>
      </c>
      <c r="E1135" t="s">
        <v>56</v>
      </c>
      <c r="F1135" s="4"/>
      <c r="G1135" s="4"/>
      <c r="H1135" t="s">
        <v>103</v>
      </c>
      <c r="I1135" t="s">
        <v>104</v>
      </c>
      <c r="J1135" t="s">
        <v>244</v>
      </c>
      <c r="K1135" t="s">
        <v>60</v>
      </c>
      <c r="L1135" t="s">
        <v>74</v>
      </c>
      <c r="M1135" s="5"/>
      <c r="N1135" s="5"/>
      <c r="O1135" s="5"/>
      <c r="P1135" s="5"/>
      <c r="Q1135" s="5"/>
      <c r="R1135" t="s">
        <v>141</v>
      </c>
      <c r="S1135" t="s">
        <v>63</v>
      </c>
      <c r="T1135" s="5"/>
      <c r="U1135" s="6"/>
      <c r="V1135" t="s">
        <v>64</v>
      </c>
      <c r="W1135" s="4"/>
      <c r="X1135" t="s">
        <v>65</v>
      </c>
      <c r="Z1135" t="s">
        <v>66</v>
      </c>
    </row>
    <row r="1136" spans="1:26">
      <c r="A1136" t="s">
        <v>1871</v>
      </c>
      <c r="B1136" t="s">
        <v>635</v>
      </c>
      <c r="C1136" s="4">
        <v>46113</v>
      </c>
      <c r="D1136" t="s">
        <v>149</v>
      </c>
      <c r="E1136" t="s">
        <v>56</v>
      </c>
      <c r="F1136" s="4"/>
      <c r="G1136" s="4"/>
      <c r="H1136" t="s">
        <v>138</v>
      </c>
      <c r="I1136" t="s">
        <v>352</v>
      </c>
      <c r="J1136" t="s">
        <v>261</v>
      </c>
      <c r="K1136" t="s">
        <v>73</v>
      </c>
      <c r="L1136" t="s">
        <v>61</v>
      </c>
      <c r="M1136" s="5"/>
      <c r="N1136" s="5"/>
      <c r="O1136" s="5"/>
      <c r="P1136" s="5"/>
      <c r="Q1136" s="5"/>
      <c r="R1136" t="s">
        <v>75</v>
      </c>
      <c r="S1136" t="s">
        <v>63</v>
      </c>
      <c r="T1136" s="5"/>
      <c r="U1136" s="6"/>
      <c r="V1136" t="s">
        <v>64</v>
      </c>
      <c r="W1136" s="4"/>
      <c r="X1136" t="s">
        <v>65</v>
      </c>
      <c r="Z1136" t="s">
        <v>66</v>
      </c>
    </row>
    <row r="1137" spans="1:26">
      <c r="A1137" t="s">
        <v>1872</v>
      </c>
      <c r="B1137" t="s">
        <v>429</v>
      </c>
      <c r="C1137" s="4">
        <v>46077</v>
      </c>
      <c r="D1137" t="s">
        <v>210</v>
      </c>
      <c r="E1137" t="s">
        <v>314</v>
      </c>
      <c r="F1137" s="4"/>
      <c r="G1137" s="4"/>
      <c r="H1137" t="s">
        <v>201</v>
      </c>
      <c r="I1137" t="s">
        <v>515</v>
      </c>
      <c r="J1137" t="s">
        <v>281</v>
      </c>
      <c r="K1137" t="s">
        <v>60</v>
      </c>
      <c r="L1137" t="s">
        <v>94</v>
      </c>
      <c r="M1137" s="5"/>
      <c r="N1137" s="5"/>
      <c r="O1137" s="5"/>
      <c r="P1137" s="5"/>
      <c r="Q1137" s="5"/>
      <c r="R1137" t="s">
        <v>85</v>
      </c>
      <c r="S1137" t="s">
        <v>63</v>
      </c>
      <c r="T1137" s="5"/>
      <c r="U1137" s="6"/>
      <c r="V1137" t="s">
        <v>64</v>
      </c>
      <c r="W1137" s="4"/>
      <c r="X1137" t="s">
        <v>65</v>
      </c>
      <c r="Z1137" t="s">
        <v>66</v>
      </c>
    </row>
    <row r="1138" spans="1:26">
      <c r="A1138" t="s">
        <v>1873</v>
      </c>
      <c r="B1138" t="s">
        <v>396</v>
      </c>
      <c r="C1138" s="4">
        <v>46114</v>
      </c>
      <c r="D1138" t="s">
        <v>120</v>
      </c>
      <c r="E1138" t="s">
        <v>177</v>
      </c>
      <c r="F1138" s="4"/>
      <c r="G1138" s="4"/>
      <c r="H1138" t="s">
        <v>90</v>
      </c>
      <c r="I1138" t="s">
        <v>133</v>
      </c>
      <c r="J1138" t="s">
        <v>92</v>
      </c>
      <c r="K1138" t="s">
        <v>124</v>
      </c>
      <c r="L1138" t="s">
        <v>61</v>
      </c>
      <c r="M1138" s="5"/>
      <c r="N1138" s="5"/>
      <c r="O1138" s="5"/>
      <c r="P1138" s="5"/>
      <c r="Q1138" s="5"/>
      <c r="R1138" t="s">
        <v>95</v>
      </c>
      <c r="S1138" t="s">
        <v>63</v>
      </c>
      <c r="T1138" s="5"/>
      <c r="U1138" s="6"/>
      <c r="V1138" t="s">
        <v>64</v>
      </c>
      <c r="W1138" s="4"/>
      <c r="X1138" t="s">
        <v>65</v>
      </c>
      <c r="Z1138" t="s">
        <v>66</v>
      </c>
    </row>
    <row r="1139" spans="1:26">
      <c r="A1139" t="s">
        <v>1874</v>
      </c>
      <c r="B1139" t="s">
        <v>1875</v>
      </c>
      <c r="C1139" s="4">
        <v>46098</v>
      </c>
      <c r="D1139" t="s">
        <v>69</v>
      </c>
      <c r="E1139" t="s">
        <v>70</v>
      </c>
      <c r="F1139" s="4">
        <v>46099</v>
      </c>
      <c r="G1139" s="4">
        <v>46100</v>
      </c>
      <c r="H1139" t="s">
        <v>57</v>
      </c>
      <c r="I1139" t="s">
        <v>100</v>
      </c>
      <c r="J1139" t="s">
        <v>170</v>
      </c>
      <c r="K1139" t="s">
        <v>60</v>
      </c>
      <c r="L1139" t="s">
        <v>74</v>
      </c>
      <c r="M1139" s="5">
        <v>47400</v>
      </c>
      <c r="N1139" s="5">
        <v>7200</v>
      </c>
      <c r="O1139" s="5">
        <v>8000</v>
      </c>
      <c r="P1139" s="5">
        <v>3000</v>
      </c>
      <c r="Q1139" s="5">
        <v>67600</v>
      </c>
      <c r="R1139" t="s">
        <v>75</v>
      </c>
      <c r="S1139" t="s">
        <v>76</v>
      </c>
      <c r="T1139" s="5">
        <v>30720</v>
      </c>
      <c r="U1139" s="6">
        <v>5</v>
      </c>
      <c r="V1139" t="s">
        <v>64</v>
      </c>
      <c r="W1139" s="4"/>
      <c r="X1139" t="s">
        <v>65</v>
      </c>
      <c r="Y1139" t="s">
        <v>64</v>
      </c>
      <c r="Z1139" t="s">
        <v>78</v>
      </c>
    </row>
    <row r="1140" spans="1:26">
      <c r="A1140" t="s">
        <v>1876</v>
      </c>
      <c r="B1140" t="s">
        <v>373</v>
      </c>
      <c r="C1140" s="4">
        <v>46112</v>
      </c>
      <c r="D1140" t="s">
        <v>225</v>
      </c>
      <c r="E1140" t="s">
        <v>70</v>
      </c>
      <c r="F1140" s="4">
        <v>46112</v>
      </c>
      <c r="G1140" s="4">
        <v>46115</v>
      </c>
      <c r="H1140" t="s">
        <v>201</v>
      </c>
      <c r="I1140" t="s">
        <v>280</v>
      </c>
      <c r="J1140" t="s">
        <v>281</v>
      </c>
      <c r="K1140" t="s">
        <v>73</v>
      </c>
      <c r="L1140" t="s">
        <v>61</v>
      </c>
      <c r="M1140" s="5">
        <v>5800</v>
      </c>
      <c r="N1140" s="5">
        <v>500</v>
      </c>
      <c r="O1140" s="5">
        <v>950</v>
      </c>
      <c r="P1140" s="5">
        <v>7500</v>
      </c>
      <c r="Q1140" s="5">
        <v>15750</v>
      </c>
      <c r="R1140" t="s">
        <v>75</v>
      </c>
      <c r="S1140" t="s">
        <v>76</v>
      </c>
      <c r="T1140" s="5">
        <v>7390</v>
      </c>
      <c r="U1140" s="6">
        <v>4</v>
      </c>
      <c r="V1140" t="s">
        <v>64</v>
      </c>
      <c r="W1140" s="4"/>
      <c r="X1140" t="s">
        <v>65</v>
      </c>
      <c r="Y1140" t="s">
        <v>64</v>
      </c>
      <c r="Z1140" t="s">
        <v>78</v>
      </c>
    </row>
    <row r="1141" spans="1:26">
      <c r="A1141" t="s">
        <v>1877</v>
      </c>
      <c r="B1141" t="s">
        <v>1878</v>
      </c>
      <c r="C1141" s="4">
        <v>46137</v>
      </c>
      <c r="D1141" t="s">
        <v>469</v>
      </c>
      <c r="E1141" t="s">
        <v>177</v>
      </c>
      <c r="F1141" s="4"/>
      <c r="G1141" s="4"/>
      <c r="H1141" t="s">
        <v>138</v>
      </c>
      <c r="I1141" t="s">
        <v>139</v>
      </c>
      <c r="J1141" t="s">
        <v>261</v>
      </c>
      <c r="K1141" t="s">
        <v>93</v>
      </c>
      <c r="L1141" t="s">
        <v>61</v>
      </c>
      <c r="M1141" s="5"/>
      <c r="N1141" s="5"/>
      <c r="O1141" s="5"/>
      <c r="P1141" s="5"/>
      <c r="Q1141" s="5"/>
      <c r="R1141" t="s">
        <v>95</v>
      </c>
      <c r="S1141" t="s">
        <v>63</v>
      </c>
      <c r="T1141" s="5"/>
      <c r="U1141" s="6"/>
      <c r="V1141" t="s">
        <v>64</v>
      </c>
      <c r="W1141" s="4"/>
      <c r="X1141" t="s">
        <v>65</v>
      </c>
      <c r="Z1141" t="s">
        <v>66</v>
      </c>
    </row>
    <row r="1142" spans="1:26">
      <c r="A1142" t="s">
        <v>1879</v>
      </c>
      <c r="B1142" t="s">
        <v>524</v>
      </c>
      <c r="C1142" s="4">
        <v>46138</v>
      </c>
      <c r="D1142" t="s">
        <v>419</v>
      </c>
      <c r="E1142" t="s">
        <v>70</v>
      </c>
      <c r="F1142" s="4">
        <v>46139</v>
      </c>
      <c r="G1142" s="4">
        <v>46139</v>
      </c>
      <c r="H1142" t="s">
        <v>103</v>
      </c>
      <c r="I1142" t="s">
        <v>364</v>
      </c>
      <c r="J1142" t="s">
        <v>145</v>
      </c>
      <c r="K1142" t="s">
        <v>60</v>
      </c>
      <c r="L1142" t="s">
        <v>74</v>
      </c>
      <c r="M1142" s="5">
        <v>35300</v>
      </c>
      <c r="N1142" s="5">
        <v>5950</v>
      </c>
      <c r="O1142" s="5">
        <v>7800</v>
      </c>
      <c r="P1142" s="5">
        <v>0</v>
      </c>
      <c r="Q1142" s="5">
        <v>49850</v>
      </c>
      <c r="R1142" t="s">
        <v>95</v>
      </c>
      <c r="S1142" t="s">
        <v>63</v>
      </c>
      <c r="T1142" s="5">
        <v>49850</v>
      </c>
      <c r="U1142" s="6">
        <v>3</v>
      </c>
      <c r="V1142" t="s">
        <v>64</v>
      </c>
      <c r="W1142" s="4"/>
      <c r="X1142" t="s">
        <v>65</v>
      </c>
      <c r="Y1142" t="s">
        <v>64</v>
      </c>
      <c r="Z1142" t="s">
        <v>96</v>
      </c>
    </row>
    <row r="1143" spans="1:26">
      <c r="A1143" t="s">
        <v>1880</v>
      </c>
      <c r="B1143" t="s">
        <v>892</v>
      </c>
      <c r="C1143" s="4">
        <v>46101</v>
      </c>
      <c r="D1143" t="s">
        <v>206</v>
      </c>
      <c r="E1143" t="s">
        <v>70</v>
      </c>
      <c r="F1143" s="4">
        <v>46101</v>
      </c>
      <c r="G1143" s="4">
        <v>46105</v>
      </c>
      <c r="H1143" t="s">
        <v>57</v>
      </c>
      <c r="I1143" t="s">
        <v>58</v>
      </c>
      <c r="J1143" t="s">
        <v>59</v>
      </c>
      <c r="K1143" t="s">
        <v>73</v>
      </c>
      <c r="L1143" t="s">
        <v>61</v>
      </c>
      <c r="M1143" s="5">
        <v>44800</v>
      </c>
      <c r="N1143" s="5">
        <v>6250</v>
      </c>
      <c r="O1143" s="5">
        <v>8850</v>
      </c>
      <c r="P1143" s="5">
        <v>24000</v>
      </c>
      <c r="Q1143" s="5">
        <v>86400</v>
      </c>
      <c r="R1143" t="s">
        <v>75</v>
      </c>
      <c r="S1143" t="s">
        <v>76</v>
      </c>
      <c r="T1143" s="5">
        <v>39180</v>
      </c>
      <c r="U1143" s="6">
        <v>4</v>
      </c>
      <c r="V1143" t="s">
        <v>77</v>
      </c>
      <c r="W1143" s="4">
        <v>46125</v>
      </c>
      <c r="X1143" t="s">
        <v>64</v>
      </c>
      <c r="Y1143" t="s">
        <v>64</v>
      </c>
      <c r="Z1143" t="s">
        <v>96</v>
      </c>
    </row>
    <row r="1144" spans="1:26">
      <c r="A1144" t="s">
        <v>1881</v>
      </c>
      <c r="B1144" t="s">
        <v>453</v>
      </c>
      <c r="C1144" s="4">
        <v>46078</v>
      </c>
      <c r="D1144" t="s">
        <v>144</v>
      </c>
      <c r="E1144" t="s">
        <v>70</v>
      </c>
      <c r="F1144" s="4">
        <v>46078</v>
      </c>
      <c r="G1144" s="4">
        <v>46080</v>
      </c>
      <c r="H1144" t="s">
        <v>178</v>
      </c>
      <c r="I1144" t="s">
        <v>218</v>
      </c>
      <c r="J1144" t="s">
        <v>180</v>
      </c>
      <c r="K1144" t="s">
        <v>93</v>
      </c>
      <c r="L1144" t="s">
        <v>74</v>
      </c>
      <c r="M1144" s="5">
        <v>55500</v>
      </c>
      <c r="N1144" s="5">
        <v>6000</v>
      </c>
      <c r="O1144" s="5">
        <v>13400</v>
      </c>
      <c r="P1144" s="5">
        <v>9000</v>
      </c>
      <c r="Q1144" s="5">
        <v>85400</v>
      </c>
      <c r="R1144" t="s">
        <v>95</v>
      </c>
      <c r="S1144" t="s">
        <v>63</v>
      </c>
      <c r="T1144" s="5">
        <v>85400</v>
      </c>
      <c r="U1144" s="6">
        <v>4</v>
      </c>
      <c r="V1144" t="s">
        <v>77</v>
      </c>
      <c r="W1144" s="4">
        <v>46087</v>
      </c>
      <c r="X1144" t="s">
        <v>64</v>
      </c>
      <c r="Y1144" t="s">
        <v>64</v>
      </c>
      <c r="Z1144" t="s">
        <v>436</v>
      </c>
    </row>
    <row r="1145" spans="1:26">
      <c r="A1145" t="s">
        <v>1882</v>
      </c>
      <c r="B1145" t="s">
        <v>1320</v>
      </c>
      <c r="C1145" s="4">
        <v>46160</v>
      </c>
      <c r="D1145" t="s">
        <v>298</v>
      </c>
      <c r="E1145" t="s">
        <v>70</v>
      </c>
      <c r="F1145" s="4">
        <v>46160</v>
      </c>
      <c r="G1145" s="4">
        <v>46167</v>
      </c>
      <c r="H1145" t="s">
        <v>121</v>
      </c>
      <c r="I1145" t="s">
        <v>386</v>
      </c>
      <c r="J1145" t="s">
        <v>252</v>
      </c>
      <c r="K1145" t="s">
        <v>124</v>
      </c>
      <c r="L1145" t="s">
        <v>61</v>
      </c>
      <c r="M1145" s="5">
        <v>53500</v>
      </c>
      <c r="N1145" s="5">
        <v>5400</v>
      </c>
      <c r="O1145" s="5">
        <v>9250</v>
      </c>
      <c r="P1145" s="5">
        <v>42000</v>
      </c>
      <c r="Q1145" s="5">
        <v>112650</v>
      </c>
      <c r="R1145" t="s">
        <v>95</v>
      </c>
      <c r="S1145" t="s">
        <v>63</v>
      </c>
      <c r="T1145" s="5">
        <v>112650</v>
      </c>
      <c r="U1145" s="6">
        <v>4</v>
      </c>
      <c r="V1145" t="s">
        <v>77</v>
      </c>
      <c r="W1145" s="4">
        <v>46180</v>
      </c>
      <c r="X1145" t="s">
        <v>77</v>
      </c>
      <c r="Y1145" t="s">
        <v>77</v>
      </c>
      <c r="Z1145" t="s">
        <v>107</v>
      </c>
    </row>
    <row r="1146" spans="1:26">
      <c r="A1146" t="s">
        <v>1883</v>
      </c>
      <c r="B1146" t="s">
        <v>1572</v>
      </c>
      <c r="C1146" s="4">
        <v>46090</v>
      </c>
      <c r="D1146" t="s">
        <v>149</v>
      </c>
      <c r="E1146" t="s">
        <v>70</v>
      </c>
      <c r="F1146" s="4">
        <v>46090</v>
      </c>
      <c r="G1146" s="4">
        <v>46093</v>
      </c>
      <c r="H1146" t="s">
        <v>138</v>
      </c>
      <c r="I1146" t="s">
        <v>343</v>
      </c>
      <c r="J1146" t="s">
        <v>261</v>
      </c>
      <c r="K1146" t="s">
        <v>73</v>
      </c>
      <c r="L1146" t="s">
        <v>94</v>
      </c>
      <c r="M1146" s="5">
        <v>6000</v>
      </c>
      <c r="N1146" s="5">
        <v>750</v>
      </c>
      <c r="O1146" s="5">
        <v>950</v>
      </c>
      <c r="P1146" s="5">
        <v>10500</v>
      </c>
      <c r="Q1146" s="5">
        <v>20000</v>
      </c>
      <c r="R1146" t="s">
        <v>95</v>
      </c>
      <c r="S1146" t="s">
        <v>63</v>
      </c>
      <c r="T1146" s="5">
        <v>20000</v>
      </c>
      <c r="U1146" s="6">
        <v>3</v>
      </c>
      <c r="V1146" t="s">
        <v>64</v>
      </c>
      <c r="W1146" s="4"/>
      <c r="X1146" t="s">
        <v>65</v>
      </c>
      <c r="Y1146" t="s">
        <v>64</v>
      </c>
      <c r="Z1146" t="s">
        <v>96</v>
      </c>
    </row>
    <row r="1147" spans="1:26">
      <c r="A1147" t="s">
        <v>1884</v>
      </c>
      <c r="B1147" t="s">
        <v>1127</v>
      </c>
      <c r="C1147" s="4">
        <v>46088</v>
      </c>
      <c r="D1147" t="s">
        <v>144</v>
      </c>
      <c r="E1147" t="s">
        <v>70</v>
      </c>
      <c r="F1147" s="4">
        <v>46089</v>
      </c>
      <c r="G1147" s="4">
        <v>46089</v>
      </c>
      <c r="H1147" t="s">
        <v>103</v>
      </c>
      <c r="I1147" t="s">
        <v>364</v>
      </c>
      <c r="J1147" t="s">
        <v>105</v>
      </c>
      <c r="K1147" t="s">
        <v>60</v>
      </c>
      <c r="L1147" t="s">
        <v>61</v>
      </c>
      <c r="M1147" s="5">
        <v>68400</v>
      </c>
      <c r="N1147" s="5">
        <v>10950</v>
      </c>
      <c r="O1147" s="5">
        <v>8650</v>
      </c>
      <c r="P1147" s="5">
        <v>0</v>
      </c>
      <c r="Q1147" s="5">
        <v>88800</v>
      </c>
      <c r="R1147" t="s">
        <v>75</v>
      </c>
      <c r="S1147" t="s">
        <v>76</v>
      </c>
      <c r="T1147" s="5">
        <v>40260</v>
      </c>
      <c r="U1147" s="6">
        <v>4</v>
      </c>
      <c r="V1147" t="s">
        <v>64</v>
      </c>
      <c r="W1147" s="4"/>
      <c r="X1147" t="s">
        <v>65</v>
      </c>
      <c r="Y1147" t="s">
        <v>64</v>
      </c>
      <c r="Z1147" t="s">
        <v>107</v>
      </c>
    </row>
    <row r="1148" spans="1:26">
      <c r="A1148" t="s">
        <v>1885</v>
      </c>
      <c r="B1148" t="s">
        <v>1141</v>
      </c>
      <c r="C1148" s="4">
        <v>46111</v>
      </c>
      <c r="D1148" t="s">
        <v>120</v>
      </c>
      <c r="E1148" t="s">
        <v>70</v>
      </c>
      <c r="F1148" s="4">
        <v>46111</v>
      </c>
      <c r="G1148" s="4">
        <v>46118</v>
      </c>
      <c r="H1148" t="s">
        <v>121</v>
      </c>
      <c r="I1148" t="s">
        <v>665</v>
      </c>
      <c r="J1148" t="s">
        <v>252</v>
      </c>
      <c r="K1148" t="s">
        <v>73</v>
      </c>
      <c r="L1148" t="s">
        <v>61</v>
      </c>
      <c r="M1148" s="5">
        <v>63800</v>
      </c>
      <c r="N1148" s="5">
        <v>5400</v>
      </c>
      <c r="O1148" s="5">
        <v>7200</v>
      </c>
      <c r="P1148" s="5">
        <v>24500</v>
      </c>
      <c r="Q1148" s="5">
        <v>101900</v>
      </c>
      <c r="R1148" t="s">
        <v>134</v>
      </c>
      <c r="S1148" t="s">
        <v>86</v>
      </c>
      <c r="T1148" s="5">
        <v>56250</v>
      </c>
      <c r="U1148" s="6">
        <v>4</v>
      </c>
      <c r="V1148" t="s">
        <v>64</v>
      </c>
      <c r="W1148" s="4"/>
      <c r="X1148" t="s">
        <v>65</v>
      </c>
      <c r="Y1148" t="s">
        <v>64</v>
      </c>
      <c r="Z1148" t="s">
        <v>96</v>
      </c>
    </row>
    <row r="1149" spans="1:26">
      <c r="A1149" t="s">
        <v>1886</v>
      </c>
      <c r="B1149" t="s">
        <v>1100</v>
      </c>
      <c r="C1149" s="4">
        <v>46076</v>
      </c>
      <c r="D1149" t="s">
        <v>69</v>
      </c>
      <c r="E1149" t="s">
        <v>70</v>
      </c>
      <c r="F1149" s="4">
        <v>46076</v>
      </c>
      <c r="G1149" s="4">
        <v>46076</v>
      </c>
      <c r="H1149" t="s">
        <v>57</v>
      </c>
      <c r="I1149" t="s">
        <v>71</v>
      </c>
      <c r="J1149" t="s">
        <v>170</v>
      </c>
      <c r="K1149" t="s">
        <v>60</v>
      </c>
      <c r="L1149" t="s">
        <v>146</v>
      </c>
      <c r="M1149" s="5">
        <v>53100</v>
      </c>
      <c r="N1149" s="5">
        <v>5650</v>
      </c>
      <c r="O1149" s="5">
        <v>8950</v>
      </c>
      <c r="P1149" s="5">
        <v>0</v>
      </c>
      <c r="Q1149" s="5">
        <v>69500</v>
      </c>
      <c r="R1149" t="s">
        <v>95</v>
      </c>
      <c r="S1149" t="s">
        <v>63</v>
      </c>
      <c r="T1149" s="5">
        <v>69500</v>
      </c>
      <c r="U1149" s="6">
        <v>5</v>
      </c>
      <c r="V1149" t="s">
        <v>77</v>
      </c>
      <c r="W1149" s="4">
        <v>46097</v>
      </c>
      <c r="X1149" t="s">
        <v>77</v>
      </c>
      <c r="Y1149" t="s">
        <v>64</v>
      </c>
      <c r="Z1149" t="s">
        <v>78</v>
      </c>
    </row>
    <row r="1150" spans="1:26">
      <c r="A1150" t="s">
        <v>1887</v>
      </c>
      <c r="B1150" t="s">
        <v>286</v>
      </c>
      <c r="C1150" s="4">
        <v>46132</v>
      </c>
      <c r="D1150" t="s">
        <v>81</v>
      </c>
      <c r="E1150" t="s">
        <v>191</v>
      </c>
      <c r="F1150" s="4"/>
      <c r="G1150" s="4"/>
      <c r="H1150" t="s">
        <v>111</v>
      </c>
      <c r="I1150" t="s">
        <v>397</v>
      </c>
      <c r="J1150" t="s">
        <v>384</v>
      </c>
      <c r="K1150" t="s">
        <v>60</v>
      </c>
      <c r="L1150" t="s">
        <v>146</v>
      </c>
      <c r="M1150" s="5"/>
      <c r="N1150" s="5"/>
      <c r="O1150" s="5"/>
      <c r="P1150" s="5"/>
      <c r="Q1150" s="5"/>
      <c r="R1150" t="s">
        <v>75</v>
      </c>
      <c r="S1150" t="s">
        <v>63</v>
      </c>
      <c r="T1150" s="5"/>
      <c r="U1150" s="6"/>
      <c r="V1150" t="s">
        <v>64</v>
      </c>
      <c r="W1150" s="4"/>
      <c r="X1150" t="s">
        <v>65</v>
      </c>
      <c r="Z1150" t="s">
        <v>66</v>
      </c>
    </row>
    <row r="1151" spans="1:26">
      <c r="A1151" t="s">
        <v>1888</v>
      </c>
      <c r="B1151" t="s">
        <v>1889</v>
      </c>
      <c r="C1151" s="4">
        <v>46116</v>
      </c>
      <c r="D1151" t="s">
        <v>330</v>
      </c>
      <c r="E1151" t="s">
        <v>70</v>
      </c>
      <c r="F1151" s="4">
        <v>46116</v>
      </c>
      <c r="G1151" s="4">
        <v>46124</v>
      </c>
      <c r="H1151" t="s">
        <v>178</v>
      </c>
      <c r="I1151" t="s">
        <v>415</v>
      </c>
      <c r="J1151" t="s">
        <v>340</v>
      </c>
      <c r="K1151" t="s">
        <v>73</v>
      </c>
      <c r="L1151" t="s">
        <v>61</v>
      </c>
      <c r="M1151" s="5">
        <v>75100</v>
      </c>
      <c r="N1151" s="5">
        <v>8150</v>
      </c>
      <c r="O1151" s="5">
        <v>16550</v>
      </c>
      <c r="P1151" s="5">
        <v>24000</v>
      </c>
      <c r="Q1151" s="5">
        <v>124600</v>
      </c>
      <c r="R1151" t="s">
        <v>95</v>
      </c>
      <c r="S1151" t="s">
        <v>63</v>
      </c>
      <c r="T1151" s="5">
        <v>124600</v>
      </c>
      <c r="U1151" s="6">
        <v>3</v>
      </c>
      <c r="V1151" t="s">
        <v>77</v>
      </c>
      <c r="W1151" s="4">
        <v>46138</v>
      </c>
      <c r="X1151" t="s">
        <v>77</v>
      </c>
      <c r="Y1151" t="s">
        <v>64</v>
      </c>
      <c r="Z1151" t="s">
        <v>96</v>
      </c>
    </row>
    <row r="1152" spans="1:26">
      <c r="A1152" t="s">
        <v>1890</v>
      </c>
      <c r="B1152" t="s">
        <v>1248</v>
      </c>
      <c r="C1152" s="4">
        <v>46112</v>
      </c>
      <c r="D1152" t="s">
        <v>439</v>
      </c>
      <c r="E1152" t="s">
        <v>70</v>
      </c>
      <c r="F1152" s="4">
        <v>46113</v>
      </c>
      <c r="G1152" s="4">
        <v>46113</v>
      </c>
      <c r="H1152" t="s">
        <v>82</v>
      </c>
      <c r="I1152" t="s">
        <v>155</v>
      </c>
      <c r="J1152" t="s">
        <v>84</v>
      </c>
      <c r="K1152" t="s">
        <v>60</v>
      </c>
      <c r="L1152" t="s">
        <v>61</v>
      </c>
      <c r="M1152" s="5">
        <v>8200</v>
      </c>
      <c r="N1152" s="5">
        <v>850</v>
      </c>
      <c r="O1152" s="5">
        <v>1200</v>
      </c>
      <c r="P1152" s="5">
        <v>0</v>
      </c>
      <c r="Q1152" s="5">
        <v>12750</v>
      </c>
      <c r="R1152" t="s">
        <v>106</v>
      </c>
      <c r="S1152" t="s">
        <v>76</v>
      </c>
      <c r="T1152" s="5">
        <v>5160</v>
      </c>
      <c r="U1152" s="6">
        <v>5</v>
      </c>
      <c r="V1152" t="s">
        <v>64</v>
      </c>
      <c r="W1152" s="4"/>
      <c r="X1152" t="s">
        <v>65</v>
      </c>
      <c r="Y1152" t="s">
        <v>64</v>
      </c>
      <c r="Z1152" t="s">
        <v>107</v>
      </c>
    </row>
    <row r="1153" spans="1:26">
      <c r="A1153" t="s">
        <v>1891</v>
      </c>
      <c r="B1153" t="s">
        <v>1870</v>
      </c>
      <c r="C1153" s="4">
        <v>46134</v>
      </c>
      <c r="D1153" t="s">
        <v>284</v>
      </c>
      <c r="E1153" t="s">
        <v>70</v>
      </c>
      <c r="F1153" s="4">
        <v>46134</v>
      </c>
      <c r="G1153" s="4">
        <v>46136</v>
      </c>
      <c r="H1153" t="s">
        <v>90</v>
      </c>
      <c r="I1153" t="s">
        <v>162</v>
      </c>
      <c r="J1153" t="s">
        <v>197</v>
      </c>
      <c r="K1153" t="s">
        <v>73</v>
      </c>
      <c r="L1153" t="s">
        <v>74</v>
      </c>
      <c r="M1153" s="5">
        <v>26300</v>
      </c>
      <c r="N1153" s="5">
        <v>4650</v>
      </c>
      <c r="O1153" s="5">
        <v>2950</v>
      </c>
      <c r="P1153" s="5">
        <v>12000</v>
      </c>
      <c r="Q1153" s="5">
        <v>47100</v>
      </c>
      <c r="R1153" t="s">
        <v>75</v>
      </c>
      <c r="S1153" t="s">
        <v>76</v>
      </c>
      <c r="T1153" s="5">
        <v>21490</v>
      </c>
      <c r="U1153" s="6">
        <v>4</v>
      </c>
      <c r="V1153" t="s">
        <v>64</v>
      </c>
      <c r="W1153" s="4"/>
      <c r="X1153" t="s">
        <v>65</v>
      </c>
      <c r="Y1153" t="s">
        <v>64</v>
      </c>
      <c r="Z1153" t="s">
        <v>107</v>
      </c>
    </row>
    <row r="1154" spans="1:26">
      <c r="A1154" t="s">
        <v>1892</v>
      </c>
      <c r="B1154" t="s">
        <v>495</v>
      </c>
      <c r="C1154" s="4">
        <v>46092</v>
      </c>
      <c r="D1154" t="s">
        <v>337</v>
      </c>
      <c r="E1154" t="s">
        <v>70</v>
      </c>
      <c r="F1154" s="4">
        <v>46093</v>
      </c>
      <c r="G1154" s="4">
        <v>46094</v>
      </c>
      <c r="H1154" t="s">
        <v>90</v>
      </c>
      <c r="I1154" t="s">
        <v>162</v>
      </c>
      <c r="J1154" t="s">
        <v>197</v>
      </c>
      <c r="K1154" t="s">
        <v>124</v>
      </c>
      <c r="L1154" t="s">
        <v>146</v>
      </c>
      <c r="M1154" s="5">
        <v>21600</v>
      </c>
      <c r="N1154" s="5">
        <v>3000</v>
      </c>
      <c r="O1154" s="5">
        <v>2750</v>
      </c>
      <c r="P1154" s="5">
        <v>2500</v>
      </c>
      <c r="Q1154" s="5">
        <v>31050</v>
      </c>
      <c r="R1154" t="s">
        <v>95</v>
      </c>
      <c r="S1154" t="s">
        <v>63</v>
      </c>
      <c r="T1154" s="5">
        <v>31050</v>
      </c>
      <c r="U1154" s="6">
        <v>5</v>
      </c>
      <c r="V1154" t="s">
        <v>77</v>
      </c>
      <c r="W1154" s="4">
        <v>46103</v>
      </c>
      <c r="X1154" t="s">
        <v>77</v>
      </c>
      <c r="Y1154" t="s">
        <v>64</v>
      </c>
      <c r="Z1154" t="s">
        <v>78</v>
      </c>
    </row>
    <row r="1155" spans="1:26">
      <c r="A1155" t="s">
        <v>1893</v>
      </c>
      <c r="B1155" t="s">
        <v>1894</v>
      </c>
      <c r="C1155" s="4">
        <v>46031</v>
      </c>
      <c r="D1155" t="s">
        <v>206</v>
      </c>
      <c r="E1155" t="s">
        <v>314</v>
      </c>
      <c r="F1155" s="4"/>
      <c r="G1155" s="4"/>
      <c r="H1155" t="s">
        <v>138</v>
      </c>
      <c r="I1155" t="s">
        <v>260</v>
      </c>
      <c r="J1155" t="s">
        <v>236</v>
      </c>
      <c r="K1155" t="s">
        <v>60</v>
      </c>
      <c r="L1155" t="s">
        <v>94</v>
      </c>
      <c r="M1155" s="5"/>
      <c r="N1155" s="5"/>
      <c r="O1155" s="5"/>
      <c r="P1155" s="5"/>
      <c r="Q1155" s="5"/>
      <c r="R1155" t="s">
        <v>95</v>
      </c>
      <c r="S1155" t="s">
        <v>63</v>
      </c>
      <c r="T1155" s="5"/>
      <c r="U1155" s="6"/>
      <c r="V1155" t="s">
        <v>64</v>
      </c>
      <c r="W1155" s="4"/>
      <c r="X1155" t="s">
        <v>65</v>
      </c>
      <c r="Z1155" t="s">
        <v>66</v>
      </c>
    </row>
    <row r="1156" spans="1:26">
      <c r="A1156" t="s">
        <v>1895</v>
      </c>
      <c r="B1156" t="s">
        <v>131</v>
      </c>
      <c r="C1156" s="4">
        <v>46048</v>
      </c>
      <c r="D1156" t="s">
        <v>99</v>
      </c>
      <c r="E1156" t="s">
        <v>70</v>
      </c>
      <c r="F1156" s="4">
        <v>46048</v>
      </c>
      <c r="G1156" s="4">
        <v>46048</v>
      </c>
      <c r="H1156" t="s">
        <v>90</v>
      </c>
      <c r="I1156" t="s">
        <v>162</v>
      </c>
      <c r="J1156" t="s">
        <v>92</v>
      </c>
      <c r="K1156" t="s">
        <v>60</v>
      </c>
      <c r="L1156" t="s">
        <v>74</v>
      </c>
      <c r="M1156" s="5">
        <v>43500</v>
      </c>
      <c r="N1156" s="5">
        <v>4850</v>
      </c>
      <c r="O1156" s="5">
        <v>8950</v>
      </c>
      <c r="P1156" s="5">
        <v>0</v>
      </c>
      <c r="Q1156" s="5">
        <v>58500</v>
      </c>
      <c r="R1156" t="s">
        <v>106</v>
      </c>
      <c r="S1156" t="s">
        <v>76</v>
      </c>
      <c r="T1156" s="5">
        <v>21180</v>
      </c>
      <c r="U1156" s="6">
        <v>5</v>
      </c>
      <c r="V1156" t="s">
        <v>77</v>
      </c>
      <c r="W1156" s="4">
        <v>46068</v>
      </c>
      <c r="X1156" t="s">
        <v>77</v>
      </c>
      <c r="Y1156" t="s">
        <v>64</v>
      </c>
      <c r="Z1156" t="s">
        <v>96</v>
      </c>
    </row>
    <row r="1157" spans="1:26">
      <c r="A1157" t="s">
        <v>1896</v>
      </c>
      <c r="B1157" t="s">
        <v>1863</v>
      </c>
      <c r="C1157" s="4">
        <v>46060</v>
      </c>
      <c r="D1157" t="s">
        <v>137</v>
      </c>
      <c r="E1157" t="s">
        <v>70</v>
      </c>
      <c r="F1157" s="4">
        <v>46060</v>
      </c>
      <c r="G1157" s="4">
        <v>46066</v>
      </c>
      <c r="H1157" t="s">
        <v>90</v>
      </c>
      <c r="I1157" t="s">
        <v>299</v>
      </c>
      <c r="J1157" t="s">
        <v>92</v>
      </c>
      <c r="K1157" t="s">
        <v>93</v>
      </c>
      <c r="L1157" t="s">
        <v>61</v>
      </c>
      <c r="M1157" s="5">
        <v>59900</v>
      </c>
      <c r="N1157" s="5">
        <v>5800</v>
      </c>
      <c r="O1157" s="5">
        <v>14050</v>
      </c>
      <c r="P1157" s="5">
        <v>18000</v>
      </c>
      <c r="Q1157" s="5">
        <v>99250</v>
      </c>
      <c r="R1157" t="s">
        <v>95</v>
      </c>
      <c r="S1157" t="s">
        <v>63</v>
      </c>
      <c r="T1157" s="5">
        <v>99250</v>
      </c>
      <c r="U1157" s="6">
        <v>4</v>
      </c>
      <c r="V1157" t="s">
        <v>64</v>
      </c>
      <c r="W1157" s="4"/>
      <c r="X1157" t="s">
        <v>65</v>
      </c>
      <c r="Y1157" t="s">
        <v>64</v>
      </c>
      <c r="Z1157" t="s">
        <v>78</v>
      </c>
    </row>
    <row r="1158" spans="1:26">
      <c r="A1158" t="s">
        <v>1897</v>
      </c>
      <c r="B1158" t="s">
        <v>583</v>
      </c>
      <c r="C1158" s="4">
        <v>46118</v>
      </c>
      <c r="D1158" t="s">
        <v>120</v>
      </c>
      <c r="E1158" t="s">
        <v>70</v>
      </c>
      <c r="F1158" s="4">
        <v>46118</v>
      </c>
      <c r="G1158" s="4">
        <v>46122</v>
      </c>
      <c r="H1158" t="s">
        <v>178</v>
      </c>
      <c r="I1158" t="s">
        <v>622</v>
      </c>
      <c r="J1158" t="s">
        <v>358</v>
      </c>
      <c r="K1158" t="s">
        <v>73</v>
      </c>
      <c r="L1158" t="s">
        <v>146</v>
      </c>
      <c r="M1158" s="5">
        <v>36300</v>
      </c>
      <c r="N1158" s="5">
        <v>5450</v>
      </c>
      <c r="O1158" s="5">
        <v>8950</v>
      </c>
      <c r="P1158" s="5">
        <v>14000</v>
      </c>
      <c r="Q1158" s="5">
        <v>66200</v>
      </c>
      <c r="R1158" t="s">
        <v>95</v>
      </c>
      <c r="S1158" t="s">
        <v>63</v>
      </c>
      <c r="T1158" s="5">
        <v>66200</v>
      </c>
      <c r="U1158" s="6">
        <v>5</v>
      </c>
      <c r="V1158" t="s">
        <v>64</v>
      </c>
      <c r="W1158" s="4"/>
      <c r="X1158" t="s">
        <v>65</v>
      </c>
      <c r="Y1158" t="s">
        <v>64</v>
      </c>
      <c r="Z1158" t="s">
        <v>96</v>
      </c>
    </row>
    <row r="1159" spans="1:26">
      <c r="A1159" t="s">
        <v>1898</v>
      </c>
      <c r="B1159" t="s">
        <v>434</v>
      </c>
      <c r="C1159" s="4">
        <v>46030</v>
      </c>
      <c r="D1159" t="s">
        <v>337</v>
      </c>
      <c r="E1159" t="s">
        <v>70</v>
      </c>
      <c r="F1159" s="4">
        <v>46030</v>
      </c>
      <c r="G1159" s="4">
        <v>46031</v>
      </c>
      <c r="H1159" t="s">
        <v>111</v>
      </c>
      <c r="I1159" t="s">
        <v>222</v>
      </c>
      <c r="J1159" t="s">
        <v>117</v>
      </c>
      <c r="K1159" t="s">
        <v>60</v>
      </c>
      <c r="L1159" t="s">
        <v>74</v>
      </c>
      <c r="M1159" s="5">
        <v>7400</v>
      </c>
      <c r="N1159" s="5">
        <v>850</v>
      </c>
      <c r="O1159" s="5">
        <v>950</v>
      </c>
      <c r="P1159" s="5">
        <v>3500</v>
      </c>
      <c r="Q1159" s="5">
        <v>13700</v>
      </c>
      <c r="R1159" t="s">
        <v>141</v>
      </c>
      <c r="S1159" t="s">
        <v>76</v>
      </c>
      <c r="T1159" s="5">
        <v>3260</v>
      </c>
      <c r="U1159" s="6"/>
      <c r="V1159" t="s">
        <v>64</v>
      </c>
      <c r="W1159" s="4"/>
      <c r="X1159" t="s">
        <v>65</v>
      </c>
      <c r="Y1159" t="s">
        <v>64</v>
      </c>
      <c r="Z1159" t="s">
        <v>96</v>
      </c>
    </row>
    <row r="1160" spans="1:26">
      <c r="A1160" t="s">
        <v>1899</v>
      </c>
      <c r="B1160" t="s">
        <v>988</v>
      </c>
      <c r="C1160" s="4">
        <v>46069</v>
      </c>
      <c r="D1160" t="s">
        <v>132</v>
      </c>
      <c r="E1160" t="s">
        <v>70</v>
      </c>
      <c r="F1160" s="4">
        <v>46069</v>
      </c>
      <c r="G1160" s="4">
        <v>46073</v>
      </c>
      <c r="H1160" t="s">
        <v>111</v>
      </c>
      <c r="I1160" t="s">
        <v>116</v>
      </c>
      <c r="J1160" t="s">
        <v>384</v>
      </c>
      <c r="K1160" t="s">
        <v>124</v>
      </c>
      <c r="L1160" t="s">
        <v>74</v>
      </c>
      <c r="M1160" s="5">
        <v>80900</v>
      </c>
      <c r="N1160" s="5">
        <v>11800</v>
      </c>
      <c r="O1160" s="5">
        <v>17650</v>
      </c>
      <c r="P1160" s="5">
        <v>10000</v>
      </c>
      <c r="Q1160" s="5">
        <v>121150</v>
      </c>
      <c r="R1160" t="s">
        <v>75</v>
      </c>
      <c r="S1160" t="s">
        <v>76</v>
      </c>
      <c r="T1160" s="5">
        <v>54820</v>
      </c>
      <c r="U1160" s="6">
        <v>4</v>
      </c>
      <c r="V1160" t="s">
        <v>77</v>
      </c>
      <c r="W1160" s="4">
        <v>46081</v>
      </c>
      <c r="X1160" t="s">
        <v>77</v>
      </c>
      <c r="Y1160" t="s">
        <v>64</v>
      </c>
      <c r="Z1160" t="s">
        <v>96</v>
      </c>
    </row>
    <row r="1161" spans="1:26">
      <c r="A1161" t="s">
        <v>1900</v>
      </c>
      <c r="B1161" t="s">
        <v>1170</v>
      </c>
      <c r="C1161" s="4">
        <v>46142</v>
      </c>
      <c r="D1161" t="s">
        <v>225</v>
      </c>
      <c r="E1161" t="s">
        <v>56</v>
      </c>
      <c r="F1161" s="4"/>
      <c r="G1161" s="4"/>
      <c r="H1161" t="s">
        <v>150</v>
      </c>
      <c r="I1161" t="s">
        <v>304</v>
      </c>
      <c r="J1161" t="s">
        <v>188</v>
      </c>
      <c r="K1161" t="s">
        <v>73</v>
      </c>
      <c r="L1161" t="s">
        <v>74</v>
      </c>
      <c r="M1161" s="5"/>
      <c r="N1161" s="5"/>
      <c r="O1161" s="5"/>
      <c r="P1161" s="5"/>
      <c r="Q1161" s="5"/>
      <c r="R1161" t="s">
        <v>106</v>
      </c>
      <c r="S1161" t="s">
        <v>63</v>
      </c>
      <c r="T1161" s="5"/>
      <c r="U1161" s="6"/>
      <c r="V1161" t="s">
        <v>64</v>
      </c>
      <c r="W1161" s="4"/>
      <c r="X1161" t="s">
        <v>65</v>
      </c>
      <c r="Z1161" t="s">
        <v>66</v>
      </c>
    </row>
    <row r="1162" spans="1:26">
      <c r="A1162" t="s">
        <v>1901</v>
      </c>
      <c r="B1162" t="s">
        <v>322</v>
      </c>
      <c r="C1162" s="4">
        <v>46157</v>
      </c>
      <c r="D1162" t="s">
        <v>266</v>
      </c>
      <c r="E1162" t="s">
        <v>314</v>
      </c>
      <c r="F1162" s="4"/>
      <c r="G1162" s="4"/>
      <c r="H1162" t="s">
        <v>90</v>
      </c>
      <c r="I1162" t="s">
        <v>299</v>
      </c>
      <c r="J1162" t="s">
        <v>92</v>
      </c>
      <c r="K1162" t="s">
        <v>124</v>
      </c>
      <c r="L1162" t="s">
        <v>61</v>
      </c>
      <c r="M1162" s="5"/>
      <c r="N1162" s="5"/>
      <c r="O1162" s="5"/>
      <c r="P1162" s="5"/>
      <c r="Q1162" s="5"/>
      <c r="R1162" t="s">
        <v>62</v>
      </c>
      <c r="S1162" t="s">
        <v>63</v>
      </c>
      <c r="T1162" s="5"/>
      <c r="U1162" s="6"/>
      <c r="V1162" t="s">
        <v>64</v>
      </c>
      <c r="W1162" s="4"/>
      <c r="X1162" t="s">
        <v>65</v>
      </c>
      <c r="Z1162" t="s">
        <v>66</v>
      </c>
    </row>
    <row r="1163" spans="1:26">
      <c r="A1163" t="s">
        <v>1902</v>
      </c>
      <c r="B1163" t="s">
        <v>1903</v>
      </c>
      <c r="C1163" s="4">
        <v>46152</v>
      </c>
      <c r="D1163" t="s">
        <v>217</v>
      </c>
      <c r="E1163" t="s">
        <v>70</v>
      </c>
      <c r="F1163" s="4">
        <v>46153</v>
      </c>
      <c r="G1163" s="4">
        <v>46153</v>
      </c>
      <c r="H1163" t="s">
        <v>121</v>
      </c>
      <c r="I1163" t="s">
        <v>174</v>
      </c>
      <c r="J1163" t="s">
        <v>256</v>
      </c>
      <c r="K1163" t="s">
        <v>60</v>
      </c>
      <c r="L1163" t="s">
        <v>94</v>
      </c>
      <c r="M1163" s="5">
        <v>15400</v>
      </c>
      <c r="N1163" s="5">
        <v>1700</v>
      </c>
      <c r="O1163" s="5">
        <v>2900</v>
      </c>
      <c r="P1163" s="5">
        <v>0</v>
      </c>
      <c r="Q1163" s="5">
        <v>21800</v>
      </c>
      <c r="R1163" t="s">
        <v>106</v>
      </c>
      <c r="S1163" t="s">
        <v>86</v>
      </c>
      <c r="T1163" s="5">
        <v>8330</v>
      </c>
      <c r="U1163" s="6">
        <v>5</v>
      </c>
      <c r="V1163" t="s">
        <v>64</v>
      </c>
      <c r="W1163" s="4"/>
      <c r="X1163" t="s">
        <v>65</v>
      </c>
      <c r="Y1163" t="s">
        <v>64</v>
      </c>
      <c r="Z1163" t="s">
        <v>96</v>
      </c>
    </row>
    <row r="1164" spans="1:26">
      <c r="A1164" t="s">
        <v>1904</v>
      </c>
      <c r="B1164" t="s">
        <v>567</v>
      </c>
      <c r="C1164" s="4">
        <v>46168</v>
      </c>
      <c r="D1164" t="s">
        <v>383</v>
      </c>
      <c r="E1164" t="s">
        <v>70</v>
      </c>
      <c r="F1164" s="4">
        <v>46168</v>
      </c>
      <c r="G1164" s="4">
        <v>46176</v>
      </c>
      <c r="H1164" t="s">
        <v>111</v>
      </c>
      <c r="I1164" t="s">
        <v>116</v>
      </c>
      <c r="J1164" t="s">
        <v>384</v>
      </c>
      <c r="K1164" t="s">
        <v>124</v>
      </c>
      <c r="L1164" t="s">
        <v>94</v>
      </c>
      <c r="M1164" s="5">
        <v>49900</v>
      </c>
      <c r="N1164" s="5">
        <v>6100</v>
      </c>
      <c r="O1164" s="5">
        <v>10600</v>
      </c>
      <c r="P1164" s="5">
        <v>48000</v>
      </c>
      <c r="Q1164" s="5">
        <v>115400</v>
      </c>
      <c r="R1164" t="s">
        <v>141</v>
      </c>
      <c r="S1164" t="s">
        <v>76</v>
      </c>
      <c r="T1164" s="5">
        <v>18510</v>
      </c>
      <c r="U1164" s="6">
        <v>3</v>
      </c>
      <c r="V1164" t="s">
        <v>77</v>
      </c>
      <c r="W1164" s="4">
        <v>46184</v>
      </c>
      <c r="X1164" t="s">
        <v>77</v>
      </c>
      <c r="Y1164" t="s">
        <v>64</v>
      </c>
      <c r="Z1164" t="s">
        <v>96</v>
      </c>
    </row>
    <row r="1165" spans="1:26">
      <c r="A1165" t="s">
        <v>1905</v>
      </c>
      <c r="B1165" t="s">
        <v>1906</v>
      </c>
      <c r="C1165" s="4">
        <v>46108</v>
      </c>
      <c r="D1165" t="s">
        <v>337</v>
      </c>
      <c r="E1165" t="s">
        <v>70</v>
      </c>
      <c r="F1165" s="4">
        <v>46109</v>
      </c>
      <c r="G1165" s="4">
        <v>46114</v>
      </c>
      <c r="H1165" t="s">
        <v>178</v>
      </c>
      <c r="I1165" t="s">
        <v>218</v>
      </c>
      <c r="J1165" t="s">
        <v>180</v>
      </c>
      <c r="K1165" t="s">
        <v>93</v>
      </c>
      <c r="L1165" t="s">
        <v>94</v>
      </c>
      <c r="M1165" s="5">
        <v>77400</v>
      </c>
      <c r="N1165" s="5">
        <v>10950</v>
      </c>
      <c r="O1165" s="5">
        <v>8450</v>
      </c>
      <c r="P1165" s="5">
        <v>22500</v>
      </c>
      <c r="Q1165" s="5">
        <v>120800</v>
      </c>
      <c r="R1165" t="s">
        <v>62</v>
      </c>
      <c r="S1165" t="s">
        <v>76</v>
      </c>
      <c r="T1165" s="5">
        <v>36640</v>
      </c>
      <c r="U1165" s="6">
        <v>5</v>
      </c>
      <c r="V1165" t="s">
        <v>77</v>
      </c>
      <c r="W1165" s="4">
        <v>46123</v>
      </c>
      <c r="X1165" t="s">
        <v>77</v>
      </c>
      <c r="Y1165" t="s">
        <v>64</v>
      </c>
      <c r="Z1165" t="s">
        <v>78</v>
      </c>
    </row>
    <row r="1166" spans="1:26">
      <c r="A1166" t="s">
        <v>1907</v>
      </c>
      <c r="B1166" t="s">
        <v>1191</v>
      </c>
      <c r="C1166" s="4">
        <v>46085</v>
      </c>
      <c r="D1166" t="s">
        <v>284</v>
      </c>
      <c r="E1166" t="s">
        <v>70</v>
      </c>
      <c r="F1166" s="4">
        <v>46085</v>
      </c>
      <c r="G1166" s="4">
        <v>46085</v>
      </c>
      <c r="H1166" t="s">
        <v>82</v>
      </c>
      <c r="I1166" t="s">
        <v>194</v>
      </c>
      <c r="J1166" t="s">
        <v>291</v>
      </c>
      <c r="K1166" t="s">
        <v>60</v>
      </c>
      <c r="L1166" t="s">
        <v>94</v>
      </c>
      <c r="M1166" s="5">
        <v>39200</v>
      </c>
      <c r="N1166" s="5">
        <v>6200</v>
      </c>
      <c r="O1166" s="5">
        <v>6100</v>
      </c>
      <c r="P1166" s="5">
        <v>0</v>
      </c>
      <c r="Q1166" s="5">
        <v>53300</v>
      </c>
      <c r="R1166" t="s">
        <v>106</v>
      </c>
      <c r="S1166" t="s">
        <v>86</v>
      </c>
      <c r="T1166" s="5">
        <v>19360</v>
      </c>
      <c r="U1166" s="6">
        <v>5</v>
      </c>
      <c r="V1166" t="s">
        <v>77</v>
      </c>
      <c r="W1166" s="4">
        <v>46103</v>
      </c>
      <c r="X1166" t="s">
        <v>77</v>
      </c>
      <c r="Y1166" t="s">
        <v>64</v>
      </c>
      <c r="Z1166" t="s">
        <v>436</v>
      </c>
    </row>
    <row r="1167" spans="1:26">
      <c r="A1167" t="s">
        <v>1908</v>
      </c>
      <c r="B1167" t="s">
        <v>934</v>
      </c>
      <c r="C1167" s="4">
        <v>46073</v>
      </c>
      <c r="D1167" t="s">
        <v>200</v>
      </c>
      <c r="E1167" t="s">
        <v>70</v>
      </c>
      <c r="F1167" s="4">
        <v>46073</v>
      </c>
      <c r="G1167" s="4">
        <v>46073</v>
      </c>
      <c r="H1167" t="s">
        <v>121</v>
      </c>
      <c r="I1167" t="s">
        <v>665</v>
      </c>
      <c r="J1167" t="s">
        <v>123</v>
      </c>
      <c r="K1167" t="s">
        <v>60</v>
      </c>
      <c r="L1167" t="s">
        <v>146</v>
      </c>
      <c r="M1167" s="5">
        <v>35800</v>
      </c>
      <c r="N1167" s="5">
        <v>6100</v>
      </c>
      <c r="O1167" s="5">
        <v>3600</v>
      </c>
      <c r="P1167" s="5">
        <v>0</v>
      </c>
      <c r="Q1167" s="5">
        <v>46500</v>
      </c>
      <c r="R1167" t="s">
        <v>106</v>
      </c>
      <c r="S1167" t="s">
        <v>76</v>
      </c>
      <c r="T1167" s="5">
        <v>16980</v>
      </c>
      <c r="U1167" s="6">
        <v>3</v>
      </c>
      <c r="V1167" t="s">
        <v>77</v>
      </c>
      <c r="W1167" s="4">
        <v>46092</v>
      </c>
      <c r="X1167" t="s">
        <v>64</v>
      </c>
      <c r="Y1167" t="s">
        <v>64</v>
      </c>
      <c r="Z1167" t="s">
        <v>436</v>
      </c>
    </row>
    <row r="1168" spans="1:26">
      <c r="A1168" t="s">
        <v>1909</v>
      </c>
      <c r="B1168" t="s">
        <v>799</v>
      </c>
      <c r="C1168" s="4">
        <v>46075</v>
      </c>
      <c r="D1168" t="s">
        <v>330</v>
      </c>
      <c r="E1168" t="s">
        <v>70</v>
      </c>
      <c r="F1168" s="4">
        <v>46075</v>
      </c>
      <c r="G1168" s="4">
        <v>46076</v>
      </c>
      <c r="H1168" t="s">
        <v>90</v>
      </c>
      <c r="I1168" t="s">
        <v>162</v>
      </c>
      <c r="J1168" t="s">
        <v>129</v>
      </c>
      <c r="K1168" t="s">
        <v>60</v>
      </c>
      <c r="L1168" t="s">
        <v>94</v>
      </c>
      <c r="M1168" s="5">
        <v>28100</v>
      </c>
      <c r="N1168" s="5">
        <v>4200</v>
      </c>
      <c r="O1168" s="5">
        <v>4900</v>
      </c>
      <c r="P1168" s="5">
        <v>2500</v>
      </c>
      <c r="Q1168" s="5">
        <v>40900</v>
      </c>
      <c r="R1168" t="s">
        <v>95</v>
      </c>
      <c r="S1168" t="s">
        <v>63</v>
      </c>
      <c r="T1168" s="5">
        <v>40900</v>
      </c>
      <c r="U1168" s="6"/>
      <c r="V1168" t="s">
        <v>77</v>
      </c>
      <c r="W1168" s="4">
        <v>46090</v>
      </c>
      <c r="X1168" t="s">
        <v>77</v>
      </c>
      <c r="Y1168" t="s">
        <v>64</v>
      </c>
      <c r="Z1168" t="s">
        <v>107</v>
      </c>
    </row>
    <row r="1169" spans="1:26">
      <c r="A1169" t="s">
        <v>1910</v>
      </c>
      <c r="B1169" t="s">
        <v>1481</v>
      </c>
      <c r="C1169" s="4">
        <v>46088</v>
      </c>
      <c r="D1169" t="s">
        <v>127</v>
      </c>
      <c r="E1169" t="s">
        <v>70</v>
      </c>
      <c r="F1169" s="4">
        <v>46089</v>
      </c>
      <c r="G1169" s="4">
        <v>46093</v>
      </c>
      <c r="H1169" t="s">
        <v>201</v>
      </c>
      <c r="I1169" t="s">
        <v>449</v>
      </c>
      <c r="J1169" t="s">
        <v>281</v>
      </c>
      <c r="K1169" t="s">
        <v>124</v>
      </c>
      <c r="L1169" t="s">
        <v>94</v>
      </c>
      <c r="M1169" s="5">
        <v>8900</v>
      </c>
      <c r="N1169" s="5">
        <v>1000</v>
      </c>
      <c r="O1169" s="5">
        <v>1400</v>
      </c>
      <c r="P1169" s="5">
        <v>14000</v>
      </c>
      <c r="Q1169" s="5">
        <v>26100</v>
      </c>
      <c r="R1169" t="s">
        <v>75</v>
      </c>
      <c r="S1169" t="s">
        <v>86</v>
      </c>
      <c r="T1169" s="5">
        <v>12040</v>
      </c>
      <c r="U1169" s="6"/>
      <c r="V1169" t="s">
        <v>77</v>
      </c>
      <c r="W1169" s="4">
        <v>46104</v>
      </c>
      <c r="X1169" t="s">
        <v>77</v>
      </c>
      <c r="Y1169" t="s">
        <v>77</v>
      </c>
      <c r="Z1169" t="s">
        <v>96</v>
      </c>
    </row>
    <row r="1170" spans="1:26">
      <c r="A1170" t="s">
        <v>1911</v>
      </c>
      <c r="B1170" t="s">
        <v>368</v>
      </c>
      <c r="C1170" s="4">
        <v>46061</v>
      </c>
      <c r="D1170" t="s">
        <v>81</v>
      </c>
      <c r="E1170" t="s">
        <v>70</v>
      </c>
      <c r="F1170" s="4">
        <v>46062</v>
      </c>
      <c r="G1170" s="4">
        <v>46068</v>
      </c>
      <c r="H1170" t="s">
        <v>121</v>
      </c>
      <c r="I1170" t="s">
        <v>665</v>
      </c>
      <c r="J1170" t="s">
        <v>252</v>
      </c>
      <c r="K1170" t="s">
        <v>73</v>
      </c>
      <c r="L1170" t="s">
        <v>61</v>
      </c>
      <c r="M1170" s="5">
        <v>97900</v>
      </c>
      <c r="N1170" s="5">
        <v>14100</v>
      </c>
      <c r="O1170" s="5">
        <v>12950</v>
      </c>
      <c r="P1170" s="5">
        <v>18000</v>
      </c>
      <c r="Q1170" s="5">
        <v>143950</v>
      </c>
      <c r="R1170" t="s">
        <v>95</v>
      </c>
      <c r="S1170" t="s">
        <v>63</v>
      </c>
      <c r="T1170" s="5">
        <v>143950</v>
      </c>
      <c r="U1170" s="6">
        <v>4</v>
      </c>
      <c r="V1170" t="s">
        <v>64</v>
      </c>
      <c r="W1170" s="4"/>
      <c r="X1170" t="s">
        <v>65</v>
      </c>
      <c r="Y1170" t="s">
        <v>64</v>
      </c>
      <c r="Z1170" t="s">
        <v>96</v>
      </c>
    </row>
    <row r="1171" spans="1:26">
      <c r="A1171" t="s">
        <v>1912</v>
      </c>
      <c r="B1171" t="s">
        <v>1360</v>
      </c>
      <c r="C1171" s="4">
        <v>46071</v>
      </c>
      <c r="D1171" t="s">
        <v>55</v>
      </c>
      <c r="E1171" t="s">
        <v>70</v>
      </c>
      <c r="F1171" s="4">
        <v>46072</v>
      </c>
      <c r="G1171" s="4">
        <v>46072</v>
      </c>
      <c r="H1171" t="s">
        <v>57</v>
      </c>
      <c r="I1171" t="s">
        <v>100</v>
      </c>
      <c r="J1171" t="s">
        <v>72</v>
      </c>
      <c r="K1171" t="s">
        <v>60</v>
      </c>
      <c r="L1171" t="s">
        <v>61</v>
      </c>
      <c r="M1171" s="5">
        <v>7200</v>
      </c>
      <c r="N1171" s="5">
        <v>800</v>
      </c>
      <c r="O1171" s="5">
        <v>1750</v>
      </c>
      <c r="P1171" s="5">
        <v>0</v>
      </c>
      <c r="Q1171" s="5">
        <v>11750</v>
      </c>
      <c r="R1171" t="s">
        <v>62</v>
      </c>
      <c r="S1171" t="s">
        <v>76</v>
      </c>
      <c r="T1171" s="5">
        <v>3930</v>
      </c>
      <c r="U1171" s="6">
        <v>4</v>
      </c>
      <c r="V1171" t="s">
        <v>64</v>
      </c>
      <c r="W1171" s="4"/>
      <c r="X1171" t="s">
        <v>65</v>
      </c>
      <c r="Y1171" t="s">
        <v>77</v>
      </c>
      <c r="Z1171" t="s">
        <v>107</v>
      </c>
    </row>
    <row r="1172" spans="1:26">
      <c r="A1172" t="s">
        <v>1913</v>
      </c>
      <c r="B1172" t="s">
        <v>682</v>
      </c>
      <c r="C1172" s="4">
        <v>46168</v>
      </c>
      <c r="D1172" t="s">
        <v>206</v>
      </c>
      <c r="E1172" t="s">
        <v>70</v>
      </c>
      <c r="F1172" s="4">
        <v>46168</v>
      </c>
      <c r="G1172" s="4">
        <v>46175</v>
      </c>
      <c r="H1172" t="s">
        <v>90</v>
      </c>
      <c r="I1172" t="s">
        <v>91</v>
      </c>
      <c r="J1172" t="s">
        <v>129</v>
      </c>
      <c r="K1172" t="s">
        <v>124</v>
      </c>
      <c r="L1172" t="s">
        <v>94</v>
      </c>
      <c r="M1172" s="5">
        <v>35100</v>
      </c>
      <c r="N1172" s="5">
        <v>4150</v>
      </c>
      <c r="O1172" s="5">
        <v>8300</v>
      </c>
      <c r="P1172" s="5">
        <v>42000</v>
      </c>
      <c r="Q1172" s="5">
        <v>90750</v>
      </c>
      <c r="R1172" t="s">
        <v>62</v>
      </c>
      <c r="S1172" t="s">
        <v>86</v>
      </c>
      <c r="T1172" s="5">
        <v>27630</v>
      </c>
      <c r="U1172" s="6">
        <v>3</v>
      </c>
      <c r="V1172" t="s">
        <v>77</v>
      </c>
      <c r="W1172" s="4">
        <v>46192</v>
      </c>
      <c r="X1172" t="s">
        <v>77</v>
      </c>
      <c r="Y1172" t="s">
        <v>64</v>
      </c>
      <c r="Z1172" t="s">
        <v>107</v>
      </c>
    </row>
    <row r="1173" spans="1:26">
      <c r="A1173" t="s">
        <v>1914</v>
      </c>
      <c r="B1173" t="s">
        <v>1915</v>
      </c>
      <c r="C1173" s="4">
        <v>46050</v>
      </c>
      <c r="D1173" t="s">
        <v>432</v>
      </c>
      <c r="E1173" t="s">
        <v>70</v>
      </c>
      <c r="F1173" s="4">
        <v>46050</v>
      </c>
      <c r="G1173" s="4">
        <v>46058</v>
      </c>
      <c r="H1173" t="s">
        <v>178</v>
      </c>
      <c r="I1173" t="s">
        <v>179</v>
      </c>
      <c r="J1173" t="s">
        <v>340</v>
      </c>
      <c r="K1173" t="s">
        <v>73</v>
      </c>
      <c r="L1173" t="s">
        <v>94</v>
      </c>
      <c r="M1173" s="5">
        <v>71400</v>
      </c>
      <c r="N1173" s="5">
        <v>8550</v>
      </c>
      <c r="O1173" s="5">
        <v>11250</v>
      </c>
      <c r="P1173" s="5">
        <v>20000</v>
      </c>
      <c r="Q1173" s="5">
        <v>112200</v>
      </c>
      <c r="R1173" t="s">
        <v>62</v>
      </c>
      <c r="S1173" t="s">
        <v>76</v>
      </c>
      <c r="T1173" s="5">
        <v>34060</v>
      </c>
      <c r="U1173" s="6">
        <v>4</v>
      </c>
      <c r="V1173" t="s">
        <v>77</v>
      </c>
      <c r="W1173" s="4">
        <v>46078</v>
      </c>
      <c r="X1173" t="s">
        <v>77</v>
      </c>
      <c r="Y1173" t="s">
        <v>64</v>
      </c>
      <c r="Z1173" t="s">
        <v>96</v>
      </c>
    </row>
    <row r="1174" spans="1:26">
      <c r="A1174" t="s">
        <v>1916</v>
      </c>
      <c r="B1174" t="s">
        <v>1083</v>
      </c>
      <c r="C1174" s="4">
        <v>46040</v>
      </c>
      <c r="D1174" t="s">
        <v>89</v>
      </c>
      <c r="E1174" t="s">
        <v>70</v>
      </c>
      <c r="F1174" s="4">
        <v>46041</v>
      </c>
      <c r="G1174" s="4">
        <v>46045</v>
      </c>
      <c r="H1174" t="s">
        <v>82</v>
      </c>
      <c r="I1174" t="s">
        <v>331</v>
      </c>
      <c r="J1174" t="s">
        <v>291</v>
      </c>
      <c r="K1174" t="s">
        <v>124</v>
      </c>
      <c r="L1174" t="s">
        <v>94</v>
      </c>
      <c r="M1174" s="5">
        <v>42700</v>
      </c>
      <c r="N1174" s="5">
        <v>3850</v>
      </c>
      <c r="O1174" s="5">
        <v>6650</v>
      </c>
      <c r="P1174" s="5">
        <v>18000</v>
      </c>
      <c r="Q1174" s="5">
        <v>72700</v>
      </c>
      <c r="R1174" t="s">
        <v>85</v>
      </c>
      <c r="S1174" t="s">
        <v>76</v>
      </c>
      <c r="T1174" s="5">
        <v>19080</v>
      </c>
      <c r="U1174" s="6">
        <v>3</v>
      </c>
      <c r="V1174" t="s">
        <v>77</v>
      </c>
      <c r="W1174" s="4">
        <v>46054</v>
      </c>
      <c r="X1174" t="s">
        <v>64</v>
      </c>
      <c r="Y1174" t="s">
        <v>64</v>
      </c>
      <c r="Z1174" t="s">
        <v>107</v>
      </c>
    </row>
    <row r="1175" spans="1:26">
      <c r="A1175" t="s">
        <v>1917</v>
      </c>
      <c r="B1175" t="s">
        <v>692</v>
      </c>
      <c r="C1175" s="4">
        <v>46092</v>
      </c>
      <c r="D1175" t="s">
        <v>419</v>
      </c>
      <c r="E1175" t="s">
        <v>70</v>
      </c>
      <c r="F1175" s="4">
        <v>46092</v>
      </c>
      <c r="G1175" s="4">
        <v>46092</v>
      </c>
      <c r="H1175" t="s">
        <v>90</v>
      </c>
      <c r="I1175" t="s">
        <v>133</v>
      </c>
      <c r="J1175" t="s">
        <v>92</v>
      </c>
      <c r="K1175" t="s">
        <v>60</v>
      </c>
      <c r="L1175" t="s">
        <v>94</v>
      </c>
      <c r="M1175" s="5">
        <v>59400</v>
      </c>
      <c r="N1175" s="5">
        <v>5900</v>
      </c>
      <c r="O1175" s="5">
        <v>7000</v>
      </c>
      <c r="P1175" s="5">
        <v>0</v>
      </c>
      <c r="Q1175" s="5">
        <v>74300</v>
      </c>
      <c r="R1175" t="s">
        <v>95</v>
      </c>
      <c r="S1175" t="s">
        <v>63</v>
      </c>
      <c r="T1175" s="5">
        <v>74300</v>
      </c>
      <c r="U1175" s="6">
        <v>5</v>
      </c>
      <c r="V1175" t="s">
        <v>77</v>
      </c>
      <c r="W1175" s="4">
        <v>46101</v>
      </c>
      <c r="X1175" t="s">
        <v>77</v>
      </c>
      <c r="Y1175" t="s">
        <v>64</v>
      </c>
      <c r="Z1175" t="s">
        <v>96</v>
      </c>
    </row>
    <row r="1176" spans="1:26">
      <c r="A1176" t="s">
        <v>1918</v>
      </c>
      <c r="B1176" t="s">
        <v>1362</v>
      </c>
      <c r="C1176" s="4">
        <v>46101</v>
      </c>
      <c r="D1176" t="s">
        <v>183</v>
      </c>
      <c r="E1176" t="s">
        <v>70</v>
      </c>
      <c r="F1176" s="4">
        <v>46101</v>
      </c>
      <c r="G1176" s="4">
        <v>46103</v>
      </c>
      <c r="H1176" t="s">
        <v>57</v>
      </c>
      <c r="I1176" t="s">
        <v>169</v>
      </c>
      <c r="J1176" t="s">
        <v>170</v>
      </c>
      <c r="K1176" t="s">
        <v>73</v>
      </c>
      <c r="L1176" t="s">
        <v>74</v>
      </c>
      <c r="M1176" s="5">
        <v>64600</v>
      </c>
      <c r="N1176" s="5">
        <v>9050</v>
      </c>
      <c r="O1176" s="5">
        <v>8850</v>
      </c>
      <c r="P1176" s="5">
        <v>9000</v>
      </c>
      <c r="Q1176" s="5">
        <v>92300</v>
      </c>
      <c r="R1176" t="s">
        <v>141</v>
      </c>
      <c r="S1176" t="s">
        <v>76</v>
      </c>
      <c r="T1176" s="5">
        <v>15050</v>
      </c>
      <c r="U1176" s="6">
        <v>4</v>
      </c>
      <c r="V1176" t="s">
        <v>64</v>
      </c>
      <c r="W1176" s="4"/>
      <c r="X1176" t="s">
        <v>65</v>
      </c>
      <c r="Y1176" t="s">
        <v>64</v>
      </c>
      <c r="Z1176" t="s">
        <v>78</v>
      </c>
    </row>
    <row r="1177" spans="1:26">
      <c r="A1177" t="s">
        <v>1919</v>
      </c>
      <c r="B1177" t="s">
        <v>684</v>
      </c>
      <c r="C1177" s="4">
        <v>46052</v>
      </c>
      <c r="D1177" t="s">
        <v>419</v>
      </c>
      <c r="E1177" t="s">
        <v>338</v>
      </c>
      <c r="F1177" s="4"/>
      <c r="G1177" s="4"/>
      <c r="H1177" t="s">
        <v>150</v>
      </c>
      <c r="I1177" t="s">
        <v>247</v>
      </c>
      <c r="J1177" t="s">
        <v>229</v>
      </c>
      <c r="K1177" t="s">
        <v>60</v>
      </c>
      <c r="L1177" t="s">
        <v>74</v>
      </c>
      <c r="M1177" s="5"/>
      <c r="N1177" s="5"/>
      <c r="O1177" s="5"/>
      <c r="P1177" s="5"/>
      <c r="Q1177" s="5"/>
      <c r="R1177" t="s">
        <v>106</v>
      </c>
      <c r="S1177" t="s">
        <v>63</v>
      </c>
      <c r="T1177" s="5"/>
      <c r="U1177" s="6"/>
      <c r="V1177" t="s">
        <v>64</v>
      </c>
      <c r="W1177" s="4"/>
      <c r="X1177" t="s">
        <v>65</v>
      </c>
      <c r="Z1177" t="s">
        <v>66</v>
      </c>
    </row>
    <row r="1178" spans="1:26">
      <c r="A1178" t="s">
        <v>1920</v>
      </c>
      <c r="B1178" t="s">
        <v>1921</v>
      </c>
      <c r="C1178" s="4">
        <v>46159</v>
      </c>
      <c r="D1178" t="s">
        <v>298</v>
      </c>
      <c r="E1178" t="s">
        <v>70</v>
      </c>
      <c r="F1178" s="4">
        <v>46159</v>
      </c>
      <c r="G1178" s="4">
        <v>46162</v>
      </c>
      <c r="H1178" t="s">
        <v>90</v>
      </c>
      <c r="I1178" t="s">
        <v>128</v>
      </c>
      <c r="J1178" t="s">
        <v>129</v>
      </c>
      <c r="K1178" t="s">
        <v>73</v>
      </c>
      <c r="L1178" t="s">
        <v>146</v>
      </c>
      <c r="M1178" s="5">
        <v>51700</v>
      </c>
      <c r="N1178" s="5">
        <v>5450</v>
      </c>
      <c r="O1178" s="5">
        <v>6500</v>
      </c>
      <c r="P1178" s="5">
        <v>13500</v>
      </c>
      <c r="Q1178" s="5">
        <v>79150</v>
      </c>
      <c r="R1178" t="s">
        <v>141</v>
      </c>
      <c r="S1178" t="s">
        <v>76</v>
      </c>
      <c r="T1178" s="5">
        <v>13070</v>
      </c>
      <c r="U1178" s="6">
        <v>4</v>
      </c>
      <c r="V1178" t="s">
        <v>77</v>
      </c>
      <c r="W1178" s="4">
        <v>46181</v>
      </c>
      <c r="X1178" t="s">
        <v>77</v>
      </c>
      <c r="Y1178" t="s">
        <v>64</v>
      </c>
      <c r="Z1178" t="s">
        <v>107</v>
      </c>
    </row>
    <row r="1179" spans="1:26">
      <c r="A1179" t="s">
        <v>1922</v>
      </c>
      <c r="B1179" t="s">
        <v>429</v>
      </c>
      <c r="C1179" s="4">
        <v>46137</v>
      </c>
      <c r="D1179" t="s">
        <v>266</v>
      </c>
      <c r="E1179" t="s">
        <v>70</v>
      </c>
      <c r="F1179" s="4">
        <v>46138</v>
      </c>
      <c r="G1179" s="4">
        <v>46143</v>
      </c>
      <c r="H1179" t="s">
        <v>178</v>
      </c>
      <c r="I1179" t="s">
        <v>339</v>
      </c>
      <c r="J1179" t="s">
        <v>340</v>
      </c>
      <c r="K1179" t="s">
        <v>73</v>
      </c>
      <c r="L1179" t="s">
        <v>94</v>
      </c>
      <c r="M1179" s="5">
        <v>87000</v>
      </c>
      <c r="N1179" s="5">
        <v>10650</v>
      </c>
      <c r="O1179" s="5">
        <v>13850</v>
      </c>
      <c r="P1179" s="5">
        <v>22500</v>
      </c>
      <c r="Q1179" s="5">
        <v>134800</v>
      </c>
      <c r="R1179" t="s">
        <v>106</v>
      </c>
      <c r="S1179" t="s">
        <v>163</v>
      </c>
      <c r="T1179" s="5">
        <v>47880</v>
      </c>
      <c r="U1179" s="6">
        <v>3</v>
      </c>
      <c r="V1179" t="s">
        <v>77</v>
      </c>
      <c r="W1179" s="4">
        <v>46164</v>
      </c>
      <c r="X1179" t="s">
        <v>64</v>
      </c>
      <c r="Y1179" t="s">
        <v>64</v>
      </c>
      <c r="Z1179" t="s">
        <v>78</v>
      </c>
    </row>
    <row r="1180" spans="1:26">
      <c r="A1180" t="s">
        <v>1923</v>
      </c>
      <c r="B1180" t="s">
        <v>615</v>
      </c>
      <c r="C1180" s="4">
        <v>46032</v>
      </c>
      <c r="D1180" t="s">
        <v>168</v>
      </c>
      <c r="E1180" t="s">
        <v>70</v>
      </c>
      <c r="F1180" s="4">
        <v>46033</v>
      </c>
      <c r="G1180" s="4">
        <v>46036</v>
      </c>
      <c r="H1180" t="s">
        <v>90</v>
      </c>
      <c r="I1180" t="s">
        <v>91</v>
      </c>
      <c r="J1180" t="s">
        <v>197</v>
      </c>
      <c r="K1180" t="s">
        <v>73</v>
      </c>
      <c r="L1180" t="s">
        <v>94</v>
      </c>
      <c r="M1180" s="5">
        <v>20700</v>
      </c>
      <c r="N1180" s="5">
        <v>3300</v>
      </c>
      <c r="O1180" s="5">
        <v>2500</v>
      </c>
      <c r="P1180" s="5">
        <v>10500</v>
      </c>
      <c r="Q1180" s="5">
        <v>38200</v>
      </c>
      <c r="R1180" t="s">
        <v>75</v>
      </c>
      <c r="S1180" t="s">
        <v>76</v>
      </c>
      <c r="T1180" s="5">
        <v>17490</v>
      </c>
      <c r="U1180" s="6">
        <v>5</v>
      </c>
      <c r="V1180" t="s">
        <v>64</v>
      </c>
      <c r="W1180" s="4"/>
      <c r="X1180" t="s">
        <v>65</v>
      </c>
      <c r="Y1180" t="s">
        <v>64</v>
      </c>
      <c r="Z1180" t="s">
        <v>96</v>
      </c>
    </row>
    <row r="1181" spans="1:26">
      <c r="A1181" t="s">
        <v>1924</v>
      </c>
      <c r="B1181" t="s">
        <v>1664</v>
      </c>
      <c r="C1181" s="4">
        <v>46070</v>
      </c>
      <c r="D1181" t="s">
        <v>69</v>
      </c>
      <c r="E1181" t="s">
        <v>191</v>
      </c>
      <c r="F1181" s="4"/>
      <c r="G1181" s="4"/>
      <c r="H1181" t="s">
        <v>138</v>
      </c>
      <c r="I1181" t="s">
        <v>352</v>
      </c>
      <c r="J1181" t="s">
        <v>261</v>
      </c>
      <c r="K1181" t="s">
        <v>124</v>
      </c>
      <c r="L1181" t="s">
        <v>94</v>
      </c>
      <c r="M1181" s="5"/>
      <c r="N1181" s="5"/>
      <c r="O1181" s="5"/>
      <c r="P1181" s="5"/>
      <c r="Q1181" s="5"/>
      <c r="R1181" t="s">
        <v>62</v>
      </c>
      <c r="S1181" t="s">
        <v>63</v>
      </c>
      <c r="T1181" s="5"/>
      <c r="U1181" s="6"/>
      <c r="V1181" t="s">
        <v>64</v>
      </c>
      <c r="W1181" s="4"/>
      <c r="X1181" t="s">
        <v>65</v>
      </c>
      <c r="Z1181" t="s">
        <v>66</v>
      </c>
    </row>
    <row r="1182" spans="1:26">
      <c r="A1182" t="s">
        <v>1925</v>
      </c>
      <c r="B1182" t="s">
        <v>1926</v>
      </c>
      <c r="C1182" s="4">
        <v>46163</v>
      </c>
      <c r="D1182" t="s">
        <v>439</v>
      </c>
      <c r="E1182" t="s">
        <v>70</v>
      </c>
      <c r="F1182" s="4">
        <v>46163</v>
      </c>
      <c r="G1182" s="4">
        <v>46166</v>
      </c>
      <c r="H1182" t="s">
        <v>150</v>
      </c>
      <c r="I1182" t="s">
        <v>228</v>
      </c>
      <c r="J1182" t="s">
        <v>229</v>
      </c>
      <c r="K1182" t="s">
        <v>93</v>
      </c>
      <c r="L1182" t="s">
        <v>94</v>
      </c>
      <c r="M1182" s="5">
        <v>31700</v>
      </c>
      <c r="N1182" s="5">
        <v>5300</v>
      </c>
      <c r="O1182" s="5">
        <v>4850</v>
      </c>
      <c r="P1182" s="5">
        <v>13500</v>
      </c>
      <c r="Q1182" s="5">
        <v>56850</v>
      </c>
      <c r="R1182" t="s">
        <v>95</v>
      </c>
      <c r="S1182" t="s">
        <v>63</v>
      </c>
      <c r="T1182" s="5">
        <v>56850</v>
      </c>
      <c r="U1182" s="6">
        <v>5</v>
      </c>
      <c r="V1182" t="s">
        <v>77</v>
      </c>
      <c r="W1182" s="4">
        <v>46181</v>
      </c>
      <c r="X1182" t="s">
        <v>77</v>
      </c>
      <c r="Y1182" t="s">
        <v>64</v>
      </c>
      <c r="Z1182" t="s">
        <v>96</v>
      </c>
    </row>
    <row r="1183" spans="1:26">
      <c r="A1183" t="s">
        <v>1927</v>
      </c>
      <c r="B1183" t="s">
        <v>1302</v>
      </c>
      <c r="C1183" s="4">
        <v>46086</v>
      </c>
      <c r="D1183" t="s">
        <v>55</v>
      </c>
      <c r="E1183" t="s">
        <v>70</v>
      </c>
      <c r="F1183" s="4">
        <v>46086</v>
      </c>
      <c r="G1183" s="4">
        <v>46086</v>
      </c>
      <c r="H1183" t="s">
        <v>57</v>
      </c>
      <c r="I1183" t="s">
        <v>184</v>
      </c>
      <c r="J1183" t="s">
        <v>59</v>
      </c>
      <c r="K1183" t="s">
        <v>60</v>
      </c>
      <c r="L1183" t="s">
        <v>94</v>
      </c>
      <c r="M1183" s="5"/>
      <c r="N1183" s="5">
        <v>6500</v>
      </c>
      <c r="O1183" s="5">
        <v>8400</v>
      </c>
      <c r="P1183" s="5">
        <v>0</v>
      </c>
      <c r="Q1183" s="5">
        <v>75100</v>
      </c>
      <c r="R1183" t="s">
        <v>85</v>
      </c>
      <c r="S1183" t="s">
        <v>76</v>
      </c>
      <c r="T1183" s="5">
        <v>19680</v>
      </c>
      <c r="U1183" s="6">
        <v>4</v>
      </c>
      <c r="V1183" t="s">
        <v>77</v>
      </c>
      <c r="W1183" s="4">
        <v>46098</v>
      </c>
      <c r="X1183" t="s">
        <v>77</v>
      </c>
      <c r="Y1183" t="s">
        <v>64</v>
      </c>
      <c r="Z1183" t="s">
        <v>96</v>
      </c>
    </row>
    <row r="1184" spans="1:26">
      <c r="A1184" t="s">
        <v>1928</v>
      </c>
      <c r="B1184" t="s">
        <v>209</v>
      </c>
      <c r="C1184" s="4">
        <v>46088</v>
      </c>
      <c r="D1184" t="s">
        <v>337</v>
      </c>
      <c r="E1184" t="s">
        <v>70</v>
      </c>
      <c r="F1184" s="4">
        <v>46088</v>
      </c>
      <c r="G1184" s="4">
        <v>46088</v>
      </c>
      <c r="H1184" t="s">
        <v>121</v>
      </c>
      <c r="I1184" t="s">
        <v>665</v>
      </c>
      <c r="J1184" t="s">
        <v>256</v>
      </c>
      <c r="K1184" t="s">
        <v>60</v>
      </c>
      <c r="L1184" t="s">
        <v>61</v>
      </c>
      <c r="M1184" s="5">
        <v>18800</v>
      </c>
      <c r="N1184" s="5">
        <v>1850</v>
      </c>
      <c r="O1184" s="5">
        <v>4250</v>
      </c>
      <c r="P1184" s="5">
        <v>0</v>
      </c>
      <c r="Q1184" s="5">
        <v>25900</v>
      </c>
      <c r="R1184" t="s">
        <v>75</v>
      </c>
      <c r="S1184" t="s">
        <v>76</v>
      </c>
      <c r="T1184" s="5">
        <v>11950</v>
      </c>
      <c r="U1184" s="6">
        <v>4</v>
      </c>
      <c r="V1184" t="s">
        <v>77</v>
      </c>
      <c r="W1184" s="4">
        <v>46096</v>
      </c>
      <c r="X1184" t="s">
        <v>77</v>
      </c>
      <c r="Y1184" t="s">
        <v>77</v>
      </c>
      <c r="Z1184" t="s">
        <v>78</v>
      </c>
    </row>
    <row r="1185" spans="1:26">
      <c r="A1185" t="s">
        <v>1929</v>
      </c>
      <c r="B1185" t="s">
        <v>351</v>
      </c>
      <c r="C1185" s="4">
        <v>46150</v>
      </c>
      <c r="D1185" t="s">
        <v>200</v>
      </c>
      <c r="E1185" t="s">
        <v>70</v>
      </c>
      <c r="F1185" s="4">
        <v>46151</v>
      </c>
      <c r="G1185" s="4">
        <v>46151</v>
      </c>
      <c r="H1185" t="s">
        <v>90</v>
      </c>
      <c r="I1185" t="s">
        <v>128</v>
      </c>
      <c r="J1185" t="s">
        <v>197</v>
      </c>
      <c r="K1185" t="s">
        <v>60</v>
      </c>
      <c r="L1185" t="s">
        <v>94</v>
      </c>
      <c r="M1185" s="5">
        <v>13400</v>
      </c>
      <c r="N1185" s="5">
        <v>2200</v>
      </c>
      <c r="O1185" s="5">
        <v>2800</v>
      </c>
      <c r="P1185" s="5">
        <v>0</v>
      </c>
      <c r="Q1185" s="5">
        <v>20400</v>
      </c>
      <c r="R1185" t="s">
        <v>106</v>
      </c>
      <c r="S1185" t="s">
        <v>76</v>
      </c>
      <c r="T1185" s="5">
        <v>7840</v>
      </c>
      <c r="U1185" s="6">
        <v>5</v>
      </c>
      <c r="V1185" t="s">
        <v>64</v>
      </c>
      <c r="W1185" s="4"/>
      <c r="X1185" t="s">
        <v>65</v>
      </c>
      <c r="Y1185" t="s">
        <v>64</v>
      </c>
      <c r="Z1185" t="s">
        <v>96</v>
      </c>
    </row>
    <row r="1186" spans="1:26">
      <c r="A1186" t="s">
        <v>1930</v>
      </c>
      <c r="B1186" t="s">
        <v>1721</v>
      </c>
      <c r="C1186" s="4">
        <v>46073</v>
      </c>
      <c r="D1186" t="s">
        <v>298</v>
      </c>
      <c r="E1186" t="s">
        <v>70</v>
      </c>
      <c r="F1186" s="4">
        <v>46073</v>
      </c>
      <c r="G1186" s="4">
        <v>46078</v>
      </c>
      <c r="H1186" t="s">
        <v>201</v>
      </c>
      <c r="I1186" t="s">
        <v>421</v>
      </c>
      <c r="J1186" t="s">
        <v>203</v>
      </c>
      <c r="K1186" t="s">
        <v>124</v>
      </c>
      <c r="L1186" t="s">
        <v>61</v>
      </c>
      <c r="M1186" s="5">
        <v>42800</v>
      </c>
      <c r="N1186" s="5">
        <v>6900</v>
      </c>
      <c r="O1186" s="5">
        <v>8500</v>
      </c>
      <c r="P1186" s="5">
        <v>30000</v>
      </c>
      <c r="Q1186" s="5">
        <v>89200</v>
      </c>
      <c r="R1186" t="s">
        <v>95</v>
      </c>
      <c r="S1186" t="s">
        <v>63</v>
      </c>
      <c r="T1186" s="5">
        <v>89200</v>
      </c>
      <c r="U1186" s="6">
        <v>3</v>
      </c>
      <c r="V1186" t="s">
        <v>77</v>
      </c>
      <c r="W1186" s="4">
        <v>46098</v>
      </c>
      <c r="X1186" t="s">
        <v>77</v>
      </c>
      <c r="Y1186" t="s">
        <v>64</v>
      </c>
      <c r="Z1186" t="s">
        <v>436</v>
      </c>
    </row>
    <row r="1187" spans="1:26">
      <c r="A1187" t="s">
        <v>1931</v>
      </c>
      <c r="B1187" t="s">
        <v>1162</v>
      </c>
      <c r="C1187" s="4">
        <v>46085</v>
      </c>
      <c r="D1187" t="s">
        <v>307</v>
      </c>
      <c r="E1187" t="s">
        <v>70</v>
      </c>
      <c r="F1187" s="4">
        <v>46085</v>
      </c>
      <c r="G1187" s="4">
        <v>46092</v>
      </c>
      <c r="H1187" t="s">
        <v>201</v>
      </c>
      <c r="I1187" t="s">
        <v>202</v>
      </c>
      <c r="J1187" t="s">
        <v>295</v>
      </c>
      <c r="K1187" t="s">
        <v>73</v>
      </c>
      <c r="L1187" t="s">
        <v>61</v>
      </c>
      <c r="M1187" s="5">
        <v>45700</v>
      </c>
      <c r="N1187" s="5">
        <v>4750</v>
      </c>
      <c r="O1187" s="5">
        <v>10150</v>
      </c>
      <c r="P1187" s="5">
        <v>24500</v>
      </c>
      <c r="Q1187" s="5">
        <v>87600</v>
      </c>
      <c r="R1187" t="s">
        <v>95</v>
      </c>
      <c r="S1187" t="s">
        <v>63</v>
      </c>
      <c r="T1187" s="5">
        <v>87600</v>
      </c>
      <c r="U1187" s="6">
        <v>2</v>
      </c>
      <c r="V1187" t="s">
        <v>77</v>
      </c>
      <c r="W1187" s="4">
        <v>46103</v>
      </c>
      <c r="X1187" t="s">
        <v>77</v>
      </c>
      <c r="Y1187" t="s">
        <v>77</v>
      </c>
      <c r="Z1187" t="s">
        <v>78</v>
      </c>
    </row>
    <row r="1188" spans="1:26">
      <c r="A1188" t="s">
        <v>1932</v>
      </c>
      <c r="B1188" t="s">
        <v>1195</v>
      </c>
      <c r="C1188" s="4">
        <v>46046</v>
      </c>
      <c r="D1188" t="s">
        <v>225</v>
      </c>
      <c r="E1188" t="s">
        <v>70</v>
      </c>
      <c r="F1188" s="4">
        <v>46046</v>
      </c>
      <c r="G1188" s="4">
        <v>46046</v>
      </c>
      <c r="H1188" t="s">
        <v>138</v>
      </c>
      <c r="I1188" t="s">
        <v>352</v>
      </c>
      <c r="J1188" t="s">
        <v>261</v>
      </c>
      <c r="K1188" t="s">
        <v>73</v>
      </c>
      <c r="L1188" t="s">
        <v>74</v>
      </c>
      <c r="M1188" s="5">
        <v>4200</v>
      </c>
      <c r="N1188" s="5">
        <v>350</v>
      </c>
      <c r="O1188" s="5">
        <v>450</v>
      </c>
      <c r="P1188" s="5">
        <v>0</v>
      </c>
      <c r="Q1188" s="5">
        <v>6800</v>
      </c>
      <c r="R1188" t="s">
        <v>141</v>
      </c>
      <c r="S1188" t="s">
        <v>163</v>
      </c>
      <c r="T1188" s="5">
        <v>2220</v>
      </c>
      <c r="U1188" s="6">
        <v>5</v>
      </c>
      <c r="V1188" t="s">
        <v>77</v>
      </c>
      <c r="W1188" s="4">
        <v>46063</v>
      </c>
      <c r="X1188" t="s">
        <v>77</v>
      </c>
      <c r="Y1188" t="s">
        <v>64</v>
      </c>
      <c r="Z1188" t="s">
        <v>96</v>
      </c>
    </row>
    <row r="1189" spans="1:26">
      <c r="A1189" t="s">
        <v>1933</v>
      </c>
      <c r="B1189" t="s">
        <v>1592</v>
      </c>
      <c r="C1189" s="4">
        <v>46028</v>
      </c>
      <c r="D1189" t="s">
        <v>161</v>
      </c>
      <c r="E1189" t="s">
        <v>70</v>
      </c>
      <c r="F1189" s="4">
        <v>46028</v>
      </c>
      <c r="G1189" s="4">
        <v>46032</v>
      </c>
      <c r="H1189" t="s">
        <v>82</v>
      </c>
      <c r="I1189" t="s">
        <v>369</v>
      </c>
      <c r="J1189" t="s">
        <v>291</v>
      </c>
      <c r="K1189" t="s">
        <v>73</v>
      </c>
      <c r="L1189" t="s">
        <v>61</v>
      </c>
      <c r="M1189" s="5">
        <v>26700</v>
      </c>
      <c r="N1189" s="5">
        <v>3100</v>
      </c>
      <c r="O1189" s="5">
        <v>6150</v>
      </c>
      <c r="P1189" s="5">
        <v>10000</v>
      </c>
      <c r="Q1189" s="5">
        <v>46750</v>
      </c>
      <c r="R1189" t="s">
        <v>106</v>
      </c>
      <c r="S1189" t="s">
        <v>76</v>
      </c>
      <c r="T1189" s="5">
        <v>17060</v>
      </c>
      <c r="U1189" s="6">
        <v>5</v>
      </c>
      <c r="V1189" t="s">
        <v>77</v>
      </c>
      <c r="W1189" s="4">
        <v>46049</v>
      </c>
      <c r="X1189" t="s">
        <v>77</v>
      </c>
      <c r="Y1189" t="s">
        <v>64</v>
      </c>
      <c r="Z1189" t="s">
        <v>96</v>
      </c>
    </row>
    <row r="1190" spans="1:26">
      <c r="A1190" t="s">
        <v>1934</v>
      </c>
      <c r="B1190" t="s">
        <v>711</v>
      </c>
      <c r="C1190" s="4">
        <v>46055</v>
      </c>
      <c r="D1190" t="s">
        <v>210</v>
      </c>
      <c r="E1190" t="s">
        <v>70</v>
      </c>
      <c r="F1190" s="4">
        <v>46055</v>
      </c>
      <c r="G1190" s="4">
        <v>46058</v>
      </c>
      <c r="H1190" t="s">
        <v>150</v>
      </c>
      <c r="I1190" t="s">
        <v>151</v>
      </c>
      <c r="J1190" t="s">
        <v>152</v>
      </c>
      <c r="K1190" t="s">
        <v>124</v>
      </c>
      <c r="L1190" t="s">
        <v>94</v>
      </c>
      <c r="M1190" s="5">
        <v>25900</v>
      </c>
      <c r="N1190" s="5">
        <v>3350</v>
      </c>
      <c r="O1190" s="5">
        <v>5700</v>
      </c>
      <c r="P1190" s="5">
        <v>7500</v>
      </c>
      <c r="Q1190" s="5">
        <v>44950</v>
      </c>
      <c r="R1190" t="s">
        <v>95</v>
      </c>
      <c r="S1190" t="s">
        <v>63</v>
      </c>
      <c r="T1190" s="5">
        <v>44950</v>
      </c>
      <c r="U1190" s="6">
        <v>5</v>
      </c>
      <c r="V1190" t="s">
        <v>64</v>
      </c>
      <c r="W1190" s="4"/>
      <c r="X1190" t="s">
        <v>65</v>
      </c>
      <c r="Y1190" t="s">
        <v>64</v>
      </c>
      <c r="Z1190" t="s">
        <v>78</v>
      </c>
    </row>
    <row r="1191" spans="1:26">
      <c r="A1191" t="s">
        <v>1935</v>
      </c>
      <c r="B1191" t="s">
        <v>1209</v>
      </c>
      <c r="C1191" s="4">
        <v>46135</v>
      </c>
      <c r="D1191" t="s">
        <v>168</v>
      </c>
      <c r="E1191" t="s">
        <v>70</v>
      </c>
      <c r="F1191" s="4">
        <v>46135</v>
      </c>
      <c r="G1191" s="4">
        <v>46138</v>
      </c>
      <c r="H1191" t="s">
        <v>178</v>
      </c>
      <c r="I1191" t="s">
        <v>415</v>
      </c>
      <c r="J1191" t="s">
        <v>358</v>
      </c>
      <c r="K1191" t="s">
        <v>73</v>
      </c>
      <c r="L1191" t="s">
        <v>61</v>
      </c>
      <c r="M1191" s="5">
        <v>59500</v>
      </c>
      <c r="N1191" s="5">
        <v>6100</v>
      </c>
      <c r="O1191" s="5">
        <v>10000</v>
      </c>
      <c r="P1191" s="5">
        <v>9000</v>
      </c>
      <c r="Q1191" s="5">
        <v>85400</v>
      </c>
      <c r="R1191" t="s">
        <v>75</v>
      </c>
      <c r="S1191" t="s">
        <v>76</v>
      </c>
      <c r="T1191" s="5">
        <v>38730</v>
      </c>
      <c r="U1191" s="6">
        <v>5</v>
      </c>
      <c r="V1191" t="s">
        <v>77</v>
      </c>
      <c r="W1191" s="4">
        <v>46149</v>
      </c>
      <c r="X1191" t="s">
        <v>77</v>
      </c>
      <c r="Y1191" t="s">
        <v>64</v>
      </c>
      <c r="Z1191" t="s">
        <v>78</v>
      </c>
    </row>
    <row r="1192" spans="1:26">
      <c r="A1192" t="s">
        <v>1936</v>
      </c>
      <c r="B1192" t="s">
        <v>725</v>
      </c>
      <c r="C1192" s="4">
        <v>46094</v>
      </c>
      <c r="D1192" t="s">
        <v>81</v>
      </c>
      <c r="E1192" t="s">
        <v>70</v>
      </c>
      <c r="F1192" s="4">
        <v>46094</v>
      </c>
      <c r="G1192" s="4">
        <v>46099</v>
      </c>
      <c r="H1192" t="s">
        <v>150</v>
      </c>
      <c r="I1192" t="s">
        <v>151</v>
      </c>
      <c r="J1192" t="s">
        <v>188</v>
      </c>
      <c r="K1192" t="s">
        <v>93</v>
      </c>
      <c r="L1192" t="s">
        <v>94</v>
      </c>
      <c r="M1192" s="5">
        <v>64000</v>
      </c>
      <c r="N1192" s="5">
        <v>9150</v>
      </c>
      <c r="O1192" s="5">
        <v>14050</v>
      </c>
      <c r="P1192" s="5">
        <v>17500</v>
      </c>
      <c r="Q1192" s="5">
        <v>107200</v>
      </c>
      <c r="R1192" t="s">
        <v>95</v>
      </c>
      <c r="S1192" t="s">
        <v>63</v>
      </c>
      <c r="T1192" s="5">
        <v>107200</v>
      </c>
      <c r="U1192" s="6">
        <v>5</v>
      </c>
      <c r="V1192" t="s">
        <v>64</v>
      </c>
      <c r="W1192" s="4"/>
      <c r="X1192" t="s">
        <v>65</v>
      </c>
      <c r="Y1192" t="s">
        <v>64</v>
      </c>
      <c r="Z1192" t="s">
        <v>219</v>
      </c>
    </row>
    <row r="1193" spans="1:26">
      <c r="A1193" t="s">
        <v>1937</v>
      </c>
      <c r="B1193" t="s">
        <v>1391</v>
      </c>
      <c r="C1193" s="4">
        <v>46101</v>
      </c>
      <c r="D1193" t="s">
        <v>279</v>
      </c>
      <c r="E1193" t="s">
        <v>70</v>
      </c>
      <c r="F1193" s="4">
        <v>46101</v>
      </c>
      <c r="G1193" s="4">
        <v>46103</v>
      </c>
      <c r="H1193" t="s">
        <v>90</v>
      </c>
      <c r="I1193" t="s">
        <v>162</v>
      </c>
      <c r="J1193" t="s">
        <v>197</v>
      </c>
      <c r="K1193" t="s">
        <v>73</v>
      </c>
      <c r="L1193" t="s">
        <v>74</v>
      </c>
      <c r="M1193" s="5">
        <v>17600</v>
      </c>
      <c r="N1193" s="5">
        <v>1950</v>
      </c>
      <c r="O1193" s="5">
        <v>2850</v>
      </c>
      <c r="P1193" s="5">
        <v>9000</v>
      </c>
      <c r="Q1193" s="5">
        <v>32600</v>
      </c>
      <c r="R1193" t="s">
        <v>75</v>
      </c>
      <c r="S1193" t="s">
        <v>163</v>
      </c>
      <c r="T1193" s="5">
        <v>14970</v>
      </c>
      <c r="U1193" s="6">
        <v>3</v>
      </c>
      <c r="V1193" t="s">
        <v>64</v>
      </c>
      <c r="W1193" s="4"/>
      <c r="X1193" t="s">
        <v>65</v>
      </c>
      <c r="Y1193" t="s">
        <v>64</v>
      </c>
      <c r="Z1193" t="s">
        <v>96</v>
      </c>
    </row>
    <row r="1194" spans="1:26">
      <c r="A1194" t="s">
        <v>1938</v>
      </c>
      <c r="B1194" t="s">
        <v>704</v>
      </c>
      <c r="C1194" s="4">
        <v>46112</v>
      </c>
      <c r="D1194" t="s">
        <v>302</v>
      </c>
      <c r="E1194" t="s">
        <v>70</v>
      </c>
      <c r="F1194" s="4">
        <v>46112</v>
      </c>
      <c r="G1194" s="4">
        <v>46113</v>
      </c>
      <c r="H1194" t="s">
        <v>111</v>
      </c>
      <c r="I1194" t="s">
        <v>116</v>
      </c>
      <c r="J1194" t="s">
        <v>384</v>
      </c>
      <c r="K1194" t="s">
        <v>60</v>
      </c>
      <c r="L1194" t="s">
        <v>146</v>
      </c>
      <c r="M1194" s="5">
        <v>54300</v>
      </c>
      <c r="N1194" s="5">
        <v>7550</v>
      </c>
      <c r="O1194" s="5">
        <v>8800</v>
      </c>
      <c r="P1194" s="5">
        <v>4500</v>
      </c>
      <c r="Q1194" s="5">
        <v>75950</v>
      </c>
      <c r="R1194" t="s">
        <v>95</v>
      </c>
      <c r="S1194" t="s">
        <v>63</v>
      </c>
      <c r="T1194" s="5">
        <v>75950</v>
      </c>
      <c r="U1194" s="6">
        <v>5</v>
      </c>
      <c r="V1194" t="s">
        <v>77</v>
      </c>
      <c r="W1194" s="4">
        <v>46128</v>
      </c>
      <c r="X1194" t="s">
        <v>77</v>
      </c>
      <c r="Y1194" t="s">
        <v>64</v>
      </c>
      <c r="Z1194" t="s">
        <v>107</v>
      </c>
    </row>
    <row r="1195" spans="1:26">
      <c r="A1195" t="s">
        <v>1939</v>
      </c>
      <c r="B1195" t="s">
        <v>890</v>
      </c>
      <c r="C1195" s="4">
        <v>46058</v>
      </c>
      <c r="D1195" t="s">
        <v>120</v>
      </c>
      <c r="E1195" t="s">
        <v>70</v>
      </c>
      <c r="F1195" s="4">
        <v>46058</v>
      </c>
      <c r="G1195" s="4">
        <v>46063</v>
      </c>
      <c r="H1195" t="s">
        <v>150</v>
      </c>
      <c r="I1195" t="s">
        <v>228</v>
      </c>
      <c r="J1195" t="s">
        <v>152</v>
      </c>
      <c r="K1195" t="s">
        <v>124</v>
      </c>
      <c r="L1195" t="s">
        <v>74</v>
      </c>
      <c r="M1195" s="5">
        <v>21400</v>
      </c>
      <c r="N1195" s="5">
        <v>1950</v>
      </c>
      <c r="O1195" s="5">
        <v>3550</v>
      </c>
      <c r="P1195" s="5">
        <v>22500</v>
      </c>
      <c r="Q1195" s="5">
        <v>50900</v>
      </c>
      <c r="R1195" t="s">
        <v>141</v>
      </c>
      <c r="S1195" t="s">
        <v>76</v>
      </c>
      <c r="T1195" s="5">
        <v>8840</v>
      </c>
      <c r="U1195" s="6">
        <v>3</v>
      </c>
      <c r="V1195" t="s">
        <v>77</v>
      </c>
      <c r="W1195" s="4">
        <v>46084</v>
      </c>
      <c r="X1195" t="s">
        <v>77</v>
      </c>
      <c r="Y1195" t="s">
        <v>64</v>
      </c>
      <c r="Z1195" t="s">
        <v>96</v>
      </c>
    </row>
    <row r="1196" spans="1:26">
      <c r="A1196" t="s">
        <v>1940</v>
      </c>
      <c r="B1196" t="s">
        <v>892</v>
      </c>
      <c r="C1196" s="4">
        <v>46097</v>
      </c>
      <c r="D1196" t="s">
        <v>55</v>
      </c>
      <c r="E1196" t="s">
        <v>70</v>
      </c>
      <c r="F1196" s="4">
        <v>46097</v>
      </c>
      <c r="G1196" s="4">
        <v>46098</v>
      </c>
      <c r="H1196" t="s">
        <v>201</v>
      </c>
      <c r="I1196" t="s">
        <v>449</v>
      </c>
      <c r="J1196" t="s">
        <v>281</v>
      </c>
      <c r="K1196" t="s">
        <v>124</v>
      </c>
      <c r="L1196" t="s">
        <v>74</v>
      </c>
      <c r="M1196" s="5">
        <v>8900</v>
      </c>
      <c r="N1196" s="5">
        <v>1600</v>
      </c>
      <c r="O1196" s="5">
        <v>1550</v>
      </c>
      <c r="P1196" s="5">
        <v>4500</v>
      </c>
      <c r="Q1196" s="5">
        <v>17350</v>
      </c>
      <c r="R1196" t="s">
        <v>95</v>
      </c>
      <c r="S1196" t="s">
        <v>63</v>
      </c>
      <c r="T1196" s="5">
        <v>17350</v>
      </c>
      <c r="U1196" s="6">
        <v>4</v>
      </c>
      <c r="V1196" t="s">
        <v>77</v>
      </c>
      <c r="W1196" s="4">
        <v>46107</v>
      </c>
      <c r="X1196" t="s">
        <v>77</v>
      </c>
      <c r="Y1196" t="s">
        <v>64</v>
      </c>
      <c r="Z1196" t="s">
        <v>96</v>
      </c>
    </row>
    <row r="1197" spans="1:26">
      <c r="A1197" t="s">
        <v>1941</v>
      </c>
      <c r="B1197" t="s">
        <v>1942</v>
      </c>
      <c r="C1197" s="4">
        <v>46167</v>
      </c>
      <c r="D1197" t="s">
        <v>242</v>
      </c>
      <c r="E1197" t="s">
        <v>70</v>
      </c>
      <c r="F1197" s="4">
        <v>46167</v>
      </c>
      <c r="G1197" s="4">
        <v>46167</v>
      </c>
      <c r="H1197" t="s">
        <v>57</v>
      </c>
      <c r="I1197" t="s">
        <v>211</v>
      </c>
      <c r="J1197" t="s">
        <v>170</v>
      </c>
      <c r="K1197" t="s">
        <v>60</v>
      </c>
      <c r="L1197" t="s">
        <v>94</v>
      </c>
      <c r="M1197" s="5">
        <v>41900</v>
      </c>
      <c r="N1197" s="5">
        <v>5300</v>
      </c>
      <c r="O1197" s="5">
        <v>8100</v>
      </c>
      <c r="P1197" s="5">
        <v>0</v>
      </c>
      <c r="Q1197" s="5">
        <v>57300</v>
      </c>
      <c r="R1197" t="s">
        <v>95</v>
      </c>
      <c r="S1197" t="s">
        <v>63</v>
      </c>
      <c r="T1197" s="5">
        <v>57300</v>
      </c>
      <c r="U1197" s="6">
        <v>5</v>
      </c>
      <c r="V1197" t="s">
        <v>77</v>
      </c>
      <c r="W1197" s="4">
        <v>46183</v>
      </c>
      <c r="X1197" t="s">
        <v>77</v>
      </c>
      <c r="Y1197" t="s">
        <v>64</v>
      </c>
      <c r="Z1197" t="s">
        <v>78</v>
      </c>
    </row>
    <row r="1198" spans="1:26">
      <c r="A1198" t="s">
        <v>1943</v>
      </c>
      <c r="B1198" t="s">
        <v>1606</v>
      </c>
      <c r="C1198" s="4">
        <v>46132</v>
      </c>
      <c r="D1198" t="s">
        <v>161</v>
      </c>
      <c r="E1198" t="s">
        <v>70</v>
      </c>
      <c r="F1198" s="4">
        <v>46132</v>
      </c>
      <c r="G1198" s="4">
        <v>46133</v>
      </c>
      <c r="H1198" t="s">
        <v>90</v>
      </c>
      <c r="I1198" t="s">
        <v>133</v>
      </c>
      <c r="J1198" t="s">
        <v>129</v>
      </c>
      <c r="K1198" t="s">
        <v>60</v>
      </c>
      <c r="L1198" t="s">
        <v>61</v>
      </c>
      <c r="M1198" s="5">
        <v>28500</v>
      </c>
      <c r="N1198" s="5">
        <v>4500</v>
      </c>
      <c r="O1198" s="5">
        <v>3550</v>
      </c>
      <c r="P1198" s="5">
        <v>3500</v>
      </c>
      <c r="Q1198" s="5">
        <v>42050</v>
      </c>
      <c r="R1198" t="s">
        <v>85</v>
      </c>
      <c r="S1198" t="s">
        <v>86</v>
      </c>
      <c r="T1198" s="5">
        <v>11410</v>
      </c>
      <c r="U1198" s="6">
        <v>5</v>
      </c>
      <c r="V1198" t="s">
        <v>77</v>
      </c>
      <c r="W1198" s="4">
        <v>46140</v>
      </c>
      <c r="X1198" t="s">
        <v>77</v>
      </c>
      <c r="Y1198" t="s">
        <v>64</v>
      </c>
      <c r="Z1198" t="s">
        <v>78</v>
      </c>
    </row>
    <row r="1199" spans="1:26">
      <c r="A1199" t="s">
        <v>1944</v>
      </c>
      <c r="B1199" t="s">
        <v>1427</v>
      </c>
      <c r="C1199" s="4">
        <v>46107</v>
      </c>
      <c r="D1199" t="s">
        <v>363</v>
      </c>
      <c r="E1199" t="s">
        <v>70</v>
      </c>
      <c r="F1199" s="4">
        <v>46107</v>
      </c>
      <c r="G1199" s="4">
        <v>46107</v>
      </c>
      <c r="H1199" t="s">
        <v>111</v>
      </c>
      <c r="I1199" t="s">
        <v>116</v>
      </c>
      <c r="J1199" t="s">
        <v>113</v>
      </c>
      <c r="K1199" t="s">
        <v>60</v>
      </c>
      <c r="L1199" t="s">
        <v>94</v>
      </c>
      <c r="M1199" s="5">
        <v>17500</v>
      </c>
      <c r="N1199" s="5">
        <v>1500</v>
      </c>
      <c r="O1199" s="5">
        <v>3300</v>
      </c>
      <c r="P1199" s="5">
        <v>0</v>
      </c>
      <c r="Q1199" s="5">
        <v>23100</v>
      </c>
      <c r="R1199" t="s">
        <v>62</v>
      </c>
      <c r="S1199" t="s">
        <v>76</v>
      </c>
      <c r="T1199" s="5">
        <v>7330</v>
      </c>
      <c r="U1199" s="6">
        <v>5</v>
      </c>
      <c r="V1199" t="s">
        <v>77</v>
      </c>
      <c r="W1199" s="4">
        <v>46120</v>
      </c>
      <c r="X1199" t="s">
        <v>77</v>
      </c>
      <c r="Y1199" t="s">
        <v>64</v>
      </c>
      <c r="Z1199" t="s">
        <v>96</v>
      </c>
    </row>
    <row r="1200" spans="1:26">
      <c r="A1200" t="s">
        <v>1945</v>
      </c>
      <c r="B1200" t="s">
        <v>1179</v>
      </c>
      <c r="C1200" s="4">
        <v>46090</v>
      </c>
      <c r="D1200" t="s">
        <v>110</v>
      </c>
      <c r="E1200" t="s">
        <v>314</v>
      </c>
      <c r="F1200" s="4"/>
      <c r="G1200" s="4"/>
      <c r="H1200" t="s">
        <v>201</v>
      </c>
      <c r="I1200" t="s">
        <v>327</v>
      </c>
      <c r="J1200" t="s">
        <v>281</v>
      </c>
      <c r="K1200" t="s">
        <v>124</v>
      </c>
      <c r="L1200" t="s">
        <v>94</v>
      </c>
      <c r="M1200" s="5"/>
      <c r="N1200" s="5"/>
      <c r="O1200" s="5"/>
      <c r="P1200" s="5"/>
      <c r="Q1200" s="5"/>
      <c r="R1200" t="s">
        <v>134</v>
      </c>
      <c r="S1200" t="s">
        <v>63</v>
      </c>
      <c r="T1200" s="5"/>
      <c r="U1200" s="6"/>
      <c r="V1200" t="s">
        <v>64</v>
      </c>
      <c r="W1200" s="4"/>
      <c r="X1200" t="s">
        <v>65</v>
      </c>
      <c r="Z1200" t="s">
        <v>66</v>
      </c>
    </row>
    <row r="1201" spans="1:26">
      <c r="A1201" t="s">
        <v>1946</v>
      </c>
      <c r="B1201" t="s">
        <v>1947</v>
      </c>
      <c r="C1201" s="4">
        <v>46057</v>
      </c>
      <c r="D1201" t="s">
        <v>89</v>
      </c>
      <c r="E1201" t="s">
        <v>70</v>
      </c>
      <c r="F1201" s="4">
        <v>46057</v>
      </c>
      <c r="G1201" s="4">
        <v>46060</v>
      </c>
      <c r="H1201" t="s">
        <v>138</v>
      </c>
      <c r="I1201" t="s">
        <v>139</v>
      </c>
      <c r="J1201" t="s">
        <v>140</v>
      </c>
      <c r="K1201" t="s">
        <v>124</v>
      </c>
      <c r="L1201" t="s">
        <v>61</v>
      </c>
      <c r="M1201" s="5">
        <v>18500</v>
      </c>
      <c r="N1201" s="5">
        <v>2650</v>
      </c>
      <c r="O1201" s="5">
        <v>3850</v>
      </c>
      <c r="P1201" s="5">
        <v>10500</v>
      </c>
      <c r="Q1201" s="5">
        <v>37500</v>
      </c>
      <c r="R1201" t="s">
        <v>106</v>
      </c>
      <c r="S1201" t="s">
        <v>76</v>
      </c>
      <c r="T1201" s="5">
        <v>13820</v>
      </c>
      <c r="U1201" s="6">
        <v>4</v>
      </c>
      <c r="V1201" t="s">
        <v>64</v>
      </c>
      <c r="W1201" s="4"/>
      <c r="X1201" t="s">
        <v>65</v>
      </c>
      <c r="Y1201" t="s">
        <v>64</v>
      </c>
      <c r="Z1201" t="s">
        <v>96</v>
      </c>
    </row>
    <row r="1202" spans="1:26">
      <c r="A1202" t="s">
        <v>1948</v>
      </c>
      <c r="B1202" t="s">
        <v>1162</v>
      </c>
      <c r="C1202" s="4">
        <v>46125</v>
      </c>
      <c r="D1202" t="s">
        <v>469</v>
      </c>
      <c r="E1202" t="s">
        <v>70</v>
      </c>
      <c r="F1202" s="4">
        <v>46125</v>
      </c>
      <c r="G1202" s="4">
        <v>46129</v>
      </c>
      <c r="H1202" t="s">
        <v>178</v>
      </c>
      <c r="I1202" t="s">
        <v>462</v>
      </c>
      <c r="J1202" t="s">
        <v>358</v>
      </c>
      <c r="K1202" t="s">
        <v>93</v>
      </c>
      <c r="L1202" t="s">
        <v>61</v>
      </c>
      <c r="M1202" s="5">
        <v>51700</v>
      </c>
      <c r="N1202" s="5">
        <v>5150</v>
      </c>
      <c r="O1202" s="5">
        <v>9500</v>
      </c>
      <c r="P1202" s="5">
        <v>24000</v>
      </c>
      <c r="Q1202" s="5">
        <v>92850</v>
      </c>
      <c r="R1202" t="s">
        <v>75</v>
      </c>
      <c r="S1202" t="s">
        <v>76</v>
      </c>
      <c r="T1202" s="5">
        <v>42080</v>
      </c>
      <c r="U1202" s="6">
        <v>3</v>
      </c>
      <c r="V1202" t="s">
        <v>77</v>
      </c>
      <c r="W1202" s="4">
        <v>46139</v>
      </c>
      <c r="X1202" t="s">
        <v>64</v>
      </c>
      <c r="Y1202" t="s">
        <v>64</v>
      </c>
      <c r="Z1202" t="s">
        <v>96</v>
      </c>
    </row>
    <row r="1203" spans="1:26">
      <c r="A1203" t="s">
        <v>1949</v>
      </c>
      <c r="B1203" t="s">
        <v>1572</v>
      </c>
      <c r="C1203" s="4">
        <v>46153</v>
      </c>
      <c r="D1203" t="s">
        <v>137</v>
      </c>
      <c r="E1203" t="s">
        <v>314</v>
      </c>
      <c r="F1203" s="4"/>
      <c r="G1203" s="4"/>
      <c r="H1203" t="s">
        <v>111</v>
      </c>
      <c r="I1203" t="s">
        <v>222</v>
      </c>
      <c r="J1203" t="s">
        <v>113</v>
      </c>
      <c r="K1203" t="s">
        <v>124</v>
      </c>
      <c r="L1203" t="s">
        <v>94</v>
      </c>
      <c r="M1203" s="5"/>
      <c r="N1203" s="5"/>
      <c r="O1203" s="5"/>
      <c r="P1203" s="5"/>
      <c r="Q1203" s="5"/>
      <c r="R1203" t="s">
        <v>106</v>
      </c>
      <c r="S1203" t="s">
        <v>63</v>
      </c>
      <c r="T1203" s="5"/>
      <c r="U1203" s="6"/>
      <c r="V1203" t="s">
        <v>64</v>
      </c>
      <c r="W1203" s="4"/>
      <c r="X1203" t="s">
        <v>65</v>
      </c>
      <c r="Z1203" t="s">
        <v>66</v>
      </c>
    </row>
    <row r="1204" spans="1:26">
      <c r="A1204" t="s">
        <v>1950</v>
      </c>
      <c r="B1204" t="s">
        <v>553</v>
      </c>
      <c r="C1204" s="4">
        <v>46144</v>
      </c>
      <c r="D1204" t="s">
        <v>266</v>
      </c>
      <c r="E1204" t="s">
        <v>70</v>
      </c>
      <c r="F1204" s="4">
        <v>46145</v>
      </c>
      <c r="G1204" s="4">
        <v>46145</v>
      </c>
      <c r="H1204" t="s">
        <v>90</v>
      </c>
      <c r="I1204" t="s">
        <v>299</v>
      </c>
      <c r="J1204" t="s">
        <v>129</v>
      </c>
      <c r="K1204" t="s">
        <v>60</v>
      </c>
      <c r="L1204" t="s">
        <v>94</v>
      </c>
      <c r="M1204" s="5">
        <v>41500</v>
      </c>
      <c r="N1204" s="5">
        <v>4500</v>
      </c>
      <c r="O1204" s="5">
        <v>4500</v>
      </c>
      <c r="P1204" s="5">
        <v>0</v>
      </c>
      <c r="Q1204" s="5">
        <v>52000</v>
      </c>
      <c r="R1204" t="s">
        <v>141</v>
      </c>
      <c r="S1204" t="s">
        <v>76</v>
      </c>
      <c r="T1204" s="5">
        <v>9000</v>
      </c>
      <c r="U1204" s="6">
        <v>5</v>
      </c>
      <c r="V1204" t="s">
        <v>77</v>
      </c>
      <c r="W1204" s="4">
        <v>46160</v>
      </c>
      <c r="X1204" t="s">
        <v>64</v>
      </c>
      <c r="Y1204" t="s">
        <v>64</v>
      </c>
      <c r="Z1204" t="s">
        <v>436</v>
      </c>
    </row>
    <row r="1205" spans="1:26">
      <c r="A1205" t="s">
        <v>1951</v>
      </c>
      <c r="B1205" t="s">
        <v>555</v>
      </c>
      <c r="C1205" s="4">
        <v>46081</v>
      </c>
      <c r="D1205" t="s">
        <v>337</v>
      </c>
      <c r="E1205" t="s">
        <v>56</v>
      </c>
      <c r="F1205" s="4"/>
      <c r="G1205" s="4"/>
      <c r="H1205" t="s">
        <v>111</v>
      </c>
      <c r="I1205" t="s">
        <v>397</v>
      </c>
      <c r="J1205" t="s">
        <v>113</v>
      </c>
      <c r="K1205" t="s">
        <v>73</v>
      </c>
      <c r="L1205" t="s">
        <v>74</v>
      </c>
      <c r="M1205" s="5"/>
      <c r="N1205" s="5"/>
      <c r="O1205" s="5"/>
      <c r="P1205" s="5"/>
      <c r="Q1205" s="5"/>
      <c r="R1205" t="s">
        <v>95</v>
      </c>
      <c r="S1205" t="s">
        <v>63</v>
      </c>
      <c r="T1205" s="5"/>
      <c r="U1205" s="6"/>
      <c r="V1205" t="s">
        <v>64</v>
      </c>
      <c r="W1205" s="4"/>
      <c r="X1205" t="s">
        <v>65</v>
      </c>
      <c r="Z1205" t="s">
        <v>66</v>
      </c>
    </row>
    <row r="1206" spans="1:26">
      <c r="A1206" t="s">
        <v>1952</v>
      </c>
      <c r="B1206" t="s">
        <v>700</v>
      </c>
      <c r="C1206" s="4">
        <v>46088</v>
      </c>
      <c r="D1206" t="s">
        <v>234</v>
      </c>
      <c r="E1206" t="s">
        <v>70</v>
      </c>
      <c r="F1206" s="4">
        <v>46088</v>
      </c>
      <c r="G1206" s="4">
        <v>46088</v>
      </c>
      <c r="H1206" t="s">
        <v>121</v>
      </c>
      <c r="I1206" t="s">
        <v>386</v>
      </c>
      <c r="J1206" t="s">
        <v>256</v>
      </c>
      <c r="K1206" t="s">
        <v>60</v>
      </c>
      <c r="L1206" t="s">
        <v>94</v>
      </c>
      <c r="M1206" s="5">
        <v>18100</v>
      </c>
      <c r="N1206" s="5">
        <v>1550</v>
      </c>
      <c r="O1206" s="5">
        <v>4050</v>
      </c>
      <c r="P1206" s="5">
        <v>0</v>
      </c>
      <c r="Q1206" s="5">
        <v>26200</v>
      </c>
      <c r="R1206" t="s">
        <v>85</v>
      </c>
      <c r="S1206" t="s">
        <v>163</v>
      </c>
      <c r="T1206" s="5">
        <v>7450</v>
      </c>
      <c r="U1206" s="6">
        <v>4</v>
      </c>
      <c r="V1206" t="s">
        <v>77</v>
      </c>
      <c r="W1206" s="4">
        <v>46108</v>
      </c>
      <c r="X1206" t="s">
        <v>77</v>
      </c>
      <c r="Y1206" t="s">
        <v>64</v>
      </c>
      <c r="Z1206" t="s">
        <v>96</v>
      </c>
    </row>
    <row r="1207" spans="1:26">
      <c r="A1207" t="s">
        <v>1953</v>
      </c>
      <c r="B1207" t="s">
        <v>1697</v>
      </c>
      <c r="C1207" s="4">
        <v>46074</v>
      </c>
      <c r="D1207" t="s">
        <v>137</v>
      </c>
      <c r="E1207" t="s">
        <v>70</v>
      </c>
      <c r="F1207" s="4">
        <v>46074</v>
      </c>
      <c r="G1207" s="4">
        <v>46075</v>
      </c>
      <c r="H1207" t="s">
        <v>57</v>
      </c>
      <c r="I1207" t="s">
        <v>184</v>
      </c>
      <c r="J1207" t="s">
        <v>170</v>
      </c>
      <c r="K1207" t="s">
        <v>60</v>
      </c>
      <c r="L1207" t="s">
        <v>74</v>
      </c>
      <c r="M1207" s="5">
        <v>68400</v>
      </c>
      <c r="N1207" s="5">
        <v>7500</v>
      </c>
      <c r="O1207" s="5">
        <v>13750</v>
      </c>
      <c r="P1207" s="5">
        <v>6000</v>
      </c>
      <c r="Q1207" s="5">
        <v>96850</v>
      </c>
      <c r="R1207" t="s">
        <v>141</v>
      </c>
      <c r="S1207" t="s">
        <v>76</v>
      </c>
      <c r="T1207" s="5">
        <v>15730</v>
      </c>
      <c r="U1207" s="6">
        <v>5</v>
      </c>
      <c r="V1207" t="s">
        <v>64</v>
      </c>
      <c r="W1207" s="4"/>
      <c r="X1207" t="s">
        <v>65</v>
      </c>
      <c r="Y1207" t="s">
        <v>64</v>
      </c>
      <c r="Z1207" t="s">
        <v>78</v>
      </c>
    </row>
    <row r="1208" spans="1:26">
      <c r="A1208" t="s">
        <v>1954</v>
      </c>
      <c r="B1208" t="s">
        <v>549</v>
      </c>
      <c r="C1208" s="4">
        <v>46090</v>
      </c>
      <c r="D1208" t="s">
        <v>149</v>
      </c>
      <c r="E1208" t="s">
        <v>70</v>
      </c>
      <c r="F1208" s="4">
        <v>46090</v>
      </c>
      <c r="G1208" s="4">
        <v>46094</v>
      </c>
      <c r="H1208" t="s">
        <v>103</v>
      </c>
      <c r="I1208" t="s">
        <v>412</v>
      </c>
      <c r="J1208" t="s">
        <v>145</v>
      </c>
      <c r="K1208" t="s">
        <v>124</v>
      </c>
      <c r="L1208" t="s">
        <v>74</v>
      </c>
      <c r="M1208" s="5">
        <v>30900</v>
      </c>
      <c r="N1208" s="5">
        <v>3000</v>
      </c>
      <c r="O1208" s="5">
        <v>6450</v>
      </c>
      <c r="P1208" s="5">
        <v>10000</v>
      </c>
      <c r="Q1208" s="5">
        <v>51550</v>
      </c>
      <c r="R1208" t="s">
        <v>141</v>
      </c>
      <c r="S1208" t="s">
        <v>86</v>
      </c>
      <c r="T1208" s="5">
        <v>8930</v>
      </c>
      <c r="U1208" s="6">
        <v>3</v>
      </c>
      <c r="V1208" t="s">
        <v>77</v>
      </c>
      <c r="W1208" s="4">
        <v>46114</v>
      </c>
      <c r="X1208" t="s">
        <v>77</v>
      </c>
      <c r="Y1208" t="s">
        <v>64</v>
      </c>
      <c r="Z1208" t="s">
        <v>96</v>
      </c>
    </row>
    <row r="1209" spans="1:26">
      <c r="A1209" t="s">
        <v>1955</v>
      </c>
      <c r="B1209" t="s">
        <v>438</v>
      </c>
      <c r="C1209" s="4">
        <v>46123</v>
      </c>
      <c r="D1209" t="s">
        <v>110</v>
      </c>
      <c r="E1209" t="s">
        <v>70</v>
      </c>
      <c r="F1209" s="4">
        <v>46123</v>
      </c>
      <c r="G1209" s="4">
        <v>46123</v>
      </c>
      <c r="H1209" t="s">
        <v>111</v>
      </c>
      <c r="I1209" t="s">
        <v>112</v>
      </c>
      <c r="J1209" t="s">
        <v>117</v>
      </c>
      <c r="K1209" t="s">
        <v>73</v>
      </c>
      <c r="L1209" t="s">
        <v>94</v>
      </c>
      <c r="M1209" s="5">
        <v>6600</v>
      </c>
      <c r="N1209" s="5">
        <v>1050</v>
      </c>
      <c r="O1209" s="5">
        <v>950</v>
      </c>
      <c r="P1209" s="5">
        <v>0</v>
      </c>
      <c r="Q1209" s="5">
        <v>9400</v>
      </c>
      <c r="R1209" t="s">
        <v>75</v>
      </c>
      <c r="S1209" t="s">
        <v>76</v>
      </c>
      <c r="T1209" s="5">
        <v>4530</v>
      </c>
      <c r="U1209" s="6">
        <v>4</v>
      </c>
      <c r="V1209" t="s">
        <v>64</v>
      </c>
      <c r="W1209" s="4"/>
      <c r="X1209" t="s">
        <v>65</v>
      </c>
      <c r="Y1209" t="s">
        <v>64</v>
      </c>
      <c r="Z1209" t="s">
        <v>78</v>
      </c>
    </row>
    <row r="1210" spans="1:26">
      <c r="A1210" t="s">
        <v>1956</v>
      </c>
      <c r="B1210" t="s">
        <v>98</v>
      </c>
      <c r="C1210" s="4">
        <v>46056</v>
      </c>
      <c r="D1210" t="s">
        <v>469</v>
      </c>
      <c r="E1210" t="s">
        <v>70</v>
      </c>
      <c r="F1210" s="4">
        <v>46056</v>
      </c>
      <c r="G1210" s="4">
        <v>46061</v>
      </c>
      <c r="H1210" t="s">
        <v>178</v>
      </c>
      <c r="I1210" t="s">
        <v>462</v>
      </c>
      <c r="J1210" t="s">
        <v>358</v>
      </c>
      <c r="K1210" t="s">
        <v>93</v>
      </c>
      <c r="L1210" t="s">
        <v>94</v>
      </c>
      <c r="M1210" s="5">
        <v>62300</v>
      </c>
      <c r="N1210" s="5">
        <v>9450</v>
      </c>
      <c r="O1210" s="5">
        <v>7500</v>
      </c>
      <c r="P1210" s="5">
        <v>22500</v>
      </c>
      <c r="Q1210" s="5">
        <v>104250</v>
      </c>
      <c r="R1210" t="s">
        <v>141</v>
      </c>
      <c r="S1210" t="s">
        <v>86</v>
      </c>
      <c r="T1210" s="5">
        <v>16840</v>
      </c>
      <c r="U1210" s="6">
        <v>4</v>
      </c>
      <c r="V1210" t="s">
        <v>77</v>
      </c>
      <c r="W1210" s="4">
        <v>46077</v>
      </c>
      <c r="X1210" t="s">
        <v>77</v>
      </c>
      <c r="Y1210" t="s">
        <v>64</v>
      </c>
      <c r="Z1210" t="s">
        <v>96</v>
      </c>
    </row>
    <row r="1211" spans="1:26">
      <c r="A1211" t="s">
        <v>1957</v>
      </c>
      <c r="B1211" t="s">
        <v>271</v>
      </c>
      <c r="C1211" s="4">
        <v>46078</v>
      </c>
      <c r="D1211" t="s">
        <v>242</v>
      </c>
      <c r="E1211" t="s">
        <v>70</v>
      </c>
      <c r="F1211" s="4">
        <v>46078</v>
      </c>
      <c r="G1211" s="4">
        <v>46082</v>
      </c>
      <c r="H1211" t="s">
        <v>57</v>
      </c>
      <c r="I1211" t="s">
        <v>211</v>
      </c>
      <c r="J1211" t="s">
        <v>72</v>
      </c>
      <c r="K1211" t="s">
        <v>73</v>
      </c>
      <c r="L1211" t="s">
        <v>61</v>
      </c>
      <c r="M1211" s="5">
        <v>6100</v>
      </c>
      <c r="N1211" s="5">
        <v>500</v>
      </c>
      <c r="O1211" s="5">
        <v>950</v>
      </c>
      <c r="P1211" s="5">
        <v>18000</v>
      </c>
      <c r="Q1211" s="5">
        <v>27550</v>
      </c>
      <c r="R1211" t="s">
        <v>141</v>
      </c>
      <c r="S1211" t="s">
        <v>76</v>
      </c>
      <c r="T1211" s="5">
        <v>5330</v>
      </c>
      <c r="U1211" s="6">
        <v>4</v>
      </c>
      <c r="V1211" t="s">
        <v>77</v>
      </c>
      <c r="W1211" s="4">
        <v>46103</v>
      </c>
      <c r="X1211" t="s">
        <v>77</v>
      </c>
      <c r="Y1211" t="s">
        <v>64</v>
      </c>
      <c r="Z1211" t="s">
        <v>107</v>
      </c>
    </row>
    <row r="1212" spans="1:26">
      <c r="A1212" t="s">
        <v>1958</v>
      </c>
      <c r="B1212" t="s">
        <v>224</v>
      </c>
      <c r="C1212" s="4">
        <v>46040</v>
      </c>
      <c r="D1212" t="s">
        <v>149</v>
      </c>
      <c r="E1212" t="s">
        <v>70</v>
      </c>
      <c r="F1212" s="4">
        <v>46040</v>
      </c>
      <c r="G1212" s="4">
        <v>46040</v>
      </c>
      <c r="H1212" t="s">
        <v>121</v>
      </c>
      <c r="I1212" t="s">
        <v>174</v>
      </c>
      <c r="J1212" t="s">
        <v>256</v>
      </c>
      <c r="K1212" t="s">
        <v>60</v>
      </c>
      <c r="L1212" t="s">
        <v>61</v>
      </c>
      <c r="M1212" s="5">
        <v>21100</v>
      </c>
      <c r="N1212" s="5">
        <v>2150</v>
      </c>
      <c r="O1212" s="5">
        <v>4200</v>
      </c>
      <c r="P1212" s="5">
        <v>0</v>
      </c>
      <c r="Q1212" s="5">
        <v>29250</v>
      </c>
      <c r="R1212" t="s">
        <v>85</v>
      </c>
      <c r="S1212" t="s">
        <v>76</v>
      </c>
      <c r="T1212" s="5">
        <v>8210</v>
      </c>
      <c r="U1212" s="6">
        <v>3</v>
      </c>
      <c r="V1212" t="s">
        <v>77</v>
      </c>
      <c r="W1212" s="4">
        <v>46050</v>
      </c>
      <c r="X1212" t="s">
        <v>64</v>
      </c>
      <c r="Y1212" t="s">
        <v>64</v>
      </c>
      <c r="Z1212" t="s">
        <v>96</v>
      </c>
    </row>
    <row r="1213" spans="1:26">
      <c r="A1213" t="s">
        <v>1959</v>
      </c>
      <c r="B1213" t="s">
        <v>1455</v>
      </c>
      <c r="C1213" s="4">
        <v>46110</v>
      </c>
      <c r="D1213" t="s">
        <v>99</v>
      </c>
      <c r="E1213" t="s">
        <v>70</v>
      </c>
      <c r="F1213" s="4">
        <v>46110</v>
      </c>
      <c r="G1213" s="4">
        <v>46114</v>
      </c>
      <c r="H1213" t="s">
        <v>57</v>
      </c>
      <c r="I1213" t="s">
        <v>211</v>
      </c>
      <c r="J1213" t="s">
        <v>59</v>
      </c>
      <c r="K1213" t="s">
        <v>73</v>
      </c>
      <c r="L1213" t="s">
        <v>94</v>
      </c>
      <c r="M1213" s="5">
        <v>60500</v>
      </c>
      <c r="N1213" s="5">
        <v>9050</v>
      </c>
      <c r="O1213" s="5">
        <v>10800</v>
      </c>
      <c r="P1213" s="5">
        <v>18000</v>
      </c>
      <c r="Q1213" s="5">
        <v>100350</v>
      </c>
      <c r="R1213" t="s">
        <v>85</v>
      </c>
      <c r="S1213" t="s">
        <v>76</v>
      </c>
      <c r="T1213" s="5">
        <v>25990</v>
      </c>
      <c r="U1213" s="6">
        <v>3</v>
      </c>
      <c r="V1213" t="s">
        <v>77</v>
      </c>
      <c r="W1213" s="4">
        <v>46128</v>
      </c>
      <c r="X1213" t="s">
        <v>77</v>
      </c>
      <c r="Y1213" t="s">
        <v>77</v>
      </c>
      <c r="Z1213" t="s">
        <v>96</v>
      </c>
    </row>
    <row r="1214" spans="1:26">
      <c r="A1214" t="s">
        <v>1960</v>
      </c>
      <c r="B1214" t="s">
        <v>1961</v>
      </c>
      <c r="C1214" s="4">
        <v>46105</v>
      </c>
      <c r="D1214" t="s">
        <v>242</v>
      </c>
      <c r="E1214" t="s">
        <v>70</v>
      </c>
      <c r="F1214" s="4">
        <v>46105</v>
      </c>
      <c r="G1214" s="4">
        <v>46105</v>
      </c>
      <c r="H1214" t="s">
        <v>111</v>
      </c>
      <c r="I1214" t="s">
        <v>112</v>
      </c>
      <c r="J1214" t="s">
        <v>384</v>
      </c>
      <c r="K1214" t="s">
        <v>60</v>
      </c>
      <c r="L1214" t="s">
        <v>61</v>
      </c>
      <c r="M1214" s="5">
        <v>52900</v>
      </c>
      <c r="N1214" s="5">
        <v>6100</v>
      </c>
      <c r="O1214" s="5">
        <v>8950</v>
      </c>
      <c r="P1214" s="5">
        <v>0</v>
      </c>
      <c r="Q1214" s="5">
        <v>68750</v>
      </c>
      <c r="R1214" t="s">
        <v>141</v>
      </c>
      <c r="S1214" t="s">
        <v>76</v>
      </c>
      <c r="T1214" s="5">
        <v>11510</v>
      </c>
      <c r="U1214" s="6">
        <v>5</v>
      </c>
      <c r="V1214" t="s">
        <v>77</v>
      </c>
      <c r="W1214" s="4">
        <v>46115</v>
      </c>
      <c r="X1214" t="s">
        <v>77</v>
      </c>
      <c r="Y1214" t="s">
        <v>64</v>
      </c>
      <c r="Z1214" t="s">
        <v>107</v>
      </c>
    </row>
    <row r="1215" spans="1:26">
      <c r="A1215" t="s">
        <v>1962</v>
      </c>
      <c r="B1215" t="s">
        <v>881</v>
      </c>
      <c r="C1215" s="4">
        <v>46066</v>
      </c>
      <c r="D1215" t="s">
        <v>206</v>
      </c>
      <c r="E1215" t="s">
        <v>177</v>
      </c>
      <c r="F1215" s="4"/>
      <c r="G1215" s="4"/>
      <c r="H1215" t="s">
        <v>111</v>
      </c>
      <c r="I1215" t="s">
        <v>267</v>
      </c>
      <c r="J1215" t="s">
        <v>117</v>
      </c>
      <c r="K1215" t="s">
        <v>93</v>
      </c>
      <c r="L1215" t="s">
        <v>61</v>
      </c>
      <c r="M1215" s="5"/>
      <c r="N1215" s="5"/>
      <c r="O1215" s="5"/>
      <c r="P1215" s="5"/>
      <c r="Q1215" s="5"/>
      <c r="R1215" t="s">
        <v>95</v>
      </c>
      <c r="S1215" t="s">
        <v>63</v>
      </c>
      <c r="T1215" s="5"/>
      <c r="U1215" s="6"/>
      <c r="V1215" t="s">
        <v>64</v>
      </c>
      <c r="W1215" s="4"/>
      <c r="X1215" t="s">
        <v>65</v>
      </c>
      <c r="Z1215" t="s">
        <v>66</v>
      </c>
    </row>
    <row r="1216" spans="1:26">
      <c r="A1216" t="s">
        <v>1963</v>
      </c>
      <c r="B1216" t="s">
        <v>854</v>
      </c>
      <c r="C1216" s="4">
        <v>46112</v>
      </c>
      <c r="D1216" t="s">
        <v>284</v>
      </c>
      <c r="E1216" t="s">
        <v>70</v>
      </c>
      <c r="F1216" s="4">
        <v>46112</v>
      </c>
      <c r="G1216" s="4">
        <v>46113</v>
      </c>
      <c r="H1216" t="s">
        <v>82</v>
      </c>
      <c r="I1216" t="s">
        <v>272</v>
      </c>
      <c r="J1216" t="s">
        <v>291</v>
      </c>
      <c r="K1216" t="s">
        <v>73</v>
      </c>
      <c r="L1216" t="s">
        <v>74</v>
      </c>
      <c r="M1216" s="5">
        <v>46900</v>
      </c>
      <c r="N1216" s="5">
        <v>6450</v>
      </c>
      <c r="O1216" s="5">
        <v>5350</v>
      </c>
      <c r="P1216" s="5">
        <v>3500</v>
      </c>
      <c r="Q1216" s="5">
        <v>64000</v>
      </c>
      <c r="R1216" t="s">
        <v>75</v>
      </c>
      <c r="S1216" t="s">
        <v>76</v>
      </c>
      <c r="T1216" s="5">
        <v>29100</v>
      </c>
      <c r="U1216" s="6">
        <v>4</v>
      </c>
      <c r="V1216" t="s">
        <v>77</v>
      </c>
      <c r="W1216" s="4">
        <v>46123</v>
      </c>
      <c r="X1216" t="s">
        <v>77</v>
      </c>
      <c r="Y1216" t="s">
        <v>64</v>
      </c>
      <c r="Z1216" t="s">
        <v>96</v>
      </c>
    </row>
    <row r="1217" spans="1:26">
      <c r="A1217" t="s">
        <v>1964</v>
      </c>
      <c r="B1217" t="s">
        <v>1185</v>
      </c>
      <c r="C1217" s="4">
        <v>46057</v>
      </c>
      <c r="D1217" t="s">
        <v>120</v>
      </c>
      <c r="E1217" t="s">
        <v>314</v>
      </c>
      <c r="F1217" s="4"/>
      <c r="G1217" s="4"/>
      <c r="H1217" t="s">
        <v>121</v>
      </c>
      <c r="I1217" t="s">
        <v>122</v>
      </c>
      <c r="J1217" t="s">
        <v>252</v>
      </c>
      <c r="K1217" t="s">
        <v>73</v>
      </c>
      <c r="L1217" t="s">
        <v>61</v>
      </c>
      <c r="M1217" s="5"/>
      <c r="N1217" s="5"/>
      <c r="O1217" s="5"/>
      <c r="P1217" s="5"/>
      <c r="Q1217" s="5"/>
      <c r="R1217" t="s">
        <v>62</v>
      </c>
      <c r="S1217" t="s">
        <v>63</v>
      </c>
      <c r="T1217" s="5"/>
      <c r="U1217" s="6"/>
      <c r="V1217" t="s">
        <v>64</v>
      </c>
      <c r="W1217" s="4"/>
      <c r="X1217" t="s">
        <v>65</v>
      </c>
      <c r="Z1217" t="s">
        <v>66</v>
      </c>
    </row>
    <row r="1218" spans="1:26">
      <c r="A1218" t="s">
        <v>1965</v>
      </c>
      <c r="B1218" t="s">
        <v>1966</v>
      </c>
      <c r="C1218" s="4">
        <v>46089</v>
      </c>
      <c r="D1218" t="s">
        <v>432</v>
      </c>
      <c r="E1218" t="s">
        <v>70</v>
      </c>
      <c r="F1218" s="4">
        <v>46089</v>
      </c>
      <c r="G1218" s="4">
        <v>46099</v>
      </c>
      <c r="H1218" t="s">
        <v>150</v>
      </c>
      <c r="I1218" t="s">
        <v>247</v>
      </c>
      <c r="J1218" t="s">
        <v>188</v>
      </c>
      <c r="K1218" t="s">
        <v>124</v>
      </c>
      <c r="L1218" t="s">
        <v>61</v>
      </c>
      <c r="M1218" s="5">
        <v>101200</v>
      </c>
      <c r="N1218" s="5">
        <v>9150</v>
      </c>
      <c r="O1218" s="5">
        <v>22000</v>
      </c>
      <c r="P1218" s="5">
        <v>45000</v>
      </c>
      <c r="Q1218" s="5">
        <v>178350</v>
      </c>
      <c r="R1218" t="s">
        <v>141</v>
      </c>
      <c r="S1218" t="s">
        <v>163</v>
      </c>
      <c r="T1218" s="5">
        <v>27950</v>
      </c>
      <c r="U1218" s="6">
        <v>3</v>
      </c>
      <c r="V1218" t="s">
        <v>77</v>
      </c>
      <c r="W1218" s="4">
        <v>46120</v>
      </c>
      <c r="X1218" t="s">
        <v>77</v>
      </c>
      <c r="Y1218" t="s">
        <v>64</v>
      </c>
      <c r="Z1218" t="s">
        <v>78</v>
      </c>
    </row>
    <row r="1219" spans="1:26">
      <c r="A1219" t="s">
        <v>1967</v>
      </c>
      <c r="B1219" t="s">
        <v>311</v>
      </c>
      <c r="C1219" s="4">
        <v>46092</v>
      </c>
      <c r="D1219" t="s">
        <v>173</v>
      </c>
      <c r="E1219" t="s">
        <v>177</v>
      </c>
      <c r="F1219" s="4"/>
      <c r="G1219" s="4"/>
      <c r="H1219" t="s">
        <v>103</v>
      </c>
      <c r="I1219" t="s">
        <v>207</v>
      </c>
      <c r="J1219" t="s">
        <v>145</v>
      </c>
      <c r="K1219" t="s">
        <v>60</v>
      </c>
      <c r="L1219" t="s">
        <v>74</v>
      </c>
      <c r="M1219" s="5"/>
      <c r="N1219" s="5"/>
      <c r="O1219" s="5"/>
      <c r="P1219" s="5"/>
      <c r="Q1219" s="5"/>
      <c r="R1219" t="s">
        <v>134</v>
      </c>
      <c r="S1219" t="s">
        <v>63</v>
      </c>
      <c r="T1219" s="5"/>
      <c r="U1219" s="6"/>
      <c r="V1219" t="s">
        <v>64</v>
      </c>
      <c r="W1219" s="4"/>
      <c r="X1219" t="s">
        <v>65</v>
      </c>
      <c r="Z1219" t="s">
        <v>66</v>
      </c>
    </row>
    <row r="1220" spans="1:26">
      <c r="A1220" t="s">
        <v>1968</v>
      </c>
      <c r="B1220" t="s">
        <v>870</v>
      </c>
      <c r="C1220" s="4">
        <v>46132</v>
      </c>
      <c r="D1220" t="s">
        <v>206</v>
      </c>
      <c r="E1220" t="s">
        <v>70</v>
      </c>
      <c r="F1220" s="4">
        <v>46133</v>
      </c>
      <c r="G1220" s="4">
        <v>46136</v>
      </c>
      <c r="H1220" t="s">
        <v>138</v>
      </c>
      <c r="I1220" t="s">
        <v>260</v>
      </c>
      <c r="J1220" t="s">
        <v>236</v>
      </c>
      <c r="K1220" t="s">
        <v>73</v>
      </c>
      <c r="L1220" t="s">
        <v>94</v>
      </c>
      <c r="M1220" s="5">
        <v>45800</v>
      </c>
      <c r="N1220" s="5">
        <v>4650</v>
      </c>
      <c r="O1220" s="5">
        <v>7850</v>
      </c>
      <c r="P1220" s="5">
        <v>7500</v>
      </c>
      <c r="Q1220" s="5">
        <v>68300</v>
      </c>
      <c r="R1220" t="s">
        <v>134</v>
      </c>
      <c r="S1220" t="s">
        <v>76</v>
      </c>
      <c r="T1220" s="5">
        <v>37760</v>
      </c>
      <c r="U1220" s="6">
        <v>4</v>
      </c>
      <c r="V1220" t="s">
        <v>77</v>
      </c>
      <c r="W1220" s="4">
        <v>46156</v>
      </c>
      <c r="X1220" t="s">
        <v>77</v>
      </c>
      <c r="Y1220" t="s">
        <v>64</v>
      </c>
      <c r="Z1220" t="s">
        <v>78</v>
      </c>
    </row>
    <row r="1221" spans="1:26">
      <c r="A1221" t="s">
        <v>1969</v>
      </c>
      <c r="B1221" t="s">
        <v>126</v>
      </c>
      <c r="C1221" s="4">
        <v>46162</v>
      </c>
      <c r="D1221" t="s">
        <v>120</v>
      </c>
      <c r="E1221" t="s">
        <v>70</v>
      </c>
      <c r="F1221" s="4">
        <v>46163</v>
      </c>
      <c r="G1221" s="4">
        <v>46163</v>
      </c>
      <c r="H1221" t="s">
        <v>201</v>
      </c>
      <c r="I1221" t="s">
        <v>202</v>
      </c>
      <c r="J1221" t="s">
        <v>281</v>
      </c>
      <c r="K1221" t="s">
        <v>124</v>
      </c>
      <c r="L1221" t="s">
        <v>94</v>
      </c>
      <c r="M1221" s="5">
        <v>8000</v>
      </c>
      <c r="N1221" s="5">
        <v>950</v>
      </c>
      <c r="O1221" s="5">
        <v>1750</v>
      </c>
      <c r="P1221" s="5">
        <v>0</v>
      </c>
      <c r="Q1221" s="5">
        <v>13200</v>
      </c>
      <c r="R1221" t="s">
        <v>75</v>
      </c>
      <c r="S1221" t="s">
        <v>76</v>
      </c>
      <c r="T1221" s="5">
        <v>6240</v>
      </c>
      <c r="U1221" s="6">
        <v>4</v>
      </c>
      <c r="V1221" t="s">
        <v>64</v>
      </c>
      <c r="W1221" s="4"/>
      <c r="X1221" t="s">
        <v>65</v>
      </c>
      <c r="Y1221" t="s">
        <v>64</v>
      </c>
      <c r="Z1221" t="s">
        <v>107</v>
      </c>
    </row>
    <row r="1222" spans="1:26">
      <c r="A1222" t="s">
        <v>1970</v>
      </c>
      <c r="B1222" t="s">
        <v>1332</v>
      </c>
      <c r="C1222" s="4">
        <v>46110</v>
      </c>
      <c r="D1222" t="s">
        <v>132</v>
      </c>
      <c r="E1222" t="s">
        <v>70</v>
      </c>
      <c r="F1222" s="4">
        <v>46110</v>
      </c>
      <c r="G1222" s="4">
        <v>46111</v>
      </c>
      <c r="H1222" t="s">
        <v>111</v>
      </c>
      <c r="I1222" t="s">
        <v>112</v>
      </c>
      <c r="J1222" t="s">
        <v>117</v>
      </c>
      <c r="K1222" t="s">
        <v>60</v>
      </c>
      <c r="L1222" t="s">
        <v>74</v>
      </c>
      <c r="M1222" s="5">
        <v>5500</v>
      </c>
      <c r="N1222" s="5">
        <v>600</v>
      </c>
      <c r="O1222" s="5">
        <v>550</v>
      </c>
      <c r="P1222" s="5">
        <v>3500</v>
      </c>
      <c r="Q1222" s="5">
        <v>10950</v>
      </c>
      <c r="R1222" t="s">
        <v>141</v>
      </c>
      <c r="S1222" t="s">
        <v>76</v>
      </c>
      <c r="T1222" s="5">
        <v>2840</v>
      </c>
      <c r="U1222" s="6">
        <v>4</v>
      </c>
      <c r="V1222" t="s">
        <v>64</v>
      </c>
      <c r="W1222" s="4"/>
      <c r="X1222" t="s">
        <v>65</v>
      </c>
      <c r="Y1222" t="s">
        <v>64</v>
      </c>
      <c r="Z1222" t="s">
        <v>96</v>
      </c>
    </row>
    <row r="1223" spans="1:26">
      <c r="A1223" t="s">
        <v>1971</v>
      </c>
      <c r="B1223" t="s">
        <v>659</v>
      </c>
      <c r="C1223" s="4">
        <v>46023</v>
      </c>
      <c r="D1223" t="s">
        <v>89</v>
      </c>
      <c r="E1223" t="s">
        <v>191</v>
      </c>
      <c r="F1223" s="4"/>
      <c r="G1223" s="4"/>
      <c r="H1223" t="s">
        <v>90</v>
      </c>
      <c r="I1223" t="s">
        <v>133</v>
      </c>
      <c r="J1223" t="s">
        <v>197</v>
      </c>
      <c r="K1223" t="s">
        <v>124</v>
      </c>
      <c r="L1223" t="s">
        <v>61</v>
      </c>
      <c r="M1223" s="5"/>
      <c r="N1223" s="5"/>
      <c r="O1223" s="5"/>
      <c r="P1223" s="5"/>
      <c r="Q1223" s="5"/>
      <c r="R1223" t="s">
        <v>106</v>
      </c>
      <c r="S1223" t="s">
        <v>63</v>
      </c>
      <c r="T1223" s="5"/>
      <c r="U1223" s="6"/>
      <c r="V1223" t="s">
        <v>64</v>
      </c>
      <c r="W1223" s="4"/>
      <c r="X1223" t="s">
        <v>65</v>
      </c>
      <c r="Z1223" t="s">
        <v>66</v>
      </c>
    </row>
    <row r="1224" spans="1:26">
      <c r="A1224" t="s">
        <v>1972</v>
      </c>
      <c r="B1224" t="s">
        <v>288</v>
      </c>
      <c r="C1224" s="4">
        <v>46126</v>
      </c>
      <c r="D1224" t="s">
        <v>302</v>
      </c>
      <c r="E1224" t="s">
        <v>70</v>
      </c>
      <c r="F1224" s="4">
        <v>46126</v>
      </c>
      <c r="G1224" s="4">
        <v>46128</v>
      </c>
      <c r="H1224" t="s">
        <v>90</v>
      </c>
      <c r="I1224" t="s">
        <v>91</v>
      </c>
      <c r="J1224" t="s">
        <v>129</v>
      </c>
      <c r="K1224" t="s">
        <v>73</v>
      </c>
      <c r="L1224" t="s">
        <v>74</v>
      </c>
      <c r="M1224" s="5">
        <v>34900</v>
      </c>
      <c r="N1224" s="5">
        <v>5300</v>
      </c>
      <c r="O1224" s="5">
        <v>5800</v>
      </c>
      <c r="P1224" s="5">
        <v>5000</v>
      </c>
      <c r="Q1224" s="5">
        <v>52200</v>
      </c>
      <c r="R1224" t="s">
        <v>95</v>
      </c>
      <c r="S1224" t="s">
        <v>63</v>
      </c>
      <c r="T1224" s="5">
        <v>52200</v>
      </c>
      <c r="U1224" s="6">
        <v>4</v>
      </c>
      <c r="V1224" t="s">
        <v>64</v>
      </c>
      <c r="W1224" s="4"/>
      <c r="X1224" t="s">
        <v>65</v>
      </c>
      <c r="Y1224" t="s">
        <v>77</v>
      </c>
      <c r="Z1224" t="s">
        <v>96</v>
      </c>
    </row>
    <row r="1225" spans="1:26">
      <c r="A1225" t="s">
        <v>1973</v>
      </c>
      <c r="B1225" t="s">
        <v>890</v>
      </c>
      <c r="C1225" s="4">
        <v>46043</v>
      </c>
      <c r="D1225" t="s">
        <v>383</v>
      </c>
      <c r="E1225" t="s">
        <v>56</v>
      </c>
      <c r="F1225" s="4"/>
      <c r="G1225" s="4"/>
      <c r="H1225" t="s">
        <v>201</v>
      </c>
      <c r="I1225" t="s">
        <v>327</v>
      </c>
      <c r="J1225" t="s">
        <v>281</v>
      </c>
      <c r="K1225" t="s">
        <v>124</v>
      </c>
      <c r="L1225" t="s">
        <v>94</v>
      </c>
      <c r="M1225" s="5"/>
      <c r="N1225" s="5"/>
      <c r="O1225" s="5"/>
      <c r="P1225" s="5"/>
      <c r="Q1225" s="5"/>
      <c r="R1225" t="s">
        <v>62</v>
      </c>
      <c r="S1225" t="s">
        <v>63</v>
      </c>
      <c r="T1225" s="5"/>
      <c r="U1225" s="6"/>
      <c r="V1225" t="s">
        <v>64</v>
      </c>
      <c r="W1225" s="4"/>
      <c r="X1225" t="s">
        <v>65</v>
      </c>
      <c r="Z1225" t="s">
        <v>66</v>
      </c>
    </row>
    <row r="1226" spans="1:26">
      <c r="A1226" t="s">
        <v>1974</v>
      </c>
      <c r="B1226" t="s">
        <v>629</v>
      </c>
      <c r="C1226" s="4">
        <v>46140</v>
      </c>
      <c r="D1226" t="s">
        <v>432</v>
      </c>
      <c r="E1226" t="s">
        <v>56</v>
      </c>
      <c r="F1226" s="4"/>
      <c r="G1226" s="4"/>
      <c r="H1226" t="s">
        <v>121</v>
      </c>
      <c r="I1226" t="s">
        <v>122</v>
      </c>
      <c r="J1226" t="s">
        <v>252</v>
      </c>
      <c r="K1226" t="s">
        <v>124</v>
      </c>
      <c r="L1226" t="s">
        <v>94</v>
      </c>
      <c r="M1226" s="5"/>
      <c r="N1226" s="5"/>
      <c r="O1226" s="5"/>
      <c r="P1226" s="5"/>
      <c r="Q1226" s="5"/>
      <c r="R1226" t="s">
        <v>134</v>
      </c>
      <c r="S1226" t="s">
        <v>63</v>
      </c>
      <c r="T1226" s="5"/>
      <c r="U1226" s="6"/>
      <c r="V1226" t="s">
        <v>64</v>
      </c>
      <c r="W1226" s="4"/>
      <c r="X1226" t="s">
        <v>65</v>
      </c>
      <c r="Z1226" t="s">
        <v>66</v>
      </c>
    </row>
    <row r="1227" spans="1:26">
      <c r="A1227" t="s">
        <v>1975</v>
      </c>
      <c r="B1227" t="s">
        <v>1540</v>
      </c>
      <c r="C1227" s="4">
        <v>46106</v>
      </c>
      <c r="D1227" t="s">
        <v>200</v>
      </c>
      <c r="E1227" t="s">
        <v>314</v>
      </c>
      <c r="F1227" s="4"/>
      <c r="G1227" s="4"/>
      <c r="H1227" t="s">
        <v>150</v>
      </c>
      <c r="I1227" t="s">
        <v>247</v>
      </c>
      <c r="J1227" t="s">
        <v>188</v>
      </c>
      <c r="K1227" t="s">
        <v>60</v>
      </c>
      <c r="L1227" t="s">
        <v>61</v>
      </c>
      <c r="M1227" s="5"/>
      <c r="N1227" s="5"/>
      <c r="O1227" s="5"/>
      <c r="P1227" s="5"/>
      <c r="Q1227" s="5"/>
      <c r="R1227" t="s">
        <v>134</v>
      </c>
      <c r="S1227" t="s">
        <v>63</v>
      </c>
      <c r="T1227" s="5"/>
      <c r="U1227" s="6"/>
      <c r="V1227" t="s">
        <v>64</v>
      </c>
      <c r="W1227" s="4"/>
      <c r="X1227" t="s">
        <v>65</v>
      </c>
      <c r="Z1227" t="s">
        <v>66</v>
      </c>
    </row>
    <row r="1228" spans="1:26">
      <c r="A1228" t="s">
        <v>1976</v>
      </c>
      <c r="B1228" t="s">
        <v>653</v>
      </c>
      <c r="C1228" s="4">
        <v>46040</v>
      </c>
      <c r="D1228" t="s">
        <v>161</v>
      </c>
      <c r="E1228" t="s">
        <v>70</v>
      </c>
      <c r="F1228" s="4">
        <v>46040</v>
      </c>
      <c r="G1228" s="4">
        <v>46040</v>
      </c>
      <c r="H1228" t="s">
        <v>57</v>
      </c>
      <c r="I1228" t="s">
        <v>184</v>
      </c>
      <c r="J1228" t="s">
        <v>72</v>
      </c>
      <c r="K1228" t="s">
        <v>60</v>
      </c>
      <c r="L1228" t="s">
        <v>61</v>
      </c>
      <c r="M1228" s="5">
        <v>8500</v>
      </c>
      <c r="N1228" s="5">
        <v>1200</v>
      </c>
      <c r="O1228" s="5">
        <v>1500</v>
      </c>
      <c r="P1228" s="5">
        <v>0</v>
      </c>
      <c r="Q1228" s="5">
        <v>12400</v>
      </c>
      <c r="R1228" t="s">
        <v>75</v>
      </c>
      <c r="S1228" t="s">
        <v>76</v>
      </c>
      <c r="T1228" s="5">
        <v>5880</v>
      </c>
      <c r="U1228" s="6">
        <v>5</v>
      </c>
      <c r="V1228" t="s">
        <v>77</v>
      </c>
      <c r="W1228" s="4">
        <v>46056</v>
      </c>
      <c r="X1228" t="s">
        <v>77</v>
      </c>
      <c r="Y1228" t="s">
        <v>64</v>
      </c>
      <c r="Z1228" t="s">
        <v>96</v>
      </c>
    </row>
    <row r="1229" spans="1:26">
      <c r="A1229" t="s">
        <v>1977</v>
      </c>
      <c r="B1229" t="s">
        <v>1978</v>
      </c>
      <c r="C1229" s="4">
        <v>46029</v>
      </c>
      <c r="D1229" t="s">
        <v>234</v>
      </c>
      <c r="E1229" t="s">
        <v>70</v>
      </c>
      <c r="F1229" s="4">
        <v>46029</v>
      </c>
      <c r="G1229" s="4">
        <v>46029</v>
      </c>
      <c r="H1229" t="s">
        <v>121</v>
      </c>
      <c r="I1229" t="s">
        <v>665</v>
      </c>
      <c r="J1229" t="s">
        <v>256</v>
      </c>
      <c r="K1229" t="s">
        <v>60</v>
      </c>
      <c r="L1229" t="s">
        <v>94</v>
      </c>
      <c r="M1229" s="5">
        <v>19600</v>
      </c>
      <c r="N1229" s="5">
        <v>2050</v>
      </c>
      <c r="O1229" s="5">
        <v>4250</v>
      </c>
      <c r="P1229" s="5">
        <v>0</v>
      </c>
      <c r="Q1229" s="5">
        <v>26900</v>
      </c>
      <c r="R1229" t="s">
        <v>141</v>
      </c>
      <c r="S1229" t="s">
        <v>86</v>
      </c>
      <c r="T1229" s="5">
        <v>5240</v>
      </c>
      <c r="U1229" s="6">
        <v>5</v>
      </c>
      <c r="V1229" t="s">
        <v>64</v>
      </c>
      <c r="W1229" s="4"/>
      <c r="X1229" t="s">
        <v>65</v>
      </c>
      <c r="Y1229" t="s">
        <v>64</v>
      </c>
      <c r="Z1229" t="s">
        <v>436</v>
      </c>
    </row>
    <row r="1230" spans="1:26">
      <c r="A1230" t="s">
        <v>1979</v>
      </c>
      <c r="B1230" t="s">
        <v>283</v>
      </c>
      <c r="C1230" s="4">
        <v>46082</v>
      </c>
      <c r="D1230" t="s">
        <v>173</v>
      </c>
      <c r="E1230" t="s">
        <v>56</v>
      </c>
      <c r="F1230" s="4"/>
      <c r="G1230" s="4"/>
      <c r="H1230" t="s">
        <v>111</v>
      </c>
      <c r="I1230" t="s">
        <v>397</v>
      </c>
      <c r="J1230" t="s">
        <v>384</v>
      </c>
      <c r="K1230" t="s">
        <v>124</v>
      </c>
      <c r="L1230" t="s">
        <v>74</v>
      </c>
      <c r="M1230" s="5"/>
      <c r="N1230" s="5"/>
      <c r="O1230" s="5"/>
      <c r="P1230" s="5"/>
      <c r="Q1230" s="5"/>
      <c r="R1230" t="s">
        <v>85</v>
      </c>
      <c r="S1230" t="s">
        <v>63</v>
      </c>
      <c r="T1230" s="5"/>
      <c r="U1230" s="6"/>
      <c r="V1230" t="s">
        <v>64</v>
      </c>
      <c r="W1230" s="4"/>
      <c r="X1230" t="s">
        <v>65</v>
      </c>
      <c r="Z1230" t="s">
        <v>66</v>
      </c>
    </row>
    <row r="1231" spans="1:26">
      <c r="A1231" t="s">
        <v>1980</v>
      </c>
      <c r="B1231" t="s">
        <v>754</v>
      </c>
      <c r="C1231" s="4">
        <v>46138</v>
      </c>
      <c r="D1231" t="s">
        <v>250</v>
      </c>
      <c r="E1231" t="s">
        <v>314</v>
      </c>
      <c r="F1231" s="4"/>
      <c r="G1231" s="4"/>
      <c r="H1231" t="s">
        <v>138</v>
      </c>
      <c r="I1231" t="s">
        <v>139</v>
      </c>
      <c r="J1231" t="s">
        <v>140</v>
      </c>
      <c r="K1231" t="s">
        <v>60</v>
      </c>
      <c r="L1231" t="s">
        <v>94</v>
      </c>
      <c r="M1231" s="5"/>
      <c r="N1231" s="5"/>
      <c r="O1231" s="5"/>
      <c r="P1231" s="5"/>
      <c r="Q1231" s="5"/>
      <c r="R1231" t="s">
        <v>85</v>
      </c>
      <c r="S1231" t="s">
        <v>63</v>
      </c>
      <c r="T1231" s="5"/>
      <c r="U1231" s="6"/>
      <c r="V1231" t="s">
        <v>64</v>
      </c>
      <c r="W1231" s="4"/>
      <c r="X1231" t="s">
        <v>65</v>
      </c>
      <c r="Z1231" t="s">
        <v>66</v>
      </c>
    </row>
    <row r="1232" spans="1:26">
      <c r="A1232" t="s">
        <v>1981</v>
      </c>
      <c r="B1232" t="s">
        <v>485</v>
      </c>
      <c r="C1232" s="4">
        <v>46055</v>
      </c>
      <c r="D1232" t="s">
        <v>120</v>
      </c>
      <c r="E1232" t="s">
        <v>255</v>
      </c>
      <c r="F1232" s="4"/>
      <c r="G1232" s="4"/>
      <c r="H1232" t="s">
        <v>90</v>
      </c>
      <c r="I1232" t="s">
        <v>162</v>
      </c>
      <c r="J1232" t="s">
        <v>129</v>
      </c>
      <c r="K1232" t="s">
        <v>60</v>
      </c>
      <c r="L1232" t="s">
        <v>94</v>
      </c>
      <c r="M1232" s="5"/>
      <c r="N1232" s="5"/>
      <c r="O1232" s="5"/>
      <c r="P1232" s="5"/>
      <c r="Q1232" s="5"/>
      <c r="R1232" t="s">
        <v>106</v>
      </c>
      <c r="S1232" t="s">
        <v>63</v>
      </c>
      <c r="T1232" s="5"/>
      <c r="U1232" s="6"/>
      <c r="V1232" t="s">
        <v>64</v>
      </c>
      <c r="W1232" s="4"/>
      <c r="X1232" t="s">
        <v>65</v>
      </c>
      <c r="Z1232" t="s">
        <v>66</v>
      </c>
    </row>
    <row r="1233" spans="1:26">
      <c r="A1233" t="s">
        <v>1982</v>
      </c>
      <c r="B1233" t="s">
        <v>1074</v>
      </c>
      <c r="C1233" s="4">
        <v>46096</v>
      </c>
      <c r="D1233" t="s">
        <v>242</v>
      </c>
      <c r="E1233" t="s">
        <v>70</v>
      </c>
      <c r="F1233" s="4">
        <v>46096</v>
      </c>
      <c r="G1233" s="4">
        <v>46098</v>
      </c>
      <c r="H1233" t="s">
        <v>138</v>
      </c>
      <c r="I1233" t="s">
        <v>343</v>
      </c>
      <c r="J1233" t="s">
        <v>140</v>
      </c>
      <c r="K1233" t="s">
        <v>73</v>
      </c>
      <c r="L1233" t="s">
        <v>74</v>
      </c>
      <c r="M1233" s="5">
        <v>16700</v>
      </c>
      <c r="N1233" s="5">
        <v>1850</v>
      </c>
      <c r="O1233" s="5">
        <v>2350</v>
      </c>
      <c r="P1233" s="5">
        <v>6000</v>
      </c>
      <c r="Q1233" s="5">
        <v>28700</v>
      </c>
      <c r="R1233" t="s">
        <v>75</v>
      </c>
      <c r="S1233" t="s">
        <v>76</v>
      </c>
      <c r="T1233" s="5">
        <v>13210</v>
      </c>
      <c r="U1233" s="6">
        <v>3</v>
      </c>
      <c r="V1233" t="s">
        <v>64</v>
      </c>
      <c r="W1233" s="4"/>
      <c r="X1233" t="s">
        <v>65</v>
      </c>
      <c r="Y1233" t="s">
        <v>64</v>
      </c>
      <c r="Z1233" t="s">
        <v>78</v>
      </c>
    </row>
    <row r="1234" spans="1:26">
      <c r="A1234" t="s">
        <v>1983</v>
      </c>
      <c r="B1234" t="s">
        <v>532</v>
      </c>
      <c r="C1234" s="4">
        <v>46093</v>
      </c>
      <c r="D1234" t="s">
        <v>225</v>
      </c>
      <c r="E1234" t="s">
        <v>70</v>
      </c>
      <c r="F1234" s="4">
        <v>46094</v>
      </c>
      <c r="G1234" s="4">
        <v>46100</v>
      </c>
      <c r="H1234" t="s">
        <v>103</v>
      </c>
      <c r="I1234" t="s">
        <v>207</v>
      </c>
      <c r="J1234" t="s">
        <v>244</v>
      </c>
      <c r="K1234" t="s">
        <v>73</v>
      </c>
      <c r="L1234" t="s">
        <v>74</v>
      </c>
      <c r="M1234" s="5">
        <v>67300</v>
      </c>
      <c r="N1234" s="5">
        <v>5750</v>
      </c>
      <c r="O1234" s="5">
        <v>7650</v>
      </c>
      <c r="P1234" s="5">
        <v>18000</v>
      </c>
      <c r="Q1234" s="5">
        <v>100200</v>
      </c>
      <c r="R1234" t="s">
        <v>134</v>
      </c>
      <c r="S1234" t="s">
        <v>86</v>
      </c>
      <c r="T1234" s="5">
        <v>55310</v>
      </c>
      <c r="U1234" s="6">
        <v>2</v>
      </c>
      <c r="V1234" t="s">
        <v>77</v>
      </c>
      <c r="W1234" s="4">
        <v>46120</v>
      </c>
      <c r="X1234" t="s">
        <v>77</v>
      </c>
      <c r="Y1234" t="s">
        <v>77</v>
      </c>
      <c r="Z1234" t="s">
        <v>78</v>
      </c>
    </row>
    <row r="1235" spans="1:26">
      <c r="A1235" t="s">
        <v>1984</v>
      </c>
      <c r="B1235" t="s">
        <v>786</v>
      </c>
      <c r="C1235" s="4">
        <v>46150</v>
      </c>
      <c r="D1235" t="s">
        <v>149</v>
      </c>
      <c r="E1235" t="s">
        <v>70</v>
      </c>
      <c r="F1235" s="4">
        <v>46151</v>
      </c>
      <c r="G1235" s="4">
        <v>46151</v>
      </c>
      <c r="H1235" t="s">
        <v>121</v>
      </c>
      <c r="I1235" t="s">
        <v>665</v>
      </c>
      <c r="J1235" t="s">
        <v>256</v>
      </c>
      <c r="K1235" t="s">
        <v>60</v>
      </c>
      <c r="L1235" t="s">
        <v>61</v>
      </c>
      <c r="M1235" s="5">
        <v>14200</v>
      </c>
      <c r="N1235" s="5">
        <v>1400</v>
      </c>
      <c r="O1235" s="5">
        <v>2700</v>
      </c>
      <c r="P1235" s="5">
        <v>0</v>
      </c>
      <c r="Q1235" s="5">
        <v>19300</v>
      </c>
      <c r="R1235" t="s">
        <v>62</v>
      </c>
      <c r="S1235" t="s">
        <v>76</v>
      </c>
      <c r="T1235" s="5">
        <v>6190</v>
      </c>
      <c r="U1235" s="6">
        <v>5</v>
      </c>
      <c r="V1235" t="s">
        <v>64</v>
      </c>
      <c r="W1235" s="4"/>
      <c r="X1235" t="s">
        <v>65</v>
      </c>
      <c r="Y1235" t="s">
        <v>64</v>
      </c>
      <c r="Z1235" t="s">
        <v>78</v>
      </c>
    </row>
    <row r="1236" spans="1:26">
      <c r="A1236" t="s">
        <v>1985</v>
      </c>
      <c r="B1236" t="s">
        <v>725</v>
      </c>
      <c r="C1236" s="4">
        <v>46084</v>
      </c>
      <c r="D1236" t="s">
        <v>149</v>
      </c>
      <c r="E1236" t="s">
        <v>177</v>
      </c>
      <c r="F1236" s="4"/>
      <c r="G1236" s="4"/>
      <c r="H1236" t="s">
        <v>57</v>
      </c>
      <c r="I1236" t="s">
        <v>100</v>
      </c>
      <c r="J1236" t="s">
        <v>72</v>
      </c>
      <c r="K1236" t="s">
        <v>93</v>
      </c>
      <c r="L1236" t="s">
        <v>94</v>
      </c>
      <c r="M1236" s="5"/>
      <c r="N1236" s="5"/>
      <c r="O1236" s="5"/>
      <c r="P1236" s="5"/>
      <c r="Q1236" s="5"/>
      <c r="R1236" t="s">
        <v>85</v>
      </c>
      <c r="S1236" t="s">
        <v>63</v>
      </c>
      <c r="T1236" s="5"/>
      <c r="U1236" s="6"/>
      <c r="V1236" t="s">
        <v>64</v>
      </c>
      <c r="W1236" s="4"/>
      <c r="X1236" t="s">
        <v>65</v>
      </c>
      <c r="Z1236" t="s">
        <v>66</v>
      </c>
    </row>
    <row r="1237" spans="1:26">
      <c r="A1237" t="s">
        <v>1986</v>
      </c>
      <c r="B1237" t="s">
        <v>1734</v>
      </c>
      <c r="C1237" s="4">
        <v>46161</v>
      </c>
      <c r="D1237" t="s">
        <v>144</v>
      </c>
      <c r="E1237" t="s">
        <v>70</v>
      </c>
      <c r="F1237" s="4">
        <v>46161</v>
      </c>
      <c r="G1237" s="4">
        <v>46168</v>
      </c>
      <c r="H1237" t="s">
        <v>103</v>
      </c>
      <c r="I1237" t="s">
        <v>104</v>
      </c>
      <c r="J1237" t="s">
        <v>244</v>
      </c>
      <c r="K1237" t="s">
        <v>124</v>
      </c>
      <c r="L1237" t="s">
        <v>74</v>
      </c>
      <c r="M1237" s="5">
        <v>70000</v>
      </c>
      <c r="N1237" s="5">
        <v>10400</v>
      </c>
      <c r="O1237" s="5">
        <v>16500</v>
      </c>
      <c r="P1237" s="5">
        <v>17500</v>
      </c>
      <c r="Q1237" s="5">
        <v>116200</v>
      </c>
      <c r="R1237" t="s">
        <v>85</v>
      </c>
      <c r="S1237" t="s">
        <v>76</v>
      </c>
      <c r="T1237" s="5">
        <v>29950</v>
      </c>
      <c r="U1237" s="6">
        <v>4</v>
      </c>
      <c r="V1237" t="s">
        <v>64</v>
      </c>
      <c r="W1237" s="4"/>
      <c r="X1237" t="s">
        <v>65</v>
      </c>
      <c r="Y1237" t="s">
        <v>64</v>
      </c>
      <c r="Z1237" t="s">
        <v>107</v>
      </c>
    </row>
    <row r="1238" spans="1:26">
      <c r="A1238" t="s">
        <v>1987</v>
      </c>
      <c r="B1238" t="s">
        <v>1330</v>
      </c>
      <c r="C1238" s="4">
        <v>46160</v>
      </c>
      <c r="D1238" t="s">
        <v>161</v>
      </c>
      <c r="E1238" t="s">
        <v>70</v>
      </c>
      <c r="F1238" s="4">
        <v>46161</v>
      </c>
      <c r="G1238" s="4">
        <v>46167</v>
      </c>
      <c r="H1238" t="s">
        <v>103</v>
      </c>
      <c r="I1238" t="s">
        <v>207</v>
      </c>
      <c r="J1238" t="s">
        <v>244</v>
      </c>
      <c r="K1238" t="s">
        <v>124</v>
      </c>
      <c r="L1238" t="s">
        <v>94</v>
      </c>
      <c r="M1238" s="5">
        <v>58500</v>
      </c>
      <c r="N1238" s="5">
        <v>7200</v>
      </c>
      <c r="O1238" s="5">
        <v>10800</v>
      </c>
      <c r="P1238" s="5">
        <v>36000</v>
      </c>
      <c r="Q1238" s="5">
        <v>114000</v>
      </c>
      <c r="R1238" t="s">
        <v>62</v>
      </c>
      <c r="S1238" t="s">
        <v>76</v>
      </c>
      <c r="T1238" s="5">
        <v>34600</v>
      </c>
      <c r="U1238" s="6">
        <v>3</v>
      </c>
      <c r="V1238" t="s">
        <v>77</v>
      </c>
      <c r="W1238" s="4">
        <v>46184</v>
      </c>
      <c r="X1238" t="s">
        <v>64</v>
      </c>
      <c r="Y1238" t="s">
        <v>64</v>
      </c>
      <c r="Z1238" t="s">
        <v>78</v>
      </c>
    </row>
    <row r="1239" spans="1:26">
      <c r="A1239" t="s">
        <v>1988</v>
      </c>
      <c r="B1239" t="s">
        <v>455</v>
      </c>
      <c r="C1239" s="4">
        <v>46161</v>
      </c>
      <c r="D1239" t="s">
        <v>307</v>
      </c>
      <c r="E1239" t="s">
        <v>70</v>
      </c>
      <c r="F1239" s="4">
        <v>46161</v>
      </c>
      <c r="G1239" s="4">
        <v>46162</v>
      </c>
      <c r="H1239" t="s">
        <v>150</v>
      </c>
      <c r="I1239" t="s">
        <v>151</v>
      </c>
      <c r="J1239" t="s">
        <v>188</v>
      </c>
      <c r="K1239" t="s">
        <v>60</v>
      </c>
      <c r="L1239" t="s">
        <v>94</v>
      </c>
      <c r="M1239" s="5">
        <v>106600</v>
      </c>
      <c r="N1239" s="5">
        <v>12600</v>
      </c>
      <c r="O1239" s="5">
        <v>23850</v>
      </c>
      <c r="P1239" s="5">
        <v>3500</v>
      </c>
      <c r="Q1239" s="5">
        <v>149050</v>
      </c>
      <c r="R1239" t="s">
        <v>141</v>
      </c>
      <c r="S1239" t="s">
        <v>76</v>
      </c>
      <c r="T1239" s="5">
        <v>23560</v>
      </c>
      <c r="U1239" s="6">
        <v>4</v>
      </c>
      <c r="V1239" t="s">
        <v>77</v>
      </c>
      <c r="W1239" s="4">
        <v>46175</v>
      </c>
      <c r="X1239" t="s">
        <v>77</v>
      </c>
      <c r="Y1239" t="s">
        <v>64</v>
      </c>
      <c r="Z1239" t="s">
        <v>219</v>
      </c>
    </row>
    <row r="1240" spans="1:26">
      <c r="A1240" t="s">
        <v>1989</v>
      </c>
      <c r="B1240" t="s">
        <v>199</v>
      </c>
      <c r="C1240" s="4">
        <v>46084</v>
      </c>
      <c r="D1240" t="s">
        <v>419</v>
      </c>
      <c r="E1240" t="s">
        <v>177</v>
      </c>
      <c r="F1240" s="4"/>
      <c r="G1240" s="4"/>
      <c r="H1240" t="s">
        <v>138</v>
      </c>
      <c r="I1240" t="s">
        <v>352</v>
      </c>
      <c r="J1240" t="s">
        <v>261</v>
      </c>
      <c r="K1240" t="s">
        <v>60</v>
      </c>
      <c r="L1240" t="s">
        <v>61</v>
      </c>
      <c r="M1240" s="5"/>
      <c r="N1240" s="5"/>
      <c r="O1240" s="5"/>
      <c r="P1240" s="5"/>
      <c r="Q1240" s="5"/>
      <c r="R1240" t="s">
        <v>85</v>
      </c>
      <c r="S1240" t="s">
        <v>63</v>
      </c>
      <c r="T1240" s="5"/>
      <c r="U1240" s="6"/>
      <c r="V1240" t="s">
        <v>64</v>
      </c>
      <c r="W1240" s="4"/>
      <c r="X1240" t="s">
        <v>65</v>
      </c>
      <c r="Z1240" t="s">
        <v>66</v>
      </c>
    </row>
    <row r="1241" spans="1:26">
      <c r="A1241" t="s">
        <v>1990</v>
      </c>
      <c r="B1241" t="s">
        <v>719</v>
      </c>
      <c r="C1241" s="4">
        <v>46157</v>
      </c>
      <c r="D1241" t="s">
        <v>206</v>
      </c>
      <c r="E1241" t="s">
        <v>70</v>
      </c>
      <c r="F1241" s="4">
        <v>46157</v>
      </c>
      <c r="G1241" s="4">
        <v>46159</v>
      </c>
      <c r="H1241" t="s">
        <v>111</v>
      </c>
      <c r="I1241" t="s">
        <v>397</v>
      </c>
      <c r="J1241" t="s">
        <v>113</v>
      </c>
      <c r="K1241" t="s">
        <v>124</v>
      </c>
      <c r="L1241" t="s">
        <v>61</v>
      </c>
      <c r="M1241" s="5">
        <v>25300</v>
      </c>
      <c r="N1241" s="5">
        <v>2500</v>
      </c>
      <c r="O1241" s="5">
        <v>6150</v>
      </c>
      <c r="P1241" s="5">
        <v>5000</v>
      </c>
      <c r="Q1241" s="5">
        <v>40950</v>
      </c>
      <c r="R1241" t="s">
        <v>141</v>
      </c>
      <c r="S1241" t="s">
        <v>76</v>
      </c>
      <c r="T1241" s="5">
        <v>7340</v>
      </c>
      <c r="U1241" s="6">
        <v>4</v>
      </c>
      <c r="V1241" t="s">
        <v>64</v>
      </c>
      <c r="W1241" s="4"/>
      <c r="X1241" t="s">
        <v>65</v>
      </c>
      <c r="Y1241" t="s">
        <v>64</v>
      </c>
      <c r="Z1241" t="s">
        <v>96</v>
      </c>
    </row>
    <row r="1242" spans="1:26">
      <c r="A1242" t="s">
        <v>1991</v>
      </c>
      <c r="B1242" t="s">
        <v>1729</v>
      </c>
      <c r="C1242" s="4">
        <v>46029</v>
      </c>
      <c r="D1242" t="s">
        <v>259</v>
      </c>
      <c r="E1242" t="s">
        <v>70</v>
      </c>
      <c r="F1242" s="4">
        <v>46029</v>
      </c>
      <c r="G1242" s="4">
        <v>46029</v>
      </c>
      <c r="H1242" t="s">
        <v>138</v>
      </c>
      <c r="I1242" t="s">
        <v>235</v>
      </c>
      <c r="J1242" t="s">
        <v>236</v>
      </c>
      <c r="K1242" t="s">
        <v>60</v>
      </c>
      <c r="L1242" t="s">
        <v>94</v>
      </c>
      <c r="M1242" s="5">
        <v>34500</v>
      </c>
      <c r="N1242" s="5">
        <v>3550</v>
      </c>
      <c r="O1242" s="5">
        <v>5150</v>
      </c>
      <c r="P1242" s="5">
        <v>0</v>
      </c>
      <c r="Q1242" s="5">
        <v>44200</v>
      </c>
      <c r="R1242" t="s">
        <v>95</v>
      </c>
      <c r="S1242" t="s">
        <v>63</v>
      </c>
      <c r="T1242" s="5">
        <v>44200</v>
      </c>
      <c r="U1242" s="6">
        <v>5</v>
      </c>
      <c r="V1242" t="s">
        <v>77</v>
      </c>
      <c r="W1242" s="4">
        <v>46049</v>
      </c>
      <c r="X1242" t="s">
        <v>77</v>
      </c>
      <c r="Y1242" t="s">
        <v>64</v>
      </c>
      <c r="Z1242" t="s">
        <v>96</v>
      </c>
    </row>
    <row r="1243" spans="1:26">
      <c r="A1243" t="s">
        <v>1992</v>
      </c>
      <c r="B1243" t="s">
        <v>621</v>
      </c>
      <c r="C1243" s="4">
        <v>46109</v>
      </c>
      <c r="D1243" t="s">
        <v>149</v>
      </c>
      <c r="E1243" t="s">
        <v>70</v>
      </c>
      <c r="F1243" s="4">
        <v>46109</v>
      </c>
      <c r="G1243" s="4">
        <v>46109</v>
      </c>
      <c r="H1243" t="s">
        <v>111</v>
      </c>
      <c r="I1243" t="s">
        <v>112</v>
      </c>
      <c r="J1243" t="s">
        <v>384</v>
      </c>
      <c r="K1243" t="s">
        <v>60</v>
      </c>
      <c r="L1243" t="s">
        <v>74</v>
      </c>
      <c r="M1243" s="5">
        <v>48800</v>
      </c>
      <c r="N1243" s="5">
        <v>8250</v>
      </c>
      <c r="O1243" s="5">
        <v>6700</v>
      </c>
      <c r="P1243" s="5">
        <v>0</v>
      </c>
      <c r="Q1243" s="5">
        <v>64550</v>
      </c>
      <c r="R1243" t="s">
        <v>75</v>
      </c>
      <c r="S1243" t="s">
        <v>76</v>
      </c>
      <c r="T1243" s="5">
        <v>29350</v>
      </c>
      <c r="U1243" s="6">
        <v>4</v>
      </c>
      <c r="V1243" t="s">
        <v>77</v>
      </c>
      <c r="W1243" s="4">
        <v>46118</v>
      </c>
      <c r="X1243" t="s">
        <v>77</v>
      </c>
      <c r="Y1243" t="s">
        <v>64</v>
      </c>
      <c r="Z1243" t="s">
        <v>436</v>
      </c>
    </row>
    <row r="1244" spans="1:26">
      <c r="A1244" t="s">
        <v>1993</v>
      </c>
      <c r="B1244" t="s">
        <v>1638</v>
      </c>
      <c r="C1244" s="4">
        <v>46086</v>
      </c>
      <c r="D1244" t="s">
        <v>173</v>
      </c>
      <c r="E1244" t="s">
        <v>70</v>
      </c>
      <c r="F1244" s="4">
        <v>46086</v>
      </c>
      <c r="G1244" s="4">
        <v>46088</v>
      </c>
      <c r="H1244" t="s">
        <v>57</v>
      </c>
      <c r="I1244" t="s">
        <v>71</v>
      </c>
      <c r="J1244" t="s">
        <v>170</v>
      </c>
      <c r="K1244" t="s">
        <v>73</v>
      </c>
      <c r="L1244" t="s">
        <v>94</v>
      </c>
      <c r="M1244" s="5">
        <v>59000</v>
      </c>
      <c r="N1244" s="5">
        <v>6000</v>
      </c>
      <c r="O1244" s="5">
        <v>13750</v>
      </c>
      <c r="P1244" s="5">
        <v>12000</v>
      </c>
      <c r="Q1244" s="5">
        <v>92550</v>
      </c>
      <c r="R1244" t="s">
        <v>75</v>
      </c>
      <c r="S1244" t="s">
        <v>76</v>
      </c>
      <c r="T1244" s="5">
        <v>41950</v>
      </c>
      <c r="U1244" s="6">
        <v>3</v>
      </c>
      <c r="V1244" t="s">
        <v>64</v>
      </c>
      <c r="W1244" s="4"/>
      <c r="X1244" t="s">
        <v>65</v>
      </c>
      <c r="Y1244" t="s">
        <v>64</v>
      </c>
      <c r="Z1244" t="s">
        <v>96</v>
      </c>
    </row>
    <row r="1245" spans="1:26">
      <c r="A1245" t="s">
        <v>1994</v>
      </c>
      <c r="B1245" t="s">
        <v>528</v>
      </c>
      <c r="C1245" s="4">
        <v>46045</v>
      </c>
      <c r="D1245" t="s">
        <v>161</v>
      </c>
      <c r="E1245" t="s">
        <v>70</v>
      </c>
      <c r="F1245" s="4">
        <v>46045</v>
      </c>
      <c r="G1245" s="4">
        <v>46048</v>
      </c>
      <c r="H1245" t="s">
        <v>111</v>
      </c>
      <c r="I1245" t="s">
        <v>116</v>
      </c>
      <c r="J1245" t="s">
        <v>113</v>
      </c>
      <c r="K1245" t="s">
        <v>124</v>
      </c>
      <c r="L1245" t="s">
        <v>74</v>
      </c>
      <c r="M1245" s="5">
        <v>31100</v>
      </c>
      <c r="N1245" s="5">
        <v>2600</v>
      </c>
      <c r="O1245" s="5">
        <v>7450</v>
      </c>
      <c r="P1245" s="5">
        <v>13500</v>
      </c>
      <c r="Q1245" s="5">
        <v>55450</v>
      </c>
      <c r="R1245" t="s">
        <v>95</v>
      </c>
      <c r="S1245" t="s">
        <v>63</v>
      </c>
      <c r="T1245" s="5">
        <v>55450</v>
      </c>
      <c r="U1245" s="6">
        <v>3</v>
      </c>
      <c r="V1245" t="s">
        <v>64</v>
      </c>
      <c r="W1245" s="4"/>
      <c r="X1245" t="s">
        <v>65</v>
      </c>
      <c r="Y1245" t="s">
        <v>64</v>
      </c>
      <c r="Z1245" t="s">
        <v>78</v>
      </c>
    </row>
    <row r="1246" spans="1:26">
      <c r="A1246" t="s">
        <v>1995</v>
      </c>
      <c r="B1246" t="s">
        <v>459</v>
      </c>
      <c r="C1246" s="4">
        <v>46087</v>
      </c>
      <c r="D1246" t="s">
        <v>127</v>
      </c>
      <c r="E1246" t="s">
        <v>70</v>
      </c>
      <c r="F1246" s="4">
        <v>46087</v>
      </c>
      <c r="G1246" s="4">
        <v>46092</v>
      </c>
      <c r="H1246" t="s">
        <v>111</v>
      </c>
      <c r="I1246" t="s">
        <v>355</v>
      </c>
      <c r="J1246" t="s">
        <v>384</v>
      </c>
      <c r="K1246" t="s">
        <v>73</v>
      </c>
      <c r="L1246" t="s">
        <v>94</v>
      </c>
      <c r="M1246" s="5">
        <v>74600</v>
      </c>
      <c r="N1246" s="5">
        <v>6000</v>
      </c>
      <c r="O1246" s="5">
        <v>8100</v>
      </c>
      <c r="P1246" s="5">
        <v>15000</v>
      </c>
      <c r="Q1246" s="5">
        <v>105200</v>
      </c>
      <c r="R1246" t="s">
        <v>75</v>
      </c>
      <c r="S1246" t="s">
        <v>86</v>
      </c>
      <c r="T1246" s="5">
        <v>47640</v>
      </c>
      <c r="U1246" s="6">
        <v>4</v>
      </c>
      <c r="V1246" t="s">
        <v>77</v>
      </c>
      <c r="W1246" s="4">
        <v>46110</v>
      </c>
      <c r="X1246" t="s">
        <v>77</v>
      </c>
      <c r="Y1246" t="s">
        <v>64</v>
      </c>
      <c r="Z1246" t="s">
        <v>107</v>
      </c>
    </row>
    <row r="1247" spans="1:26">
      <c r="A1247" t="s">
        <v>1996</v>
      </c>
      <c r="B1247" t="s">
        <v>1997</v>
      </c>
      <c r="C1247" s="4">
        <v>46050</v>
      </c>
      <c r="D1247" t="s">
        <v>99</v>
      </c>
      <c r="E1247" t="s">
        <v>70</v>
      </c>
      <c r="F1247" s="4">
        <v>46050</v>
      </c>
      <c r="G1247" s="4">
        <v>46052</v>
      </c>
      <c r="H1247" t="s">
        <v>121</v>
      </c>
      <c r="I1247" t="s">
        <v>174</v>
      </c>
      <c r="J1247" t="s">
        <v>256</v>
      </c>
      <c r="K1247" t="s">
        <v>124</v>
      </c>
      <c r="L1247" t="s">
        <v>61</v>
      </c>
      <c r="M1247" s="5">
        <v>12200</v>
      </c>
      <c r="N1247" s="5">
        <v>1050</v>
      </c>
      <c r="O1247" s="5">
        <v>1350</v>
      </c>
      <c r="P1247" s="5">
        <v>9000</v>
      </c>
      <c r="Q1247" s="5">
        <v>25400</v>
      </c>
      <c r="R1247" t="s">
        <v>75</v>
      </c>
      <c r="S1247" t="s">
        <v>163</v>
      </c>
      <c r="T1247" s="5">
        <v>11730</v>
      </c>
      <c r="U1247" s="6">
        <v>4</v>
      </c>
      <c r="V1247" t="s">
        <v>77</v>
      </c>
      <c r="W1247" s="4">
        <v>46070</v>
      </c>
      <c r="X1247" t="s">
        <v>64</v>
      </c>
      <c r="Y1247" t="s">
        <v>64</v>
      </c>
      <c r="Z1247" t="s">
        <v>107</v>
      </c>
    </row>
    <row r="1248" spans="1:26">
      <c r="A1248" t="s">
        <v>1998</v>
      </c>
      <c r="B1248" t="s">
        <v>1127</v>
      </c>
      <c r="C1248" s="4">
        <v>46102</v>
      </c>
      <c r="D1248" t="s">
        <v>132</v>
      </c>
      <c r="E1248" t="s">
        <v>70</v>
      </c>
      <c r="F1248" s="4">
        <v>46102</v>
      </c>
      <c r="G1248" s="4">
        <v>46102</v>
      </c>
      <c r="H1248" t="s">
        <v>90</v>
      </c>
      <c r="I1248" t="s">
        <v>299</v>
      </c>
      <c r="J1248" t="s">
        <v>129</v>
      </c>
      <c r="K1248" t="s">
        <v>60</v>
      </c>
      <c r="L1248" t="s">
        <v>74</v>
      </c>
      <c r="M1248" s="5">
        <v>46900</v>
      </c>
      <c r="N1248" s="5">
        <v>7300</v>
      </c>
      <c r="O1248" s="5">
        <v>7600</v>
      </c>
      <c r="P1248" s="5">
        <v>0</v>
      </c>
      <c r="Q1248" s="5">
        <v>63300</v>
      </c>
      <c r="R1248" t="s">
        <v>95</v>
      </c>
      <c r="S1248" t="s">
        <v>63</v>
      </c>
      <c r="T1248" s="5">
        <v>63300</v>
      </c>
      <c r="U1248" s="6">
        <v>3</v>
      </c>
      <c r="V1248" t="s">
        <v>77</v>
      </c>
      <c r="W1248" s="4">
        <v>46122</v>
      </c>
      <c r="X1248" t="s">
        <v>64</v>
      </c>
      <c r="Y1248" t="s">
        <v>64</v>
      </c>
      <c r="Z1248" t="s">
        <v>96</v>
      </c>
    </row>
    <row r="1249" spans="1:26">
      <c r="A1249" t="s">
        <v>1999</v>
      </c>
      <c r="B1249" t="s">
        <v>830</v>
      </c>
      <c r="C1249" s="4">
        <v>46116</v>
      </c>
      <c r="D1249" t="s">
        <v>137</v>
      </c>
      <c r="E1249" t="s">
        <v>70</v>
      </c>
      <c r="F1249" s="4">
        <v>46116</v>
      </c>
      <c r="G1249" s="4">
        <v>46121</v>
      </c>
      <c r="H1249" t="s">
        <v>150</v>
      </c>
      <c r="I1249" t="s">
        <v>239</v>
      </c>
      <c r="J1249" t="s">
        <v>152</v>
      </c>
      <c r="K1249" t="s">
        <v>73</v>
      </c>
      <c r="L1249" t="s">
        <v>74</v>
      </c>
      <c r="M1249" s="5">
        <v>33000</v>
      </c>
      <c r="N1249" s="5">
        <v>4000</v>
      </c>
      <c r="O1249" s="5">
        <v>7200</v>
      </c>
      <c r="P1249" s="5">
        <v>12500</v>
      </c>
      <c r="Q1249" s="5">
        <v>58500</v>
      </c>
      <c r="R1249" t="s">
        <v>75</v>
      </c>
      <c r="S1249" t="s">
        <v>86</v>
      </c>
      <c r="T1249" s="5">
        <v>26620</v>
      </c>
      <c r="U1249" s="6">
        <v>3</v>
      </c>
      <c r="V1249" t="s">
        <v>64</v>
      </c>
      <c r="W1249" s="4"/>
      <c r="X1249" t="s">
        <v>65</v>
      </c>
      <c r="Y1249" t="s">
        <v>64</v>
      </c>
      <c r="Z1249" t="s">
        <v>96</v>
      </c>
    </row>
    <row r="1250" spans="1:26">
      <c r="A1250" t="s">
        <v>2000</v>
      </c>
      <c r="B1250" t="s">
        <v>1779</v>
      </c>
      <c r="C1250" s="4">
        <v>46045</v>
      </c>
      <c r="D1250" t="s">
        <v>99</v>
      </c>
      <c r="E1250" t="s">
        <v>70</v>
      </c>
      <c r="F1250" s="4">
        <v>46045</v>
      </c>
      <c r="G1250" s="4">
        <v>46051</v>
      </c>
      <c r="H1250" t="s">
        <v>82</v>
      </c>
      <c r="I1250" t="s">
        <v>369</v>
      </c>
      <c r="J1250" t="s">
        <v>156</v>
      </c>
      <c r="K1250" t="s">
        <v>124</v>
      </c>
      <c r="L1250" t="s">
        <v>74</v>
      </c>
      <c r="M1250" s="5">
        <v>72500</v>
      </c>
      <c r="N1250" s="5">
        <v>11000</v>
      </c>
      <c r="O1250" s="5">
        <v>12200</v>
      </c>
      <c r="P1250" s="5">
        <v>18000</v>
      </c>
      <c r="Q1250" s="5">
        <v>114500</v>
      </c>
      <c r="R1250" t="s">
        <v>75</v>
      </c>
      <c r="S1250" t="s">
        <v>76</v>
      </c>
      <c r="T1250" s="5">
        <v>51820</v>
      </c>
      <c r="U1250" s="6">
        <v>5</v>
      </c>
      <c r="V1250" t="s">
        <v>77</v>
      </c>
      <c r="W1250" s="4">
        <v>46059</v>
      </c>
      <c r="X1250" t="s">
        <v>77</v>
      </c>
      <c r="Y1250" t="s">
        <v>64</v>
      </c>
      <c r="Z1250" t="s">
        <v>96</v>
      </c>
    </row>
    <row r="1251" spans="1:26">
      <c r="A1251" t="s">
        <v>2001</v>
      </c>
      <c r="B1251" t="s">
        <v>2002</v>
      </c>
      <c r="C1251" s="4">
        <v>46166</v>
      </c>
      <c r="D1251" t="s">
        <v>217</v>
      </c>
      <c r="E1251" t="s">
        <v>70</v>
      </c>
      <c r="F1251" s="4">
        <v>46166</v>
      </c>
      <c r="G1251" s="4">
        <v>46172</v>
      </c>
      <c r="H1251" t="s">
        <v>82</v>
      </c>
      <c r="I1251" t="s">
        <v>83</v>
      </c>
      <c r="J1251" t="s">
        <v>291</v>
      </c>
      <c r="K1251" t="s">
        <v>124</v>
      </c>
      <c r="L1251" t="s">
        <v>74</v>
      </c>
      <c r="M1251" s="5">
        <v>35800</v>
      </c>
      <c r="N1251" s="5">
        <v>6350</v>
      </c>
      <c r="O1251" s="5">
        <v>4600</v>
      </c>
      <c r="P1251" s="5">
        <v>18000</v>
      </c>
      <c r="Q1251" s="5">
        <v>66550</v>
      </c>
      <c r="R1251" t="s">
        <v>75</v>
      </c>
      <c r="S1251" t="s">
        <v>76</v>
      </c>
      <c r="T1251" s="5">
        <v>30250</v>
      </c>
      <c r="U1251" s="6">
        <v>3</v>
      </c>
      <c r="V1251" t="s">
        <v>77</v>
      </c>
      <c r="W1251" s="4">
        <v>46190</v>
      </c>
      <c r="X1251" t="s">
        <v>64</v>
      </c>
      <c r="Y1251" t="s">
        <v>64</v>
      </c>
      <c r="Z1251" t="s">
        <v>107</v>
      </c>
    </row>
    <row r="1252" spans="1:26">
      <c r="A1252" t="s">
        <v>2003</v>
      </c>
      <c r="B1252" t="s">
        <v>487</v>
      </c>
      <c r="C1252" s="4">
        <v>46162</v>
      </c>
      <c r="D1252" t="s">
        <v>307</v>
      </c>
      <c r="E1252" t="s">
        <v>70</v>
      </c>
      <c r="F1252" s="4">
        <v>46163</v>
      </c>
      <c r="G1252" s="4">
        <v>46170</v>
      </c>
      <c r="H1252" t="s">
        <v>82</v>
      </c>
      <c r="I1252" t="s">
        <v>194</v>
      </c>
      <c r="J1252" t="s">
        <v>156</v>
      </c>
      <c r="K1252" t="s">
        <v>73</v>
      </c>
      <c r="L1252" t="s">
        <v>94</v>
      </c>
      <c r="M1252" s="5">
        <v>88700</v>
      </c>
      <c r="N1252" s="5">
        <v>9850</v>
      </c>
      <c r="O1252" s="5">
        <v>14200</v>
      </c>
      <c r="P1252" s="5">
        <v>31500</v>
      </c>
      <c r="Q1252" s="5">
        <v>146050</v>
      </c>
      <c r="R1252" t="s">
        <v>106</v>
      </c>
      <c r="S1252" t="s">
        <v>76</v>
      </c>
      <c r="T1252" s="5">
        <v>51820</v>
      </c>
      <c r="U1252" s="6">
        <v>4</v>
      </c>
      <c r="V1252" t="s">
        <v>77</v>
      </c>
      <c r="W1252" s="4">
        <v>46183</v>
      </c>
      <c r="X1252" t="s">
        <v>64</v>
      </c>
      <c r="Y1252" t="s">
        <v>64</v>
      </c>
      <c r="Z1252" t="s">
        <v>96</v>
      </c>
    </row>
    <row r="1253" spans="1:26">
      <c r="A1253" t="s">
        <v>2004</v>
      </c>
      <c r="B1253" t="s">
        <v>2005</v>
      </c>
      <c r="C1253" s="4">
        <v>46158</v>
      </c>
      <c r="D1253" t="s">
        <v>149</v>
      </c>
      <c r="E1253" t="s">
        <v>70</v>
      </c>
      <c r="F1253" s="4">
        <v>46159</v>
      </c>
      <c r="G1253" s="4">
        <v>46162</v>
      </c>
      <c r="H1253" t="s">
        <v>201</v>
      </c>
      <c r="I1253" t="s">
        <v>421</v>
      </c>
      <c r="J1253" t="s">
        <v>203</v>
      </c>
      <c r="K1253" t="s">
        <v>124</v>
      </c>
      <c r="L1253" t="s">
        <v>61</v>
      </c>
      <c r="M1253" s="5">
        <v>38200</v>
      </c>
      <c r="N1253" s="5">
        <v>5200</v>
      </c>
      <c r="O1253" s="5">
        <v>8700</v>
      </c>
      <c r="P1253" s="5">
        <v>9000</v>
      </c>
      <c r="Q1253" s="5">
        <v>62100</v>
      </c>
      <c r="R1253" t="s">
        <v>95</v>
      </c>
      <c r="S1253" t="s">
        <v>63</v>
      </c>
      <c r="T1253" s="5">
        <v>62100</v>
      </c>
      <c r="U1253" s="6">
        <v>4</v>
      </c>
      <c r="V1253" t="s">
        <v>77</v>
      </c>
      <c r="W1253" s="4">
        <v>46174</v>
      </c>
      <c r="X1253" t="s">
        <v>77</v>
      </c>
      <c r="Y1253" t="s">
        <v>64</v>
      </c>
      <c r="Z1253" t="s">
        <v>436</v>
      </c>
    </row>
    <row r="1254" spans="1:26">
      <c r="A1254" t="s">
        <v>2006</v>
      </c>
      <c r="B1254" t="s">
        <v>638</v>
      </c>
      <c r="C1254" s="4">
        <v>46092</v>
      </c>
      <c r="D1254" t="s">
        <v>307</v>
      </c>
      <c r="E1254" t="s">
        <v>70</v>
      </c>
      <c r="F1254" s="4">
        <v>46092</v>
      </c>
      <c r="G1254" s="4">
        <v>46096</v>
      </c>
      <c r="H1254" t="s">
        <v>111</v>
      </c>
      <c r="I1254" t="s">
        <v>267</v>
      </c>
      <c r="J1254" t="s">
        <v>117</v>
      </c>
      <c r="K1254" t="s">
        <v>73</v>
      </c>
      <c r="L1254" t="s">
        <v>61</v>
      </c>
      <c r="M1254" s="5">
        <v>7300</v>
      </c>
      <c r="N1254" s="5">
        <v>650</v>
      </c>
      <c r="O1254" s="5">
        <v>1100</v>
      </c>
      <c r="P1254" s="5">
        <v>14000</v>
      </c>
      <c r="Q1254" s="5">
        <v>24250</v>
      </c>
      <c r="R1254" t="s">
        <v>85</v>
      </c>
      <c r="S1254" t="s">
        <v>76</v>
      </c>
      <c r="T1254" s="5">
        <v>6960</v>
      </c>
      <c r="U1254" s="6">
        <v>2</v>
      </c>
      <c r="V1254" t="s">
        <v>77</v>
      </c>
      <c r="W1254" s="4">
        <v>46103</v>
      </c>
      <c r="X1254" t="s">
        <v>64</v>
      </c>
      <c r="Y1254" t="s">
        <v>64</v>
      </c>
      <c r="Z1254" t="s">
        <v>107</v>
      </c>
    </row>
    <row r="1255" spans="1:26">
      <c r="A1255" t="s">
        <v>2007</v>
      </c>
      <c r="B1255" t="s">
        <v>349</v>
      </c>
      <c r="C1255" s="4">
        <v>46066</v>
      </c>
      <c r="D1255" t="s">
        <v>200</v>
      </c>
      <c r="E1255" t="s">
        <v>70</v>
      </c>
      <c r="F1255" s="4">
        <v>46066</v>
      </c>
      <c r="G1255" s="4">
        <v>46068</v>
      </c>
      <c r="H1255" t="s">
        <v>201</v>
      </c>
      <c r="I1255" t="s">
        <v>280</v>
      </c>
      <c r="J1255" t="s">
        <v>295</v>
      </c>
      <c r="K1255" t="s">
        <v>73</v>
      </c>
      <c r="L1255" t="s">
        <v>94</v>
      </c>
      <c r="M1255" s="5">
        <v>45800</v>
      </c>
      <c r="N1255" s="5">
        <v>5150</v>
      </c>
      <c r="O1255" s="5">
        <v>10100</v>
      </c>
      <c r="P1255" s="5">
        <v>6000</v>
      </c>
      <c r="Q1255" s="5">
        <v>68050</v>
      </c>
      <c r="R1255" t="s">
        <v>85</v>
      </c>
      <c r="S1255" t="s">
        <v>76</v>
      </c>
      <c r="T1255" s="5">
        <v>17910</v>
      </c>
      <c r="U1255" s="6">
        <v>4</v>
      </c>
      <c r="V1255" t="s">
        <v>64</v>
      </c>
      <c r="W1255" s="4"/>
      <c r="X1255" t="s">
        <v>65</v>
      </c>
      <c r="Y1255" t="s">
        <v>64</v>
      </c>
      <c r="Z1255" t="s">
        <v>78</v>
      </c>
    </row>
    <row r="1256" spans="1:26">
      <c r="A1256" t="s">
        <v>2008</v>
      </c>
      <c r="B1256" t="s">
        <v>684</v>
      </c>
      <c r="C1256" s="4">
        <v>46172</v>
      </c>
      <c r="D1256" t="s">
        <v>330</v>
      </c>
      <c r="E1256" t="s">
        <v>70</v>
      </c>
      <c r="F1256" s="4">
        <v>46173</v>
      </c>
      <c r="G1256" s="4">
        <v>46178</v>
      </c>
      <c r="H1256" t="s">
        <v>82</v>
      </c>
      <c r="I1256" t="s">
        <v>155</v>
      </c>
      <c r="J1256" t="s">
        <v>156</v>
      </c>
      <c r="K1256" t="s">
        <v>124</v>
      </c>
      <c r="L1256" t="s">
        <v>61</v>
      </c>
      <c r="M1256" s="5">
        <v>93500</v>
      </c>
      <c r="N1256" s="5">
        <v>15050</v>
      </c>
      <c r="O1256" s="5">
        <v>10650</v>
      </c>
      <c r="P1256" s="5">
        <v>15000</v>
      </c>
      <c r="Q1256" s="5">
        <v>136700</v>
      </c>
      <c r="R1256" t="s">
        <v>75</v>
      </c>
      <c r="S1256" t="s">
        <v>86</v>
      </c>
      <c r="T1256" s="5">
        <v>61810</v>
      </c>
      <c r="U1256" s="6"/>
      <c r="V1256" t="s">
        <v>77</v>
      </c>
      <c r="W1256" s="4">
        <v>46188</v>
      </c>
      <c r="X1256" t="s">
        <v>77</v>
      </c>
      <c r="Y1256" t="s">
        <v>64</v>
      </c>
      <c r="Z1256" t="s">
        <v>78</v>
      </c>
    </row>
    <row r="1257" spans="1:26">
      <c r="A1257" t="s">
        <v>2009</v>
      </c>
      <c r="B1257" t="s">
        <v>1145</v>
      </c>
      <c r="C1257" s="4">
        <v>46124</v>
      </c>
      <c r="D1257" t="s">
        <v>69</v>
      </c>
      <c r="E1257" t="s">
        <v>70</v>
      </c>
      <c r="F1257" s="4">
        <v>46125</v>
      </c>
      <c r="G1257" s="4">
        <v>46127</v>
      </c>
      <c r="H1257" t="s">
        <v>201</v>
      </c>
      <c r="I1257" t="s">
        <v>449</v>
      </c>
      <c r="J1257" t="s">
        <v>203</v>
      </c>
      <c r="K1257" t="s">
        <v>124</v>
      </c>
      <c r="L1257" t="s">
        <v>61</v>
      </c>
      <c r="M1257" s="5">
        <v>32900</v>
      </c>
      <c r="N1257" s="5">
        <v>4600</v>
      </c>
      <c r="O1257" s="5">
        <v>5400</v>
      </c>
      <c r="P1257" s="5">
        <v>6000</v>
      </c>
      <c r="Q1257" s="5">
        <v>49700</v>
      </c>
      <c r="R1257" t="s">
        <v>75</v>
      </c>
      <c r="S1257" t="s">
        <v>76</v>
      </c>
      <c r="T1257" s="5">
        <v>22660</v>
      </c>
      <c r="U1257" s="6">
        <v>5</v>
      </c>
      <c r="V1257" t="s">
        <v>77</v>
      </c>
      <c r="W1257" s="4">
        <v>46143</v>
      </c>
      <c r="X1257" t="s">
        <v>77</v>
      </c>
      <c r="Y1257" t="s">
        <v>64</v>
      </c>
      <c r="Z1257" t="s">
        <v>107</v>
      </c>
    </row>
    <row r="1258" spans="1:26">
      <c r="A1258" t="s">
        <v>2010</v>
      </c>
      <c r="B1258" t="s">
        <v>671</v>
      </c>
      <c r="C1258" s="4">
        <v>46049</v>
      </c>
      <c r="D1258" t="s">
        <v>173</v>
      </c>
      <c r="E1258" t="s">
        <v>177</v>
      </c>
      <c r="F1258" s="4"/>
      <c r="G1258" s="4"/>
      <c r="H1258" t="s">
        <v>90</v>
      </c>
      <c r="I1258" t="s">
        <v>388</v>
      </c>
      <c r="J1258" t="s">
        <v>197</v>
      </c>
      <c r="K1258" t="s">
        <v>60</v>
      </c>
      <c r="L1258" t="s">
        <v>74</v>
      </c>
      <c r="M1258" s="5"/>
      <c r="N1258" s="5"/>
      <c r="O1258" s="5"/>
      <c r="P1258" s="5"/>
      <c r="Q1258" s="5"/>
      <c r="R1258" t="s">
        <v>106</v>
      </c>
      <c r="S1258" t="s">
        <v>63</v>
      </c>
      <c r="T1258" s="5"/>
      <c r="U1258" s="6"/>
      <c r="V1258" t="s">
        <v>64</v>
      </c>
      <c r="W1258" s="4"/>
      <c r="X1258" t="s">
        <v>65</v>
      </c>
      <c r="Z1258" t="s">
        <v>66</v>
      </c>
    </row>
    <row r="1259" spans="1:26">
      <c r="A1259" t="s">
        <v>2011</v>
      </c>
      <c r="B1259" t="s">
        <v>1435</v>
      </c>
      <c r="C1259" s="4">
        <v>46158</v>
      </c>
      <c r="D1259" t="s">
        <v>210</v>
      </c>
      <c r="E1259" t="s">
        <v>177</v>
      </c>
      <c r="F1259" s="4"/>
      <c r="G1259" s="4"/>
      <c r="H1259" t="s">
        <v>201</v>
      </c>
      <c r="I1259" t="s">
        <v>327</v>
      </c>
      <c r="J1259" t="s">
        <v>295</v>
      </c>
      <c r="K1259" t="s">
        <v>124</v>
      </c>
      <c r="L1259" t="s">
        <v>94</v>
      </c>
      <c r="M1259" s="5"/>
      <c r="N1259" s="5"/>
      <c r="O1259" s="5"/>
      <c r="P1259" s="5"/>
      <c r="Q1259" s="5"/>
      <c r="R1259" t="s">
        <v>75</v>
      </c>
      <c r="S1259" t="s">
        <v>63</v>
      </c>
      <c r="T1259" s="5"/>
      <c r="U1259" s="6"/>
      <c r="V1259" t="s">
        <v>64</v>
      </c>
      <c r="W1259" s="4"/>
      <c r="X1259" t="s">
        <v>65</v>
      </c>
      <c r="Z1259" t="s">
        <v>66</v>
      </c>
    </row>
    <row r="1260" spans="1:26">
      <c r="A1260" t="s">
        <v>2012</v>
      </c>
      <c r="B1260" t="s">
        <v>474</v>
      </c>
      <c r="C1260" s="4">
        <v>46095</v>
      </c>
      <c r="D1260" t="s">
        <v>383</v>
      </c>
      <c r="E1260" t="s">
        <v>70</v>
      </c>
      <c r="F1260" s="4">
        <v>46096</v>
      </c>
      <c r="G1260" s="4">
        <v>46100</v>
      </c>
      <c r="H1260" t="s">
        <v>201</v>
      </c>
      <c r="I1260" t="s">
        <v>327</v>
      </c>
      <c r="J1260" t="s">
        <v>203</v>
      </c>
      <c r="K1260" t="s">
        <v>124</v>
      </c>
      <c r="L1260" t="s">
        <v>94</v>
      </c>
      <c r="M1260" s="5">
        <v>34200</v>
      </c>
      <c r="N1260" s="5">
        <v>2850</v>
      </c>
      <c r="O1260" s="5">
        <v>4750</v>
      </c>
      <c r="P1260" s="5">
        <v>10000</v>
      </c>
      <c r="Q1260" s="5">
        <v>52800</v>
      </c>
      <c r="R1260" t="s">
        <v>85</v>
      </c>
      <c r="S1260" t="s">
        <v>76</v>
      </c>
      <c r="T1260" s="5">
        <v>14100</v>
      </c>
      <c r="U1260" s="6">
        <v>5</v>
      </c>
      <c r="V1260" t="s">
        <v>77</v>
      </c>
      <c r="W1260" s="4">
        <v>46115</v>
      </c>
      <c r="X1260" t="s">
        <v>77</v>
      </c>
      <c r="Y1260" t="s">
        <v>64</v>
      </c>
      <c r="Z1260" t="s">
        <v>78</v>
      </c>
    </row>
    <row r="1261" spans="1:26">
      <c r="A1261" t="s">
        <v>2013</v>
      </c>
      <c r="B1261" t="s">
        <v>1870</v>
      </c>
      <c r="C1261" s="4">
        <v>46026</v>
      </c>
      <c r="D1261" t="s">
        <v>120</v>
      </c>
      <c r="E1261" t="s">
        <v>314</v>
      </c>
      <c r="F1261" s="4"/>
      <c r="G1261" s="4"/>
      <c r="H1261" t="s">
        <v>121</v>
      </c>
      <c r="I1261" t="s">
        <v>122</v>
      </c>
      <c r="J1261" t="s">
        <v>256</v>
      </c>
      <c r="K1261" t="s">
        <v>60</v>
      </c>
      <c r="L1261" t="s">
        <v>61</v>
      </c>
      <c r="M1261" s="5"/>
      <c r="N1261" s="5"/>
      <c r="O1261" s="5"/>
      <c r="P1261" s="5"/>
      <c r="Q1261" s="5"/>
      <c r="R1261" t="s">
        <v>75</v>
      </c>
      <c r="S1261" t="s">
        <v>63</v>
      </c>
      <c r="T1261" s="5"/>
      <c r="U1261" s="6"/>
      <c r="V1261" t="s">
        <v>64</v>
      </c>
      <c r="W1261" s="4"/>
      <c r="X1261" t="s">
        <v>65</v>
      </c>
      <c r="Z1261" t="s">
        <v>66</v>
      </c>
    </row>
    <row r="1262" spans="1:26">
      <c r="A1262" t="s">
        <v>2014</v>
      </c>
      <c r="B1262" t="s">
        <v>854</v>
      </c>
      <c r="C1262" s="4">
        <v>46112</v>
      </c>
      <c r="D1262" t="s">
        <v>110</v>
      </c>
      <c r="E1262" t="s">
        <v>70</v>
      </c>
      <c r="F1262" s="4">
        <v>46112</v>
      </c>
      <c r="G1262" s="4">
        <v>46112</v>
      </c>
      <c r="H1262" t="s">
        <v>121</v>
      </c>
      <c r="I1262" t="s">
        <v>122</v>
      </c>
      <c r="J1262" t="s">
        <v>252</v>
      </c>
      <c r="K1262" t="s">
        <v>60</v>
      </c>
      <c r="L1262" t="s">
        <v>94</v>
      </c>
      <c r="M1262" s="5">
        <v>64000</v>
      </c>
      <c r="N1262" s="5">
        <v>7900</v>
      </c>
      <c r="O1262" s="5">
        <v>11800</v>
      </c>
      <c r="P1262" s="5">
        <v>0</v>
      </c>
      <c r="Q1262" s="5">
        <v>84700</v>
      </c>
      <c r="R1262" t="s">
        <v>95</v>
      </c>
      <c r="S1262" t="s">
        <v>63</v>
      </c>
      <c r="T1262" s="5">
        <v>84700</v>
      </c>
      <c r="U1262" s="6">
        <v>3</v>
      </c>
      <c r="V1262" t="s">
        <v>77</v>
      </c>
      <c r="W1262" s="4">
        <v>46133</v>
      </c>
      <c r="X1262" t="s">
        <v>64</v>
      </c>
      <c r="Y1262" t="s">
        <v>77</v>
      </c>
      <c r="Z1262" t="s">
        <v>96</v>
      </c>
    </row>
    <row r="1263" spans="1:26">
      <c r="A1263" t="s">
        <v>2015</v>
      </c>
      <c r="B1263" t="s">
        <v>1894</v>
      </c>
      <c r="C1263" s="4">
        <v>46142</v>
      </c>
      <c r="D1263" t="s">
        <v>284</v>
      </c>
      <c r="E1263" t="s">
        <v>70</v>
      </c>
      <c r="F1263" s="4">
        <v>46142</v>
      </c>
      <c r="G1263" s="4">
        <v>46144</v>
      </c>
      <c r="H1263" t="s">
        <v>82</v>
      </c>
      <c r="I1263" t="s">
        <v>155</v>
      </c>
      <c r="J1263" t="s">
        <v>84</v>
      </c>
      <c r="K1263" t="s">
        <v>93</v>
      </c>
      <c r="L1263" t="s">
        <v>61</v>
      </c>
      <c r="M1263" s="5">
        <v>6800</v>
      </c>
      <c r="N1263" s="5">
        <v>700</v>
      </c>
      <c r="O1263" s="5">
        <v>850</v>
      </c>
      <c r="P1263" s="5">
        <v>9000</v>
      </c>
      <c r="Q1263" s="5">
        <v>19850</v>
      </c>
      <c r="R1263" t="s">
        <v>106</v>
      </c>
      <c r="S1263" t="s">
        <v>76</v>
      </c>
      <c r="T1263" s="5">
        <v>7650</v>
      </c>
      <c r="U1263" s="6">
        <v>4</v>
      </c>
      <c r="V1263" t="s">
        <v>77</v>
      </c>
      <c r="W1263" s="4">
        <v>46160</v>
      </c>
      <c r="X1263" t="s">
        <v>77</v>
      </c>
      <c r="Y1263" t="s">
        <v>64</v>
      </c>
      <c r="Z1263" t="s">
        <v>107</v>
      </c>
    </row>
    <row r="1264" spans="1:26">
      <c r="A1264" t="s">
        <v>2016</v>
      </c>
      <c r="B1264" t="s">
        <v>809</v>
      </c>
      <c r="C1264" s="4">
        <v>46094</v>
      </c>
      <c r="D1264" t="s">
        <v>81</v>
      </c>
      <c r="E1264" t="s">
        <v>70</v>
      </c>
      <c r="F1264" s="4">
        <v>46094</v>
      </c>
      <c r="G1264" s="4">
        <v>46094</v>
      </c>
      <c r="H1264" t="s">
        <v>90</v>
      </c>
      <c r="I1264" t="s">
        <v>133</v>
      </c>
      <c r="J1264" t="s">
        <v>129</v>
      </c>
      <c r="K1264" t="s">
        <v>60</v>
      </c>
      <c r="L1264" t="s">
        <v>74</v>
      </c>
      <c r="M1264" s="5">
        <v>33800</v>
      </c>
      <c r="N1264" s="5">
        <v>3700</v>
      </c>
      <c r="O1264" s="5">
        <v>8100</v>
      </c>
      <c r="P1264" s="5">
        <v>0</v>
      </c>
      <c r="Q1264" s="5">
        <v>47600</v>
      </c>
      <c r="R1264" t="s">
        <v>141</v>
      </c>
      <c r="S1264" t="s">
        <v>76</v>
      </c>
      <c r="T1264" s="5">
        <v>8340</v>
      </c>
      <c r="U1264" s="6">
        <v>4</v>
      </c>
      <c r="V1264" t="s">
        <v>77</v>
      </c>
      <c r="W1264" s="4">
        <v>46105</v>
      </c>
      <c r="X1264" t="s">
        <v>77</v>
      </c>
      <c r="Y1264" t="s">
        <v>64</v>
      </c>
      <c r="Z1264" t="s">
        <v>78</v>
      </c>
    </row>
    <row r="1265" spans="1:26">
      <c r="A1265" t="s">
        <v>2017</v>
      </c>
      <c r="B1265" t="s">
        <v>1139</v>
      </c>
      <c r="C1265" s="4">
        <v>46033</v>
      </c>
      <c r="D1265" t="s">
        <v>302</v>
      </c>
      <c r="E1265" t="s">
        <v>70</v>
      </c>
      <c r="F1265" s="4">
        <v>46034</v>
      </c>
      <c r="G1265" s="4">
        <v>46039</v>
      </c>
      <c r="H1265" t="s">
        <v>90</v>
      </c>
      <c r="I1265" t="s">
        <v>162</v>
      </c>
      <c r="J1265" t="s">
        <v>129</v>
      </c>
      <c r="K1265" t="s">
        <v>124</v>
      </c>
      <c r="L1265" t="s">
        <v>61</v>
      </c>
      <c r="M1265" s="5">
        <v>42800</v>
      </c>
      <c r="N1265" s="5">
        <v>5300</v>
      </c>
      <c r="O1265" s="5">
        <v>10250</v>
      </c>
      <c r="P1265" s="5">
        <v>15000</v>
      </c>
      <c r="Q1265" s="5">
        <v>74550</v>
      </c>
      <c r="R1265" t="s">
        <v>85</v>
      </c>
      <c r="S1265" t="s">
        <v>76</v>
      </c>
      <c r="T1265" s="5">
        <v>19540</v>
      </c>
      <c r="U1265" s="6">
        <v>3</v>
      </c>
      <c r="V1265" t="s">
        <v>77</v>
      </c>
      <c r="W1265" s="4">
        <v>46057</v>
      </c>
      <c r="X1265" t="s">
        <v>77</v>
      </c>
      <c r="Y1265" t="s">
        <v>64</v>
      </c>
      <c r="Z1265" t="s">
        <v>96</v>
      </c>
    </row>
    <row r="1266" spans="1:26">
      <c r="A1266" t="s">
        <v>2018</v>
      </c>
      <c r="B1266" t="s">
        <v>1466</v>
      </c>
      <c r="C1266" s="4">
        <v>46159</v>
      </c>
      <c r="D1266" t="s">
        <v>225</v>
      </c>
      <c r="E1266" t="s">
        <v>56</v>
      </c>
      <c r="F1266" s="4"/>
      <c r="G1266" s="4"/>
      <c r="H1266" t="s">
        <v>201</v>
      </c>
      <c r="I1266" t="s">
        <v>202</v>
      </c>
      <c r="J1266" t="s">
        <v>295</v>
      </c>
      <c r="K1266" t="s">
        <v>124</v>
      </c>
      <c r="L1266" t="s">
        <v>61</v>
      </c>
      <c r="M1266" s="5"/>
      <c r="N1266" s="5"/>
      <c r="O1266" s="5"/>
      <c r="P1266" s="5"/>
      <c r="Q1266" s="5"/>
      <c r="R1266" t="s">
        <v>141</v>
      </c>
      <c r="S1266" t="s">
        <v>63</v>
      </c>
      <c r="T1266" s="5"/>
      <c r="U1266" s="6"/>
      <c r="V1266" t="s">
        <v>64</v>
      </c>
      <c r="W1266" s="4"/>
      <c r="X1266" t="s">
        <v>65</v>
      </c>
      <c r="Z1266" t="s">
        <v>66</v>
      </c>
    </row>
    <row r="1267" spans="1:26">
      <c r="A1267" t="s">
        <v>2019</v>
      </c>
      <c r="B1267" t="s">
        <v>723</v>
      </c>
      <c r="C1267" s="4">
        <v>46092</v>
      </c>
      <c r="D1267" t="s">
        <v>132</v>
      </c>
      <c r="E1267" t="s">
        <v>70</v>
      </c>
      <c r="F1267" s="4">
        <v>46092</v>
      </c>
      <c r="G1267" s="4">
        <v>46094</v>
      </c>
      <c r="H1267" t="s">
        <v>90</v>
      </c>
      <c r="I1267" t="s">
        <v>128</v>
      </c>
      <c r="J1267" t="s">
        <v>129</v>
      </c>
      <c r="K1267" t="s">
        <v>73</v>
      </c>
      <c r="L1267" t="s">
        <v>94</v>
      </c>
      <c r="M1267" s="5">
        <v>44000</v>
      </c>
      <c r="N1267" s="5">
        <v>7300</v>
      </c>
      <c r="O1267" s="5">
        <v>8150</v>
      </c>
      <c r="P1267" s="5">
        <v>12000</v>
      </c>
      <c r="Q1267" s="5">
        <v>73450</v>
      </c>
      <c r="R1267" t="s">
        <v>85</v>
      </c>
      <c r="S1267" t="s">
        <v>163</v>
      </c>
      <c r="T1267" s="5">
        <v>19260</v>
      </c>
      <c r="U1267" s="6">
        <v>4</v>
      </c>
      <c r="V1267" t="s">
        <v>77</v>
      </c>
      <c r="W1267" s="4">
        <v>46102</v>
      </c>
      <c r="X1267" t="s">
        <v>77</v>
      </c>
      <c r="Y1267" t="s">
        <v>64</v>
      </c>
      <c r="Z1267" t="s">
        <v>78</v>
      </c>
    </row>
    <row r="1268" spans="1:26">
      <c r="A1268" t="s">
        <v>2020</v>
      </c>
      <c r="B1268" t="s">
        <v>2021</v>
      </c>
      <c r="C1268" s="4">
        <v>46161</v>
      </c>
      <c r="D1268" t="s">
        <v>419</v>
      </c>
      <c r="E1268" t="s">
        <v>70</v>
      </c>
      <c r="F1268" s="4">
        <v>46161</v>
      </c>
      <c r="G1268" s="4">
        <v>46167</v>
      </c>
      <c r="H1268" t="s">
        <v>57</v>
      </c>
      <c r="I1268" t="s">
        <v>71</v>
      </c>
      <c r="J1268" t="s">
        <v>170</v>
      </c>
      <c r="K1268" t="s">
        <v>93</v>
      </c>
      <c r="L1268" t="s">
        <v>61</v>
      </c>
      <c r="M1268" s="5">
        <v>60700</v>
      </c>
      <c r="N1268" s="5">
        <v>7300</v>
      </c>
      <c r="O1268" s="5">
        <v>10050</v>
      </c>
      <c r="P1268" s="5">
        <v>15000</v>
      </c>
      <c r="Q1268" s="5">
        <v>94850</v>
      </c>
      <c r="R1268" t="s">
        <v>85</v>
      </c>
      <c r="S1268" t="s">
        <v>76</v>
      </c>
      <c r="T1268" s="5">
        <v>24610</v>
      </c>
      <c r="U1268" s="6">
        <v>1</v>
      </c>
      <c r="V1268" t="s">
        <v>77</v>
      </c>
      <c r="W1268" s="4">
        <v>46180</v>
      </c>
      <c r="X1268" t="s">
        <v>64</v>
      </c>
      <c r="Y1268" t="s">
        <v>77</v>
      </c>
      <c r="Z1268" t="s">
        <v>107</v>
      </c>
    </row>
    <row r="1269" spans="1:26">
      <c r="A1269" t="s">
        <v>2022</v>
      </c>
      <c r="B1269" t="s">
        <v>464</v>
      </c>
      <c r="C1269" s="4">
        <v>46033</v>
      </c>
      <c r="D1269" t="s">
        <v>298</v>
      </c>
      <c r="E1269" t="s">
        <v>70</v>
      </c>
      <c r="F1269" s="4">
        <v>46033</v>
      </c>
      <c r="G1269" s="4">
        <v>46037</v>
      </c>
      <c r="H1269" t="s">
        <v>150</v>
      </c>
      <c r="I1269" t="s">
        <v>228</v>
      </c>
      <c r="J1269" t="s">
        <v>188</v>
      </c>
      <c r="K1269" t="s">
        <v>73</v>
      </c>
      <c r="L1269" t="s">
        <v>61</v>
      </c>
      <c r="M1269" s="5">
        <v>75400</v>
      </c>
      <c r="N1269" s="5">
        <v>9850</v>
      </c>
      <c r="O1269" s="5">
        <v>9350</v>
      </c>
      <c r="P1269" s="5">
        <v>18000</v>
      </c>
      <c r="Q1269" s="5">
        <v>114100</v>
      </c>
      <c r="R1269" t="s">
        <v>85</v>
      </c>
      <c r="S1269" t="s">
        <v>76</v>
      </c>
      <c r="T1269" s="5">
        <v>29420</v>
      </c>
      <c r="U1269" s="6">
        <v>5</v>
      </c>
      <c r="V1269" t="s">
        <v>77</v>
      </c>
      <c r="W1269" s="4">
        <v>46046</v>
      </c>
      <c r="X1269" t="s">
        <v>77</v>
      </c>
      <c r="Y1269" t="s">
        <v>64</v>
      </c>
      <c r="Z1269" t="s">
        <v>96</v>
      </c>
    </row>
    <row r="1270" spans="1:26">
      <c r="A1270" t="s">
        <v>2023</v>
      </c>
      <c r="B1270" t="s">
        <v>1878</v>
      </c>
      <c r="C1270" s="4">
        <v>46150</v>
      </c>
      <c r="D1270" t="s">
        <v>110</v>
      </c>
      <c r="E1270" t="s">
        <v>177</v>
      </c>
      <c r="F1270" s="4"/>
      <c r="G1270" s="4"/>
      <c r="H1270" t="s">
        <v>138</v>
      </c>
      <c r="I1270" t="s">
        <v>444</v>
      </c>
      <c r="J1270" t="s">
        <v>140</v>
      </c>
      <c r="K1270" t="s">
        <v>73</v>
      </c>
      <c r="L1270" t="s">
        <v>94</v>
      </c>
      <c r="M1270" s="5"/>
      <c r="N1270" s="5"/>
      <c r="O1270" s="5"/>
      <c r="P1270" s="5"/>
      <c r="Q1270" s="5"/>
      <c r="R1270" t="s">
        <v>106</v>
      </c>
      <c r="S1270" t="s">
        <v>63</v>
      </c>
      <c r="T1270" s="5"/>
      <c r="U1270" s="6"/>
      <c r="V1270" t="s">
        <v>64</v>
      </c>
      <c r="W1270" s="4"/>
      <c r="X1270" t="s">
        <v>65</v>
      </c>
      <c r="Z1270" t="s">
        <v>66</v>
      </c>
    </row>
    <row r="1271" spans="1:26">
      <c r="A1271" t="s">
        <v>2024</v>
      </c>
      <c r="B1271" t="s">
        <v>459</v>
      </c>
      <c r="C1271" s="4">
        <v>46143</v>
      </c>
      <c r="D1271" t="s">
        <v>99</v>
      </c>
      <c r="E1271" t="s">
        <v>70</v>
      </c>
      <c r="F1271" s="4">
        <v>46143</v>
      </c>
      <c r="G1271" s="4">
        <v>46143</v>
      </c>
      <c r="H1271" t="s">
        <v>103</v>
      </c>
      <c r="I1271" t="s">
        <v>364</v>
      </c>
      <c r="J1271" t="s">
        <v>244</v>
      </c>
      <c r="K1271" t="s">
        <v>60</v>
      </c>
      <c r="L1271" t="s">
        <v>94</v>
      </c>
      <c r="M1271" s="5">
        <v>78500</v>
      </c>
      <c r="N1271" s="5">
        <v>8700</v>
      </c>
      <c r="O1271" s="5">
        <v>12350</v>
      </c>
      <c r="P1271" s="5">
        <v>0</v>
      </c>
      <c r="Q1271" s="5">
        <v>100350</v>
      </c>
      <c r="R1271" t="s">
        <v>141</v>
      </c>
      <c r="S1271" t="s">
        <v>76</v>
      </c>
      <c r="T1271" s="5">
        <v>16250</v>
      </c>
      <c r="U1271" s="6">
        <v>4</v>
      </c>
      <c r="V1271" t="s">
        <v>77</v>
      </c>
      <c r="W1271" s="4">
        <v>46153</v>
      </c>
      <c r="X1271" t="s">
        <v>77</v>
      </c>
      <c r="Y1271" t="s">
        <v>64</v>
      </c>
      <c r="Z1271" t="s">
        <v>96</v>
      </c>
    </row>
    <row r="1272" spans="1:26">
      <c r="A1272" t="s">
        <v>2025</v>
      </c>
      <c r="B1272" t="s">
        <v>2026</v>
      </c>
      <c r="C1272" s="4">
        <v>46126</v>
      </c>
      <c r="D1272" t="s">
        <v>298</v>
      </c>
      <c r="E1272" t="s">
        <v>70</v>
      </c>
      <c r="F1272" s="4">
        <v>46126</v>
      </c>
      <c r="G1272" s="4">
        <v>46127</v>
      </c>
      <c r="H1272" t="s">
        <v>178</v>
      </c>
      <c r="I1272" t="s">
        <v>622</v>
      </c>
      <c r="J1272" t="s">
        <v>340</v>
      </c>
      <c r="K1272" t="s">
        <v>60</v>
      </c>
      <c r="L1272" t="s">
        <v>61</v>
      </c>
      <c r="M1272" s="5">
        <v>88000</v>
      </c>
      <c r="N1272" s="5">
        <v>12600</v>
      </c>
      <c r="O1272" s="5">
        <v>9550</v>
      </c>
      <c r="P1272" s="5">
        <v>2500</v>
      </c>
      <c r="Q1272" s="5">
        <v>114150</v>
      </c>
      <c r="R1272" t="s">
        <v>141</v>
      </c>
      <c r="S1272" t="s">
        <v>76</v>
      </c>
      <c r="T1272" s="5">
        <v>18320</v>
      </c>
      <c r="U1272" s="6">
        <v>4</v>
      </c>
      <c r="V1272" t="s">
        <v>77</v>
      </c>
      <c r="W1272" s="4">
        <v>46134</v>
      </c>
      <c r="X1272" t="s">
        <v>77</v>
      </c>
      <c r="Y1272" t="s">
        <v>64</v>
      </c>
      <c r="Z1272" t="s">
        <v>96</v>
      </c>
    </row>
    <row r="1273" spans="1:26">
      <c r="A1273" t="s">
        <v>2027</v>
      </c>
      <c r="B1273" t="s">
        <v>1316</v>
      </c>
      <c r="C1273" s="4">
        <v>46077</v>
      </c>
      <c r="D1273" t="s">
        <v>432</v>
      </c>
      <c r="E1273" t="s">
        <v>314</v>
      </c>
      <c r="F1273" s="4"/>
      <c r="G1273" s="4"/>
      <c r="H1273" t="s">
        <v>201</v>
      </c>
      <c r="I1273" t="s">
        <v>202</v>
      </c>
      <c r="J1273" t="s">
        <v>281</v>
      </c>
      <c r="K1273" t="s">
        <v>73</v>
      </c>
      <c r="L1273" t="s">
        <v>61</v>
      </c>
      <c r="M1273" s="5"/>
      <c r="N1273" s="5"/>
      <c r="O1273" s="5"/>
      <c r="P1273" s="5"/>
      <c r="Q1273" s="5"/>
      <c r="R1273" t="s">
        <v>85</v>
      </c>
      <c r="S1273" t="s">
        <v>63</v>
      </c>
      <c r="T1273" s="5"/>
      <c r="U1273" s="6"/>
      <c r="V1273" t="s">
        <v>64</v>
      </c>
      <c r="W1273" s="4"/>
      <c r="X1273" t="s">
        <v>65</v>
      </c>
      <c r="Z1273" t="s">
        <v>66</v>
      </c>
    </row>
    <row r="1274" spans="1:26">
      <c r="A1274" t="s">
        <v>2028</v>
      </c>
      <c r="B1274" t="s">
        <v>890</v>
      </c>
      <c r="C1274" s="4">
        <v>46116</v>
      </c>
      <c r="D1274" t="s">
        <v>168</v>
      </c>
      <c r="E1274" t="s">
        <v>70</v>
      </c>
      <c r="F1274" s="4">
        <v>46116</v>
      </c>
      <c r="G1274" s="4">
        <v>46117</v>
      </c>
      <c r="H1274" t="s">
        <v>111</v>
      </c>
      <c r="I1274" t="s">
        <v>355</v>
      </c>
      <c r="J1274" t="s">
        <v>117</v>
      </c>
      <c r="K1274" t="s">
        <v>124</v>
      </c>
      <c r="L1274" t="s">
        <v>146</v>
      </c>
      <c r="M1274" s="5">
        <v>4900</v>
      </c>
      <c r="N1274" s="5">
        <v>450</v>
      </c>
      <c r="O1274" s="5">
        <v>850</v>
      </c>
      <c r="P1274" s="5">
        <v>3500</v>
      </c>
      <c r="Q1274" s="5">
        <v>11200</v>
      </c>
      <c r="R1274" t="s">
        <v>62</v>
      </c>
      <c r="S1274" t="s">
        <v>76</v>
      </c>
      <c r="T1274" s="5">
        <v>3760</v>
      </c>
      <c r="U1274" s="6">
        <v>5</v>
      </c>
      <c r="V1274" t="s">
        <v>64</v>
      </c>
      <c r="W1274" s="4"/>
      <c r="X1274" t="s">
        <v>65</v>
      </c>
      <c r="Y1274" t="s">
        <v>64</v>
      </c>
      <c r="Z1274" t="s">
        <v>107</v>
      </c>
    </row>
    <row r="1275" spans="1:26">
      <c r="A1275" t="s">
        <v>2029</v>
      </c>
      <c r="B1275" t="s">
        <v>1240</v>
      </c>
      <c r="C1275" s="4">
        <v>46051</v>
      </c>
      <c r="D1275" t="s">
        <v>168</v>
      </c>
      <c r="E1275" t="s">
        <v>70</v>
      </c>
      <c r="F1275" s="4">
        <v>46052</v>
      </c>
      <c r="G1275" s="4">
        <v>46052</v>
      </c>
      <c r="H1275" t="s">
        <v>121</v>
      </c>
      <c r="I1275" t="s">
        <v>665</v>
      </c>
      <c r="J1275" t="s">
        <v>256</v>
      </c>
      <c r="K1275" t="s">
        <v>60</v>
      </c>
      <c r="L1275" t="s">
        <v>146</v>
      </c>
      <c r="M1275" s="5">
        <v>20400</v>
      </c>
      <c r="N1275" s="5">
        <v>2900</v>
      </c>
      <c r="O1275" s="5">
        <v>4800</v>
      </c>
      <c r="P1275" s="5">
        <v>0</v>
      </c>
      <c r="Q1275" s="5">
        <v>29100</v>
      </c>
      <c r="R1275" t="s">
        <v>85</v>
      </c>
      <c r="S1275" t="s">
        <v>76</v>
      </c>
      <c r="T1275" s="5">
        <v>8180</v>
      </c>
      <c r="U1275" s="6">
        <v>4</v>
      </c>
      <c r="V1275" t="s">
        <v>77</v>
      </c>
      <c r="W1275" s="4">
        <v>46073</v>
      </c>
      <c r="X1275" t="s">
        <v>77</v>
      </c>
      <c r="Y1275" t="s">
        <v>64</v>
      </c>
      <c r="Z1275" t="s">
        <v>96</v>
      </c>
    </row>
    <row r="1276" spans="1:26">
      <c r="A1276" t="s">
        <v>2030</v>
      </c>
      <c r="B1276" t="s">
        <v>1572</v>
      </c>
      <c r="C1276" s="4">
        <v>46168</v>
      </c>
      <c r="D1276" t="s">
        <v>294</v>
      </c>
      <c r="E1276" t="s">
        <v>70</v>
      </c>
      <c r="F1276" s="4">
        <v>46168</v>
      </c>
      <c r="G1276" s="4">
        <v>46173</v>
      </c>
      <c r="H1276" t="s">
        <v>178</v>
      </c>
      <c r="I1276" t="s">
        <v>415</v>
      </c>
      <c r="J1276" t="s">
        <v>180</v>
      </c>
      <c r="K1276" t="s">
        <v>93</v>
      </c>
      <c r="L1276" t="s">
        <v>94</v>
      </c>
      <c r="M1276" s="5">
        <v>56400</v>
      </c>
      <c r="N1276" s="5">
        <v>6100</v>
      </c>
      <c r="O1276" s="5">
        <v>13100</v>
      </c>
      <c r="P1276" s="5">
        <v>15000</v>
      </c>
      <c r="Q1276" s="5">
        <v>91400</v>
      </c>
      <c r="R1276" t="s">
        <v>62</v>
      </c>
      <c r="S1276" t="s">
        <v>86</v>
      </c>
      <c r="T1276" s="5">
        <v>27820</v>
      </c>
      <c r="U1276" s="6">
        <v>4</v>
      </c>
      <c r="V1276" t="s">
        <v>77</v>
      </c>
      <c r="W1276" s="4">
        <v>46187</v>
      </c>
      <c r="X1276" t="s">
        <v>64</v>
      </c>
      <c r="Y1276" t="s">
        <v>64</v>
      </c>
      <c r="Z1276" t="s">
        <v>96</v>
      </c>
    </row>
    <row r="1277" spans="1:26">
      <c r="A1277" t="s">
        <v>2031</v>
      </c>
      <c r="B1277" t="s">
        <v>669</v>
      </c>
      <c r="C1277" s="4">
        <v>46084</v>
      </c>
      <c r="D1277" t="s">
        <v>266</v>
      </c>
      <c r="E1277" t="s">
        <v>56</v>
      </c>
      <c r="F1277" s="4"/>
      <c r="G1277" s="4"/>
      <c r="H1277" t="s">
        <v>178</v>
      </c>
      <c r="I1277" t="s">
        <v>179</v>
      </c>
      <c r="J1277" t="s">
        <v>358</v>
      </c>
      <c r="K1277" t="s">
        <v>60</v>
      </c>
      <c r="L1277" t="s">
        <v>94</v>
      </c>
      <c r="M1277" s="5"/>
      <c r="N1277" s="5"/>
      <c r="O1277" s="5"/>
      <c r="P1277" s="5"/>
      <c r="Q1277" s="5"/>
      <c r="R1277" t="s">
        <v>141</v>
      </c>
      <c r="S1277" t="s">
        <v>63</v>
      </c>
      <c r="T1277" s="5"/>
      <c r="U1277" s="6"/>
      <c r="V1277" t="s">
        <v>64</v>
      </c>
      <c r="W1277" s="4"/>
      <c r="X1277" t="s">
        <v>65</v>
      </c>
      <c r="Z1277" t="s">
        <v>66</v>
      </c>
    </row>
    <row r="1278" spans="1:26">
      <c r="A1278" t="s">
        <v>2032</v>
      </c>
      <c r="B1278" t="s">
        <v>182</v>
      </c>
      <c r="C1278" s="4">
        <v>46122</v>
      </c>
      <c r="D1278" t="s">
        <v>81</v>
      </c>
      <c r="E1278" t="s">
        <v>70</v>
      </c>
      <c r="F1278" s="4">
        <v>46122</v>
      </c>
      <c r="G1278" s="4">
        <v>46127</v>
      </c>
      <c r="H1278" t="s">
        <v>90</v>
      </c>
      <c r="I1278" t="s">
        <v>128</v>
      </c>
      <c r="J1278" t="s">
        <v>197</v>
      </c>
      <c r="K1278" t="s">
        <v>124</v>
      </c>
      <c r="L1278" t="s">
        <v>94</v>
      </c>
      <c r="M1278" s="5">
        <v>23000</v>
      </c>
      <c r="N1278" s="5">
        <v>3950</v>
      </c>
      <c r="O1278" s="5">
        <v>4400</v>
      </c>
      <c r="P1278" s="5">
        <v>15000</v>
      </c>
      <c r="Q1278" s="5">
        <v>48350</v>
      </c>
      <c r="R1278" t="s">
        <v>95</v>
      </c>
      <c r="S1278" t="s">
        <v>63</v>
      </c>
      <c r="T1278" s="5">
        <v>48350</v>
      </c>
      <c r="U1278" s="6">
        <v>2</v>
      </c>
      <c r="V1278" t="s">
        <v>64</v>
      </c>
      <c r="W1278" s="4"/>
      <c r="X1278" t="s">
        <v>65</v>
      </c>
      <c r="Y1278" t="s">
        <v>64</v>
      </c>
      <c r="Z1278" t="s">
        <v>96</v>
      </c>
    </row>
    <row r="1279" spans="1:26">
      <c r="A1279" t="s">
        <v>2033</v>
      </c>
      <c r="B1279" t="s">
        <v>756</v>
      </c>
      <c r="C1279" s="4">
        <v>46050</v>
      </c>
      <c r="D1279" t="s">
        <v>259</v>
      </c>
      <c r="E1279" t="s">
        <v>70</v>
      </c>
      <c r="F1279" s="4">
        <v>46051</v>
      </c>
      <c r="G1279" s="4">
        <v>46055</v>
      </c>
      <c r="H1279" t="s">
        <v>138</v>
      </c>
      <c r="I1279" t="s">
        <v>343</v>
      </c>
      <c r="J1279" t="s">
        <v>261</v>
      </c>
      <c r="K1279" t="s">
        <v>124</v>
      </c>
      <c r="L1279" t="s">
        <v>61</v>
      </c>
      <c r="M1279" s="5">
        <v>8000</v>
      </c>
      <c r="N1279" s="5">
        <v>800</v>
      </c>
      <c r="O1279" s="5">
        <v>2000</v>
      </c>
      <c r="P1279" s="5">
        <v>12000</v>
      </c>
      <c r="Q1279" s="5">
        <v>24600</v>
      </c>
      <c r="R1279" t="s">
        <v>85</v>
      </c>
      <c r="S1279" t="s">
        <v>86</v>
      </c>
      <c r="T1279" s="5">
        <v>7050</v>
      </c>
      <c r="U1279" s="6">
        <v>2</v>
      </c>
      <c r="V1279" t="s">
        <v>77</v>
      </c>
      <c r="W1279" s="4">
        <v>46074</v>
      </c>
      <c r="X1279" t="s">
        <v>64</v>
      </c>
      <c r="Y1279" t="s">
        <v>64</v>
      </c>
      <c r="Z1279" t="s">
        <v>96</v>
      </c>
    </row>
    <row r="1280" spans="1:26">
      <c r="A1280" t="s">
        <v>2034</v>
      </c>
      <c r="B1280" t="s">
        <v>549</v>
      </c>
      <c r="C1280" s="4">
        <v>46163</v>
      </c>
      <c r="D1280" t="s">
        <v>161</v>
      </c>
      <c r="E1280" t="s">
        <v>70</v>
      </c>
      <c r="F1280" s="4">
        <v>46164</v>
      </c>
      <c r="G1280" s="4">
        <v>46167</v>
      </c>
      <c r="H1280" t="s">
        <v>150</v>
      </c>
      <c r="I1280" t="s">
        <v>239</v>
      </c>
      <c r="J1280" t="s">
        <v>152</v>
      </c>
      <c r="K1280" t="s">
        <v>124</v>
      </c>
      <c r="L1280" t="s">
        <v>94</v>
      </c>
      <c r="M1280" s="5">
        <v>25400</v>
      </c>
      <c r="N1280" s="5">
        <v>4100</v>
      </c>
      <c r="O1280" s="5">
        <v>5400</v>
      </c>
      <c r="P1280" s="5">
        <v>13500</v>
      </c>
      <c r="Q1280" s="5">
        <v>50200</v>
      </c>
      <c r="R1280" t="s">
        <v>141</v>
      </c>
      <c r="S1280" t="s">
        <v>76</v>
      </c>
      <c r="T1280" s="5">
        <v>8730</v>
      </c>
      <c r="U1280" s="6">
        <v>4</v>
      </c>
      <c r="V1280" t="s">
        <v>77</v>
      </c>
      <c r="W1280" s="4">
        <v>46174</v>
      </c>
      <c r="X1280" t="s">
        <v>77</v>
      </c>
      <c r="Y1280" t="s">
        <v>64</v>
      </c>
      <c r="Z1280" t="s">
        <v>96</v>
      </c>
    </row>
    <row r="1281" spans="1:26">
      <c r="A1281" t="s">
        <v>2035</v>
      </c>
      <c r="B1281" t="s">
        <v>1545</v>
      </c>
      <c r="C1281" s="4">
        <v>46159</v>
      </c>
      <c r="D1281" t="s">
        <v>439</v>
      </c>
      <c r="E1281" t="s">
        <v>70</v>
      </c>
      <c r="F1281" s="4">
        <v>46159</v>
      </c>
      <c r="G1281" s="4">
        <v>46159</v>
      </c>
      <c r="H1281" t="s">
        <v>90</v>
      </c>
      <c r="I1281" t="s">
        <v>299</v>
      </c>
      <c r="J1281" t="s">
        <v>129</v>
      </c>
      <c r="K1281" t="s">
        <v>60</v>
      </c>
      <c r="L1281" t="s">
        <v>74</v>
      </c>
      <c r="M1281" s="5">
        <v>37100</v>
      </c>
      <c r="N1281" s="5">
        <v>4700</v>
      </c>
      <c r="O1281" s="5">
        <v>6150</v>
      </c>
      <c r="P1281" s="5">
        <v>0</v>
      </c>
      <c r="Q1281" s="5">
        <v>49450</v>
      </c>
      <c r="R1281" t="s">
        <v>62</v>
      </c>
      <c r="S1281" t="s">
        <v>86</v>
      </c>
      <c r="T1281" s="5">
        <v>15240</v>
      </c>
      <c r="U1281" s="6">
        <v>4</v>
      </c>
      <c r="V1281" t="s">
        <v>77</v>
      </c>
      <c r="W1281" s="4">
        <v>46175</v>
      </c>
      <c r="X1281" t="s">
        <v>77</v>
      </c>
      <c r="Y1281" t="s">
        <v>64</v>
      </c>
      <c r="Z1281" t="s">
        <v>78</v>
      </c>
    </row>
    <row r="1282" spans="1:26">
      <c r="A1282" t="s">
        <v>2036</v>
      </c>
      <c r="B1282" t="s">
        <v>619</v>
      </c>
      <c r="C1282" s="4">
        <v>46122</v>
      </c>
      <c r="D1282" t="s">
        <v>266</v>
      </c>
      <c r="E1282" t="s">
        <v>70</v>
      </c>
      <c r="F1282" s="4">
        <v>46122</v>
      </c>
      <c r="G1282" s="4">
        <v>46122</v>
      </c>
      <c r="H1282" t="s">
        <v>150</v>
      </c>
      <c r="I1282" t="s">
        <v>151</v>
      </c>
      <c r="J1282" t="s">
        <v>188</v>
      </c>
      <c r="K1282" t="s">
        <v>60</v>
      </c>
      <c r="L1282" t="s">
        <v>94</v>
      </c>
      <c r="M1282" s="5">
        <v>84100</v>
      </c>
      <c r="N1282" s="5">
        <v>12400</v>
      </c>
      <c r="O1282" s="5">
        <v>9700</v>
      </c>
      <c r="P1282" s="5">
        <v>0</v>
      </c>
      <c r="Q1282" s="5">
        <v>108700</v>
      </c>
      <c r="R1282" t="s">
        <v>75</v>
      </c>
      <c r="S1282" t="s">
        <v>76</v>
      </c>
      <c r="T1282" s="5">
        <v>49210</v>
      </c>
      <c r="U1282" s="6">
        <v>5</v>
      </c>
      <c r="V1282" t="s">
        <v>64</v>
      </c>
      <c r="W1282" s="4"/>
      <c r="X1282" t="s">
        <v>65</v>
      </c>
      <c r="Y1282" t="s">
        <v>64</v>
      </c>
      <c r="Z1282" t="s">
        <v>78</v>
      </c>
    </row>
    <row r="1283" spans="1:26">
      <c r="A1283" t="s">
        <v>2037</v>
      </c>
      <c r="B1283" t="s">
        <v>2038</v>
      </c>
      <c r="C1283" s="4">
        <v>46121</v>
      </c>
      <c r="D1283" t="s">
        <v>439</v>
      </c>
      <c r="E1283" t="s">
        <v>314</v>
      </c>
      <c r="F1283" s="4"/>
      <c r="G1283" s="4"/>
      <c r="H1283" t="s">
        <v>103</v>
      </c>
      <c r="I1283" t="s">
        <v>243</v>
      </c>
      <c r="J1283" t="s">
        <v>244</v>
      </c>
      <c r="K1283" t="s">
        <v>60</v>
      </c>
      <c r="L1283" t="s">
        <v>94</v>
      </c>
      <c r="M1283" s="5"/>
      <c r="N1283" s="5"/>
      <c r="O1283" s="5"/>
      <c r="P1283" s="5"/>
      <c r="Q1283" s="5"/>
      <c r="R1283" t="s">
        <v>85</v>
      </c>
      <c r="S1283" t="s">
        <v>63</v>
      </c>
      <c r="T1283" s="5"/>
      <c r="U1283" s="6"/>
      <c r="V1283" t="s">
        <v>64</v>
      </c>
      <c r="W1283" s="4"/>
      <c r="X1283" t="s">
        <v>65</v>
      </c>
      <c r="Z1283" t="s">
        <v>66</v>
      </c>
    </row>
    <row r="1284" spans="1:26">
      <c r="A1284" t="s">
        <v>2039</v>
      </c>
      <c r="B1284" t="s">
        <v>1125</v>
      </c>
      <c r="C1284" s="4">
        <v>46043</v>
      </c>
      <c r="D1284" t="s">
        <v>217</v>
      </c>
      <c r="E1284" t="s">
        <v>70</v>
      </c>
      <c r="F1284" s="4">
        <v>46043</v>
      </c>
      <c r="G1284" s="4">
        <v>46044</v>
      </c>
      <c r="H1284" t="s">
        <v>201</v>
      </c>
      <c r="I1284" t="s">
        <v>327</v>
      </c>
      <c r="J1284" t="s">
        <v>203</v>
      </c>
      <c r="K1284" t="s">
        <v>124</v>
      </c>
      <c r="L1284" t="s">
        <v>61</v>
      </c>
      <c r="M1284" s="5">
        <v>36400</v>
      </c>
      <c r="N1284" s="5">
        <v>6100</v>
      </c>
      <c r="O1284" s="5">
        <v>4350</v>
      </c>
      <c r="P1284" s="5">
        <v>3500</v>
      </c>
      <c r="Q1284" s="5">
        <v>51350</v>
      </c>
      <c r="R1284" t="s">
        <v>106</v>
      </c>
      <c r="S1284" t="s">
        <v>76</v>
      </c>
      <c r="T1284" s="5">
        <v>18670</v>
      </c>
      <c r="U1284" s="6">
        <v>5</v>
      </c>
      <c r="V1284" t="s">
        <v>77</v>
      </c>
      <c r="W1284" s="4">
        <v>46063</v>
      </c>
      <c r="X1284" t="s">
        <v>77</v>
      </c>
      <c r="Y1284" t="s">
        <v>64</v>
      </c>
      <c r="Z1284" t="s">
        <v>96</v>
      </c>
    </row>
    <row r="1285" spans="1:26">
      <c r="A1285" t="s">
        <v>2040</v>
      </c>
      <c r="B1285" t="s">
        <v>583</v>
      </c>
      <c r="C1285" s="4">
        <v>46107</v>
      </c>
      <c r="D1285" t="s">
        <v>234</v>
      </c>
      <c r="E1285" t="s">
        <v>70</v>
      </c>
      <c r="F1285" s="4">
        <v>46107</v>
      </c>
      <c r="G1285" s="4">
        <v>46108</v>
      </c>
      <c r="H1285" t="s">
        <v>150</v>
      </c>
      <c r="I1285" t="s">
        <v>239</v>
      </c>
      <c r="J1285" t="s">
        <v>229</v>
      </c>
      <c r="K1285" t="s">
        <v>60</v>
      </c>
      <c r="L1285" t="s">
        <v>94</v>
      </c>
      <c r="M1285" s="5">
        <v>34400</v>
      </c>
      <c r="N1285" s="5">
        <v>5850</v>
      </c>
      <c r="O1285" s="5">
        <v>5950</v>
      </c>
      <c r="P1285" s="5">
        <v>3500</v>
      </c>
      <c r="Q1285" s="5">
        <v>51500</v>
      </c>
      <c r="R1285" t="s">
        <v>85</v>
      </c>
      <c r="S1285" t="s">
        <v>76</v>
      </c>
      <c r="T1285" s="5">
        <v>13780</v>
      </c>
      <c r="U1285" s="6">
        <v>5</v>
      </c>
      <c r="V1285" t="s">
        <v>64</v>
      </c>
      <c r="W1285" s="4"/>
      <c r="X1285" t="s">
        <v>65</v>
      </c>
      <c r="Y1285" t="s">
        <v>64</v>
      </c>
      <c r="Z1285" t="s">
        <v>96</v>
      </c>
    </row>
    <row r="1286" spans="1:26">
      <c r="A1286" t="s">
        <v>2041</v>
      </c>
      <c r="B1286" t="s">
        <v>651</v>
      </c>
      <c r="C1286" s="4">
        <v>46036</v>
      </c>
      <c r="D1286" t="s">
        <v>137</v>
      </c>
      <c r="E1286" t="s">
        <v>314</v>
      </c>
      <c r="F1286" s="4"/>
      <c r="G1286" s="4"/>
      <c r="H1286" t="s">
        <v>178</v>
      </c>
      <c r="I1286" t="s">
        <v>218</v>
      </c>
      <c r="J1286" t="s">
        <v>358</v>
      </c>
      <c r="K1286" t="s">
        <v>73</v>
      </c>
      <c r="L1286" t="s">
        <v>94</v>
      </c>
      <c r="M1286" s="5"/>
      <c r="N1286" s="5"/>
      <c r="O1286" s="5"/>
      <c r="P1286" s="5"/>
      <c r="Q1286" s="5"/>
      <c r="R1286" t="s">
        <v>62</v>
      </c>
      <c r="S1286" t="s">
        <v>63</v>
      </c>
      <c r="T1286" s="5"/>
      <c r="U1286" s="6"/>
      <c r="V1286" t="s">
        <v>64</v>
      </c>
      <c r="W1286" s="4"/>
      <c r="X1286" t="s">
        <v>65</v>
      </c>
      <c r="Z1286" t="s">
        <v>66</v>
      </c>
    </row>
    <row r="1287" spans="1:26">
      <c r="A1287" t="s">
        <v>2042</v>
      </c>
      <c r="B1287" t="s">
        <v>1050</v>
      </c>
      <c r="C1287" s="4">
        <v>46132</v>
      </c>
      <c r="D1287" t="s">
        <v>302</v>
      </c>
      <c r="E1287" t="s">
        <v>70</v>
      </c>
      <c r="F1287" s="4">
        <v>46132</v>
      </c>
      <c r="G1287" s="4">
        <v>46135</v>
      </c>
      <c r="H1287" t="s">
        <v>138</v>
      </c>
      <c r="I1287" t="s">
        <v>444</v>
      </c>
      <c r="J1287" t="s">
        <v>261</v>
      </c>
      <c r="K1287" t="s">
        <v>73</v>
      </c>
      <c r="L1287" t="s">
        <v>74</v>
      </c>
      <c r="M1287" s="5">
        <v>6800</v>
      </c>
      <c r="N1287" s="5">
        <v>750</v>
      </c>
      <c r="O1287" s="5">
        <v>700</v>
      </c>
      <c r="P1287" s="5">
        <v>7500</v>
      </c>
      <c r="Q1287" s="5">
        <v>17250</v>
      </c>
      <c r="R1287" t="s">
        <v>75</v>
      </c>
      <c r="S1287" t="s">
        <v>76</v>
      </c>
      <c r="T1287" s="5">
        <v>8060</v>
      </c>
      <c r="U1287" s="6">
        <v>3</v>
      </c>
      <c r="V1287" t="s">
        <v>77</v>
      </c>
      <c r="W1287" s="4">
        <v>46151</v>
      </c>
      <c r="X1287" t="s">
        <v>64</v>
      </c>
      <c r="Y1287" t="s">
        <v>64</v>
      </c>
      <c r="Z1287" t="s">
        <v>78</v>
      </c>
    </row>
    <row r="1288" spans="1:26">
      <c r="A1288" t="s">
        <v>2043</v>
      </c>
      <c r="B1288" t="s">
        <v>2021</v>
      </c>
      <c r="C1288" s="4">
        <v>46074</v>
      </c>
      <c r="D1288" t="s">
        <v>242</v>
      </c>
      <c r="E1288" t="s">
        <v>70</v>
      </c>
      <c r="F1288" s="4">
        <v>46074</v>
      </c>
      <c r="G1288" s="4">
        <v>46074</v>
      </c>
      <c r="H1288" t="s">
        <v>111</v>
      </c>
      <c r="I1288" t="s">
        <v>116</v>
      </c>
      <c r="J1288" t="s">
        <v>384</v>
      </c>
      <c r="K1288" t="s">
        <v>60</v>
      </c>
      <c r="L1288" t="s">
        <v>61</v>
      </c>
      <c r="M1288" s="5">
        <v>60000</v>
      </c>
      <c r="N1288" s="5">
        <v>9300</v>
      </c>
      <c r="O1288" s="5">
        <v>6200</v>
      </c>
      <c r="P1288" s="5">
        <v>0</v>
      </c>
      <c r="Q1288" s="5">
        <v>76300</v>
      </c>
      <c r="R1288" t="s">
        <v>75</v>
      </c>
      <c r="S1288" t="s">
        <v>76</v>
      </c>
      <c r="T1288" s="5">
        <v>34640</v>
      </c>
      <c r="U1288" s="6">
        <v>5</v>
      </c>
      <c r="V1288" t="s">
        <v>77</v>
      </c>
      <c r="W1288" s="4">
        <v>46093</v>
      </c>
      <c r="X1288" t="s">
        <v>77</v>
      </c>
      <c r="Y1288" t="s">
        <v>64</v>
      </c>
      <c r="Z1288" t="s">
        <v>78</v>
      </c>
    </row>
    <row r="1289" spans="1:26">
      <c r="A1289" t="s">
        <v>2044</v>
      </c>
      <c r="B1289" t="s">
        <v>2045</v>
      </c>
      <c r="C1289" s="4">
        <v>46112</v>
      </c>
      <c r="D1289" t="s">
        <v>279</v>
      </c>
      <c r="E1289" t="s">
        <v>70</v>
      </c>
      <c r="F1289" s="4">
        <v>46112</v>
      </c>
      <c r="G1289" s="4">
        <v>46113</v>
      </c>
      <c r="H1289" t="s">
        <v>111</v>
      </c>
      <c r="I1289" t="s">
        <v>222</v>
      </c>
      <c r="J1289" t="s">
        <v>117</v>
      </c>
      <c r="K1289" t="s">
        <v>124</v>
      </c>
      <c r="L1289" t="s">
        <v>61</v>
      </c>
      <c r="M1289" s="5">
        <v>6700</v>
      </c>
      <c r="N1289" s="5">
        <v>1050</v>
      </c>
      <c r="O1289" s="5">
        <v>1500</v>
      </c>
      <c r="P1289" s="5">
        <v>2500</v>
      </c>
      <c r="Q1289" s="5">
        <v>12750</v>
      </c>
      <c r="R1289" t="s">
        <v>134</v>
      </c>
      <c r="S1289" t="s">
        <v>76</v>
      </c>
      <c r="T1289" s="5">
        <v>7210</v>
      </c>
      <c r="U1289" s="6">
        <v>4</v>
      </c>
      <c r="V1289" t="s">
        <v>64</v>
      </c>
      <c r="W1289" s="4"/>
      <c r="X1289" t="s">
        <v>65</v>
      </c>
      <c r="Y1289" t="s">
        <v>64</v>
      </c>
      <c r="Z1289" t="s">
        <v>107</v>
      </c>
    </row>
    <row r="1290" spans="1:26">
      <c r="A1290" t="s">
        <v>2046</v>
      </c>
      <c r="B1290" t="s">
        <v>2047</v>
      </c>
      <c r="C1290" s="4">
        <v>46036</v>
      </c>
      <c r="D1290" t="s">
        <v>217</v>
      </c>
      <c r="E1290" t="s">
        <v>70</v>
      </c>
      <c r="F1290" s="4">
        <v>46037</v>
      </c>
      <c r="G1290" s="4">
        <v>46037</v>
      </c>
      <c r="H1290" t="s">
        <v>138</v>
      </c>
      <c r="I1290" t="s">
        <v>235</v>
      </c>
      <c r="J1290" t="s">
        <v>140</v>
      </c>
      <c r="K1290" t="s">
        <v>93</v>
      </c>
      <c r="L1290" t="s">
        <v>61</v>
      </c>
      <c r="M1290" s="5">
        <v>18100</v>
      </c>
      <c r="N1290" s="5">
        <v>2450</v>
      </c>
      <c r="O1290" s="5">
        <v>3800</v>
      </c>
      <c r="P1290" s="5">
        <v>0</v>
      </c>
      <c r="Q1290" s="5">
        <v>25350</v>
      </c>
      <c r="R1290" t="s">
        <v>95</v>
      </c>
      <c r="S1290" t="s">
        <v>63</v>
      </c>
      <c r="T1290" s="5">
        <v>25350</v>
      </c>
      <c r="U1290" s="6">
        <v>5</v>
      </c>
      <c r="V1290" t="s">
        <v>77</v>
      </c>
      <c r="W1290" s="4">
        <v>46053</v>
      </c>
      <c r="X1290" t="s">
        <v>77</v>
      </c>
      <c r="Y1290" t="s">
        <v>64</v>
      </c>
      <c r="Z1290" t="s">
        <v>78</v>
      </c>
    </row>
    <row r="1291" spans="1:26">
      <c r="A1291" t="s">
        <v>2048</v>
      </c>
      <c r="B1291" t="s">
        <v>725</v>
      </c>
      <c r="C1291" s="4">
        <v>46112</v>
      </c>
      <c r="D1291" t="s">
        <v>200</v>
      </c>
      <c r="E1291" t="s">
        <v>70</v>
      </c>
      <c r="F1291" s="4">
        <v>46112</v>
      </c>
      <c r="G1291" s="4">
        <v>46114</v>
      </c>
      <c r="H1291" t="s">
        <v>178</v>
      </c>
      <c r="I1291" t="s">
        <v>179</v>
      </c>
      <c r="J1291" t="s">
        <v>180</v>
      </c>
      <c r="K1291" t="s">
        <v>93</v>
      </c>
      <c r="L1291" t="s">
        <v>146</v>
      </c>
      <c r="M1291" s="5">
        <v>55700</v>
      </c>
      <c r="N1291" s="5">
        <v>8750</v>
      </c>
      <c r="O1291" s="5">
        <v>11600</v>
      </c>
      <c r="P1291" s="5">
        <v>5000</v>
      </c>
      <c r="Q1291" s="5">
        <v>82050</v>
      </c>
      <c r="R1291" t="s">
        <v>62</v>
      </c>
      <c r="S1291" t="s">
        <v>76</v>
      </c>
      <c r="T1291" s="5">
        <v>25020</v>
      </c>
      <c r="U1291" s="6">
        <v>4</v>
      </c>
      <c r="V1291" t="s">
        <v>77</v>
      </c>
      <c r="W1291" s="4">
        <v>46130</v>
      </c>
      <c r="X1291" t="s">
        <v>77</v>
      </c>
      <c r="Y1291" t="s">
        <v>64</v>
      </c>
      <c r="Z1291" t="s">
        <v>78</v>
      </c>
    </row>
    <row r="1292" spans="1:26">
      <c r="A1292" t="s">
        <v>2049</v>
      </c>
      <c r="B1292" t="s">
        <v>1562</v>
      </c>
      <c r="C1292" s="4">
        <v>46040</v>
      </c>
      <c r="D1292" t="s">
        <v>200</v>
      </c>
      <c r="E1292" t="s">
        <v>70</v>
      </c>
      <c r="F1292" s="4">
        <v>46040</v>
      </c>
      <c r="G1292" s="4">
        <v>46045</v>
      </c>
      <c r="H1292" t="s">
        <v>121</v>
      </c>
      <c r="I1292" t="s">
        <v>122</v>
      </c>
      <c r="J1292" t="s">
        <v>252</v>
      </c>
      <c r="K1292" t="s">
        <v>124</v>
      </c>
      <c r="L1292" t="s">
        <v>74</v>
      </c>
      <c r="M1292" s="5">
        <v>53200</v>
      </c>
      <c r="N1292" s="5">
        <v>5000</v>
      </c>
      <c r="O1292" s="5">
        <v>11650</v>
      </c>
      <c r="P1292" s="5">
        <v>12500</v>
      </c>
      <c r="Q1292" s="5">
        <v>83350</v>
      </c>
      <c r="R1292" t="s">
        <v>106</v>
      </c>
      <c r="S1292" t="s">
        <v>76</v>
      </c>
      <c r="T1292" s="5">
        <v>29870</v>
      </c>
      <c r="U1292" s="6">
        <v>4</v>
      </c>
      <c r="V1292" t="s">
        <v>77</v>
      </c>
      <c r="W1292" s="4">
        <v>46062</v>
      </c>
      <c r="X1292" t="s">
        <v>64</v>
      </c>
      <c r="Y1292" t="s">
        <v>64</v>
      </c>
      <c r="Z1292" t="s">
        <v>78</v>
      </c>
    </row>
    <row r="1293" spans="1:26">
      <c r="A1293" t="s">
        <v>2050</v>
      </c>
      <c r="B1293" t="s">
        <v>954</v>
      </c>
      <c r="C1293" s="4">
        <v>46085</v>
      </c>
      <c r="D1293" t="s">
        <v>161</v>
      </c>
      <c r="E1293" t="s">
        <v>70</v>
      </c>
      <c r="F1293" s="4">
        <v>46085</v>
      </c>
      <c r="G1293" s="4">
        <v>46089</v>
      </c>
      <c r="H1293" t="s">
        <v>201</v>
      </c>
      <c r="I1293" t="s">
        <v>280</v>
      </c>
      <c r="J1293" t="s">
        <v>295</v>
      </c>
      <c r="K1293" t="s">
        <v>73</v>
      </c>
      <c r="L1293" t="s">
        <v>74</v>
      </c>
      <c r="M1293" s="5">
        <v>44600</v>
      </c>
      <c r="N1293" s="5">
        <v>5700</v>
      </c>
      <c r="O1293" s="5">
        <v>5600</v>
      </c>
      <c r="P1293" s="5">
        <v>12000</v>
      </c>
      <c r="Q1293" s="5">
        <v>68900</v>
      </c>
      <c r="R1293" t="s">
        <v>85</v>
      </c>
      <c r="S1293" t="s">
        <v>76</v>
      </c>
      <c r="T1293" s="5">
        <v>18120</v>
      </c>
      <c r="U1293" s="6">
        <v>3</v>
      </c>
      <c r="V1293" t="s">
        <v>77</v>
      </c>
      <c r="W1293" s="4">
        <v>46108</v>
      </c>
      <c r="X1293" t="s">
        <v>64</v>
      </c>
      <c r="Y1293" t="s">
        <v>64</v>
      </c>
      <c r="Z1293" t="s">
        <v>107</v>
      </c>
    </row>
    <row r="1294" spans="1:26">
      <c r="A1294" t="s">
        <v>2051</v>
      </c>
      <c r="B1294" t="s">
        <v>1337</v>
      </c>
      <c r="C1294" s="4">
        <v>46044</v>
      </c>
      <c r="D1294" t="s">
        <v>144</v>
      </c>
      <c r="E1294" t="s">
        <v>314</v>
      </c>
      <c r="F1294" s="4"/>
      <c r="G1294" s="4"/>
      <c r="H1294" t="s">
        <v>201</v>
      </c>
      <c r="I1294" t="s">
        <v>280</v>
      </c>
      <c r="J1294" t="s">
        <v>281</v>
      </c>
      <c r="K1294" t="s">
        <v>124</v>
      </c>
      <c r="L1294" t="s">
        <v>74</v>
      </c>
      <c r="M1294" s="5"/>
      <c r="N1294" s="5"/>
      <c r="O1294" s="5"/>
      <c r="P1294" s="5"/>
      <c r="Q1294" s="5"/>
      <c r="R1294" t="s">
        <v>95</v>
      </c>
      <c r="S1294" t="s">
        <v>63</v>
      </c>
      <c r="T1294" s="5"/>
      <c r="U1294" s="6"/>
      <c r="V1294" t="s">
        <v>64</v>
      </c>
      <c r="W1294" s="4"/>
      <c r="X1294" t="s">
        <v>65</v>
      </c>
      <c r="Z1294" t="s">
        <v>66</v>
      </c>
    </row>
    <row r="1295" spans="1:26">
      <c r="A1295" t="s">
        <v>2052</v>
      </c>
      <c r="B1295" t="s">
        <v>881</v>
      </c>
      <c r="C1295" s="4">
        <v>46172</v>
      </c>
      <c r="D1295" t="s">
        <v>200</v>
      </c>
      <c r="E1295" t="s">
        <v>314</v>
      </c>
      <c r="F1295" s="4"/>
      <c r="G1295" s="4"/>
      <c r="H1295" t="s">
        <v>57</v>
      </c>
      <c r="I1295" t="s">
        <v>169</v>
      </c>
      <c r="J1295" t="s">
        <v>59</v>
      </c>
      <c r="K1295" t="s">
        <v>93</v>
      </c>
      <c r="L1295" t="s">
        <v>146</v>
      </c>
      <c r="M1295" s="5"/>
      <c r="N1295" s="5"/>
      <c r="O1295" s="5"/>
      <c r="P1295" s="5"/>
      <c r="Q1295" s="5"/>
      <c r="R1295" t="s">
        <v>85</v>
      </c>
      <c r="S1295" t="s">
        <v>63</v>
      </c>
      <c r="T1295" s="5"/>
      <c r="U1295" s="6"/>
      <c r="V1295" t="s">
        <v>64</v>
      </c>
      <c r="W1295" s="4"/>
      <c r="X1295" t="s">
        <v>65</v>
      </c>
      <c r="Z1295" t="s">
        <v>66</v>
      </c>
    </row>
    <row r="1296" spans="1:26">
      <c r="A1296" t="s">
        <v>2053</v>
      </c>
      <c r="B1296" t="s">
        <v>669</v>
      </c>
      <c r="C1296" s="4">
        <v>46083</v>
      </c>
      <c r="D1296" t="s">
        <v>173</v>
      </c>
      <c r="E1296" t="s">
        <v>70</v>
      </c>
      <c r="F1296" s="4">
        <v>46083</v>
      </c>
      <c r="G1296" s="4">
        <v>46084</v>
      </c>
      <c r="H1296" t="s">
        <v>150</v>
      </c>
      <c r="I1296" t="s">
        <v>151</v>
      </c>
      <c r="J1296" t="s">
        <v>152</v>
      </c>
      <c r="K1296" t="s">
        <v>60</v>
      </c>
      <c r="L1296" t="s">
        <v>74</v>
      </c>
      <c r="M1296" s="5">
        <v>29800</v>
      </c>
      <c r="N1296" s="5">
        <v>5000</v>
      </c>
      <c r="O1296" s="5">
        <v>6300</v>
      </c>
      <c r="P1296" s="5">
        <v>4500</v>
      </c>
      <c r="Q1296" s="5">
        <v>48100</v>
      </c>
      <c r="R1296" t="s">
        <v>141</v>
      </c>
      <c r="S1296" t="s">
        <v>76</v>
      </c>
      <c r="T1296" s="5">
        <v>8420</v>
      </c>
      <c r="U1296" s="6">
        <v>5</v>
      </c>
      <c r="V1296" t="s">
        <v>77</v>
      </c>
      <c r="W1296" s="4">
        <v>46105</v>
      </c>
      <c r="X1296" t="s">
        <v>77</v>
      </c>
      <c r="Y1296" t="s">
        <v>64</v>
      </c>
      <c r="Z1296" t="s">
        <v>78</v>
      </c>
    </row>
    <row r="1297" spans="1:26">
      <c r="A1297" t="s">
        <v>2054</v>
      </c>
      <c r="B1297" t="s">
        <v>1540</v>
      </c>
      <c r="C1297" s="4">
        <v>46081</v>
      </c>
      <c r="D1297" t="s">
        <v>183</v>
      </c>
      <c r="E1297" t="s">
        <v>70</v>
      </c>
      <c r="F1297" s="4">
        <v>46081</v>
      </c>
      <c r="G1297" s="4">
        <v>46090</v>
      </c>
      <c r="H1297" t="s">
        <v>178</v>
      </c>
      <c r="I1297" t="s">
        <v>339</v>
      </c>
      <c r="J1297" t="s">
        <v>180</v>
      </c>
      <c r="K1297" t="s">
        <v>93</v>
      </c>
      <c r="L1297" t="s">
        <v>61</v>
      </c>
      <c r="M1297" s="5">
        <v>67500</v>
      </c>
      <c r="N1297" s="5">
        <v>5900</v>
      </c>
      <c r="O1297" s="5">
        <v>11650</v>
      </c>
      <c r="P1297" s="5">
        <v>22500</v>
      </c>
      <c r="Q1297" s="5">
        <v>108350</v>
      </c>
      <c r="R1297" t="s">
        <v>95</v>
      </c>
      <c r="S1297" t="s">
        <v>63</v>
      </c>
      <c r="T1297" s="5">
        <v>108350</v>
      </c>
      <c r="U1297" s="6">
        <v>2</v>
      </c>
      <c r="V1297" t="s">
        <v>77</v>
      </c>
      <c r="W1297" s="4">
        <v>46101</v>
      </c>
      <c r="X1297" t="s">
        <v>64</v>
      </c>
      <c r="Y1297" t="s">
        <v>64</v>
      </c>
      <c r="Z1297" t="s">
        <v>96</v>
      </c>
    </row>
    <row r="1298" spans="1:26">
      <c r="A1298" t="s">
        <v>2055</v>
      </c>
      <c r="B1298" t="s">
        <v>455</v>
      </c>
      <c r="C1298" s="4">
        <v>46045</v>
      </c>
      <c r="D1298" t="s">
        <v>250</v>
      </c>
      <c r="E1298" t="s">
        <v>70</v>
      </c>
      <c r="F1298" s="4">
        <v>46045</v>
      </c>
      <c r="G1298" s="4">
        <v>46045</v>
      </c>
      <c r="H1298" t="s">
        <v>150</v>
      </c>
      <c r="I1298" t="s">
        <v>247</v>
      </c>
      <c r="J1298" t="s">
        <v>229</v>
      </c>
      <c r="K1298" t="s">
        <v>60</v>
      </c>
      <c r="L1298" t="s">
        <v>61</v>
      </c>
      <c r="M1298" s="5">
        <v>36000</v>
      </c>
      <c r="N1298" s="5">
        <v>4700</v>
      </c>
      <c r="O1298" s="5">
        <v>8600</v>
      </c>
      <c r="P1298" s="5">
        <v>0</v>
      </c>
      <c r="Q1298" s="5">
        <v>50300</v>
      </c>
      <c r="R1298" t="s">
        <v>95</v>
      </c>
      <c r="S1298" t="s">
        <v>63</v>
      </c>
      <c r="T1298" s="5">
        <v>50300</v>
      </c>
      <c r="U1298" s="6">
        <v>5</v>
      </c>
      <c r="V1298" t="s">
        <v>64</v>
      </c>
      <c r="W1298" s="4"/>
      <c r="X1298" t="s">
        <v>65</v>
      </c>
      <c r="Y1298" t="s">
        <v>64</v>
      </c>
      <c r="Z1298" t="s">
        <v>107</v>
      </c>
    </row>
    <row r="1299" spans="1:26">
      <c r="A1299" t="s">
        <v>2056</v>
      </c>
      <c r="B1299" t="s">
        <v>615</v>
      </c>
      <c r="C1299" s="4">
        <v>46156</v>
      </c>
      <c r="D1299" t="s">
        <v>419</v>
      </c>
      <c r="E1299" t="s">
        <v>70</v>
      </c>
      <c r="F1299" s="4">
        <v>46157</v>
      </c>
      <c r="G1299" s="4">
        <v>46160</v>
      </c>
      <c r="H1299" t="s">
        <v>178</v>
      </c>
      <c r="I1299" t="s">
        <v>622</v>
      </c>
      <c r="J1299" t="s">
        <v>358</v>
      </c>
      <c r="K1299" t="s">
        <v>93</v>
      </c>
      <c r="L1299" t="s">
        <v>74</v>
      </c>
      <c r="M1299" s="5">
        <v>45900</v>
      </c>
      <c r="N1299" s="5">
        <v>6250</v>
      </c>
      <c r="O1299" s="5">
        <v>8600</v>
      </c>
      <c r="P1299" s="5">
        <v>10500</v>
      </c>
      <c r="Q1299" s="5">
        <v>72750</v>
      </c>
      <c r="R1299" t="s">
        <v>134</v>
      </c>
      <c r="S1299" t="s">
        <v>76</v>
      </c>
      <c r="T1299" s="5">
        <v>40210</v>
      </c>
      <c r="U1299" s="6">
        <v>5</v>
      </c>
      <c r="V1299" t="s">
        <v>64</v>
      </c>
      <c r="W1299" s="4"/>
      <c r="X1299" t="s">
        <v>65</v>
      </c>
      <c r="Y1299" t="s">
        <v>64</v>
      </c>
      <c r="Z1299" t="s">
        <v>78</v>
      </c>
    </row>
    <row r="1300" spans="1:26">
      <c r="A1300" t="s">
        <v>2057</v>
      </c>
      <c r="B1300" t="s">
        <v>1556</v>
      </c>
      <c r="C1300" s="4">
        <v>46079</v>
      </c>
      <c r="D1300" t="s">
        <v>210</v>
      </c>
      <c r="E1300" t="s">
        <v>70</v>
      </c>
      <c r="F1300" s="4">
        <v>46079</v>
      </c>
      <c r="G1300" s="4">
        <v>46079</v>
      </c>
      <c r="H1300" t="s">
        <v>121</v>
      </c>
      <c r="I1300" t="s">
        <v>386</v>
      </c>
      <c r="J1300" t="s">
        <v>252</v>
      </c>
      <c r="K1300" t="s">
        <v>60</v>
      </c>
      <c r="L1300" t="s">
        <v>61</v>
      </c>
      <c r="M1300" s="5">
        <v>58200</v>
      </c>
      <c r="N1300" s="5">
        <v>8200</v>
      </c>
      <c r="O1300" s="5">
        <v>6400</v>
      </c>
      <c r="P1300" s="5">
        <v>0</v>
      </c>
      <c r="Q1300" s="5">
        <v>75300</v>
      </c>
      <c r="R1300" t="s">
        <v>75</v>
      </c>
      <c r="S1300" t="s">
        <v>163</v>
      </c>
      <c r="T1300" s="5">
        <v>34180</v>
      </c>
      <c r="U1300" s="6">
        <v>4</v>
      </c>
      <c r="V1300" t="s">
        <v>77</v>
      </c>
      <c r="W1300" s="4">
        <v>46092</v>
      </c>
      <c r="X1300" t="s">
        <v>64</v>
      </c>
      <c r="Y1300" t="s">
        <v>64</v>
      </c>
      <c r="Z1300" t="s">
        <v>107</v>
      </c>
    </row>
    <row r="1301" spans="1:26">
      <c r="A1301" t="s">
        <v>2058</v>
      </c>
      <c r="B1301" t="s">
        <v>1291</v>
      </c>
      <c r="C1301" s="4">
        <v>46127</v>
      </c>
      <c r="D1301" t="s">
        <v>69</v>
      </c>
      <c r="E1301" t="s">
        <v>70</v>
      </c>
      <c r="F1301" s="4">
        <v>46127</v>
      </c>
      <c r="G1301" s="4">
        <v>46129</v>
      </c>
      <c r="H1301" t="s">
        <v>138</v>
      </c>
      <c r="I1301" t="s">
        <v>444</v>
      </c>
      <c r="J1301" t="s">
        <v>140</v>
      </c>
      <c r="K1301" t="s">
        <v>93</v>
      </c>
      <c r="L1301" t="s">
        <v>61</v>
      </c>
      <c r="M1301" s="5">
        <v>16600</v>
      </c>
      <c r="N1301" s="5">
        <v>1950</v>
      </c>
      <c r="O1301" s="5">
        <v>3850</v>
      </c>
      <c r="P1301" s="5">
        <v>6000</v>
      </c>
      <c r="Q1301" s="5">
        <v>29900</v>
      </c>
      <c r="R1301" t="s">
        <v>75</v>
      </c>
      <c r="S1301" t="s">
        <v>76</v>
      </c>
      <c r="T1301" s="5">
        <v>13750</v>
      </c>
      <c r="U1301" s="6">
        <v>4</v>
      </c>
      <c r="V1301" t="s">
        <v>64</v>
      </c>
      <c r="W1301" s="4"/>
      <c r="X1301" t="s">
        <v>65</v>
      </c>
      <c r="Y1301" t="s">
        <v>64</v>
      </c>
      <c r="Z1301" t="s">
        <v>96</v>
      </c>
    </row>
    <row r="1302" spans="1:26">
      <c r="A1302" t="s">
        <v>2059</v>
      </c>
      <c r="B1302" t="s">
        <v>504</v>
      </c>
      <c r="C1302" s="4">
        <v>46075</v>
      </c>
      <c r="D1302" t="s">
        <v>81</v>
      </c>
      <c r="E1302" t="s">
        <v>70</v>
      </c>
      <c r="F1302" s="4">
        <v>46076</v>
      </c>
      <c r="G1302" s="4">
        <v>46077</v>
      </c>
      <c r="H1302" t="s">
        <v>121</v>
      </c>
      <c r="I1302" t="s">
        <v>174</v>
      </c>
      <c r="J1302" t="s">
        <v>256</v>
      </c>
      <c r="K1302" t="s">
        <v>73</v>
      </c>
      <c r="L1302" t="s">
        <v>74</v>
      </c>
      <c r="M1302" s="5">
        <v>22800</v>
      </c>
      <c r="N1302" s="5">
        <v>3300</v>
      </c>
      <c r="O1302" s="5">
        <v>5150</v>
      </c>
      <c r="P1302" s="5">
        <v>3500</v>
      </c>
      <c r="Q1302" s="5">
        <v>36550</v>
      </c>
      <c r="R1302" t="s">
        <v>85</v>
      </c>
      <c r="S1302" t="s">
        <v>76</v>
      </c>
      <c r="T1302" s="5">
        <v>10040</v>
      </c>
      <c r="U1302" s="6">
        <v>4</v>
      </c>
      <c r="V1302" t="s">
        <v>64</v>
      </c>
      <c r="W1302" s="4"/>
      <c r="X1302" t="s">
        <v>65</v>
      </c>
      <c r="Y1302" t="s">
        <v>64</v>
      </c>
      <c r="Z1302" t="s">
        <v>96</v>
      </c>
    </row>
    <row r="1303" spans="1:26">
      <c r="A1303" t="s">
        <v>2060</v>
      </c>
      <c r="B1303" t="s">
        <v>231</v>
      </c>
      <c r="C1303" s="4">
        <v>46123</v>
      </c>
      <c r="D1303" t="s">
        <v>144</v>
      </c>
      <c r="E1303" t="s">
        <v>70</v>
      </c>
      <c r="F1303" s="4">
        <v>46123</v>
      </c>
      <c r="G1303" s="4">
        <v>46126</v>
      </c>
      <c r="H1303" t="s">
        <v>111</v>
      </c>
      <c r="I1303" t="s">
        <v>355</v>
      </c>
      <c r="J1303" t="s">
        <v>117</v>
      </c>
      <c r="K1303" t="s">
        <v>73</v>
      </c>
      <c r="L1303" t="s">
        <v>74</v>
      </c>
      <c r="M1303" s="5">
        <v>4400</v>
      </c>
      <c r="N1303" s="5">
        <v>800</v>
      </c>
      <c r="O1303" s="5">
        <v>450</v>
      </c>
      <c r="P1303" s="5">
        <v>9000</v>
      </c>
      <c r="Q1303" s="5">
        <v>16150</v>
      </c>
      <c r="R1303" t="s">
        <v>141</v>
      </c>
      <c r="S1303" t="s">
        <v>76</v>
      </c>
      <c r="T1303" s="5">
        <v>3620</v>
      </c>
      <c r="U1303" s="6">
        <v>5</v>
      </c>
      <c r="V1303" t="s">
        <v>64</v>
      </c>
      <c r="W1303" s="4"/>
      <c r="X1303" t="s">
        <v>65</v>
      </c>
      <c r="Y1303" t="s">
        <v>64</v>
      </c>
      <c r="Z1303" t="s">
        <v>78</v>
      </c>
    </row>
    <row r="1304" spans="1:26">
      <c r="A1304" t="s">
        <v>2061</v>
      </c>
      <c r="B1304" t="s">
        <v>1360</v>
      </c>
      <c r="C1304" s="4">
        <v>46081</v>
      </c>
      <c r="D1304" t="s">
        <v>89</v>
      </c>
      <c r="E1304" t="s">
        <v>70</v>
      </c>
      <c r="F1304" s="4">
        <v>46081</v>
      </c>
      <c r="G1304" s="4">
        <v>46082</v>
      </c>
      <c r="H1304" t="s">
        <v>121</v>
      </c>
      <c r="I1304" t="s">
        <v>122</v>
      </c>
      <c r="J1304" t="s">
        <v>256</v>
      </c>
      <c r="K1304" t="s">
        <v>73</v>
      </c>
      <c r="L1304" t="s">
        <v>94</v>
      </c>
      <c r="M1304" s="5">
        <v>12000</v>
      </c>
      <c r="N1304" s="5">
        <v>1250</v>
      </c>
      <c r="O1304" s="5">
        <v>2950</v>
      </c>
      <c r="P1304" s="5">
        <v>2500</v>
      </c>
      <c r="Q1304" s="5">
        <v>19700</v>
      </c>
      <c r="R1304" t="s">
        <v>95</v>
      </c>
      <c r="S1304" t="s">
        <v>63</v>
      </c>
      <c r="T1304" s="5">
        <v>19700</v>
      </c>
      <c r="U1304" s="6">
        <v>5</v>
      </c>
      <c r="V1304" t="s">
        <v>64</v>
      </c>
      <c r="W1304" s="4"/>
      <c r="X1304" t="s">
        <v>65</v>
      </c>
      <c r="Y1304" t="s">
        <v>64</v>
      </c>
      <c r="Z1304" t="s">
        <v>78</v>
      </c>
    </row>
    <row r="1305" spans="1:26">
      <c r="A1305" t="s">
        <v>2062</v>
      </c>
      <c r="B1305" t="s">
        <v>843</v>
      </c>
      <c r="C1305" s="4">
        <v>46039</v>
      </c>
      <c r="D1305" t="s">
        <v>81</v>
      </c>
      <c r="E1305" t="s">
        <v>70</v>
      </c>
      <c r="F1305" s="4">
        <v>46040</v>
      </c>
      <c r="G1305" s="4">
        <v>46041</v>
      </c>
      <c r="H1305" t="s">
        <v>82</v>
      </c>
      <c r="I1305" t="s">
        <v>272</v>
      </c>
      <c r="J1305" t="s">
        <v>291</v>
      </c>
      <c r="K1305" t="s">
        <v>60</v>
      </c>
      <c r="L1305" t="s">
        <v>94</v>
      </c>
      <c r="M1305" s="5">
        <v>29700</v>
      </c>
      <c r="N1305" s="5">
        <v>3550</v>
      </c>
      <c r="O1305" s="5">
        <v>4700</v>
      </c>
      <c r="P1305" s="5">
        <v>3000</v>
      </c>
      <c r="Q1305" s="5">
        <v>42750</v>
      </c>
      <c r="R1305" t="s">
        <v>106</v>
      </c>
      <c r="S1305" t="s">
        <v>76</v>
      </c>
      <c r="T1305" s="5">
        <v>15660</v>
      </c>
      <c r="U1305" s="6">
        <v>5</v>
      </c>
      <c r="V1305" t="s">
        <v>64</v>
      </c>
      <c r="W1305" s="4"/>
      <c r="X1305" t="s">
        <v>65</v>
      </c>
      <c r="Y1305" t="s">
        <v>64</v>
      </c>
      <c r="Z1305" t="s">
        <v>96</v>
      </c>
    </row>
    <row r="1306" spans="1:26">
      <c r="A1306" t="s">
        <v>2063</v>
      </c>
      <c r="B1306" t="s">
        <v>448</v>
      </c>
      <c r="C1306" s="4">
        <v>46074</v>
      </c>
      <c r="D1306" t="s">
        <v>132</v>
      </c>
      <c r="E1306" t="s">
        <v>70</v>
      </c>
      <c r="F1306" s="4">
        <v>46074</v>
      </c>
      <c r="G1306" s="4">
        <v>46077</v>
      </c>
      <c r="H1306" t="s">
        <v>111</v>
      </c>
      <c r="I1306" t="s">
        <v>112</v>
      </c>
      <c r="J1306" t="s">
        <v>113</v>
      </c>
      <c r="K1306" t="s">
        <v>73</v>
      </c>
      <c r="L1306" t="s">
        <v>94</v>
      </c>
      <c r="M1306" s="5">
        <v>25700</v>
      </c>
      <c r="N1306" s="5">
        <v>3300</v>
      </c>
      <c r="O1306" s="5">
        <v>3400</v>
      </c>
      <c r="P1306" s="5">
        <v>9000</v>
      </c>
      <c r="Q1306" s="5">
        <v>42200</v>
      </c>
      <c r="R1306" t="s">
        <v>85</v>
      </c>
      <c r="S1306" t="s">
        <v>76</v>
      </c>
      <c r="T1306" s="5">
        <v>11450</v>
      </c>
      <c r="U1306" s="6">
        <v>4</v>
      </c>
      <c r="V1306" t="s">
        <v>77</v>
      </c>
      <c r="W1306" s="4">
        <v>46095</v>
      </c>
      <c r="X1306" t="s">
        <v>77</v>
      </c>
      <c r="Y1306" t="s">
        <v>64</v>
      </c>
      <c r="Z1306" t="s">
        <v>96</v>
      </c>
    </row>
    <row r="1307" spans="1:26">
      <c r="A1307" t="s">
        <v>2064</v>
      </c>
      <c r="B1307" t="s">
        <v>1100</v>
      </c>
      <c r="C1307" s="4">
        <v>46086</v>
      </c>
      <c r="D1307" t="s">
        <v>120</v>
      </c>
      <c r="E1307" t="s">
        <v>70</v>
      </c>
      <c r="F1307" s="4">
        <v>46086</v>
      </c>
      <c r="G1307" s="4">
        <v>46089</v>
      </c>
      <c r="H1307" t="s">
        <v>57</v>
      </c>
      <c r="I1307" t="s">
        <v>169</v>
      </c>
      <c r="J1307" t="s">
        <v>72</v>
      </c>
      <c r="K1307" t="s">
        <v>73</v>
      </c>
      <c r="L1307" t="s">
        <v>61</v>
      </c>
      <c r="M1307" s="5"/>
      <c r="N1307" s="5">
        <v>900</v>
      </c>
      <c r="O1307" s="5">
        <v>2100</v>
      </c>
      <c r="P1307" s="5">
        <v>18000</v>
      </c>
      <c r="Q1307" s="5">
        <v>31100</v>
      </c>
      <c r="R1307" t="s">
        <v>106</v>
      </c>
      <c r="S1307" t="s">
        <v>76</v>
      </c>
      <c r="T1307" s="5">
        <v>11580</v>
      </c>
      <c r="U1307" s="6">
        <v>5</v>
      </c>
      <c r="V1307" t="s">
        <v>77</v>
      </c>
      <c r="W1307" s="4">
        <v>46101</v>
      </c>
      <c r="X1307" t="s">
        <v>77</v>
      </c>
      <c r="Y1307" t="s">
        <v>64</v>
      </c>
      <c r="Z1307" t="s">
        <v>78</v>
      </c>
    </row>
    <row r="1308" spans="1:26">
      <c r="A1308" t="s">
        <v>2065</v>
      </c>
      <c r="B1308" t="s">
        <v>986</v>
      </c>
      <c r="C1308" s="4">
        <v>46142</v>
      </c>
      <c r="D1308" t="s">
        <v>266</v>
      </c>
      <c r="E1308" t="s">
        <v>70</v>
      </c>
      <c r="F1308" s="4">
        <v>46142</v>
      </c>
      <c r="G1308" s="4">
        <v>46147</v>
      </c>
      <c r="H1308" t="s">
        <v>90</v>
      </c>
      <c r="I1308" t="s">
        <v>133</v>
      </c>
      <c r="J1308" t="s">
        <v>129</v>
      </c>
      <c r="K1308" t="s">
        <v>73</v>
      </c>
      <c r="L1308" t="s">
        <v>61</v>
      </c>
      <c r="M1308" s="5">
        <v>33200</v>
      </c>
      <c r="N1308" s="5">
        <v>4050</v>
      </c>
      <c r="O1308" s="5">
        <v>5050</v>
      </c>
      <c r="P1308" s="5">
        <v>30000</v>
      </c>
      <c r="Q1308" s="5">
        <v>74300</v>
      </c>
      <c r="R1308" t="s">
        <v>62</v>
      </c>
      <c r="S1308" t="s">
        <v>76</v>
      </c>
      <c r="T1308" s="5">
        <v>22690</v>
      </c>
      <c r="U1308" s="6">
        <v>3</v>
      </c>
      <c r="V1308" t="s">
        <v>77</v>
      </c>
      <c r="W1308" s="4">
        <v>46166</v>
      </c>
      <c r="X1308" t="s">
        <v>64</v>
      </c>
      <c r="Y1308" t="s">
        <v>77</v>
      </c>
      <c r="Z1308" t="s">
        <v>78</v>
      </c>
    </row>
    <row r="1309" spans="1:26">
      <c r="A1309" t="s">
        <v>2066</v>
      </c>
      <c r="B1309" t="s">
        <v>199</v>
      </c>
      <c r="C1309" s="4">
        <v>46090</v>
      </c>
      <c r="D1309" t="s">
        <v>144</v>
      </c>
      <c r="E1309" t="s">
        <v>70</v>
      </c>
      <c r="F1309" s="4">
        <v>46090</v>
      </c>
      <c r="G1309" s="4">
        <v>46093</v>
      </c>
      <c r="H1309" t="s">
        <v>103</v>
      </c>
      <c r="I1309" t="s">
        <v>243</v>
      </c>
      <c r="J1309" t="s">
        <v>244</v>
      </c>
      <c r="K1309" t="s">
        <v>124</v>
      </c>
      <c r="L1309" t="s">
        <v>94</v>
      </c>
      <c r="M1309" s="5">
        <v>80800</v>
      </c>
      <c r="N1309" s="5">
        <v>7100</v>
      </c>
      <c r="O1309" s="5">
        <v>18750</v>
      </c>
      <c r="P1309" s="5">
        <v>18000</v>
      </c>
      <c r="Q1309" s="5">
        <v>126450</v>
      </c>
      <c r="R1309" t="s">
        <v>141</v>
      </c>
      <c r="S1309" t="s">
        <v>76</v>
      </c>
      <c r="T1309" s="5">
        <v>20170</v>
      </c>
      <c r="U1309" s="6">
        <v>2</v>
      </c>
      <c r="V1309" t="s">
        <v>77</v>
      </c>
      <c r="W1309" s="4">
        <v>46100</v>
      </c>
      <c r="X1309" t="s">
        <v>64</v>
      </c>
      <c r="Y1309" t="s">
        <v>64</v>
      </c>
      <c r="Z1309" t="s">
        <v>78</v>
      </c>
    </row>
    <row r="1310" spans="1:26">
      <c r="A1310" t="s">
        <v>2067</v>
      </c>
      <c r="B1310" t="s">
        <v>815</v>
      </c>
      <c r="C1310" s="4">
        <v>46071</v>
      </c>
      <c r="D1310" t="s">
        <v>298</v>
      </c>
      <c r="E1310" t="s">
        <v>70</v>
      </c>
      <c r="F1310" s="4">
        <v>46071</v>
      </c>
      <c r="G1310" s="4">
        <v>46075</v>
      </c>
      <c r="H1310" t="s">
        <v>150</v>
      </c>
      <c r="I1310" t="s">
        <v>239</v>
      </c>
      <c r="J1310" t="s">
        <v>229</v>
      </c>
      <c r="K1310" t="s">
        <v>73</v>
      </c>
      <c r="L1310" t="s">
        <v>94</v>
      </c>
      <c r="M1310" s="5">
        <v>46900</v>
      </c>
      <c r="N1310" s="5">
        <v>7300</v>
      </c>
      <c r="O1310" s="5">
        <v>10000</v>
      </c>
      <c r="P1310" s="5">
        <v>18000</v>
      </c>
      <c r="Q1310" s="5">
        <v>84000</v>
      </c>
      <c r="R1310" t="s">
        <v>95</v>
      </c>
      <c r="S1310" t="s">
        <v>63</v>
      </c>
      <c r="T1310" s="5">
        <v>84000</v>
      </c>
      <c r="U1310" s="6">
        <v>4</v>
      </c>
      <c r="V1310" t="s">
        <v>64</v>
      </c>
      <c r="W1310" s="4"/>
      <c r="X1310" t="s">
        <v>65</v>
      </c>
      <c r="Y1310" t="s">
        <v>64</v>
      </c>
      <c r="Z1310" t="s">
        <v>96</v>
      </c>
    </row>
    <row r="1311" spans="1:26">
      <c r="A1311" t="s">
        <v>2068</v>
      </c>
      <c r="B1311" t="s">
        <v>978</v>
      </c>
      <c r="C1311" s="4">
        <v>46158</v>
      </c>
      <c r="D1311" t="s">
        <v>132</v>
      </c>
      <c r="E1311" t="s">
        <v>177</v>
      </c>
      <c r="F1311" s="4"/>
      <c r="G1311" s="4"/>
      <c r="H1311" t="s">
        <v>82</v>
      </c>
      <c r="I1311" t="s">
        <v>272</v>
      </c>
      <c r="J1311" t="s">
        <v>84</v>
      </c>
      <c r="K1311" t="s">
        <v>73</v>
      </c>
      <c r="L1311" t="s">
        <v>61</v>
      </c>
      <c r="M1311" s="5"/>
      <c r="N1311" s="5"/>
      <c r="O1311" s="5"/>
      <c r="P1311" s="5"/>
      <c r="Q1311" s="5"/>
      <c r="R1311" t="s">
        <v>106</v>
      </c>
      <c r="S1311" t="s">
        <v>63</v>
      </c>
      <c r="T1311" s="5"/>
      <c r="U1311" s="6"/>
      <c r="V1311" t="s">
        <v>64</v>
      </c>
      <c r="W1311" s="4"/>
      <c r="X1311" t="s">
        <v>65</v>
      </c>
      <c r="Z1311" t="s">
        <v>66</v>
      </c>
    </row>
    <row r="1312" spans="1:26">
      <c r="A1312" t="s">
        <v>2069</v>
      </c>
      <c r="B1312" t="s">
        <v>1645</v>
      </c>
      <c r="C1312" s="4">
        <v>46077</v>
      </c>
      <c r="D1312" t="s">
        <v>419</v>
      </c>
      <c r="E1312" t="s">
        <v>177</v>
      </c>
      <c r="F1312" s="4"/>
      <c r="G1312" s="4"/>
      <c r="H1312" t="s">
        <v>201</v>
      </c>
      <c r="I1312" t="s">
        <v>449</v>
      </c>
      <c r="J1312" t="s">
        <v>203</v>
      </c>
      <c r="K1312" t="s">
        <v>73</v>
      </c>
      <c r="L1312" t="s">
        <v>94</v>
      </c>
      <c r="M1312" s="5"/>
      <c r="N1312" s="5"/>
      <c r="O1312" s="5"/>
      <c r="P1312" s="5"/>
      <c r="Q1312" s="5"/>
      <c r="R1312" t="s">
        <v>85</v>
      </c>
      <c r="S1312" t="s">
        <v>63</v>
      </c>
      <c r="T1312" s="5"/>
      <c r="U1312" s="6"/>
      <c r="V1312" t="s">
        <v>64</v>
      </c>
      <c r="W1312" s="4"/>
      <c r="X1312" t="s">
        <v>65</v>
      </c>
      <c r="Z1312" t="s">
        <v>66</v>
      </c>
    </row>
    <row r="1313" spans="1:26">
      <c r="A1313" t="s">
        <v>2070</v>
      </c>
      <c r="B1313" t="s">
        <v>1123</v>
      </c>
      <c r="C1313" s="4">
        <v>46079</v>
      </c>
      <c r="D1313" t="s">
        <v>307</v>
      </c>
      <c r="E1313" t="s">
        <v>177</v>
      </c>
      <c r="F1313" s="4"/>
      <c r="G1313" s="4"/>
      <c r="H1313" t="s">
        <v>57</v>
      </c>
      <c r="I1313" t="s">
        <v>58</v>
      </c>
      <c r="J1313" t="s">
        <v>72</v>
      </c>
      <c r="K1313" t="s">
        <v>60</v>
      </c>
      <c r="L1313" t="s">
        <v>74</v>
      </c>
      <c r="M1313" s="5"/>
      <c r="N1313" s="5"/>
      <c r="O1313" s="5"/>
      <c r="P1313" s="5"/>
      <c r="Q1313" s="5"/>
      <c r="R1313" t="s">
        <v>141</v>
      </c>
      <c r="S1313" t="s">
        <v>63</v>
      </c>
      <c r="T1313" s="5"/>
      <c r="U1313" s="6"/>
      <c r="V1313" t="s">
        <v>64</v>
      </c>
      <c r="W1313" s="4"/>
      <c r="X1313" t="s">
        <v>65</v>
      </c>
      <c r="Z1313" t="s">
        <v>66</v>
      </c>
    </row>
    <row r="1314" spans="1:26">
      <c r="A1314" t="s">
        <v>2071</v>
      </c>
      <c r="B1314" t="s">
        <v>600</v>
      </c>
      <c r="C1314" s="4">
        <v>46115</v>
      </c>
      <c r="D1314" t="s">
        <v>183</v>
      </c>
      <c r="E1314" t="s">
        <v>70</v>
      </c>
      <c r="F1314" s="4">
        <v>46115</v>
      </c>
      <c r="G1314" s="4">
        <v>46121</v>
      </c>
      <c r="H1314" t="s">
        <v>111</v>
      </c>
      <c r="I1314" t="s">
        <v>222</v>
      </c>
      <c r="J1314" t="s">
        <v>384</v>
      </c>
      <c r="K1314" t="s">
        <v>73</v>
      </c>
      <c r="L1314" t="s">
        <v>94</v>
      </c>
      <c r="M1314" s="5">
        <v>81200</v>
      </c>
      <c r="N1314" s="5">
        <v>13350</v>
      </c>
      <c r="O1314" s="5">
        <v>15300</v>
      </c>
      <c r="P1314" s="5">
        <v>27000</v>
      </c>
      <c r="Q1314" s="5">
        <v>137850</v>
      </c>
      <c r="R1314" t="s">
        <v>141</v>
      </c>
      <c r="S1314" t="s">
        <v>76</v>
      </c>
      <c r="T1314" s="5">
        <v>21880</v>
      </c>
      <c r="U1314" s="6">
        <v>4</v>
      </c>
      <c r="V1314" t="s">
        <v>77</v>
      </c>
      <c r="W1314" s="4">
        <v>46135</v>
      </c>
      <c r="X1314" t="s">
        <v>77</v>
      </c>
      <c r="Y1314" t="s">
        <v>64</v>
      </c>
      <c r="Z1314" t="s">
        <v>78</v>
      </c>
    </row>
    <row r="1315" spans="1:26">
      <c r="A1315" t="s">
        <v>2072</v>
      </c>
      <c r="B1315" t="s">
        <v>1198</v>
      </c>
      <c r="C1315" s="4">
        <v>46159</v>
      </c>
      <c r="D1315" t="s">
        <v>307</v>
      </c>
      <c r="E1315" t="s">
        <v>70</v>
      </c>
      <c r="F1315" s="4">
        <v>46160</v>
      </c>
      <c r="G1315" s="4">
        <v>46164</v>
      </c>
      <c r="H1315" t="s">
        <v>201</v>
      </c>
      <c r="I1315" t="s">
        <v>515</v>
      </c>
      <c r="J1315" t="s">
        <v>203</v>
      </c>
      <c r="K1315" t="s">
        <v>124</v>
      </c>
      <c r="L1315" t="s">
        <v>146</v>
      </c>
      <c r="M1315" s="5">
        <v>27700</v>
      </c>
      <c r="N1315" s="5">
        <v>2650</v>
      </c>
      <c r="O1315" s="5">
        <v>3650</v>
      </c>
      <c r="P1315" s="5">
        <v>10000</v>
      </c>
      <c r="Q1315" s="5">
        <v>45200</v>
      </c>
      <c r="R1315" t="s">
        <v>75</v>
      </c>
      <c r="S1315" t="s">
        <v>76</v>
      </c>
      <c r="T1315" s="5">
        <v>20640</v>
      </c>
      <c r="U1315" s="6">
        <v>3</v>
      </c>
      <c r="V1315" t="s">
        <v>77</v>
      </c>
      <c r="W1315" s="4">
        <v>46184</v>
      </c>
      <c r="X1315" t="s">
        <v>64</v>
      </c>
      <c r="Y1315" t="s">
        <v>77</v>
      </c>
      <c r="Z1315" t="s">
        <v>107</v>
      </c>
    </row>
    <row r="1316" spans="1:26">
      <c r="A1316" t="s">
        <v>2073</v>
      </c>
      <c r="B1316" t="s">
        <v>1779</v>
      </c>
      <c r="C1316" s="4">
        <v>46046</v>
      </c>
      <c r="D1316" t="s">
        <v>55</v>
      </c>
      <c r="E1316" t="s">
        <v>70</v>
      </c>
      <c r="F1316" s="4">
        <v>46046</v>
      </c>
      <c r="G1316" s="4">
        <v>46046</v>
      </c>
      <c r="H1316" t="s">
        <v>90</v>
      </c>
      <c r="I1316" t="s">
        <v>388</v>
      </c>
      <c r="J1316" t="s">
        <v>92</v>
      </c>
      <c r="K1316" t="s">
        <v>60</v>
      </c>
      <c r="L1316" t="s">
        <v>94</v>
      </c>
      <c r="M1316" s="5">
        <v>60300</v>
      </c>
      <c r="N1316" s="5">
        <v>5050</v>
      </c>
      <c r="O1316" s="5">
        <v>7950</v>
      </c>
      <c r="P1316" s="5">
        <v>0</v>
      </c>
      <c r="Q1316" s="5">
        <v>74800</v>
      </c>
      <c r="R1316" t="s">
        <v>141</v>
      </c>
      <c r="S1316" t="s">
        <v>76</v>
      </c>
      <c r="T1316" s="5">
        <v>12420</v>
      </c>
      <c r="U1316" s="6">
        <v>4</v>
      </c>
      <c r="V1316" t="s">
        <v>77</v>
      </c>
      <c r="W1316" s="4">
        <v>46067</v>
      </c>
      <c r="X1316" t="s">
        <v>64</v>
      </c>
      <c r="Y1316" t="s">
        <v>64</v>
      </c>
      <c r="Z1316" t="s">
        <v>96</v>
      </c>
    </row>
    <row r="1317" spans="1:26">
      <c r="A1317" t="s">
        <v>2074</v>
      </c>
      <c r="B1317" t="s">
        <v>2075</v>
      </c>
      <c r="C1317" s="4">
        <v>46164</v>
      </c>
      <c r="D1317" t="s">
        <v>144</v>
      </c>
      <c r="E1317" t="s">
        <v>70</v>
      </c>
      <c r="F1317" s="4">
        <v>46165</v>
      </c>
      <c r="G1317" s="4">
        <v>46165</v>
      </c>
      <c r="H1317" t="s">
        <v>103</v>
      </c>
      <c r="I1317" t="s">
        <v>214</v>
      </c>
      <c r="J1317" t="s">
        <v>244</v>
      </c>
      <c r="K1317" t="s">
        <v>60</v>
      </c>
      <c r="L1317" t="s">
        <v>74</v>
      </c>
      <c r="M1317" s="5">
        <v>62800</v>
      </c>
      <c r="N1317" s="5">
        <v>6300</v>
      </c>
      <c r="O1317" s="5">
        <v>6400</v>
      </c>
      <c r="P1317" s="5">
        <v>0</v>
      </c>
      <c r="Q1317" s="5">
        <v>76300</v>
      </c>
      <c r="R1317" t="s">
        <v>106</v>
      </c>
      <c r="S1317" t="s">
        <v>86</v>
      </c>
      <c r="T1317" s="5">
        <v>27400</v>
      </c>
      <c r="U1317" s="6">
        <v>5</v>
      </c>
      <c r="V1317" t="s">
        <v>77</v>
      </c>
      <c r="W1317" s="4">
        <v>46176</v>
      </c>
      <c r="X1317" t="s">
        <v>77</v>
      </c>
      <c r="Y1317" t="s">
        <v>64</v>
      </c>
      <c r="Z1317" t="s">
        <v>96</v>
      </c>
    </row>
    <row r="1318" spans="1:26">
      <c r="A1318" t="s">
        <v>2076</v>
      </c>
      <c r="B1318" t="s">
        <v>231</v>
      </c>
      <c r="C1318" s="4">
        <v>46026</v>
      </c>
      <c r="D1318" t="s">
        <v>144</v>
      </c>
      <c r="E1318" t="s">
        <v>70</v>
      </c>
      <c r="F1318" s="4">
        <v>46027</v>
      </c>
      <c r="G1318" s="4">
        <v>46032</v>
      </c>
      <c r="H1318" t="s">
        <v>178</v>
      </c>
      <c r="I1318" t="s">
        <v>415</v>
      </c>
      <c r="J1318" t="s">
        <v>340</v>
      </c>
      <c r="K1318" t="s">
        <v>93</v>
      </c>
      <c r="L1318" t="s">
        <v>61</v>
      </c>
      <c r="M1318" s="5">
        <v>80300</v>
      </c>
      <c r="N1318" s="5">
        <v>8250</v>
      </c>
      <c r="O1318" s="5">
        <v>17300</v>
      </c>
      <c r="P1318" s="5">
        <v>15000</v>
      </c>
      <c r="Q1318" s="5">
        <v>121650</v>
      </c>
      <c r="R1318" t="s">
        <v>85</v>
      </c>
      <c r="S1318" t="s">
        <v>76</v>
      </c>
      <c r="T1318" s="5">
        <v>31310</v>
      </c>
      <c r="U1318" s="6">
        <v>4</v>
      </c>
      <c r="V1318" t="s">
        <v>77</v>
      </c>
      <c r="W1318" s="4">
        <v>46046</v>
      </c>
      <c r="X1318" t="s">
        <v>77</v>
      </c>
      <c r="Y1318" t="s">
        <v>64</v>
      </c>
      <c r="Z1318" t="s">
        <v>107</v>
      </c>
    </row>
    <row r="1319" spans="1:26">
      <c r="A1319" t="s">
        <v>2077</v>
      </c>
      <c r="B1319" t="s">
        <v>1074</v>
      </c>
      <c r="C1319" s="4">
        <v>46027</v>
      </c>
      <c r="D1319" t="s">
        <v>363</v>
      </c>
      <c r="E1319" t="s">
        <v>70</v>
      </c>
      <c r="F1319" s="4">
        <v>46027</v>
      </c>
      <c r="G1319" s="4">
        <v>46030</v>
      </c>
      <c r="H1319" t="s">
        <v>201</v>
      </c>
      <c r="I1319" t="s">
        <v>327</v>
      </c>
      <c r="J1319" t="s">
        <v>295</v>
      </c>
      <c r="K1319" t="s">
        <v>124</v>
      </c>
      <c r="L1319" t="s">
        <v>94</v>
      </c>
      <c r="M1319" s="5">
        <v>49300</v>
      </c>
      <c r="N1319" s="5">
        <v>5950</v>
      </c>
      <c r="O1319" s="5">
        <v>6100</v>
      </c>
      <c r="P1319" s="5">
        <v>18000</v>
      </c>
      <c r="Q1319" s="5">
        <v>80350</v>
      </c>
      <c r="R1319" t="s">
        <v>85</v>
      </c>
      <c r="S1319" t="s">
        <v>76</v>
      </c>
      <c r="T1319" s="5">
        <v>20990</v>
      </c>
      <c r="U1319" s="6">
        <v>4</v>
      </c>
      <c r="V1319" t="s">
        <v>64</v>
      </c>
      <c r="W1319" s="4"/>
      <c r="X1319" t="s">
        <v>65</v>
      </c>
      <c r="Y1319" t="s">
        <v>64</v>
      </c>
      <c r="Z1319" t="s">
        <v>96</v>
      </c>
    </row>
    <row r="1320" spans="1:26">
      <c r="A1320" t="s">
        <v>2078</v>
      </c>
      <c r="B1320" t="s">
        <v>1187</v>
      </c>
      <c r="C1320" s="4">
        <v>46043</v>
      </c>
      <c r="D1320" t="s">
        <v>337</v>
      </c>
      <c r="E1320" t="s">
        <v>70</v>
      </c>
      <c r="F1320" s="4">
        <v>46044</v>
      </c>
      <c r="G1320" s="4">
        <v>46047</v>
      </c>
      <c r="H1320" t="s">
        <v>201</v>
      </c>
      <c r="I1320" t="s">
        <v>280</v>
      </c>
      <c r="J1320" t="s">
        <v>295</v>
      </c>
      <c r="K1320" t="s">
        <v>73</v>
      </c>
      <c r="L1320" t="s">
        <v>61</v>
      </c>
      <c r="M1320" s="5">
        <v>47700</v>
      </c>
      <c r="N1320" s="5">
        <v>7850</v>
      </c>
      <c r="O1320" s="5">
        <v>8300</v>
      </c>
      <c r="P1320" s="5">
        <v>18000</v>
      </c>
      <c r="Q1320" s="5">
        <v>82850</v>
      </c>
      <c r="R1320" t="s">
        <v>75</v>
      </c>
      <c r="S1320" t="s">
        <v>76</v>
      </c>
      <c r="T1320" s="5">
        <v>37580</v>
      </c>
      <c r="U1320" s="6">
        <v>4</v>
      </c>
      <c r="V1320" t="s">
        <v>64</v>
      </c>
      <c r="W1320" s="4"/>
      <c r="X1320" t="s">
        <v>65</v>
      </c>
      <c r="Y1320" t="s">
        <v>64</v>
      </c>
      <c r="Z1320" t="s">
        <v>107</v>
      </c>
    </row>
    <row r="1321" spans="1:26">
      <c r="A1321" t="s">
        <v>2079</v>
      </c>
      <c r="B1321" t="s">
        <v>621</v>
      </c>
      <c r="C1321" s="4">
        <v>46092</v>
      </c>
      <c r="D1321" t="s">
        <v>120</v>
      </c>
      <c r="E1321" t="s">
        <v>70</v>
      </c>
      <c r="F1321" s="4">
        <v>46092</v>
      </c>
      <c r="G1321" s="4">
        <v>46095</v>
      </c>
      <c r="H1321" t="s">
        <v>111</v>
      </c>
      <c r="I1321" t="s">
        <v>222</v>
      </c>
      <c r="J1321" t="s">
        <v>113</v>
      </c>
      <c r="K1321" t="s">
        <v>124</v>
      </c>
      <c r="L1321" t="s">
        <v>61</v>
      </c>
      <c r="M1321" s="5">
        <v>21200</v>
      </c>
      <c r="N1321" s="5">
        <v>1700</v>
      </c>
      <c r="O1321" s="5">
        <v>3500</v>
      </c>
      <c r="P1321" s="5">
        <v>18000</v>
      </c>
      <c r="Q1321" s="5">
        <v>45400</v>
      </c>
      <c r="R1321" t="s">
        <v>141</v>
      </c>
      <c r="S1321" t="s">
        <v>76</v>
      </c>
      <c r="T1321" s="5">
        <v>8010</v>
      </c>
      <c r="U1321" s="6">
        <v>5</v>
      </c>
      <c r="V1321" t="s">
        <v>64</v>
      </c>
      <c r="W1321" s="4"/>
      <c r="X1321" t="s">
        <v>65</v>
      </c>
      <c r="Y1321" t="s">
        <v>64</v>
      </c>
      <c r="Z1321" t="s">
        <v>436</v>
      </c>
    </row>
    <row r="1322" spans="1:26">
      <c r="A1322" t="s">
        <v>2080</v>
      </c>
      <c r="B1322" t="s">
        <v>723</v>
      </c>
      <c r="C1322" s="4">
        <v>46095</v>
      </c>
      <c r="D1322" t="s">
        <v>242</v>
      </c>
      <c r="E1322" t="s">
        <v>70</v>
      </c>
      <c r="F1322" s="4">
        <v>46095</v>
      </c>
      <c r="G1322" s="4">
        <v>46096</v>
      </c>
      <c r="H1322" t="s">
        <v>82</v>
      </c>
      <c r="I1322" t="s">
        <v>155</v>
      </c>
      <c r="J1322" t="s">
        <v>291</v>
      </c>
      <c r="K1322" t="s">
        <v>60</v>
      </c>
      <c r="L1322" t="s">
        <v>74</v>
      </c>
      <c r="M1322" s="5">
        <v>32300</v>
      </c>
      <c r="N1322" s="5">
        <v>4900</v>
      </c>
      <c r="O1322" s="5">
        <v>7950</v>
      </c>
      <c r="P1322" s="5">
        <v>3500</v>
      </c>
      <c r="Q1322" s="5">
        <v>51150</v>
      </c>
      <c r="R1322" t="s">
        <v>85</v>
      </c>
      <c r="S1322" t="s">
        <v>163</v>
      </c>
      <c r="T1322" s="5">
        <v>13690</v>
      </c>
      <c r="U1322" s="6">
        <v>5</v>
      </c>
      <c r="V1322" t="s">
        <v>64</v>
      </c>
      <c r="W1322" s="4"/>
      <c r="X1322" t="s">
        <v>65</v>
      </c>
      <c r="Y1322" t="s">
        <v>64</v>
      </c>
      <c r="Z1322" t="s">
        <v>96</v>
      </c>
    </row>
    <row r="1323" spans="1:26">
      <c r="A1323" t="s">
        <v>2081</v>
      </c>
      <c r="B1323" t="s">
        <v>1870</v>
      </c>
      <c r="C1323" s="4">
        <v>46049</v>
      </c>
      <c r="D1323" t="s">
        <v>81</v>
      </c>
      <c r="E1323" t="s">
        <v>70</v>
      </c>
      <c r="F1323" s="4">
        <v>46049</v>
      </c>
      <c r="G1323" s="4">
        <v>46056</v>
      </c>
      <c r="H1323" t="s">
        <v>57</v>
      </c>
      <c r="I1323" t="s">
        <v>184</v>
      </c>
      <c r="J1323" t="s">
        <v>170</v>
      </c>
      <c r="K1323" t="s">
        <v>73</v>
      </c>
      <c r="L1323" t="s">
        <v>94</v>
      </c>
      <c r="M1323" s="5">
        <v>62200</v>
      </c>
      <c r="N1323" s="5">
        <v>6950</v>
      </c>
      <c r="O1323" s="5">
        <v>10200</v>
      </c>
      <c r="P1323" s="5">
        <v>31500</v>
      </c>
      <c r="Q1323" s="5">
        <v>112050</v>
      </c>
      <c r="R1323" t="s">
        <v>141</v>
      </c>
      <c r="S1323" t="s">
        <v>76</v>
      </c>
      <c r="T1323" s="5">
        <v>18010</v>
      </c>
      <c r="U1323" s="6"/>
      <c r="V1323" t="s">
        <v>77</v>
      </c>
      <c r="W1323" s="4">
        <v>46073</v>
      </c>
      <c r="X1323" t="s">
        <v>77</v>
      </c>
      <c r="Y1323" t="s">
        <v>64</v>
      </c>
      <c r="Z1323" t="s">
        <v>78</v>
      </c>
    </row>
    <row r="1324" spans="1:26">
      <c r="A1324" t="s">
        <v>2082</v>
      </c>
      <c r="B1324" t="s">
        <v>329</v>
      </c>
      <c r="C1324" s="4">
        <v>46105</v>
      </c>
      <c r="D1324" t="s">
        <v>99</v>
      </c>
      <c r="E1324" t="s">
        <v>70</v>
      </c>
      <c r="F1324" s="4">
        <v>46105</v>
      </c>
      <c r="G1324" s="4">
        <v>46105</v>
      </c>
      <c r="H1324" t="s">
        <v>111</v>
      </c>
      <c r="I1324" t="s">
        <v>222</v>
      </c>
      <c r="J1324" t="s">
        <v>117</v>
      </c>
      <c r="K1324" t="s">
        <v>60</v>
      </c>
      <c r="L1324" t="s">
        <v>146</v>
      </c>
      <c r="M1324" s="5">
        <v>9200</v>
      </c>
      <c r="N1324" s="5">
        <v>1100</v>
      </c>
      <c r="O1324" s="5">
        <v>1850</v>
      </c>
      <c r="P1324" s="5">
        <v>0</v>
      </c>
      <c r="Q1324" s="5">
        <v>13150</v>
      </c>
      <c r="R1324" t="s">
        <v>95</v>
      </c>
      <c r="S1324" t="s">
        <v>63</v>
      </c>
      <c r="T1324" s="5">
        <v>13150</v>
      </c>
      <c r="U1324" s="6">
        <v>4</v>
      </c>
      <c r="V1324" t="s">
        <v>77</v>
      </c>
      <c r="W1324" s="4">
        <v>46121</v>
      </c>
      <c r="X1324" t="s">
        <v>77</v>
      </c>
      <c r="Y1324" t="s">
        <v>64</v>
      </c>
      <c r="Z1324" t="s">
        <v>107</v>
      </c>
    </row>
    <row r="1325" spans="1:26">
      <c r="A1325" t="s">
        <v>2083</v>
      </c>
      <c r="B1325" t="s">
        <v>345</v>
      </c>
      <c r="C1325" s="4">
        <v>46057</v>
      </c>
      <c r="D1325" t="s">
        <v>432</v>
      </c>
      <c r="E1325" t="s">
        <v>70</v>
      </c>
      <c r="F1325" s="4">
        <v>46057</v>
      </c>
      <c r="G1325" s="4">
        <v>46058</v>
      </c>
      <c r="H1325" t="s">
        <v>57</v>
      </c>
      <c r="I1325" t="s">
        <v>211</v>
      </c>
      <c r="J1325" t="s">
        <v>170</v>
      </c>
      <c r="K1325" t="s">
        <v>60</v>
      </c>
      <c r="L1325" t="s">
        <v>94</v>
      </c>
      <c r="M1325" s="5">
        <v>67200</v>
      </c>
      <c r="N1325" s="5">
        <v>11500</v>
      </c>
      <c r="O1325" s="5">
        <v>11400</v>
      </c>
      <c r="P1325" s="5">
        <v>4500</v>
      </c>
      <c r="Q1325" s="5">
        <v>96600</v>
      </c>
      <c r="R1325" t="s">
        <v>75</v>
      </c>
      <c r="S1325" t="s">
        <v>76</v>
      </c>
      <c r="T1325" s="5">
        <v>43770</v>
      </c>
      <c r="U1325" s="6">
        <v>5</v>
      </c>
      <c r="V1325" t="s">
        <v>77</v>
      </c>
      <c r="W1325" s="4">
        <v>46077</v>
      </c>
      <c r="X1325" t="s">
        <v>77</v>
      </c>
      <c r="Y1325" t="s">
        <v>64</v>
      </c>
      <c r="Z1325" t="s">
        <v>96</v>
      </c>
    </row>
    <row r="1326" spans="1:26">
      <c r="A1326" t="s">
        <v>2084</v>
      </c>
      <c r="B1326" t="s">
        <v>1875</v>
      </c>
      <c r="C1326" s="4">
        <v>46078</v>
      </c>
      <c r="D1326" t="s">
        <v>132</v>
      </c>
      <c r="E1326" t="s">
        <v>70</v>
      </c>
      <c r="F1326" s="4">
        <v>46078</v>
      </c>
      <c r="G1326" s="4">
        <v>46080</v>
      </c>
      <c r="H1326" t="s">
        <v>57</v>
      </c>
      <c r="I1326" t="s">
        <v>71</v>
      </c>
      <c r="J1326" t="s">
        <v>59</v>
      </c>
      <c r="K1326" t="s">
        <v>73</v>
      </c>
      <c r="L1326" t="s">
        <v>94</v>
      </c>
      <c r="M1326" s="5">
        <v>56900</v>
      </c>
      <c r="N1326" s="5">
        <v>6900</v>
      </c>
      <c r="O1326" s="5">
        <v>6500</v>
      </c>
      <c r="P1326" s="5">
        <v>6000</v>
      </c>
      <c r="Q1326" s="5">
        <v>78100</v>
      </c>
      <c r="R1326" t="s">
        <v>62</v>
      </c>
      <c r="S1326" t="s">
        <v>86</v>
      </c>
      <c r="T1326" s="5">
        <v>23830</v>
      </c>
      <c r="U1326" s="6">
        <v>4</v>
      </c>
      <c r="V1326" t="s">
        <v>77</v>
      </c>
      <c r="W1326" s="4">
        <v>46098</v>
      </c>
      <c r="Y1326" t="s">
        <v>64</v>
      </c>
      <c r="Z1326" t="s">
        <v>78</v>
      </c>
    </row>
    <row r="1327" spans="1:26">
      <c r="A1327" t="s">
        <v>2085</v>
      </c>
      <c r="B1327" t="s">
        <v>576</v>
      </c>
      <c r="C1327" s="4">
        <v>46171</v>
      </c>
      <c r="D1327" t="s">
        <v>206</v>
      </c>
      <c r="E1327" t="s">
        <v>56</v>
      </c>
      <c r="F1327" s="4"/>
      <c r="G1327" s="4"/>
      <c r="H1327" t="s">
        <v>82</v>
      </c>
      <c r="I1327" t="s">
        <v>369</v>
      </c>
      <c r="J1327" t="s">
        <v>291</v>
      </c>
      <c r="K1327" t="s">
        <v>60</v>
      </c>
      <c r="L1327" t="s">
        <v>61</v>
      </c>
      <c r="M1327" s="5"/>
      <c r="N1327" s="5"/>
      <c r="O1327" s="5"/>
      <c r="P1327" s="5"/>
      <c r="Q1327" s="5"/>
      <c r="R1327" t="s">
        <v>134</v>
      </c>
      <c r="S1327" t="s">
        <v>63</v>
      </c>
      <c r="T1327" s="5"/>
      <c r="U1327" s="6"/>
      <c r="V1327" t="s">
        <v>64</v>
      </c>
      <c r="W1327" s="4"/>
      <c r="X1327" t="s">
        <v>65</v>
      </c>
      <c r="Z1327" t="s">
        <v>66</v>
      </c>
    </row>
    <row r="1328" spans="1:26">
      <c r="A1328" t="s">
        <v>2086</v>
      </c>
      <c r="B1328" t="s">
        <v>653</v>
      </c>
      <c r="C1328" s="4">
        <v>46160</v>
      </c>
      <c r="D1328" t="s">
        <v>469</v>
      </c>
      <c r="E1328" t="s">
        <v>70</v>
      </c>
      <c r="F1328" s="4">
        <v>46160</v>
      </c>
      <c r="G1328" s="4">
        <v>46167</v>
      </c>
      <c r="H1328" t="s">
        <v>103</v>
      </c>
      <c r="I1328" t="s">
        <v>364</v>
      </c>
      <c r="J1328" t="s">
        <v>244</v>
      </c>
      <c r="K1328" t="s">
        <v>124</v>
      </c>
      <c r="L1328" t="s">
        <v>61</v>
      </c>
      <c r="M1328" s="5">
        <v>45300</v>
      </c>
      <c r="N1328" s="5">
        <v>7700</v>
      </c>
      <c r="O1328" s="5">
        <v>5600</v>
      </c>
      <c r="P1328" s="5">
        <v>21000</v>
      </c>
      <c r="Q1328" s="5">
        <v>80400</v>
      </c>
      <c r="R1328" t="s">
        <v>141</v>
      </c>
      <c r="S1328" t="s">
        <v>76</v>
      </c>
      <c r="T1328" s="5">
        <v>13260</v>
      </c>
      <c r="U1328" s="6">
        <v>5</v>
      </c>
      <c r="V1328" t="s">
        <v>77</v>
      </c>
      <c r="W1328" s="4">
        <v>46187</v>
      </c>
      <c r="X1328" t="s">
        <v>77</v>
      </c>
      <c r="Y1328" t="s">
        <v>64</v>
      </c>
      <c r="Z1328" t="s">
        <v>107</v>
      </c>
    </row>
    <row r="1329" spans="1:26">
      <c r="A1329" t="s">
        <v>2087</v>
      </c>
      <c r="B1329" t="s">
        <v>297</v>
      </c>
      <c r="C1329" s="4">
        <v>46058</v>
      </c>
      <c r="D1329" t="s">
        <v>330</v>
      </c>
      <c r="E1329" t="s">
        <v>70</v>
      </c>
      <c r="F1329" s="4">
        <v>46059</v>
      </c>
      <c r="G1329" s="4">
        <v>46064</v>
      </c>
      <c r="H1329" t="s">
        <v>103</v>
      </c>
      <c r="I1329" t="s">
        <v>207</v>
      </c>
      <c r="J1329" t="s">
        <v>105</v>
      </c>
      <c r="K1329" t="s">
        <v>124</v>
      </c>
      <c r="L1329" t="s">
        <v>74</v>
      </c>
      <c r="M1329" s="5">
        <v>51700</v>
      </c>
      <c r="N1329" s="5">
        <v>5650</v>
      </c>
      <c r="O1329" s="5">
        <v>10000</v>
      </c>
      <c r="P1329" s="5">
        <v>17500</v>
      </c>
      <c r="Q1329" s="5">
        <v>86350</v>
      </c>
      <c r="R1329" t="s">
        <v>141</v>
      </c>
      <c r="S1329" t="s">
        <v>76</v>
      </c>
      <c r="T1329" s="5">
        <v>14150</v>
      </c>
      <c r="U1329" s="6"/>
      <c r="V1329" t="s">
        <v>77</v>
      </c>
      <c r="W1329" s="4">
        <v>46084</v>
      </c>
      <c r="X1329" t="s">
        <v>64</v>
      </c>
      <c r="Y1329" t="s">
        <v>64</v>
      </c>
      <c r="Z1329" t="s">
        <v>96</v>
      </c>
    </row>
    <row r="1330" spans="1:26">
      <c r="A1330" t="s">
        <v>2088</v>
      </c>
      <c r="B1330" t="s">
        <v>1611</v>
      </c>
      <c r="C1330" s="4">
        <v>46077</v>
      </c>
      <c r="D1330" t="s">
        <v>432</v>
      </c>
      <c r="E1330" t="s">
        <v>70</v>
      </c>
      <c r="F1330" s="4">
        <v>46077</v>
      </c>
      <c r="G1330" s="4">
        <v>46077</v>
      </c>
      <c r="H1330" t="s">
        <v>82</v>
      </c>
      <c r="I1330" t="s">
        <v>272</v>
      </c>
      <c r="J1330" t="s">
        <v>156</v>
      </c>
      <c r="K1330" t="s">
        <v>60</v>
      </c>
      <c r="L1330" t="s">
        <v>61</v>
      </c>
      <c r="M1330" s="5">
        <v>64100</v>
      </c>
      <c r="N1330" s="5">
        <v>7650</v>
      </c>
      <c r="O1330" s="5">
        <v>15000</v>
      </c>
      <c r="P1330" s="5">
        <v>0</v>
      </c>
      <c r="Q1330" s="5">
        <v>88550</v>
      </c>
      <c r="R1330" t="s">
        <v>141</v>
      </c>
      <c r="S1330" t="s">
        <v>76</v>
      </c>
      <c r="T1330" s="5">
        <v>14480</v>
      </c>
      <c r="U1330" s="6">
        <v>5</v>
      </c>
      <c r="V1330" t="s">
        <v>64</v>
      </c>
      <c r="W1330" s="4"/>
      <c r="X1330" t="s">
        <v>65</v>
      </c>
      <c r="Y1330" t="s">
        <v>64</v>
      </c>
      <c r="Z1330" t="s">
        <v>107</v>
      </c>
    </row>
    <row r="1331" spans="1:26">
      <c r="A1331" t="s">
        <v>2089</v>
      </c>
      <c r="B1331" t="s">
        <v>747</v>
      </c>
      <c r="C1331" s="4">
        <v>46133</v>
      </c>
      <c r="D1331" t="s">
        <v>210</v>
      </c>
      <c r="E1331" t="s">
        <v>314</v>
      </c>
      <c r="F1331" s="4"/>
      <c r="G1331" s="4"/>
      <c r="H1331" t="s">
        <v>121</v>
      </c>
      <c r="I1331" t="s">
        <v>386</v>
      </c>
      <c r="J1331" t="s">
        <v>252</v>
      </c>
      <c r="K1331" t="s">
        <v>124</v>
      </c>
      <c r="L1331" t="s">
        <v>94</v>
      </c>
      <c r="M1331" s="5"/>
      <c r="N1331" s="5"/>
      <c r="O1331" s="5"/>
      <c r="P1331" s="5"/>
      <c r="Q1331" s="5"/>
      <c r="R1331" t="s">
        <v>106</v>
      </c>
      <c r="S1331" t="s">
        <v>63</v>
      </c>
      <c r="T1331" s="5"/>
      <c r="U1331" s="6"/>
      <c r="V1331" t="s">
        <v>64</v>
      </c>
      <c r="W1331" s="4"/>
      <c r="X1331" t="s">
        <v>65</v>
      </c>
      <c r="Z1331" t="s">
        <v>66</v>
      </c>
    </row>
    <row r="1332" spans="1:26">
      <c r="A1332" t="s">
        <v>2090</v>
      </c>
      <c r="B1332" t="s">
        <v>423</v>
      </c>
      <c r="C1332" s="4">
        <v>46048</v>
      </c>
      <c r="D1332" t="s">
        <v>183</v>
      </c>
      <c r="E1332" t="s">
        <v>70</v>
      </c>
      <c r="F1332" s="4">
        <v>46048</v>
      </c>
      <c r="G1332" s="4">
        <v>46048</v>
      </c>
      <c r="H1332" t="s">
        <v>90</v>
      </c>
      <c r="I1332" t="s">
        <v>299</v>
      </c>
      <c r="J1332" t="s">
        <v>129</v>
      </c>
      <c r="K1332" t="s">
        <v>60</v>
      </c>
      <c r="L1332" t="s">
        <v>61</v>
      </c>
      <c r="M1332" s="5">
        <v>30400</v>
      </c>
      <c r="N1332" s="5">
        <v>4350</v>
      </c>
      <c r="O1332" s="5">
        <v>5100</v>
      </c>
      <c r="P1332" s="5">
        <v>0</v>
      </c>
      <c r="Q1332" s="5">
        <v>41350</v>
      </c>
      <c r="R1332" t="s">
        <v>62</v>
      </c>
      <c r="S1332" t="s">
        <v>86</v>
      </c>
      <c r="T1332" s="5">
        <v>12810</v>
      </c>
      <c r="U1332" s="6">
        <v>3</v>
      </c>
      <c r="V1332" t="s">
        <v>77</v>
      </c>
      <c r="W1332" s="4">
        <v>46057</v>
      </c>
      <c r="X1332" t="s">
        <v>64</v>
      </c>
      <c r="Y1332" t="s">
        <v>64</v>
      </c>
      <c r="Z1332" t="s">
        <v>78</v>
      </c>
    </row>
    <row r="1333" spans="1:26">
      <c r="A1333" t="s">
        <v>2091</v>
      </c>
      <c r="B1333" t="s">
        <v>1810</v>
      </c>
      <c r="C1333" s="4">
        <v>46038</v>
      </c>
      <c r="D1333" t="s">
        <v>110</v>
      </c>
      <c r="E1333" t="s">
        <v>56</v>
      </c>
      <c r="F1333" s="4"/>
      <c r="G1333" s="4"/>
      <c r="H1333" t="s">
        <v>57</v>
      </c>
      <c r="I1333" t="s">
        <v>169</v>
      </c>
      <c r="J1333" t="s">
        <v>59</v>
      </c>
      <c r="K1333" t="s">
        <v>73</v>
      </c>
      <c r="L1333" t="s">
        <v>94</v>
      </c>
      <c r="M1333" s="5"/>
      <c r="N1333" s="5"/>
      <c r="O1333" s="5"/>
      <c r="P1333" s="5"/>
      <c r="Q1333" s="5"/>
      <c r="R1333" t="s">
        <v>85</v>
      </c>
      <c r="S1333" t="s">
        <v>63</v>
      </c>
      <c r="T1333" s="5"/>
      <c r="U1333" s="6"/>
      <c r="V1333" t="s">
        <v>64</v>
      </c>
      <c r="W1333" s="4"/>
      <c r="X1333" t="s">
        <v>65</v>
      </c>
      <c r="Z1333" t="s">
        <v>66</v>
      </c>
    </row>
    <row r="1334" spans="1:26">
      <c r="A1334" t="s">
        <v>2092</v>
      </c>
      <c r="B1334" t="s">
        <v>2093</v>
      </c>
      <c r="C1334" s="4">
        <v>46074</v>
      </c>
      <c r="D1334" t="s">
        <v>419</v>
      </c>
      <c r="E1334" t="s">
        <v>56</v>
      </c>
      <c r="F1334" s="4"/>
      <c r="G1334" s="4"/>
      <c r="H1334" t="s">
        <v>57</v>
      </c>
      <c r="I1334" t="s">
        <v>184</v>
      </c>
      <c r="J1334" t="s">
        <v>59</v>
      </c>
      <c r="K1334" t="s">
        <v>124</v>
      </c>
      <c r="L1334" t="s">
        <v>61</v>
      </c>
      <c r="M1334" s="5"/>
      <c r="N1334" s="5"/>
      <c r="O1334" s="5"/>
      <c r="P1334" s="5"/>
      <c r="Q1334" s="5"/>
      <c r="R1334" t="s">
        <v>141</v>
      </c>
      <c r="S1334" t="s">
        <v>63</v>
      </c>
      <c r="T1334" s="5"/>
      <c r="U1334" s="6"/>
      <c r="V1334" t="s">
        <v>64</v>
      </c>
      <c r="W1334" s="4"/>
      <c r="X1334" t="s">
        <v>65</v>
      </c>
      <c r="Z1334" t="s">
        <v>66</v>
      </c>
    </row>
    <row r="1335" spans="1:26">
      <c r="A1335" t="s">
        <v>2094</v>
      </c>
      <c r="B1335" t="s">
        <v>1537</v>
      </c>
      <c r="C1335" s="4">
        <v>46129</v>
      </c>
      <c r="D1335" t="s">
        <v>183</v>
      </c>
      <c r="E1335" t="s">
        <v>70</v>
      </c>
      <c r="F1335" s="4">
        <v>46129</v>
      </c>
      <c r="G1335" s="4">
        <v>46129</v>
      </c>
      <c r="H1335" t="s">
        <v>90</v>
      </c>
      <c r="I1335" t="s">
        <v>388</v>
      </c>
      <c r="J1335" t="s">
        <v>92</v>
      </c>
      <c r="K1335" t="s">
        <v>60</v>
      </c>
      <c r="L1335" t="s">
        <v>146</v>
      </c>
      <c r="M1335" s="5">
        <v>44700</v>
      </c>
      <c r="N1335" s="5">
        <v>5150</v>
      </c>
      <c r="O1335" s="5">
        <v>10350</v>
      </c>
      <c r="P1335" s="5">
        <v>0</v>
      </c>
      <c r="Q1335" s="5">
        <v>61700</v>
      </c>
      <c r="R1335" t="s">
        <v>62</v>
      </c>
      <c r="S1335" t="s">
        <v>76</v>
      </c>
      <c r="T1335" s="5">
        <v>18910</v>
      </c>
      <c r="U1335" s="6">
        <v>5</v>
      </c>
      <c r="V1335" t="s">
        <v>64</v>
      </c>
      <c r="W1335" s="4"/>
      <c r="X1335" t="s">
        <v>65</v>
      </c>
      <c r="Y1335" t="s">
        <v>64</v>
      </c>
      <c r="Z1335" t="s">
        <v>96</v>
      </c>
    </row>
    <row r="1336" spans="1:26">
      <c r="A1336" t="s">
        <v>2095</v>
      </c>
      <c r="B1336" t="s">
        <v>789</v>
      </c>
      <c r="C1336" s="4">
        <v>46155</v>
      </c>
      <c r="D1336" t="s">
        <v>168</v>
      </c>
      <c r="E1336" t="s">
        <v>70</v>
      </c>
      <c r="F1336" s="4">
        <v>46155</v>
      </c>
      <c r="G1336" s="4">
        <v>46158</v>
      </c>
      <c r="H1336" t="s">
        <v>103</v>
      </c>
      <c r="I1336" t="s">
        <v>104</v>
      </c>
      <c r="J1336" t="s">
        <v>105</v>
      </c>
      <c r="K1336" t="s">
        <v>73</v>
      </c>
      <c r="L1336" t="s">
        <v>61</v>
      </c>
      <c r="M1336" s="5">
        <v>62400</v>
      </c>
      <c r="N1336" s="5">
        <v>5600</v>
      </c>
      <c r="O1336" s="5">
        <v>11300</v>
      </c>
      <c r="P1336" s="5">
        <v>9000</v>
      </c>
      <c r="Q1336" s="5">
        <v>90100</v>
      </c>
      <c r="R1336" t="s">
        <v>62</v>
      </c>
      <c r="S1336" t="s">
        <v>76</v>
      </c>
      <c r="T1336" s="5">
        <v>27430</v>
      </c>
      <c r="U1336" s="6">
        <v>4</v>
      </c>
      <c r="V1336" t="s">
        <v>77</v>
      </c>
      <c r="W1336" s="4">
        <v>46172</v>
      </c>
      <c r="X1336" t="s">
        <v>64</v>
      </c>
      <c r="Y1336" t="s">
        <v>64</v>
      </c>
      <c r="Z1336" t="s">
        <v>96</v>
      </c>
    </row>
    <row r="1337" spans="1:26">
      <c r="A1337" t="s">
        <v>2096</v>
      </c>
      <c r="B1337" t="s">
        <v>403</v>
      </c>
      <c r="C1337" s="4">
        <v>46171</v>
      </c>
      <c r="D1337" t="s">
        <v>298</v>
      </c>
      <c r="E1337" t="s">
        <v>70</v>
      </c>
      <c r="F1337" s="4">
        <v>46171</v>
      </c>
      <c r="G1337" s="4">
        <v>46174</v>
      </c>
      <c r="H1337" t="s">
        <v>57</v>
      </c>
      <c r="I1337" t="s">
        <v>184</v>
      </c>
      <c r="J1337" t="s">
        <v>170</v>
      </c>
      <c r="K1337" t="s">
        <v>124</v>
      </c>
      <c r="L1337" t="s">
        <v>74</v>
      </c>
      <c r="M1337" s="5">
        <v>56800</v>
      </c>
      <c r="N1337" s="5">
        <v>4800</v>
      </c>
      <c r="O1337" s="5">
        <v>10700</v>
      </c>
      <c r="P1337" s="5">
        <v>10500</v>
      </c>
      <c r="Q1337" s="5">
        <v>84000</v>
      </c>
      <c r="R1337" t="s">
        <v>75</v>
      </c>
      <c r="S1337" t="s">
        <v>86</v>
      </c>
      <c r="T1337" s="5">
        <v>38100</v>
      </c>
      <c r="U1337" s="6">
        <v>4</v>
      </c>
      <c r="V1337" t="s">
        <v>64</v>
      </c>
      <c r="W1337" s="4"/>
      <c r="X1337" t="s">
        <v>65</v>
      </c>
      <c r="Y1337" t="s">
        <v>64</v>
      </c>
      <c r="Z1337" t="s">
        <v>78</v>
      </c>
    </row>
    <row r="1338" spans="1:26">
      <c r="A1338" t="s">
        <v>2097</v>
      </c>
      <c r="B1338" t="s">
        <v>1515</v>
      </c>
      <c r="C1338" s="4">
        <v>46057</v>
      </c>
      <c r="D1338" t="s">
        <v>206</v>
      </c>
      <c r="E1338" t="s">
        <v>70</v>
      </c>
      <c r="F1338" s="4">
        <v>46057</v>
      </c>
      <c r="G1338" s="4">
        <v>46059</v>
      </c>
      <c r="H1338" t="s">
        <v>138</v>
      </c>
      <c r="I1338" t="s">
        <v>260</v>
      </c>
      <c r="J1338" t="s">
        <v>261</v>
      </c>
      <c r="K1338" t="s">
        <v>73</v>
      </c>
      <c r="L1338" t="s">
        <v>61</v>
      </c>
      <c r="M1338" s="5">
        <v>4600</v>
      </c>
      <c r="N1338" s="5">
        <v>400</v>
      </c>
      <c r="O1338" s="5">
        <v>1000</v>
      </c>
      <c r="P1338" s="5">
        <v>9000</v>
      </c>
      <c r="Q1338" s="5">
        <v>17500</v>
      </c>
      <c r="R1338" t="s">
        <v>106</v>
      </c>
      <c r="S1338" t="s">
        <v>76</v>
      </c>
      <c r="T1338" s="5">
        <v>6820</v>
      </c>
      <c r="U1338" s="6">
        <v>4</v>
      </c>
      <c r="V1338" t="s">
        <v>77</v>
      </c>
      <c r="W1338" s="4">
        <v>46069</v>
      </c>
      <c r="X1338" t="s">
        <v>77</v>
      </c>
      <c r="Y1338" t="s">
        <v>64</v>
      </c>
      <c r="Z1338" t="s">
        <v>107</v>
      </c>
    </row>
    <row r="1339" spans="1:26">
      <c r="A1339" t="s">
        <v>2098</v>
      </c>
      <c r="B1339" t="s">
        <v>532</v>
      </c>
      <c r="C1339" s="4">
        <v>46113</v>
      </c>
      <c r="D1339" t="s">
        <v>161</v>
      </c>
      <c r="E1339" t="s">
        <v>70</v>
      </c>
      <c r="F1339" s="4">
        <v>46113</v>
      </c>
      <c r="G1339" s="4">
        <v>46114</v>
      </c>
      <c r="H1339" t="s">
        <v>178</v>
      </c>
      <c r="I1339" t="s">
        <v>622</v>
      </c>
      <c r="J1339" t="s">
        <v>358</v>
      </c>
      <c r="K1339" t="s">
        <v>93</v>
      </c>
      <c r="L1339" t="s">
        <v>94</v>
      </c>
      <c r="M1339" s="5">
        <v>69000</v>
      </c>
      <c r="N1339" s="5">
        <v>5650</v>
      </c>
      <c r="O1339" s="5">
        <v>9250</v>
      </c>
      <c r="P1339" s="5">
        <v>2500</v>
      </c>
      <c r="Q1339" s="5">
        <v>87900</v>
      </c>
      <c r="R1339" t="s">
        <v>141</v>
      </c>
      <c r="S1339" t="s">
        <v>76</v>
      </c>
      <c r="T1339" s="5">
        <v>14390</v>
      </c>
      <c r="U1339" s="6">
        <v>5</v>
      </c>
      <c r="V1339" t="s">
        <v>77</v>
      </c>
      <c r="W1339" s="4">
        <v>46127</v>
      </c>
      <c r="X1339" t="s">
        <v>77</v>
      </c>
      <c r="Y1339" t="s">
        <v>64</v>
      </c>
      <c r="Z1339" t="s">
        <v>78</v>
      </c>
    </row>
    <row r="1340" spans="1:26">
      <c r="A1340" t="s">
        <v>2099</v>
      </c>
      <c r="B1340" t="s">
        <v>919</v>
      </c>
      <c r="C1340" s="4">
        <v>46149</v>
      </c>
      <c r="D1340" t="s">
        <v>294</v>
      </c>
      <c r="E1340" t="s">
        <v>70</v>
      </c>
      <c r="F1340" s="4">
        <v>46149</v>
      </c>
      <c r="G1340" s="4">
        <v>46152</v>
      </c>
      <c r="H1340" t="s">
        <v>201</v>
      </c>
      <c r="I1340" t="s">
        <v>280</v>
      </c>
      <c r="J1340" t="s">
        <v>295</v>
      </c>
      <c r="K1340" t="s">
        <v>124</v>
      </c>
      <c r="L1340" t="s">
        <v>61</v>
      </c>
      <c r="M1340" s="5">
        <v>54900</v>
      </c>
      <c r="N1340" s="5">
        <v>6000</v>
      </c>
      <c r="O1340" s="5">
        <v>9350</v>
      </c>
      <c r="P1340" s="5">
        <v>9000</v>
      </c>
      <c r="Q1340" s="5">
        <v>80250</v>
      </c>
      <c r="R1340" t="s">
        <v>85</v>
      </c>
      <c r="S1340" t="s">
        <v>76</v>
      </c>
      <c r="T1340" s="5">
        <v>20960</v>
      </c>
      <c r="U1340" s="6"/>
      <c r="V1340" t="s">
        <v>77</v>
      </c>
      <c r="W1340" s="4">
        <v>46166</v>
      </c>
      <c r="X1340" t="s">
        <v>64</v>
      </c>
      <c r="Y1340" t="s">
        <v>64</v>
      </c>
      <c r="Z1340" t="s">
        <v>78</v>
      </c>
    </row>
    <row r="1341" spans="1:26">
      <c r="A1341" t="s">
        <v>2100</v>
      </c>
      <c r="B1341" t="s">
        <v>596</v>
      </c>
      <c r="C1341" s="4">
        <v>46124</v>
      </c>
      <c r="D1341" t="s">
        <v>89</v>
      </c>
      <c r="E1341" t="s">
        <v>70</v>
      </c>
      <c r="F1341" s="4">
        <v>46125</v>
      </c>
      <c r="G1341" s="4">
        <v>46130</v>
      </c>
      <c r="H1341" t="s">
        <v>150</v>
      </c>
      <c r="I1341" t="s">
        <v>239</v>
      </c>
      <c r="J1341" t="s">
        <v>188</v>
      </c>
      <c r="K1341" t="s">
        <v>73</v>
      </c>
      <c r="L1341" t="s">
        <v>94</v>
      </c>
      <c r="M1341" s="5">
        <v>132300</v>
      </c>
      <c r="N1341" s="5">
        <v>16450</v>
      </c>
      <c r="O1341" s="5">
        <v>17600</v>
      </c>
      <c r="P1341" s="5">
        <v>22500</v>
      </c>
      <c r="Q1341" s="5">
        <v>190650</v>
      </c>
      <c r="R1341" t="s">
        <v>95</v>
      </c>
      <c r="S1341" t="s">
        <v>63</v>
      </c>
      <c r="T1341" s="5">
        <v>190650</v>
      </c>
      <c r="U1341" s="6">
        <v>2</v>
      </c>
      <c r="V1341" t="s">
        <v>77</v>
      </c>
      <c r="W1341" s="4">
        <v>46150</v>
      </c>
      <c r="X1341" t="s">
        <v>64</v>
      </c>
      <c r="Y1341" t="s">
        <v>64</v>
      </c>
      <c r="Z1341" t="s">
        <v>78</v>
      </c>
    </row>
    <row r="1342" spans="1:26">
      <c r="A1342" t="s">
        <v>2101</v>
      </c>
      <c r="B1342" t="s">
        <v>2102</v>
      </c>
      <c r="C1342" s="4">
        <v>46114</v>
      </c>
      <c r="D1342" t="s">
        <v>259</v>
      </c>
      <c r="E1342" t="s">
        <v>70</v>
      </c>
      <c r="F1342" s="4">
        <v>46114</v>
      </c>
      <c r="G1342" s="4">
        <v>46115</v>
      </c>
      <c r="H1342" t="s">
        <v>138</v>
      </c>
      <c r="I1342" t="s">
        <v>260</v>
      </c>
      <c r="J1342" t="s">
        <v>236</v>
      </c>
      <c r="K1342" t="s">
        <v>60</v>
      </c>
      <c r="L1342" t="s">
        <v>61</v>
      </c>
      <c r="M1342" s="5">
        <v>34700</v>
      </c>
      <c r="N1342" s="5">
        <v>6150</v>
      </c>
      <c r="O1342" s="5">
        <v>5400</v>
      </c>
      <c r="P1342" s="5">
        <v>4500</v>
      </c>
      <c r="Q1342" s="5">
        <v>53250</v>
      </c>
      <c r="R1342" t="s">
        <v>141</v>
      </c>
      <c r="S1342" t="s">
        <v>76</v>
      </c>
      <c r="T1342" s="5">
        <v>9190</v>
      </c>
      <c r="U1342" s="6">
        <v>4</v>
      </c>
      <c r="V1342" t="s">
        <v>77</v>
      </c>
      <c r="W1342" s="4">
        <v>46122</v>
      </c>
      <c r="X1342" t="s">
        <v>77</v>
      </c>
      <c r="Y1342" t="s">
        <v>64</v>
      </c>
      <c r="Z1342" t="s">
        <v>78</v>
      </c>
    </row>
    <row r="1343" spans="1:26">
      <c r="A1343" t="s">
        <v>2103</v>
      </c>
      <c r="B1343" t="s">
        <v>2026</v>
      </c>
      <c r="C1343" s="4">
        <v>46085</v>
      </c>
      <c r="D1343" t="s">
        <v>266</v>
      </c>
      <c r="E1343" t="s">
        <v>338</v>
      </c>
      <c r="F1343" s="4"/>
      <c r="G1343" s="4"/>
      <c r="H1343" t="s">
        <v>90</v>
      </c>
      <c r="I1343" t="s">
        <v>162</v>
      </c>
      <c r="J1343" t="s">
        <v>129</v>
      </c>
      <c r="K1343" t="s">
        <v>124</v>
      </c>
      <c r="L1343" t="s">
        <v>146</v>
      </c>
      <c r="M1343" s="5"/>
      <c r="N1343" s="5"/>
      <c r="O1343" s="5"/>
      <c r="P1343" s="5"/>
      <c r="Q1343" s="5"/>
      <c r="R1343" t="s">
        <v>106</v>
      </c>
      <c r="S1343" t="s">
        <v>63</v>
      </c>
      <c r="T1343" s="5"/>
      <c r="U1343" s="6"/>
      <c r="V1343" t="s">
        <v>64</v>
      </c>
      <c r="W1343" s="4"/>
      <c r="X1343" t="s">
        <v>65</v>
      </c>
      <c r="Z1343" t="s">
        <v>66</v>
      </c>
    </row>
    <row r="1344" spans="1:26">
      <c r="A1344" t="s">
        <v>2104</v>
      </c>
      <c r="B1344" t="s">
        <v>88</v>
      </c>
      <c r="C1344" s="4">
        <v>46114</v>
      </c>
      <c r="D1344" t="s">
        <v>210</v>
      </c>
      <c r="E1344" t="s">
        <v>70</v>
      </c>
      <c r="F1344" s="4">
        <v>46114</v>
      </c>
      <c r="G1344" s="4">
        <v>46116</v>
      </c>
      <c r="H1344" t="s">
        <v>90</v>
      </c>
      <c r="I1344" t="s">
        <v>133</v>
      </c>
      <c r="J1344" t="s">
        <v>197</v>
      </c>
      <c r="K1344" t="s">
        <v>124</v>
      </c>
      <c r="L1344" t="s">
        <v>94</v>
      </c>
      <c r="M1344" s="5">
        <v>20600</v>
      </c>
      <c r="N1344" s="5">
        <v>2750</v>
      </c>
      <c r="O1344" s="5">
        <v>3150</v>
      </c>
      <c r="P1344" s="5">
        <v>6000</v>
      </c>
      <c r="Q1344" s="5">
        <v>34500</v>
      </c>
      <c r="R1344" t="s">
        <v>85</v>
      </c>
      <c r="S1344" t="s">
        <v>76</v>
      </c>
      <c r="T1344" s="5">
        <v>9520</v>
      </c>
      <c r="U1344" s="6">
        <v>3</v>
      </c>
      <c r="V1344" t="s">
        <v>64</v>
      </c>
      <c r="W1344" s="4"/>
      <c r="X1344" t="s">
        <v>65</v>
      </c>
      <c r="Y1344" t="s">
        <v>64</v>
      </c>
      <c r="Z1344" t="s">
        <v>96</v>
      </c>
    </row>
    <row r="1345" spans="1:26">
      <c r="A1345" t="s">
        <v>2105</v>
      </c>
      <c r="B1345" t="s">
        <v>545</v>
      </c>
      <c r="C1345" s="4">
        <v>46148</v>
      </c>
      <c r="D1345" t="s">
        <v>363</v>
      </c>
      <c r="E1345" t="s">
        <v>191</v>
      </c>
      <c r="F1345" s="4"/>
      <c r="G1345" s="4"/>
      <c r="H1345" t="s">
        <v>201</v>
      </c>
      <c r="I1345" t="s">
        <v>327</v>
      </c>
      <c r="J1345" t="s">
        <v>281</v>
      </c>
      <c r="K1345" t="s">
        <v>124</v>
      </c>
      <c r="L1345" t="s">
        <v>74</v>
      </c>
      <c r="M1345" s="5"/>
      <c r="N1345" s="5"/>
      <c r="O1345" s="5"/>
      <c r="P1345" s="5"/>
      <c r="Q1345" s="5"/>
      <c r="R1345" t="s">
        <v>95</v>
      </c>
      <c r="S1345" t="s">
        <v>63</v>
      </c>
      <c r="T1345" s="5"/>
      <c r="U1345" s="6"/>
      <c r="V1345" t="s">
        <v>64</v>
      </c>
      <c r="W1345" s="4"/>
      <c r="X1345" t="s">
        <v>65</v>
      </c>
      <c r="Z1345" t="s">
        <v>66</v>
      </c>
    </row>
    <row r="1346" spans="1:26">
      <c r="A1346" t="s">
        <v>2106</v>
      </c>
      <c r="B1346" t="s">
        <v>409</v>
      </c>
      <c r="C1346" s="4">
        <v>46109</v>
      </c>
      <c r="D1346" t="s">
        <v>242</v>
      </c>
      <c r="E1346" t="s">
        <v>177</v>
      </c>
      <c r="F1346" s="4"/>
      <c r="G1346" s="4"/>
      <c r="H1346" t="s">
        <v>82</v>
      </c>
      <c r="I1346" t="s">
        <v>155</v>
      </c>
      <c r="J1346" t="s">
        <v>84</v>
      </c>
      <c r="K1346" t="s">
        <v>60</v>
      </c>
      <c r="L1346" t="s">
        <v>74</v>
      </c>
      <c r="M1346" s="5"/>
      <c r="N1346" s="5"/>
      <c r="O1346" s="5"/>
      <c r="P1346" s="5"/>
      <c r="Q1346" s="5"/>
      <c r="R1346" t="s">
        <v>134</v>
      </c>
      <c r="S1346" t="s">
        <v>63</v>
      </c>
      <c r="T1346" s="5"/>
      <c r="U1346" s="6"/>
      <c r="V1346" t="s">
        <v>64</v>
      </c>
      <c r="W1346" s="4"/>
      <c r="X1346" t="s">
        <v>65</v>
      </c>
      <c r="Z1346" t="s">
        <v>66</v>
      </c>
    </row>
    <row r="1347" spans="1:26">
      <c r="A1347" t="s">
        <v>2107</v>
      </c>
      <c r="B1347" t="s">
        <v>890</v>
      </c>
      <c r="C1347" s="4">
        <v>46087</v>
      </c>
      <c r="D1347" t="s">
        <v>120</v>
      </c>
      <c r="E1347" t="s">
        <v>70</v>
      </c>
      <c r="F1347" s="4">
        <v>46087</v>
      </c>
      <c r="G1347" s="4">
        <v>46090</v>
      </c>
      <c r="H1347" t="s">
        <v>57</v>
      </c>
      <c r="I1347" t="s">
        <v>169</v>
      </c>
      <c r="J1347" t="s">
        <v>72</v>
      </c>
      <c r="K1347" t="s">
        <v>124</v>
      </c>
      <c r="L1347" t="s">
        <v>74</v>
      </c>
      <c r="M1347" s="5">
        <v>8600</v>
      </c>
      <c r="N1347" s="5">
        <v>950</v>
      </c>
      <c r="O1347" s="5">
        <v>1000</v>
      </c>
      <c r="P1347" s="5">
        <v>13500</v>
      </c>
      <c r="Q1347" s="5">
        <v>24850</v>
      </c>
      <c r="R1347" t="s">
        <v>134</v>
      </c>
      <c r="S1347" t="s">
        <v>76</v>
      </c>
      <c r="T1347" s="5">
        <v>13870</v>
      </c>
      <c r="U1347" s="6"/>
      <c r="V1347" t="s">
        <v>64</v>
      </c>
      <c r="W1347" s="4"/>
      <c r="X1347" t="s">
        <v>65</v>
      </c>
      <c r="Y1347" t="s">
        <v>64</v>
      </c>
      <c r="Z1347" t="s">
        <v>107</v>
      </c>
    </row>
    <row r="1348" spans="1:26">
      <c r="A1348" t="s">
        <v>2108</v>
      </c>
      <c r="B1348" t="s">
        <v>1444</v>
      </c>
      <c r="C1348" s="4">
        <v>46139</v>
      </c>
      <c r="D1348" t="s">
        <v>132</v>
      </c>
      <c r="E1348" t="s">
        <v>70</v>
      </c>
      <c r="F1348" s="4">
        <v>46139</v>
      </c>
      <c r="G1348" s="4">
        <v>46143</v>
      </c>
      <c r="H1348" t="s">
        <v>57</v>
      </c>
      <c r="I1348" t="s">
        <v>211</v>
      </c>
      <c r="J1348" t="s">
        <v>170</v>
      </c>
      <c r="K1348" t="s">
        <v>73</v>
      </c>
      <c r="L1348" t="s">
        <v>94</v>
      </c>
      <c r="M1348" s="5">
        <v>52800</v>
      </c>
      <c r="N1348" s="5">
        <v>5200</v>
      </c>
      <c r="O1348" s="5">
        <v>8550</v>
      </c>
      <c r="P1348" s="5">
        <v>14000</v>
      </c>
      <c r="Q1348" s="5">
        <v>82550</v>
      </c>
      <c r="R1348" t="s">
        <v>95</v>
      </c>
      <c r="S1348" t="s">
        <v>63</v>
      </c>
      <c r="T1348" s="5">
        <v>82550</v>
      </c>
      <c r="U1348" s="6">
        <v>5</v>
      </c>
      <c r="V1348" t="s">
        <v>77</v>
      </c>
      <c r="W1348" s="4">
        <v>46154</v>
      </c>
      <c r="X1348" t="s">
        <v>77</v>
      </c>
      <c r="Y1348" t="s">
        <v>64</v>
      </c>
      <c r="Z1348" t="s">
        <v>96</v>
      </c>
    </row>
    <row r="1349" spans="1:26">
      <c r="A1349" t="s">
        <v>2109</v>
      </c>
      <c r="B1349" t="s">
        <v>986</v>
      </c>
      <c r="C1349" s="4">
        <v>46063</v>
      </c>
      <c r="D1349" t="s">
        <v>419</v>
      </c>
      <c r="E1349" t="s">
        <v>70</v>
      </c>
      <c r="F1349" s="4">
        <v>46063</v>
      </c>
      <c r="G1349" s="4">
        <v>46063</v>
      </c>
      <c r="H1349" t="s">
        <v>150</v>
      </c>
      <c r="I1349" t="s">
        <v>247</v>
      </c>
      <c r="J1349" t="s">
        <v>152</v>
      </c>
      <c r="K1349" t="s">
        <v>60</v>
      </c>
      <c r="L1349" t="s">
        <v>94</v>
      </c>
      <c r="M1349" s="5">
        <v>25700</v>
      </c>
      <c r="N1349" s="5">
        <v>3450</v>
      </c>
      <c r="O1349" s="5">
        <v>4000</v>
      </c>
      <c r="P1349" s="5">
        <v>0</v>
      </c>
      <c r="Q1349" s="5">
        <v>34150</v>
      </c>
      <c r="R1349" t="s">
        <v>85</v>
      </c>
      <c r="S1349" t="s">
        <v>76</v>
      </c>
      <c r="T1349" s="5">
        <v>9440</v>
      </c>
      <c r="U1349" s="6">
        <v>5</v>
      </c>
      <c r="V1349" t="s">
        <v>64</v>
      </c>
      <c r="W1349" s="4"/>
      <c r="X1349" t="s">
        <v>65</v>
      </c>
      <c r="Y1349" t="s">
        <v>64</v>
      </c>
      <c r="Z1349" t="s">
        <v>96</v>
      </c>
    </row>
    <row r="1350" spans="1:26">
      <c r="A1350" t="s">
        <v>2110</v>
      </c>
      <c r="B1350" t="s">
        <v>1760</v>
      </c>
      <c r="C1350" s="4">
        <v>46072</v>
      </c>
      <c r="D1350" t="s">
        <v>307</v>
      </c>
      <c r="E1350" t="s">
        <v>70</v>
      </c>
      <c r="F1350" s="4">
        <v>46073</v>
      </c>
      <c r="G1350" s="4">
        <v>46077</v>
      </c>
      <c r="H1350" t="s">
        <v>150</v>
      </c>
      <c r="I1350" t="s">
        <v>187</v>
      </c>
      <c r="J1350" t="s">
        <v>152</v>
      </c>
      <c r="K1350" t="s">
        <v>124</v>
      </c>
      <c r="L1350" t="s">
        <v>61</v>
      </c>
      <c r="M1350" s="5">
        <v>23100</v>
      </c>
      <c r="N1350" s="5">
        <v>3050</v>
      </c>
      <c r="O1350" s="5">
        <v>3600</v>
      </c>
      <c r="P1350" s="5">
        <v>18000</v>
      </c>
      <c r="Q1350" s="5">
        <v>50250</v>
      </c>
      <c r="R1350" t="s">
        <v>134</v>
      </c>
      <c r="S1350" t="s">
        <v>76</v>
      </c>
      <c r="T1350" s="5">
        <v>27840</v>
      </c>
      <c r="U1350" s="6">
        <v>4</v>
      </c>
      <c r="V1350" t="s">
        <v>64</v>
      </c>
      <c r="W1350" s="4"/>
      <c r="X1350" t="s">
        <v>65</v>
      </c>
      <c r="Y1350" t="s">
        <v>64</v>
      </c>
      <c r="Z1350" t="s">
        <v>78</v>
      </c>
    </row>
    <row r="1351" spans="1:26">
      <c r="A1351" t="s">
        <v>2111</v>
      </c>
      <c r="B1351" t="s">
        <v>1461</v>
      </c>
      <c r="C1351" s="4">
        <v>46092</v>
      </c>
      <c r="D1351" t="s">
        <v>234</v>
      </c>
      <c r="E1351" t="s">
        <v>70</v>
      </c>
      <c r="F1351" s="4">
        <v>46092</v>
      </c>
      <c r="G1351" s="4">
        <v>46092</v>
      </c>
      <c r="H1351" t="s">
        <v>90</v>
      </c>
      <c r="I1351" t="s">
        <v>299</v>
      </c>
      <c r="J1351" t="s">
        <v>92</v>
      </c>
      <c r="K1351" t="s">
        <v>60</v>
      </c>
      <c r="L1351" t="s">
        <v>61</v>
      </c>
      <c r="M1351" s="5">
        <v>65100</v>
      </c>
      <c r="N1351" s="5">
        <v>9150</v>
      </c>
      <c r="O1351" s="5">
        <v>8050</v>
      </c>
      <c r="P1351" s="5">
        <v>0</v>
      </c>
      <c r="Q1351" s="5">
        <v>83800</v>
      </c>
      <c r="R1351" t="s">
        <v>141</v>
      </c>
      <c r="S1351" t="s">
        <v>76</v>
      </c>
      <c r="T1351" s="5">
        <v>13770</v>
      </c>
      <c r="U1351" s="6">
        <v>4</v>
      </c>
      <c r="V1351" t="s">
        <v>77</v>
      </c>
      <c r="W1351" s="4">
        <v>46107</v>
      </c>
      <c r="X1351" t="s">
        <v>77</v>
      </c>
      <c r="Y1351" t="s">
        <v>64</v>
      </c>
      <c r="Z1351" t="s">
        <v>436</v>
      </c>
    </row>
    <row r="1352" spans="1:26">
      <c r="A1352" t="s">
        <v>2112</v>
      </c>
      <c r="B1352" t="s">
        <v>446</v>
      </c>
      <c r="C1352" s="4">
        <v>46061</v>
      </c>
      <c r="D1352" t="s">
        <v>168</v>
      </c>
      <c r="E1352" t="s">
        <v>314</v>
      </c>
      <c r="F1352" s="4"/>
      <c r="G1352" s="4"/>
      <c r="H1352" t="s">
        <v>103</v>
      </c>
      <c r="I1352" t="s">
        <v>412</v>
      </c>
      <c r="J1352" t="s">
        <v>145</v>
      </c>
      <c r="K1352" t="s">
        <v>73</v>
      </c>
      <c r="L1352" t="s">
        <v>94</v>
      </c>
      <c r="M1352" s="5"/>
      <c r="N1352" s="5"/>
      <c r="O1352" s="5"/>
      <c r="P1352" s="5"/>
      <c r="Q1352" s="5"/>
      <c r="R1352" t="s">
        <v>134</v>
      </c>
      <c r="S1352" t="s">
        <v>63</v>
      </c>
      <c r="T1352" s="5"/>
      <c r="U1352" s="6"/>
      <c r="V1352" t="s">
        <v>64</v>
      </c>
      <c r="W1352" s="4"/>
      <c r="X1352" t="s">
        <v>65</v>
      </c>
      <c r="Z1352" t="s">
        <v>66</v>
      </c>
    </row>
    <row r="1353" spans="1:26">
      <c r="A1353" t="s">
        <v>2113</v>
      </c>
      <c r="B1353" t="s">
        <v>1164</v>
      </c>
      <c r="C1353" s="4">
        <v>46093</v>
      </c>
      <c r="D1353" t="s">
        <v>383</v>
      </c>
      <c r="E1353" t="s">
        <v>70</v>
      </c>
      <c r="F1353" s="4">
        <v>46093</v>
      </c>
      <c r="G1353" s="4">
        <v>46099</v>
      </c>
      <c r="H1353" t="s">
        <v>111</v>
      </c>
      <c r="I1353" t="s">
        <v>355</v>
      </c>
      <c r="J1353" t="s">
        <v>384</v>
      </c>
      <c r="K1353" t="s">
        <v>124</v>
      </c>
      <c r="L1353" t="s">
        <v>94</v>
      </c>
      <c r="M1353" s="5">
        <v>53400</v>
      </c>
      <c r="N1353" s="5">
        <v>4650</v>
      </c>
      <c r="O1353" s="5">
        <v>5800</v>
      </c>
      <c r="P1353" s="5">
        <v>21000</v>
      </c>
      <c r="Q1353" s="5">
        <v>86350</v>
      </c>
      <c r="R1353" t="s">
        <v>75</v>
      </c>
      <c r="S1353" t="s">
        <v>76</v>
      </c>
      <c r="T1353" s="5">
        <v>39160</v>
      </c>
      <c r="U1353" s="6">
        <v>4</v>
      </c>
      <c r="V1353" t="s">
        <v>77</v>
      </c>
      <c r="W1353" s="4">
        <v>46111</v>
      </c>
      <c r="X1353" t="s">
        <v>77</v>
      </c>
      <c r="Y1353" t="s">
        <v>64</v>
      </c>
      <c r="Z1353" t="s">
        <v>78</v>
      </c>
    </row>
    <row r="1354" spans="1:26">
      <c r="A1354" t="s">
        <v>2114</v>
      </c>
      <c r="B1354" t="s">
        <v>366</v>
      </c>
      <c r="C1354" s="4">
        <v>46144</v>
      </c>
      <c r="D1354" t="s">
        <v>161</v>
      </c>
      <c r="E1354" t="s">
        <v>70</v>
      </c>
      <c r="F1354" s="4">
        <v>46144</v>
      </c>
      <c r="G1354" s="4">
        <v>46144</v>
      </c>
      <c r="H1354" t="s">
        <v>57</v>
      </c>
      <c r="I1354" t="s">
        <v>100</v>
      </c>
      <c r="J1354" t="s">
        <v>59</v>
      </c>
      <c r="K1354" t="s">
        <v>60</v>
      </c>
      <c r="L1354" t="s">
        <v>146</v>
      </c>
      <c r="M1354" s="5">
        <v>70400</v>
      </c>
      <c r="N1354" s="5">
        <v>8500</v>
      </c>
      <c r="O1354" s="5">
        <v>11250</v>
      </c>
      <c r="P1354" s="5">
        <v>0</v>
      </c>
      <c r="Q1354" s="5">
        <v>92150</v>
      </c>
      <c r="R1354" t="s">
        <v>141</v>
      </c>
      <c r="S1354" t="s">
        <v>76</v>
      </c>
      <c r="T1354" s="5">
        <v>15020</v>
      </c>
      <c r="U1354" s="6">
        <v>4</v>
      </c>
      <c r="V1354" t="s">
        <v>77</v>
      </c>
      <c r="W1354" s="4">
        <v>46151</v>
      </c>
      <c r="X1354" t="s">
        <v>77</v>
      </c>
      <c r="Y1354" t="s">
        <v>64</v>
      </c>
      <c r="Z1354" t="s">
        <v>78</v>
      </c>
    </row>
    <row r="1355" spans="1:26">
      <c r="A1355" t="s">
        <v>2115</v>
      </c>
      <c r="B1355" t="s">
        <v>115</v>
      </c>
      <c r="C1355" s="4">
        <v>46068</v>
      </c>
      <c r="D1355" t="s">
        <v>307</v>
      </c>
      <c r="E1355" t="s">
        <v>70</v>
      </c>
      <c r="F1355" s="4">
        <v>46068</v>
      </c>
      <c r="G1355" s="4">
        <v>46073</v>
      </c>
      <c r="H1355" t="s">
        <v>90</v>
      </c>
      <c r="I1355" t="s">
        <v>162</v>
      </c>
      <c r="J1355" t="s">
        <v>197</v>
      </c>
      <c r="K1355" t="s">
        <v>73</v>
      </c>
      <c r="L1355" t="s">
        <v>61</v>
      </c>
      <c r="M1355" s="5">
        <v>17400</v>
      </c>
      <c r="N1355" s="5">
        <v>2350</v>
      </c>
      <c r="O1355" s="5">
        <v>2000</v>
      </c>
      <c r="P1355" s="5">
        <v>22500</v>
      </c>
      <c r="Q1355" s="5">
        <v>45450</v>
      </c>
      <c r="R1355" t="s">
        <v>141</v>
      </c>
      <c r="S1355" t="s">
        <v>76</v>
      </c>
      <c r="T1355" s="5">
        <v>8020</v>
      </c>
      <c r="U1355" s="6">
        <v>3</v>
      </c>
      <c r="V1355" t="s">
        <v>64</v>
      </c>
      <c r="W1355" s="4"/>
      <c r="X1355" t="s">
        <v>65</v>
      </c>
      <c r="Y1355" t="s">
        <v>64</v>
      </c>
      <c r="Z1355" t="s">
        <v>96</v>
      </c>
    </row>
    <row r="1356" spans="1:26">
      <c r="A1356" t="s">
        <v>2116</v>
      </c>
      <c r="B1356" t="s">
        <v>532</v>
      </c>
      <c r="C1356" s="4">
        <v>46153</v>
      </c>
      <c r="D1356" t="s">
        <v>55</v>
      </c>
      <c r="E1356" t="s">
        <v>70</v>
      </c>
      <c r="F1356" s="4">
        <v>46153</v>
      </c>
      <c r="G1356" s="4">
        <v>46156</v>
      </c>
      <c r="H1356" t="s">
        <v>103</v>
      </c>
      <c r="I1356" t="s">
        <v>364</v>
      </c>
      <c r="J1356" t="s">
        <v>145</v>
      </c>
      <c r="K1356" t="s">
        <v>73</v>
      </c>
      <c r="L1356" t="s">
        <v>74</v>
      </c>
      <c r="M1356" s="5">
        <v>32700</v>
      </c>
      <c r="N1356" s="5">
        <v>5550</v>
      </c>
      <c r="O1356" s="5">
        <v>4050</v>
      </c>
      <c r="P1356" s="5">
        <v>7500</v>
      </c>
      <c r="Q1356" s="5">
        <v>50600</v>
      </c>
      <c r="R1356" t="s">
        <v>95</v>
      </c>
      <c r="S1356" t="s">
        <v>63</v>
      </c>
      <c r="T1356" s="5">
        <v>50600</v>
      </c>
      <c r="U1356" s="6">
        <v>4</v>
      </c>
      <c r="V1356" t="s">
        <v>77</v>
      </c>
      <c r="W1356" s="4">
        <v>46163</v>
      </c>
      <c r="X1356" t="s">
        <v>77</v>
      </c>
      <c r="Y1356" t="s">
        <v>64</v>
      </c>
      <c r="Z1356" t="s">
        <v>78</v>
      </c>
    </row>
    <row r="1357" spans="1:26">
      <c r="A1357" t="s">
        <v>2117</v>
      </c>
      <c r="B1357" t="s">
        <v>740</v>
      </c>
      <c r="C1357" s="4">
        <v>46143</v>
      </c>
      <c r="D1357" t="s">
        <v>69</v>
      </c>
      <c r="E1357" t="s">
        <v>191</v>
      </c>
      <c r="F1357" s="4"/>
      <c r="G1357" s="4"/>
      <c r="H1357" t="s">
        <v>82</v>
      </c>
      <c r="I1357" t="s">
        <v>194</v>
      </c>
      <c r="J1357" t="s">
        <v>84</v>
      </c>
      <c r="K1357" t="s">
        <v>124</v>
      </c>
      <c r="L1357" t="s">
        <v>94</v>
      </c>
      <c r="M1357" s="5"/>
      <c r="N1357" s="5"/>
      <c r="O1357" s="5"/>
      <c r="P1357" s="5"/>
      <c r="Q1357" s="5"/>
      <c r="R1357" t="s">
        <v>85</v>
      </c>
      <c r="S1357" t="s">
        <v>63</v>
      </c>
      <c r="T1357" s="5"/>
      <c r="U1357" s="6"/>
      <c r="V1357" t="s">
        <v>64</v>
      </c>
      <c r="W1357" s="4"/>
      <c r="X1357" t="s">
        <v>65</v>
      </c>
      <c r="Z1357" t="s">
        <v>66</v>
      </c>
    </row>
    <row r="1358" spans="1:26">
      <c r="A1358" t="s">
        <v>2118</v>
      </c>
      <c r="B1358" t="s">
        <v>489</v>
      </c>
      <c r="C1358" s="4">
        <v>46096</v>
      </c>
      <c r="D1358" t="s">
        <v>120</v>
      </c>
      <c r="E1358" t="s">
        <v>70</v>
      </c>
      <c r="F1358" s="4">
        <v>46096</v>
      </c>
      <c r="G1358" s="4">
        <v>46096</v>
      </c>
      <c r="H1358" t="s">
        <v>82</v>
      </c>
      <c r="I1358" t="s">
        <v>331</v>
      </c>
      <c r="J1358" t="s">
        <v>84</v>
      </c>
      <c r="K1358" t="s">
        <v>73</v>
      </c>
      <c r="L1358" t="s">
        <v>61</v>
      </c>
      <c r="M1358" s="5">
        <v>9000</v>
      </c>
      <c r="N1358" s="5">
        <v>1100</v>
      </c>
      <c r="O1358" s="5">
        <v>1650</v>
      </c>
      <c r="P1358" s="5">
        <v>0</v>
      </c>
      <c r="Q1358" s="5">
        <v>13250</v>
      </c>
      <c r="R1358" t="s">
        <v>75</v>
      </c>
      <c r="S1358" t="s">
        <v>76</v>
      </c>
      <c r="T1358" s="5">
        <v>6260</v>
      </c>
      <c r="U1358" s="6">
        <v>4</v>
      </c>
      <c r="V1358" t="s">
        <v>77</v>
      </c>
      <c r="W1358" s="4">
        <v>46111</v>
      </c>
      <c r="X1358" t="s">
        <v>64</v>
      </c>
      <c r="Y1358" t="s">
        <v>64</v>
      </c>
      <c r="Z1358" t="s">
        <v>96</v>
      </c>
    </row>
    <row r="1359" spans="1:26">
      <c r="A1359" t="s">
        <v>2119</v>
      </c>
      <c r="B1359" t="s">
        <v>1320</v>
      </c>
      <c r="C1359" s="4">
        <v>46138</v>
      </c>
      <c r="D1359" t="s">
        <v>127</v>
      </c>
      <c r="E1359" t="s">
        <v>70</v>
      </c>
      <c r="F1359" s="4">
        <v>46139</v>
      </c>
      <c r="G1359" s="4">
        <v>46139</v>
      </c>
      <c r="H1359" t="s">
        <v>90</v>
      </c>
      <c r="I1359" t="s">
        <v>162</v>
      </c>
      <c r="J1359" t="s">
        <v>92</v>
      </c>
      <c r="K1359" t="s">
        <v>60</v>
      </c>
      <c r="L1359" t="s">
        <v>94</v>
      </c>
      <c r="M1359" s="5">
        <v>45500</v>
      </c>
      <c r="N1359" s="5">
        <v>3800</v>
      </c>
      <c r="O1359" s="5">
        <v>4650</v>
      </c>
      <c r="P1359" s="5">
        <v>0</v>
      </c>
      <c r="Q1359" s="5">
        <v>55150</v>
      </c>
      <c r="R1359" t="s">
        <v>95</v>
      </c>
      <c r="S1359" t="s">
        <v>63</v>
      </c>
      <c r="T1359" s="5">
        <v>55150</v>
      </c>
      <c r="U1359" s="6">
        <v>5</v>
      </c>
      <c r="V1359" t="s">
        <v>77</v>
      </c>
      <c r="W1359" s="4">
        <v>46153</v>
      </c>
      <c r="X1359" t="s">
        <v>77</v>
      </c>
      <c r="Y1359" t="s">
        <v>64</v>
      </c>
      <c r="Z1359" t="s">
        <v>96</v>
      </c>
    </row>
    <row r="1360" spans="1:26">
      <c r="A1360" t="s">
        <v>2120</v>
      </c>
      <c r="B1360" t="s">
        <v>246</v>
      </c>
      <c r="C1360" s="4">
        <v>46071</v>
      </c>
      <c r="D1360" t="s">
        <v>89</v>
      </c>
      <c r="E1360" t="s">
        <v>70</v>
      </c>
      <c r="F1360" s="4">
        <v>46072</v>
      </c>
      <c r="G1360" s="4">
        <v>46075</v>
      </c>
      <c r="H1360" t="s">
        <v>111</v>
      </c>
      <c r="I1360" t="s">
        <v>112</v>
      </c>
      <c r="J1360" t="s">
        <v>117</v>
      </c>
      <c r="K1360" t="s">
        <v>93</v>
      </c>
      <c r="L1360" t="s">
        <v>74</v>
      </c>
      <c r="M1360" s="5">
        <v>6200</v>
      </c>
      <c r="N1360" s="5">
        <v>1050</v>
      </c>
      <c r="O1360" s="5">
        <v>850</v>
      </c>
      <c r="P1360" s="5">
        <v>13500</v>
      </c>
      <c r="Q1360" s="5">
        <v>22400</v>
      </c>
      <c r="R1360" t="s">
        <v>75</v>
      </c>
      <c r="S1360" t="s">
        <v>76</v>
      </c>
      <c r="T1360" s="5">
        <v>10380</v>
      </c>
      <c r="U1360" s="6">
        <v>4</v>
      </c>
      <c r="V1360" t="s">
        <v>77</v>
      </c>
      <c r="W1360" s="4">
        <v>46092</v>
      </c>
      <c r="X1360" t="s">
        <v>77</v>
      </c>
      <c r="Y1360" t="s">
        <v>64</v>
      </c>
      <c r="Z1360" t="s">
        <v>436</v>
      </c>
    </row>
    <row r="1361" spans="1:26">
      <c r="A1361" t="s">
        <v>2121</v>
      </c>
      <c r="B1361" t="s">
        <v>1179</v>
      </c>
      <c r="C1361" s="4">
        <v>46144</v>
      </c>
      <c r="D1361" t="s">
        <v>337</v>
      </c>
      <c r="E1361" t="s">
        <v>70</v>
      </c>
      <c r="F1361" s="4">
        <v>46144</v>
      </c>
      <c r="G1361" s="4">
        <v>46146</v>
      </c>
      <c r="H1361" t="s">
        <v>201</v>
      </c>
      <c r="I1361" t="s">
        <v>449</v>
      </c>
      <c r="J1361" t="s">
        <v>203</v>
      </c>
      <c r="K1361" t="s">
        <v>73</v>
      </c>
      <c r="L1361" t="s">
        <v>61</v>
      </c>
      <c r="M1361" s="5">
        <v>32800</v>
      </c>
      <c r="N1361" s="5">
        <v>4750</v>
      </c>
      <c r="O1361" s="5">
        <v>6550</v>
      </c>
      <c r="P1361" s="5">
        <v>12000</v>
      </c>
      <c r="Q1361" s="5">
        <v>56900</v>
      </c>
      <c r="R1361" t="s">
        <v>134</v>
      </c>
      <c r="S1361" t="s">
        <v>76</v>
      </c>
      <c r="T1361" s="5">
        <v>31500</v>
      </c>
      <c r="U1361" s="6">
        <v>2</v>
      </c>
      <c r="V1361" t="s">
        <v>77</v>
      </c>
      <c r="W1361" s="4">
        <v>46156</v>
      </c>
      <c r="X1361" t="s">
        <v>64</v>
      </c>
      <c r="Y1361" t="s">
        <v>64</v>
      </c>
      <c r="Z1361" t="s">
        <v>78</v>
      </c>
    </row>
    <row r="1362" spans="1:26">
      <c r="A1362" t="s">
        <v>2122</v>
      </c>
      <c r="B1362" t="s">
        <v>1011</v>
      </c>
      <c r="C1362" s="4">
        <v>46061</v>
      </c>
      <c r="D1362" t="s">
        <v>298</v>
      </c>
      <c r="E1362" t="s">
        <v>314</v>
      </c>
      <c r="F1362" s="4"/>
      <c r="G1362" s="4"/>
      <c r="H1362" t="s">
        <v>57</v>
      </c>
      <c r="I1362" t="s">
        <v>71</v>
      </c>
      <c r="J1362" t="s">
        <v>59</v>
      </c>
      <c r="K1362" t="s">
        <v>124</v>
      </c>
      <c r="L1362" t="s">
        <v>94</v>
      </c>
      <c r="M1362" s="5"/>
      <c r="N1362" s="5"/>
      <c r="O1362" s="5"/>
      <c r="P1362" s="5"/>
      <c r="Q1362" s="5"/>
      <c r="R1362" t="s">
        <v>75</v>
      </c>
      <c r="S1362" t="s">
        <v>63</v>
      </c>
      <c r="T1362" s="5"/>
      <c r="U1362" s="6"/>
      <c r="V1362" t="s">
        <v>64</v>
      </c>
      <c r="W1362" s="4"/>
      <c r="X1362" t="s">
        <v>65</v>
      </c>
      <c r="Z1362" t="s">
        <v>66</v>
      </c>
    </row>
    <row r="1363" spans="1:26">
      <c r="A1363" t="s">
        <v>2123</v>
      </c>
      <c r="B1363" t="s">
        <v>1743</v>
      </c>
      <c r="C1363" s="4">
        <v>46050</v>
      </c>
      <c r="D1363" t="s">
        <v>206</v>
      </c>
      <c r="E1363" t="s">
        <v>70</v>
      </c>
      <c r="F1363" s="4">
        <v>46050</v>
      </c>
      <c r="G1363" s="4">
        <v>46061</v>
      </c>
      <c r="H1363" t="s">
        <v>90</v>
      </c>
      <c r="I1363" t="s">
        <v>388</v>
      </c>
      <c r="J1363" t="s">
        <v>92</v>
      </c>
      <c r="K1363" t="s">
        <v>124</v>
      </c>
      <c r="L1363" t="s">
        <v>61</v>
      </c>
      <c r="M1363" s="5">
        <v>52900</v>
      </c>
      <c r="N1363" s="5">
        <v>9350</v>
      </c>
      <c r="O1363" s="5">
        <v>7300</v>
      </c>
      <c r="P1363" s="5">
        <v>49500</v>
      </c>
      <c r="Q1363" s="5">
        <v>120550</v>
      </c>
      <c r="R1363" t="s">
        <v>95</v>
      </c>
      <c r="S1363" t="s">
        <v>63</v>
      </c>
      <c r="T1363" s="5">
        <v>120550</v>
      </c>
      <c r="U1363" s="6">
        <v>2</v>
      </c>
      <c r="V1363" t="s">
        <v>64</v>
      </c>
      <c r="W1363" s="4"/>
      <c r="X1363" t="s">
        <v>65</v>
      </c>
      <c r="Y1363" t="s">
        <v>64</v>
      </c>
      <c r="Z1363" t="s">
        <v>107</v>
      </c>
    </row>
    <row r="1364" spans="1:26">
      <c r="A1364" t="s">
        <v>2124</v>
      </c>
      <c r="B1364" t="s">
        <v>2047</v>
      </c>
      <c r="C1364" s="4">
        <v>46156</v>
      </c>
      <c r="D1364" t="s">
        <v>120</v>
      </c>
      <c r="E1364" t="s">
        <v>70</v>
      </c>
      <c r="F1364" s="4">
        <v>46156</v>
      </c>
      <c r="G1364" s="4">
        <v>46157</v>
      </c>
      <c r="H1364" t="s">
        <v>90</v>
      </c>
      <c r="I1364" t="s">
        <v>388</v>
      </c>
      <c r="J1364" t="s">
        <v>197</v>
      </c>
      <c r="K1364" t="s">
        <v>124</v>
      </c>
      <c r="L1364" t="s">
        <v>94</v>
      </c>
      <c r="M1364" s="5">
        <v>22500</v>
      </c>
      <c r="N1364" s="5">
        <v>1900</v>
      </c>
      <c r="O1364" s="5">
        <v>2650</v>
      </c>
      <c r="P1364" s="5">
        <v>2500</v>
      </c>
      <c r="Q1364" s="5">
        <v>31050</v>
      </c>
      <c r="R1364" t="s">
        <v>75</v>
      </c>
      <c r="S1364" t="s">
        <v>76</v>
      </c>
      <c r="T1364" s="5">
        <v>14270</v>
      </c>
      <c r="U1364" s="6">
        <v>4</v>
      </c>
      <c r="V1364" t="s">
        <v>64</v>
      </c>
      <c r="W1364" s="4"/>
      <c r="X1364" t="s">
        <v>65</v>
      </c>
      <c r="Y1364" t="s">
        <v>64</v>
      </c>
      <c r="Z1364" t="s">
        <v>107</v>
      </c>
    </row>
    <row r="1365" spans="1:26">
      <c r="A1365" t="s">
        <v>2125</v>
      </c>
      <c r="B1365" t="s">
        <v>2126</v>
      </c>
      <c r="C1365" s="4">
        <v>46155</v>
      </c>
      <c r="D1365" t="s">
        <v>439</v>
      </c>
      <c r="E1365" t="s">
        <v>70</v>
      </c>
      <c r="F1365" s="4">
        <v>46155</v>
      </c>
      <c r="G1365" s="4">
        <v>46165</v>
      </c>
      <c r="H1365" t="s">
        <v>111</v>
      </c>
      <c r="I1365" t="s">
        <v>116</v>
      </c>
      <c r="J1365" t="s">
        <v>384</v>
      </c>
      <c r="K1365" t="s">
        <v>93</v>
      </c>
      <c r="L1365" t="s">
        <v>94</v>
      </c>
      <c r="M1365" s="5">
        <v>58600</v>
      </c>
      <c r="N1365" s="5">
        <v>6450</v>
      </c>
      <c r="O1365" s="5">
        <v>6050</v>
      </c>
      <c r="P1365" s="5">
        <v>30000</v>
      </c>
      <c r="Q1365" s="5">
        <v>101900</v>
      </c>
      <c r="R1365" t="s">
        <v>134</v>
      </c>
      <c r="S1365" t="s">
        <v>76</v>
      </c>
      <c r="T1365" s="5">
        <v>56250</v>
      </c>
      <c r="U1365" s="6">
        <v>3</v>
      </c>
      <c r="V1365" t="s">
        <v>64</v>
      </c>
      <c r="W1365" s="4"/>
      <c r="X1365" t="s">
        <v>65</v>
      </c>
      <c r="Y1365" t="s">
        <v>64</v>
      </c>
      <c r="Z1365" t="s">
        <v>107</v>
      </c>
    </row>
    <row r="1366" spans="1:26">
      <c r="A1366" t="s">
        <v>2127</v>
      </c>
      <c r="B1366" t="s">
        <v>1044</v>
      </c>
      <c r="C1366" s="4">
        <v>46124</v>
      </c>
      <c r="D1366" t="s">
        <v>217</v>
      </c>
      <c r="E1366" t="s">
        <v>70</v>
      </c>
      <c r="F1366" s="4">
        <v>46124</v>
      </c>
      <c r="G1366" s="4">
        <v>46124</v>
      </c>
      <c r="H1366" t="s">
        <v>103</v>
      </c>
      <c r="I1366" t="s">
        <v>104</v>
      </c>
      <c r="J1366" t="s">
        <v>145</v>
      </c>
      <c r="K1366" t="s">
        <v>124</v>
      </c>
      <c r="L1366" t="s">
        <v>94</v>
      </c>
      <c r="M1366" s="5">
        <v>26800</v>
      </c>
      <c r="N1366" s="5">
        <v>2350</v>
      </c>
      <c r="O1366" s="5">
        <v>3350</v>
      </c>
      <c r="P1366" s="5">
        <v>0</v>
      </c>
      <c r="Q1366" s="5">
        <v>34300</v>
      </c>
      <c r="R1366" t="s">
        <v>75</v>
      </c>
      <c r="S1366" t="s">
        <v>76</v>
      </c>
      <c r="T1366" s="5">
        <v>15730</v>
      </c>
      <c r="U1366" s="6">
        <v>5</v>
      </c>
      <c r="V1366" t="s">
        <v>77</v>
      </c>
      <c r="W1366" s="4">
        <v>46134</v>
      </c>
      <c r="X1366" t="s">
        <v>77</v>
      </c>
      <c r="Y1366" t="s">
        <v>64</v>
      </c>
      <c r="Z1366" t="s">
        <v>436</v>
      </c>
    </row>
    <row r="1367" spans="1:26">
      <c r="A1367" t="s">
        <v>2128</v>
      </c>
      <c r="B1367" t="s">
        <v>1412</v>
      </c>
      <c r="C1367" s="4">
        <v>46154</v>
      </c>
      <c r="D1367" t="s">
        <v>330</v>
      </c>
      <c r="E1367" t="s">
        <v>70</v>
      </c>
      <c r="F1367" s="4">
        <v>46154</v>
      </c>
      <c r="G1367" s="4">
        <v>46160</v>
      </c>
      <c r="H1367" t="s">
        <v>178</v>
      </c>
      <c r="I1367" t="s">
        <v>622</v>
      </c>
      <c r="J1367" t="s">
        <v>180</v>
      </c>
      <c r="K1367" t="s">
        <v>73</v>
      </c>
      <c r="L1367" t="s">
        <v>94</v>
      </c>
      <c r="M1367" s="5">
        <v>68200</v>
      </c>
      <c r="N1367" s="5">
        <v>10600</v>
      </c>
      <c r="O1367" s="5">
        <v>9800</v>
      </c>
      <c r="P1367" s="5">
        <v>15000</v>
      </c>
      <c r="Q1367" s="5">
        <v>105100</v>
      </c>
      <c r="R1367" t="s">
        <v>106</v>
      </c>
      <c r="S1367" t="s">
        <v>76</v>
      </c>
      <c r="T1367" s="5">
        <v>37480</v>
      </c>
      <c r="U1367" s="6">
        <v>4</v>
      </c>
      <c r="V1367" t="s">
        <v>77</v>
      </c>
      <c r="W1367" s="4">
        <v>46169</v>
      </c>
      <c r="X1367" t="s">
        <v>64</v>
      </c>
      <c r="Y1367" t="s">
        <v>64</v>
      </c>
      <c r="Z1367" t="s">
        <v>96</v>
      </c>
    </row>
    <row r="1368" spans="1:26">
      <c r="A1368" t="s">
        <v>2129</v>
      </c>
      <c r="B1368" t="s">
        <v>706</v>
      </c>
      <c r="C1368" s="4">
        <v>46092</v>
      </c>
      <c r="D1368" t="s">
        <v>284</v>
      </c>
      <c r="E1368" t="s">
        <v>70</v>
      </c>
      <c r="F1368" s="4">
        <v>46092</v>
      </c>
      <c r="G1368" s="4">
        <v>46092</v>
      </c>
      <c r="H1368" t="s">
        <v>138</v>
      </c>
      <c r="I1368" t="s">
        <v>260</v>
      </c>
      <c r="J1368" t="s">
        <v>140</v>
      </c>
      <c r="K1368" t="s">
        <v>60</v>
      </c>
      <c r="L1368" t="s">
        <v>61</v>
      </c>
      <c r="M1368" s="5">
        <v>17400</v>
      </c>
      <c r="N1368" s="5">
        <v>3000</v>
      </c>
      <c r="O1368" s="5">
        <v>2700</v>
      </c>
      <c r="P1368" s="5">
        <v>0</v>
      </c>
      <c r="Q1368" s="5">
        <v>25600</v>
      </c>
      <c r="R1368" t="s">
        <v>106</v>
      </c>
      <c r="S1368" t="s">
        <v>76</v>
      </c>
      <c r="T1368" s="5">
        <v>9660</v>
      </c>
      <c r="U1368" s="6">
        <v>5</v>
      </c>
      <c r="V1368" t="s">
        <v>77</v>
      </c>
      <c r="W1368" s="4">
        <v>46110</v>
      </c>
      <c r="X1368" t="s">
        <v>77</v>
      </c>
      <c r="Y1368" t="s">
        <v>64</v>
      </c>
      <c r="Z1368" t="s">
        <v>96</v>
      </c>
    </row>
    <row r="1369" spans="1:26">
      <c r="A1369" t="s">
        <v>2130</v>
      </c>
      <c r="B1369" t="s">
        <v>1110</v>
      </c>
      <c r="C1369" s="4">
        <v>46059</v>
      </c>
      <c r="D1369" t="s">
        <v>383</v>
      </c>
      <c r="E1369" t="s">
        <v>70</v>
      </c>
      <c r="F1369" s="4">
        <v>46059</v>
      </c>
      <c r="G1369" s="4">
        <v>46065</v>
      </c>
      <c r="H1369" t="s">
        <v>103</v>
      </c>
      <c r="I1369" t="s">
        <v>364</v>
      </c>
      <c r="J1369" t="s">
        <v>105</v>
      </c>
      <c r="K1369" t="s">
        <v>93</v>
      </c>
      <c r="L1369" t="s">
        <v>61</v>
      </c>
      <c r="M1369" s="5">
        <v>47300</v>
      </c>
      <c r="N1369" s="5">
        <v>5600</v>
      </c>
      <c r="O1369" s="5">
        <v>6100</v>
      </c>
      <c r="P1369" s="5">
        <v>21000</v>
      </c>
      <c r="Q1369" s="5">
        <v>80800</v>
      </c>
      <c r="R1369" t="s">
        <v>85</v>
      </c>
      <c r="S1369" t="s">
        <v>76</v>
      </c>
      <c r="T1369" s="5">
        <v>21100</v>
      </c>
      <c r="U1369" s="6">
        <v>4</v>
      </c>
      <c r="V1369" t="s">
        <v>64</v>
      </c>
      <c r="W1369" s="4"/>
      <c r="X1369" t="s">
        <v>65</v>
      </c>
      <c r="Y1369" t="s">
        <v>64</v>
      </c>
      <c r="Z1369" t="s">
        <v>96</v>
      </c>
    </row>
    <row r="1370" spans="1:26">
      <c r="A1370" t="s">
        <v>2131</v>
      </c>
      <c r="B1370" t="s">
        <v>495</v>
      </c>
      <c r="C1370" s="4">
        <v>46159</v>
      </c>
      <c r="D1370" t="s">
        <v>210</v>
      </c>
      <c r="E1370" t="s">
        <v>177</v>
      </c>
      <c r="F1370" s="4"/>
      <c r="G1370" s="4"/>
      <c r="H1370" t="s">
        <v>201</v>
      </c>
      <c r="I1370" t="s">
        <v>421</v>
      </c>
      <c r="J1370" t="s">
        <v>203</v>
      </c>
      <c r="K1370" t="s">
        <v>124</v>
      </c>
      <c r="L1370" t="s">
        <v>94</v>
      </c>
      <c r="M1370" s="5"/>
      <c r="N1370" s="5"/>
      <c r="O1370" s="5"/>
      <c r="P1370" s="5"/>
      <c r="Q1370" s="5"/>
      <c r="R1370" t="s">
        <v>62</v>
      </c>
      <c r="S1370" t="s">
        <v>63</v>
      </c>
      <c r="T1370" s="5"/>
      <c r="U1370" s="6"/>
      <c r="V1370" t="s">
        <v>64</v>
      </c>
      <c r="W1370" s="4"/>
      <c r="X1370" t="s">
        <v>65</v>
      </c>
      <c r="Z1370" t="s">
        <v>66</v>
      </c>
    </row>
    <row r="1371" spans="1:26">
      <c r="A1371" t="s">
        <v>2132</v>
      </c>
      <c r="B1371" t="s">
        <v>907</v>
      </c>
      <c r="C1371" s="4">
        <v>46154</v>
      </c>
      <c r="D1371" t="s">
        <v>225</v>
      </c>
      <c r="E1371" t="s">
        <v>314</v>
      </c>
      <c r="F1371" s="4"/>
      <c r="G1371" s="4"/>
      <c r="H1371" t="s">
        <v>90</v>
      </c>
      <c r="I1371" t="s">
        <v>91</v>
      </c>
      <c r="J1371" t="s">
        <v>129</v>
      </c>
      <c r="K1371" t="s">
        <v>73</v>
      </c>
      <c r="L1371" t="s">
        <v>61</v>
      </c>
      <c r="M1371" s="5"/>
      <c r="N1371" s="5"/>
      <c r="O1371" s="5"/>
      <c r="P1371" s="5"/>
      <c r="Q1371" s="5"/>
      <c r="R1371" t="s">
        <v>106</v>
      </c>
      <c r="S1371" t="s">
        <v>63</v>
      </c>
      <c r="T1371" s="5"/>
      <c r="U1371" s="6"/>
      <c r="V1371" t="s">
        <v>64</v>
      </c>
      <c r="W1371" s="4"/>
      <c r="X1371" t="s">
        <v>65</v>
      </c>
      <c r="Z1371" t="s">
        <v>66</v>
      </c>
    </row>
    <row r="1372" spans="1:26">
      <c r="A1372" t="s">
        <v>2133</v>
      </c>
      <c r="B1372" t="s">
        <v>2134</v>
      </c>
      <c r="C1372" s="4">
        <v>46057</v>
      </c>
      <c r="D1372" t="s">
        <v>250</v>
      </c>
      <c r="E1372" t="s">
        <v>70</v>
      </c>
      <c r="F1372" s="4">
        <v>46057</v>
      </c>
      <c r="G1372" s="4">
        <v>46058</v>
      </c>
      <c r="H1372" t="s">
        <v>111</v>
      </c>
      <c r="I1372" t="s">
        <v>267</v>
      </c>
      <c r="J1372" t="s">
        <v>117</v>
      </c>
      <c r="K1372" t="s">
        <v>60</v>
      </c>
      <c r="L1372" t="s">
        <v>74</v>
      </c>
      <c r="M1372" s="5">
        <v>5300</v>
      </c>
      <c r="N1372" s="5">
        <v>550</v>
      </c>
      <c r="O1372" s="5">
        <v>600</v>
      </c>
      <c r="P1372" s="5">
        <v>3000</v>
      </c>
      <c r="Q1372" s="5">
        <v>10650</v>
      </c>
      <c r="R1372" t="s">
        <v>75</v>
      </c>
      <c r="S1372" t="s">
        <v>76</v>
      </c>
      <c r="T1372" s="5">
        <v>5090</v>
      </c>
      <c r="U1372" s="6">
        <v>5</v>
      </c>
      <c r="V1372" t="s">
        <v>64</v>
      </c>
      <c r="W1372" s="4"/>
      <c r="X1372" t="s">
        <v>65</v>
      </c>
      <c r="Y1372" t="s">
        <v>64</v>
      </c>
      <c r="Z1372" t="s">
        <v>107</v>
      </c>
    </row>
    <row r="1373" spans="1:26">
      <c r="A1373" t="s">
        <v>2135</v>
      </c>
      <c r="B1373" t="s">
        <v>429</v>
      </c>
      <c r="C1373" s="4">
        <v>46088</v>
      </c>
      <c r="D1373" t="s">
        <v>266</v>
      </c>
      <c r="E1373" t="s">
        <v>70</v>
      </c>
      <c r="F1373" s="4">
        <v>46088</v>
      </c>
      <c r="G1373" s="4">
        <v>46096</v>
      </c>
      <c r="H1373" t="s">
        <v>178</v>
      </c>
      <c r="I1373" t="s">
        <v>622</v>
      </c>
      <c r="J1373" t="s">
        <v>358</v>
      </c>
      <c r="K1373" t="s">
        <v>93</v>
      </c>
      <c r="L1373" t="s">
        <v>94</v>
      </c>
      <c r="M1373" s="5">
        <v>51900</v>
      </c>
      <c r="N1373" s="5">
        <v>4450</v>
      </c>
      <c r="O1373" s="5">
        <v>5200</v>
      </c>
      <c r="P1373" s="5">
        <v>24000</v>
      </c>
      <c r="Q1373" s="5">
        <v>87050</v>
      </c>
      <c r="R1373" t="s">
        <v>141</v>
      </c>
      <c r="S1373" t="s">
        <v>76</v>
      </c>
      <c r="T1373" s="5">
        <v>14260</v>
      </c>
      <c r="U1373" s="6">
        <v>1</v>
      </c>
      <c r="V1373" t="s">
        <v>77</v>
      </c>
      <c r="W1373" s="4">
        <v>46111</v>
      </c>
      <c r="X1373" t="s">
        <v>77</v>
      </c>
      <c r="Y1373" t="s">
        <v>77</v>
      </c>
      <c r="Z1373" t="s">
        <v>78</v>
      </c>
    </row>
    <row r="1374" spans="1:26">
      <c r="A1374" t="s">
        <v>2136</v>
      </c>
      <c r="B1374" t="s">
        <v>941</v>
      </c>
      <c r="C1374" s="4">
        <v>46095</v>
      </c>
      <c r="D1374" t="s">
        <v>298</v>
      </c>
      <c r="E1374" t="s">
        <v>70</v>
      </c>
      <c r="F1374" s="4">
        <v>46095</v>
      </c>
      <c r="G1374" s="4">
        <v>46097</v>
      </c>
      <c r="H1374" t="s">
        <v>111</v>
      </c>
      <c r="I1374" t="s">
        <v>116</v>
      </c>
      <c r="J1374" t="s">
        <v>117</v>
      </c>
      <c r="K1374" t="s">
        <v>73</v>
      </c>
      <c r="L1374" t="s">
        <v>146</v>
      </c>
      <c r="M1374" s="5">
        <v>7100</v>
      </c>
      <c r="N1374" s="5">
        <v>900</v>
      </c>
      <c r="O1374" s="5">
        <v>1200</v>
      </c>
      <c r="P1374" s="5">
        <v>6000</v>
      </c>
      <c r="Q1374" s="5">
        <v>16000</v>
      </c>
      <c r="R1374" t="s">
        <v>141</v>
      </c>
      <c r="S1374" t="s">
        <v>76</v>
      </c>
      <c r="T1374" s="5">
        <v>3600</v>
      </c>
      <c r="U1374" s="6">
        <v>4</v>
      </c>
      <c r="V1374" t="s">
        <v>64</v>
      </c>
      <c r="W1374" s="4"/>
      <c r="X1374" t="s">
        <v>65</v>
      </c>
      <c r="Y1374" t="s">
        <v>64</v>
      </c>
      <c r="Z1374" t="s">
        <v>78</v>
      </c>
    </row>
    <row r="1375" spans="1:26">
      <c r="A1375" t="s">
        <v>2137</v>
      </c>
      <c r="B1375" t="s">
        <v>451</v>
      </c>
      <c r="C1375" s="4">
        <v>46157</v>
      </c>
      <c r="D1375" t="s">
        <v>55</v>
      </c>
      <c r="E1375" t="s">
        <v>177</v>
      </c>
      <c r="F1375" s="4"/>
      <c r="G1375" s="4"/>
      <c r="H1375" t="s">
        <v>201</v>
      </c>
      <c r="I1375" t="s">
        <v>327</v>
      </c>
      <c r="J1375" t="s">
        <v>295</v>
      </c>
      <c r="K1375" t="s">
        <v>124</v>
      </c>
      <c r="L1375" t="s">
        <v>74</v>
      </c>
      <c r="M1375" s="5"/>
      <c r="N1375" s="5"/>
      <c r="O1375" s="5"/>
      <c r="P1375" s="5"/>
      <c r="Q1375" s="5"/>
      <c r="R1375" t="s">
        <v>95</v>
      </c>
      <c r="S1375" t="s">
        <v>63</v>
      </c>
      <c r="T1375" s="5"/>
      <c r="U1375" s="6"/>
      <c r="V1375" t="s">
        <v>64</v>
      </c>
      <c r="W1375" s="4"/>
      <c r="X1375" t="s">
        <v>65</v>
      </c>
      <c r="Z1375" t="s">
        <v>66</v>
      </c>
    </row>
    <row r="1376" spans="1:26">
      <c r="A1376" t="s">
        <v>2138</v>
      </c>
      <c r="B1376" t="s">
        <v>1123</v>
      </c>
      <c r="C1376" s="4">
        <v>46148</v>
      </c>
      <c r="D1376" t="s">
        <v>337</v>
      </c>
      <c r="E1376" t="s">
        <v>70</v>
      </c>
      <c r="F1376" s="4">
        <v>46148</v>
      </c>
      <c r="G1376" s="4">
        <v>46154</v>
      </c>
      <c r="H1376" t="s">
        <v>57</v>
      </c>
      <c r="I1376" t="s">
        <v>211</v>
      </c>
      <c r="J1376" t="s">
        <v>170</v>
      </c>
      <c r="K1376" t="s">
        <v>124</v>
      </c>
      <c r="L1376" t="s">
        <v>94</v>
      </c>
      <c r="M1376" s="5">
        <v>81600</v>
      </c>
      <c r="N1376" s="5">
        <v>11650</v>
      </c>
      <c r="O1376" s="5">
        <v>19000</v>
      </c>
      <c r="P1376" s="5">
        <v>36000</v>
      </c>
      <c r="Q1376" s="5">
        <v>150250</v>
      </c>
      <c r="R1376" t="s">
        <v>106</v>
      </c>
      <c r="S1376" t="s">
        <v>76</v>
      </c>
      <c r="T1376" s="5">
        <v>53290</v>
      </c>
      <c r="U1376" s="6">
        <v>5</v>
      </c>
      <c r="V1376" t="s">
        <v>77</v>
      </c>
      <c r="W1376" s="4">
        <v>46173</v>
      </c>
      <c r="X1376" t="s">
        <v>77</v>
      </c>
      <c r="Y1376" t="s">
        <v>64</v>
      </c>
      <c r="Z1376" t="s">
        <v>78</v>
      </c>
    </row>
    <row r="1377" spans="1:26">
      <c r="A1377" t="s">
        <v>2139</v>
      </c>
      <c r="B1377" t="s">
        <v>2140</v>
      </c>
      <c r="C1377" s="4">
        <v>46036</v>
      </c>
      <c r="D1377" t="s">
        <v>259</v>
      </c>
      <c r="E1377" t="s">
        <v>70</v>
      </c>
      <c r="F1377" s="4">
        <v>46037</v>
      </c>
      <c r="G1377" s="4">
        <v>46037</v>
      </c>
      <c r="H1377" t="s">
        <v>121</v>
      </c>
      <c r="I1377" t="s">
        <v>122</v>
      </c>
      <c r="J1377" t="s">
        <v>123</v>
      </c>
      <c r="K1377" t="s">
        <v>60</v>
      </c>
      <c r="L1377" t="s">
        <v>74</v>
      </c>
      <c r="M1377" s="5">
        <v>36200</v>
      </c>
      <c r="N1377" s="5">
        <v>5300</v>
      </c>
      <c r="O1377" s="5">
        <v>4000</v>
      </c>
      <c r="P1377" s="5">
        <v>0</v>
      </c>
      <c r="Q1377" s="5">
        <v>46500</v>
      </c>
      <c r="R1377" t="s">
        <v>134</v>
      </c>
      <c r="S1377" t="s">
        <v>76</v>
      </c>
      <c r="T1377" s="5">
        <v>25780</v>
      </c>
      <c r="U1377" s="6">
        <v>3</v>
      </c>
      <c r="V1377" t="s">
        <v>77</v>
      </c>
      <c r="W1377" s="4">
        <v>46050</v>
      </c>
      <c r="X1377" t="s">
        <v>64</v>
      </c>
      <c r="Y1377" t="s">
        <v>77</v>
      </c>
      <c r="Z1377" t="s">
        <v>96</v>
      </c>
    </row>
    <row r="1378" spans="1:26">
      <c r="A1378" t="s">
        <v>2141</v>
      </c>
      <c r="B1378" t="s">
        <v>926</v>
      </c>
      <c r="C1378" s="4">
        <v>46052</v>
      </c>
      <c r="D1378" t="s">
        <v>337</v>
      </c>
      <c r="E1378" t="s">
        <v>70</v>
      </c>
      <c r="F1378" s="4">
        <v>46052</v>
      </c>
      <c r="G1378" s="4">
        <v>46053</v>
      </c>
      <c r="H1378" t="s">
        <v>121</v>
      </c>
      <c r="I1378" t="s">
        <v>386</v>
      </c>
      <c r="J1378" t="s">
        <v>256</v>
      </c>
      <c r="K1378" t="s">
        <v>60</v>
      </c>
      <c r="L1378" t="s">
        <v>146</v>
      </c>
      <c r="M1378" s="5">
        <v>12300</v>
      </c>
      <c r="N1378" s="5">
        <v>1750</v>
      </c>
      <c r="O1378" s="5">
        <v>2100</v>
      </c>
      <c r="P1378" s="5">
        <v>4500</v>
      </c>
      <c r="Q1378" s="5">
        <v>23150</v>
      </c>
      <c r="R1378" t="s">
        <v>141</v>
      </c>
      <c r="S1378" t="s">
        <v>76</v>
      </c>
      <c r="T1378" s="5">
        <v>4670</v>
      </c>
      <c r="U1378" s="6">
        <v>5</v>
      </c>
      <c r="V1378" t="s">
        <v>64</v>
      </c>
      <c r="W1378" s="4"/>
      <c r="X1378" t="s">
        <v>65</v>
      </c>
      <c r="Y1378" t="s">
        <v>64</v>
      </c>
      <c r="Z1378" t="s">
        <v>107</v>
      </c>
    </row>
    <row r="1379" spans="1:26">
      <c r="A1379" t="s">
        <v>2142</v>
      </c>
      <c r="B1379" t="s">
        <v>642</v>
      </c>
      <c r="C1379" s="4">
        <v>46044</v>
      </c>
      <c r="D1379" t="s">
        <v>307</v>
      </c>
      <c r="E1379" t="s">
        <v>314</v>
      </c>
      <c r="F1379" s="4"/>
      <c r="G1379" s="4"/>
      <c r="H1379" t="s">
        <v>57</v>
      </c>
      <c r="I1379" t="s">
        <v>211</v>
      </c>
      <c r="J1379" t="s">
        <v>72</v>
      </c>
      <c r="K1379" t="s">
        <v>60</v>
      </c>
      <c r="L1379" t="s">
        <v>94</v>
      </c>
      <c r="M1379" s="5"/>
      <c r="N1379" s="5"/>
      <c r="O1379" s="5"/>
      <c r="P1379" s="5"/>
      <c r="Q1379" s="5"/>
      <c r="R1379" t="s">
        <v>62</v>
      </c>
      <c r="S1379" t="s">
        <v>63</v>
      </c>
      <c r="T1379" s="5"/>
      <c r="U1379" s="6"/>
      <c r="V1379" t="s">
        <v>64</v>
      </c>
      <c r="W1379" s="4"/>
      <c r="X1379" t="s">
        <v>65</v>
      </c>
      <c r="Z1379" t="s">
        <v>66</v>
      </c>
    </row>
    <row r="1380" spans="1:26">
      <c r="A1380" t="s">
        <v>2143</v>
      </c>
      <c r="B1380" t="s">
        <v>476</v>
      </c>
      <c r="C1380" s="4">
        <v>46047</v>
      </c>
      <c r="D1380" t="s">
        <v>161</v>
      </c>
      <c r="E1380" t="s">
        <v>70</v>
      </c>
      <c r="F1380" s="4">
        <v>46047</v>
      </c>
      <c r="G1380" s="4">
        <v>46047</v>
      </c>
      <c r="H1380" t="s">
        <v>90</v>
      </c>
      <c r="I1380" t="s">
        <v>388</v>
      </c>
      <c r="J1380" t="s">
        <v>92</v>
      </c>
      <c r="K1380" t="s">
        <v>60</v>
      </c>
      <c r="L1380" t="s">
        <v>74</v>
      </c>
      <c r="M1380" s="5">
        <v>45600</v>
      </c>
      <c r="N1380" s="5">
        <v>7600</v>
      </c>
      <c r="O1380" s="5">
        <v>9800</v>
      </c>
      <c r="P1380" s="5">
        <v>0</v>
      </c>
      <c r="Q1380" s="5">
        <v>64500</v>
      </c>
      <c r="R1380" t="s">
        <v>95</v>
      </c>
      <c r="S1380" t="s">
        <v>63</v>
      </c>
      <c r="T1380" s="5">
        <v>64500</v>
      </c>
      <c r="U1380" s="6">
        <v>4</v>
      </c>
      <c r="V1380" t="s">
        <v>77</v>
      </c>
      <c r="W1380" s="4">
        <v>46060</v>
      </c>
      <c r="X1380" t="s">
        <v>77</v>
      </c>
      <c r="Y1380" t="s">
        <v>64</v>
      </c>
      <c r="Z1380" t="s">
        <v>96</v>
      </c>
    </row>
    <row r="1381" spans="1:26">
      <c r="A1381" t="s">
        <v>2144</v>
      </c>
      <c r="B1381" t="s">
        <v>1889</v>
      </c>
      <c r="C1381" s="4">
        <v>46063</v>
      </c>
      <c r="D1381" t="s">
        <v>110</v>
      </c>
      <c r="E1381" t="s">
        <v>314</v>
      </c>
      <c r="F1381" s="4"/>
      <c r="G1381" s="4"/>
      <c r="H1381" t="s">
        <v>150</v>
      </c>
      <c r="I1381" t="s">
        <v>187</v>
      </c>
      <c r="J1381" t="s">
        <v>188</v>
      </c>
      <c r="K1381" t="s">
        <v>60</v>
      </c>
      <c r="L1381" t="s">
        <v>146</v>
      </c>
      <c r="M1381" s="5"/>
      <c r="N1381" s="5"/>
      <c r="O1381" s="5"/>
      <c r="P1381" s="5"/>
      <c r="Q1381" s="5"/>
      <c r="R1381" t="s">
        <v>62</v>
      </c>
      <c r="S1381" t="s">
        <v>63</v>
      </c>
      <c r="T1381" s="5"/>
      <c r="U1381" s="6"/>
      <c r="V1381" t="s">
        <v>64</v>
      </c>
      <c r="W1381" s="4"/>
      <c r="X1381" t="s">
        <v>65</v>
      </c>
      <c r="Z1381" t="s">
        <v>66</v>
      </c>
    </row>
    <row r="1382" spans="1:26">
      <c r="A1382" t="s">
        <v>2145</v>
      </c>
      <c r="B1382" t="s">
        <v>485</v>
      </c>
      <c r="C1382" s="4">
        <v>46055</v>
      </c>
      <c r="D1382" t="s">
        <v>144</v>
      </c>
      <c r="E1382" t="s">
        <v>191</v>
      </c>
      <c r="F1382" s="4"/>
      <c r="G1382" s="4"/>
      <c r="H1382" t="s">
        <v>138</v>
      </c>
      <c r="I1382" t="s">
        <v>139</v>
      </c>
      <c r="J1382" t="s">
        <v>140</v>
      </c>
      <c r="K1382" t="s">
        <v>93</v>
      </c>
      <c r="L1382" t="s">
        <v>74</v>
      </c>
      <c r="M1382" s="5"/>
      <c r="N1382" s="5"/>
      <c r="O1382" s="5"/>
      <c r="P1382" s="5"/>
      <c r="Q1382" s="5"/>
      <c r="R1382" t="s">
        <v>85</v>
      </c>
      <c r="S1382" t="s">
        <v>63</v>
      </c>
      <c r="T1382" s="5"/>
      <c r="U1382" s="6"/>
      <c r="V1382" t="s">
        <v>64</v>
      </c>
      <c r="W1382" s="4"/>
      <c r="X1382" t="s">
        <v>65</v>
      </c>
      <c r="Z1382" t="s">
        <v>66</v>
      </c>
    </row>
    <row r="1383" spans="1:26">
      <c r="A1383" t="s">
        <v>2146</v>
      </c>
      <c r="B1383" t="s">
        <v>1185</v>
      </c>
      <c r="C1383" s="4">
        <v>46107</v>
      </c>
      <c r="D1383" t="s">
        <v>330</v>
      </c>
      <c r="E1383" t="s">
        <v>70</v>
      </c>
      <c r="F1383" s="4">
        <v>46107</v>
      </c>
      <c r="G1383" s="4">
        <v>46114</v>
      </c>
      <c r="H1383" t="s">
        <v>138</v>
      </c>
      <c r="I1383" t="s">
        <v>260</v>
      </c>
      <c r="J1383" t="s">
        <v>236</v>
      </c>
      <c r="K1383" t="s">
        <v>124</v>
      </c>
      <c r="L1383" t="s">
        <v>61</v>
      </c>
      <c r="M1383" s="5">
        <v>42200</v>
      </c>
      <c r="N1383" s="5">
        <v>6250</v>
      </c>
      <c r="O1383" s="5">
        <v>8500</v>
      </c>
      <c r="P1383" s="5">
        <v>31500</v>
      </c>
      <c r="Q1383" s="5">
        <v>90950</v>
      </c>
      <c r="R1383" t="s">
        <v>141</v>
      </c>
      <c r="S1383" t="s">
        <v>76</v>
      </c>
      <c r="T1383" s="5">
        <v>14840</v>
      </c>
      <c r="U1383" s="6">
        <v>3</v>
      </c>
      <c r="V1383" t="s">
        <v>77</v>
      </c>
      <c r="W1383" s="4">
        <v>46134</v>
      </c>
      <c r="Y1383" t="s">
        <v>64</v>
      </c>
      <c r="Z1383" t="s">
        <v>78</v>
      </c>
    </row>
    <row r="1384" spans="1:26">
      <c r="A1384" t="s">
        <v>2147</v>
      </c>
      <c r="B1384" t="s">
        <v>68</v>
      </c>
      <c r="C1384" s="4">
        <v>46023</v>
      </c>
      <c r="D1384" t="s">
        <v>266</v>
      </c>
      <c r="E1384" t="s">
        <v>70</v>
      </c>
      <c r="F1384" s="4">
        <v>46023</v>
      </c>
      <c r="G1384" s="4">
        <v>46030</v>
      </c>
      <c r="H1384" t="s">
        <v>103</v>
      </c>
      <c r="I1384" t="s">
        <v>364</v>
      </c>
      <c r="J1384" t="s">
        <v>244</v>
      </c>
      <c r="K1384" t="s">
        <v>124</v>
      </c>
      <c r="L1384" t="s">
        <v>94</v>
      </c>
      <c r="M1384" s="5">
        <v>75000</v>
      </c>
      <c r="N1384" s="5">
        <v>10450</v>
      </c>
      <c r="O1384" s="5">
        <v>12900</v>
      </c>
      <c r="P1384" s="5">
        <v>24500</v>
      </c>
      <c r="Q1384" s="5">
        <v>123650</v>
      </c>
      <c r="R1384" t="s">
        <v>134</v>
      </c>
      <c r="S1384" t="s">
        <v>76</v>
      </c>
      <c r="T1384" s="5">
        <v>68210</v>
      </c>
      <c r="U1384" s="6">
        <v>4</v>
      </c>
      <c r="V1384" t="s">
        <v>77</v>
      </c>
      <c r="W1384" s="4">
        <v>46043</v>
      </c>
      <c r="X1384" t="s">
        <v>77</v>
      </c>
      <c r="Y1384" t="s">
        <v>64</v>
      </c>
      <c r="Z1384" t="s">
        <v>107</v>
      </c>
    </row>
    <row r="1385" spans="1:26">
      <c r="A1385" t="s">
        <v>2148</v>
      </c>
      <c r="B1385" t="s">
        <v>578</v>
      </c>
      <c r="C1385" s="4">
        <v>46117</v>
      </c>
      <c r="D1385" t="s">
        <v>183</v>
      </c>
      <c r="E1385" t="s">
        <v>70</v>
      </c>
      <c r="F1385" s="4">
        <v>46117</v>
      </c>
      <c r="G1385" s="4">
        <v>46122</v>
      </c>
      <c r="H1385" t="s">
        <v>90</v>
      </c>
      <c r="J1385" t="s">
        <v>129</v>
      </c>
      <c r="K1385" t="s">
        <v>124</v>
      </c>
      <c r="L1385" t="s">
        <v>94</v>
      </c>
      <c r="M1385" s="5">
        <v>52200</v>
      </c>
      <c r="N1385" s="5">
        <v>6200</v>
      </c>
      <c r="O1385" s="5">
        <v>12950</v>
      </c>
      <c r="P1385" s="5">
        <v>30000</v>
      </c>
      <c r="Q1385" s="5">
        <v>102550</v>
      </c>
      <c r="R1385" t="s">
        <v>106</v>
      </c>
      <c r="S1385" t="s">
        <v>76</v>
      </c>
      <c r="T1385" s="5">
        <v>36590</v>
      </c>
      <c r="U1385" s="6">
        <v>4</v>
      </c>
      <c r="V1385" t="s">
        <v>77</v>
      </c>
      <c r="W1385" s="4">
        <v>46137</v>
      </c>
      <c r="X1385" t="s">
        <v>77</v>
      </c>
      <c r="Y1385" t="s">
        <v>64</v>
      </c>
      <c r="Z1385" t="s">
        <v>96</v>
      </c>
    </row>
    <row r="1386" spans="1:26">
      <c r="A1386" t="s">
        <v>2149</v>
      </c>
      <c r="B1386" t="s">
        <v>591</v>
      </c>
      <c r="C1386" s="4">
        <v>46156</v>
      </c>
      <c r="D1386" t="s">
        <v>210</v>
      </c>
      <c r="E1386" t="s">
        <v>314</v>
      </c>
      <c r="F1386" s="4"/>
      <c r="G1386" s="4"/>
      <c r="H1386" t="s">
        <v>57</v>
      </c>
      <c r="I1386" t="s">
        <v>71</v>
      </c>
      <c r="J1386" t="s">
        <v>59</v>
      </c>
      <c r="K1386" t="s">
        <v>60</v>
      </c>
      <c r="L1386" t="s">
        <v>94</v>
      </c>
      <c r="M1386" s="5"/>
      <c r="N1386" s="5"/>
      <c r="O1386" s="5"/>
      <c r="P1386" s="5"/>
      <c r="Q1386" s="5"/>
      <c r="R1386" t="s">
        <v>62</v>
      </c>
      <c r="S1386" t="s">
        <v>63</v>
      </c>
      <c r="T1386" s="5"/>
      <c r="U1386" s="6"/>
      <c r="V1386" t="s">
        <v>64</v>
      </c>
      <c r="W1386" s="4"/>
      <c r="X1386" t="s">
        <v>65</v>
      </c>
      <c r="Z1386" t="s">
        <v>66</v>
      </c>
    </row>
    <row r="1387" spans="1:26">
      <c r="A1387" t="s">
        <v>2150</v>
      </c>
      <c r="B1387" t="s">
        <v>1418</v>
      </c>
      <c r="C1387" s="4">
        <v>46045</v>
      </c>
      <c r="D1387" t="s">
        <v>161</v>
      </c>
      <c r="E1387" t="s">
        <v>70</v>
      </c>
      <c r="F1387" s="4">
        <v>46046</v>
      </c>
      <c r="G1387" s="4">
        <v>46054</v>
      </c>
      <c r="H1387" t="s">
        <v>121</v>
      </c>
      <c r="I1387" t="s">
        <v>174</v>
      </c>
      <c r="J1387" t="s">
        <v>252</v>
      </c>
      <c r="K1387" t="s">
        <v>73</v>
      </c>
      <c r="L1387" t="s">
        <v>61</v>
      </c>
      <c r="M1387" s="5">
        <v>75600</v>
      </c>
      <c r="N1387" s="5">
        <v>8300</v>
      </c>
      <c r="O1387" s="5">
        <v>10100</v>
      </c>
      <c r="P1387" s="5">
        <v>20000</v>
      </c>
      <c r="Q1387" s="5">
        <v>115800</v>
      </c>
      <c r="R1387" t="s">
        <v>85</v>
      </c>
      <c r="S1387" t="s">
        <v>76</v>
      </c>
      <c r="T1387" s="5">
        <v>29850</v>
      </c>
      <c r="U1387" s="6">
        <v>4</v>
      </c>
      <c r="V1387" t="s">
        <v>77</v>
      </c>
      <c r="W1387" s="4">
        <v>46066</v>
      </c>
      <c r="X1387" t="s">
        <v>77</v>
      </c>
      <c r="Y1387" t="s">
        <v>64</v>
      </c>
      <c r="Z1387" t="s">
        <v>96</v>
      </c>
    </row>
    <row r="1388" spans="1:26">
      <c r="A1388" t="s">
        <v>2151</v>
      </c>
      <c r="B1388" t="s">
        <v>274</v>
      </c>
      <c r="C1388" s="4">
        <v>46114</v>
      </c>
      <c r="D1388" t="s">
        <v>137</v>
      </c>
      <c r="E1388" t="s">
        <v>70</v>
      </c>
      <c r="F1388" s="4">
        <v>46114</v>
      </c>
      <c r="G1388" s="4">
        <v>46119</v>
      </c>
      <c r="H1388" t="s">
        <v>57</v>
      </c>
      <c r="I1388" t="s">
        <v>100</v>
      </c>
      <c r="J1388" t="s">
        <v>72</v>
      </c>
      <c r="K1388" t="s">
        <v>73</v>
      </c>
      <c r="L1388" t="s">
        <v>74</v>
      </c>
      <c r="M1388" s="5">
        <v>10300</v>
      </c>
      <c r="N1388" s="5">
        <v>1700</v>
      </c>
      <c r="O1388" s="5">
        <v>1800</v>
      </c>
      <c r="P1388" s="5">
        <v>12500</v>
      </c>
      <c r="Q1388" s="5">
        <v>28300</v>
      </c>
      <c r="R1388" t="s">
        <v>75</v>
      </c>
      <c r="S1388" t="s">
        <v>76</v>
      </c>
      <c r="T1388" s="5">
        <v>13030</v>
      </c>
      <c r="U1388" s="6">
        <v>2</v>
      </c>
      <c r="V1388" t="s">
        <v>77</v>
      </c>
      <c r="W1388" s="4">
        <v>46140</v>
      </c>
      <c r="X1388" t="s">
        <v>64</v>
      </c>
      <c r="Y1388" t="s">
        <v>64</v>
      </c>
      <c r="Z1388" t="s">
        <v>219</v>
      </c>
    </row>
    <row r="1389" spans="1:26">
      <c r="A1389" t="s">
        <v>2152</v>
      </c>
      <c r="B1389" t="s">
        <v>1978</v>
      </c>
      <c r="C1389" s="4">
        <v>46064</v>
      </c>
      <c r="D1389" t="s">
        <v>144</v>
      </c>
      <c r="E1389" t="s">
        <v>70</v>
      </c>
      <c r="F1389" s="4">
        <v>46065</v>
      </c>
      <c r="G1389" s="4">
        <v>46066</v>
      </c>
      <c r="H1389" t="s">
        <v>138</v>
      </c>
      <c r="I1389" t="s">
        <v>139</v>
      </c>
      <c r="J1389" t="s">
        <v>261</v>
      </c>
      <c r="K1389" t="s">
        <v>73</v>
      </c>
      <c r="L1389" t="s">
        <v>74</v>
      </c>
      <c r="M1389" s="5">
        <v>4900</v>
      </c>
      <c r="N1389" s="5">
        <v>700</v>
      </c>
      <c r="O1389" s="5">
        <v>1000</v>
      </c>
      <c r="P1389" s="5">
        <v>2500</v>
      </c>
      <c r="Q1389" s="5">
        <v>11100</v>
      </c>
      <c r="R1389" t="s">
        <v>141</v>
      </c>
      <c r="S1389" t="s">
        <v>163</v>
      </c>
      <c r="T1389" s="5">
        <v>2860</v>
      </c>
      <c r="U1389" s="6">
        <v>5</v>
      </c>
      <c r="V1389" t="s">
        <v>64</v>
      </c>
      <c r="W1389" s="4"/>
      <c r="X1389" t="s">
        <v>65</v>
      </c>
      <c r="Y1389" t="s">
        <v>64</v>
      </c>
      <c r="Z1389" t="s">
        <v>78</v>
      </c>
    </row>
    <row r="1390" spans="1:26">
      <c r="A1390" t="s">
        <v>2153</v>
      </c>
      <c r="B1390" t="s">
        <v>856</v>
      </c>
      <c r="C1390" s="4">
        <v>46055</v>
      </c>
      <c r="D1390" t="s">
        <v>279</v>
      </c>
      <c r="E1390" t="s">
        <v>70</v>
      </c>
      <c r="F1390" s="4">
        <v>46055</v>
      </c>
      <c r="G1390" s="4">
        <v>46056</v>
      </c>
      <c r="H1390" t="s">
        <v>90</v>
      </c>
      <c r="I1390" t="s">
        <v>299</v>
      </c>
      <c r="J1390" t="s">
        <v>197</v>
      </c>
      <c r="K1390" t="s">
        <v>124</v>
      </c>
      <c r="L1390" t="s">
        <v>61</v>
      </c>
      <c r="M1390" s="5">
        <v>19300</v>
      </c>
      <c r="N1390" s="5">
        <v>2650</v>
      </c>
      <c r="O1390" s="5">
        <v>3300</v>
      </c>
      <c r="P1390" s="5">
        <v>3500</v>
      </c>
      <c r="Q1390" s="5">
        <v>30250</v>
      </c>
      <c r="R1390" t="s">
        <v>141</v>
      </c>
      <c r="S1390" t="s">
        <v>76</v>
      </c>
      <c r="T1390" s="5">
        <v>5740</v>
      </c>
      <c r="U1390" s="6">
        <v>4</v>
      </c>
      <c r="V1390" t="s">
        <v>77</v>
      </c>
      <c r="W1390" s="4">
        <v>46075</v>
      </c>
      <c r="X1390" t="s">
        <v>77</v>
      </c>
      <c r="Y1390" t="s">
        <v>64</v>
      </c>
      <c r="Z1390" t="s">
        <v>78</v>
      </c>
    </row>
    <row r="1391" spans="1:26">
      <c r="A1391" t="s">
        <v>2154</v>
      </c>
      <c r="B1391" t="s">
        <v>1291</v>
      </c>
      <c r="C1391" s="4">
        <v>46118</v>
      </c>
      <c r="D1391" t="s">
        <v>294</v>
      </c>
      <c r="E1391" t="s">
        <v>314</v>
      </c>
      <c r="F1391" s="4"/>
      <c r="G1391" s="4"/>
      <c r="H1391" t="s">
        <v>82</v>
      </c>
      <c r="I1391" t="s">
        <v>272</v>
      </c>
      <c r="J1391" t="s">
        <v>156</v>
      </c>
      <c r="K1391" t="s">
        <v>73</v>
      </c>
      <c r="L1391" t="s">
        <v>94</v>
      </c>
      <c r="M1391" s="5"/>
      <c r="N1391" s="5"/>
      <c r="O1391" s="5"/>
      <c r="P1391" s="5"/>
      <c r="Q1391" s="5"/>
      <c r="R1391" t="s">
        <v>141</v>
      </c>
      <c r="S1391" t="s">
        <v>63</v>
      </c>
      <c r="T1391" s="5"/>
      <c r="U1391" s="6"/>
      <c r="V1391" t="s">
        <v>64</v>
      </c>
      <c r="W1391" s="4"/>
      <c r="X1391" t="s">
        <v>65</v>
      </c>
      <c r="Z1391" t="s">
        <v>66</v>
      </c>
    </row>
    <row r="1392" spans="1:26">
      <c r="A1392" t="s">
        <v>2155</v>
      </c>
      <c r="B1392" t="s">
        <v>635</v>
      </c>
      <c r="C1392" s="4">
        <v>46062</v>
      </c>
      <c r="D1392" t="s">
        <v>210</v>
      </c>
      <c r="E1392" t="s">
        <v>70</v>
      </c>
      <c r="F1392" s="4">
        <v>46063</v>
      </c>
      <c r="G1392" s="4">
        <v>46064</v>
      </c>
      <c r="H1392" t="s">
        <v>138</v>
      </c>
      <c r="I1392" t="s">
        <v>260</v>
      </c>
      <c r="J1392" t="s">
        <v>261</v>
      </c>
      <c r="K1392" t="s">
        <v>60</v>
      </c>
      <c r="L1392" t="s">
        <v>74</v>
      </c>
      <c r="M1392" s="5">
        <v>4600</v>
      </c>
      <c r="N1392" s="5">
        <v>750</v>
      </c>
      <c r="O1392" s="5">
        <v>550</v>
      </c>
      <c r="P1392" s="5">
        <v>3000</v>
      </c>
      <c r="Q1392" s="5">
        <v>11400</v>
      </c>
      <c r="R1392" t="s">
        <v>85</v>
      </c>
      <c r="S1392" t="s">
        <v>86</v>
      </c>
      <c r="T1392" s="5">
        <v>3750</v>
      </c>
      <c r="U1392" s="6">
        <v>5</v>
      </c>
      <c r="V1392" t="s">
        <v>77</v>
      </c>
      <c r="W1392" s="4">
        <v>46085</v>
      </c>
      <c r="X1392" t="s">
        <v>77</v>
      </c>
      <c r="Y1392" t="s">
        <v>64</v>
      </c>
      <c r="Z1392" t="s">
        <v>78</v>
      </c>
    </row>
    <row r="1393" spans="1:26">
      <c r="A1393" t="s">
        <v>2156</v>
      </c>
      <c r="B1393" t="s">
        <v>1076</v>
      </c>
      <c r="C1393" s="4">
        <v>46127</v>
      </c>
      <c r="D1393" t="s">
        <v>55</v>
      </c>
      <c r="E1393" t="s">
        <v>177</v>
      </c>
      <c r="F1393" s="4"/>
      <c r="G1393" s="4"/>
      <c r="H1393" t="s">
        <v>111</v>
      </c>
      <c r="I1393" t="s">
        <v>397</v>
      </c>
      <c r="J1393" t="s">
        <v>384</v>
      </c>
      <c r="K1393" t="s">
        <v>60</v>
      </c>
      <c r="L1393" t="s">
        <v>94</v>
      </c>
      <c r="M1393" s="5"/>
      <c r="N1393" s="5"/>
      <c r="O1393" s="5"/>
      <c r="P1393" s="5"/>
      <c r="Q1393" s="5"/>
      <c r="R1393" t="s">
        <v>134</v>
      </c>
      <c r="S1393" t="s">
        <v>63</v>
      </c>
      <c r="T1393" s="5"/>
      <c r="U1393" s="6"/>
      <c r="V1393" t="s">
        <v>64</v>
      </c>
      <c r="W1393" s="4"/>
      <c r="X1393" t="s">
        <v>65</v>
      </c>
      <c r="Z1393" t="s">
        <v>66</v>
      </c>
    </row>
    <row r="1394" spans="1:26">
      <c r="A1394" t="s">
        <v>2157</v>
      </c>
      <c r="B1394" t="s">
        <v>425</v>
      </c>
      <c r="C1394" s="4">
        <v>46115</v>
      </c>
      <c r="D1394" t="s">
        <v>168</v>
      </c>
      <c r="E1394" t="s">
        <v>70</v>
      </c>
      <c r="F1394" s="4">
        <v>46115</v>
      </c>
      <c r="G1394" s="4">
        <v>46115</v>
      </c>
      <c r="H1394" t="s">
        <v>111</v>
      </c>
      <c r="I1394" t="s">
        <v>355</v>
      </c>
      <c r="J1394" t="s">
        <v>113</v>
      </c>
      <c r="K1394" t="s">
        <v>60</v>
      </c>
      <c r="L1394" t="s">
        <v>74</v>
      </c>
      <c r="M1394" s="5">
        <v>30400</v>
      </c>
      <c r="N1394" s="5">
        <v>2800</v>
      </c>
      <c r="O1394" s="5">
        <v>5550</v>
      </c>
      <c r="P1394" s="5">
        <v>0</v>
      </c>
      <c r="Q1394" s="5">
        <v>40250</v>
      </c>
      <c r="R1394" t="s">
        <v>106</v>
      </c>
      <c r="S1394" t="s">
        <v>76</v>
      </c>
      <c r="T1394" s="5">
        <v>14790</v>
      </c>
      <c r="U1394" s="6">
        <v>4</v>
      </c>
      <c r="V1394" t="s">
        <v>64</v>
      </c>
      <c r="W1394" s="4"/>
      <c r="X1394" t="s">
        <v>65</v>
      </c>
      <c r="Y1394" t="s">
        <v>77</v>
      </c>
      <c r="Z1394" t="s">
        <v>96</v>
      </c>
    </row>
    <row r="1395" spans="1:26">
      <c r="A1395" t="s">
        <v>2158</v>
      </c>
      <c r="B1395" t="s">
        <v>627</v>
      </c>
      <c r="C1395" s="4">
        <v>46161</v>
      </c>
      <c r="D1395" t="s">
        <v>81</v>
      </c>
      <c r="E1395" t="s">
        <v>70</v>
      </c>
      <c r="F1395" s="4">
        <v>46162</v>
      </c>
      <c r="G1395" s="4">
        <v>46162</v>
      </c>
      <c r="H1395" t="s">
        <v>57</v>
      </c>
      <c r="I1395" t="s">
        <v>184</v>
      </c>
      <c r="J1395" t="s">
        <v>59</v>
      </c>
      <c r="K1395" t="s">
        <v>60</v>
      </c>
      <c r="L1395" t="s">
        <v>61</v>
      </c>
      <c r="M1395" s="5">
        <v>50000</v>
      </c>
      <c r="N1395" s="5">
        <v>6950</v>
      </c>
      <c r="O1395" s="5">
        <v>8350</v>
      </c>
      <c r="P1395" s="5">
        <v>0</v>
      </c>
      <c r="Q1395" s="5">
        <v>66500</v>
      </c>
      <c r="R1395" t="s">
        <v>95</v>
      </c>
      <c r="S1395" t="s">
        <v>63</v>
      </c>
      <c r="T1395" s="5">
        <v>66500</v>
      </c>
      <c r="U1395" s="6">
        <v>5</v>
      </c>
      <c r="V1395" t="s">
        <v>77</v>
      </c>
      <c r="W1395" s="4">
        <v>46175</v>
      </c>
      <c r="X1395" t="s">
        <v>77</v>
      </c>
      <c r="Y1395" t="s">
        <v>64</v>
      </c>
      <c r="Z1395" t="s">
        <v>96</v>
      </c>
    </row>
    <row r="1396" spans="1:26">
      <c r="A1396" t="s">
        <v>2159</v>
      </c>
      <c r="B1396" t="s">
        <v>962</v>
      </c>
      <c r="C1396" s="4">
        <v>46127</v>
      </c>
      <c r="D1396" t="s">
        <v>127</v>
      </c>
      <c r="E1396" t="s">
        <v>177</v>
      </c>
      <c r="F1396" s="4"/>
      <c r="G1396" s="4"/>
      <c r="H1396" t="s">
        <v>82</v>
      </c>
      <c r="I1396" t="s">
        <v>83</v>
      </c>
      <c r="J1396" t="s">
        <v>156</v>
      </c>
      <c r="K1396" t="s">
        <v>73</v>
      </c>
      <c r="L1396" t="s">
        <v>94</v>
      </c>
      <c r="M1396" s="5"/>
      <c r="N1396" s="5"/>
      <c r="O1396" s="5"/>
      <c r="P1396" s="5"/>
      <c r="Q1396" s="5"/>
      <c r="R1396" t="s">
        <v>106</v>
      </c>
      <c r="S1396" t="s">
        <v>63</v>
      </c>
      <c r="T1396" s="5"/>
      <c r="U1396" s="6"/>
      <c r="V1396" t="s">
        <v>64</v>
      </c>
      <c r="W1396" s="4"/>
      <c r="X1396" t="s">
        <v>65</v>
      </c>
      <c r="Z1396" t="s">
        <v>66</v>
      </c>
    </row>
    <row r="1397" spans="1:26">
      <c r="A1397" t="s">
        <v>2160</v>
      </c>
      <c r="B1397" t="s">
        <v>2161</v>
      </c>
      <c r="C1397" s="4">
        <v>46151</v>
      </c>
      <c r="D1397" t="s">
        <v>81</v>
      </c>
      <c r="E1397" t="s">
        <v>70</v>
      </c>
      <c r="F1397" s="4">
        <v>46152</v>
      </c>
      <c r="G1397" s="4">
        <v>46157</v>
      </c>
      <c r="H1397" t="s">
        <v>201</v>
      </c>
      <c r="I1397" t="s">
        <v>449</v>
      </c>
      <c r="J1397" t="s">
        <v>295</v>
      </c>
      <c r="K1397" t="s">
        <v>124</v>
      </c>
      <c r="L1397" t="s">
        <v>61</v>
      </c>
      <c r="M1397" s="5">
        <v>33100</v>
      </c>
      <c r="N1397" s="5">
        <v>5850</v>
      </c>
      <c r="O1397" s="5">
        <v>3900</v>
      </c>
      <c r="P1397" s="5">
        <v>17500</v>
      </c>
      <c r="Q1397" s="5">
        <v>61150</v>
      </c>
      <c r="R1397" t="s">
        <v>75</v>
      </c>
      <c r="S1397" t="s">
        <v>86</v>
      </c>
      <c r="T1397" s="5">
        <v>27820</v>
      </c>
      <c r="U1397" s="6">
        <v>5</v>
      </c>
      <c r="V1397" t="s">
        <v>77</v>
      </c>
      <c r="W1397" s="4">
        <v>46171</v>
      </c>
      <c r="X1397" t="s">
        <v>77</v>
      </c>
      <c r="Y1397" t="s">
        <v>64</v>
      </c>
      <c r="Z1397" t="s">
        <v>107</v>
      </c>
    </row>
    <row r="1398" spans="1:26">
      <c r="A1398" t="s">
        <v>2162</v>
      </c>
      <c r="B1398" t="s">
        <v>2163</v>
      </c>
      <c r="C1398" s="4">
        <v>46138</v>
      </c>
      <c r="D1398" t="s">
        <v>363</v>
      </c>
      <c r="E1398" t="s">
        <v>70</v>
      </c>
      <c r="F1398" s="4">
        <v>46138</v>
      </c>
      <c r="G1398" s="4">
        <v>46141</v>
      </c>
      <c r="H1398" t="s">
        <v>201</v>
      </c>
      <c r="I1398" t="s">
        <v>202</v>
      </c>
      <c r="J1398" t="s">
        <v>295</v>
      </c>
      <c r="K1398" t="s">
        <v>73</v>
      </c>
      <c r="L1398" t="s">
        <v>146</v>
      </c>
      <c r="M1398" s="5">
        <v>54900</v>
      </c>
      <c r="N1398" s="5">
        <v>8350</v>
      </c>
      <c r="O1398" s="5">
        <v>8700</v>
      </c>
      <c r="P1398" s="5">
        <v>10500</v>
      </c>
      <c r="Q1398" s="5">
        <v>84950</v>
      </c>
      <c r="R1398" t="s">
        <v>75</v>
      </c>
      <c r="S1398" t="s">
        <v>76</v>
      </c>
      <c r="T1398" s="5">
        <v>38530</v>
      </c>
      <c r="U1398" s="6">
        <v>5</v>
      </c>
      <c r="V1398" t="s">
        <v>77</v>
      </c>
      <c r="W1398" s="4">
        <v>46153</v>
      </c>
      <c r="X1398" t="s">
        <v>77</v>
      </c>
      <c r="Y1398" t="s">
        <v>64</v>
      </c>
      <c r="Z1398" t="s">
        <v>78</v>
      </c>
    </row>
    <row r="1399" spans="1:26">
      <c r="A1399" t="s">
        <v>2164</v>
      </c>
      <c r="B1399" t="s">
        <v>2165</v>
      </c>
      <c r="C1399" s="4">
        <v>46160</v>
      </c>
      <c r="D1399" t="s">
        <v>200</v>
      </c>
      <c r="E1399" t="s">
        <v>70</v>
      </c>
      <c r="F1399" s="4">
        <v>46161</v>
      </c>
      <c r="G1399" s="4">
        <v>46166</v>
      </c>
      <c r="H1399" t="s">
        <v>90</v>
      </c>
      <c r="I1399" t="s">
        <v>299</v>
      </c>
      <c r="J1399" t="s">
        <v>129</v>
      </c>
      <c r="K1399" t="s">
        <v>124</v>
      </c>
      <c r="L1399" t="s">
        <v>94</v>
      </c>
      <c r="M1399" s="5">
        <v>35400</v>
      </c>
      <c r="N1399" s="5">
        <v>4850</v>
      </c>
      <c r="O1399" s="5">
        <v>4500</v>
      </c>
      <c r="P1399" s="5">
        <v>22500</v>
      </c>
      <c r="Q1399" s="5">
        <v>68750</v>
      </c>
      <c r="R1399" t="s">
        <v>106</v>
      </c>
      <c r="S1399" t="s">
        <v>76</v>
      </c>
      <c r="T1399" s="5">
        <v>24760</v>
      </c>
      <c r="U1399" s="6">
        <v>3</v>
      </c>
      <c r="V1399" t="s">
        <v>77</v>
      </c>
      <c r="W1399" s="4">
        <v>46180</v>
      </c>
      <c r="X1399" t="s">
        <v>77</v>
      </c>
      <c r="Y1399" t="s">
        <v>77</v>
      </c>
      <c r="Z1399" t="s">
        <v>78</v>
      </c>
    </row>
    <row r="1400" spans="1:26">
      <c r="A1400" t="s">
        <v>2166</v>
      </c>
      <c r="B1400" t="s">
        <v>2167</v>
      </c>
      <c r="C1400" s="4">
        <v>46155</v>
      </c>
      <c r="D1400" t="s">
        <v>383</v>
      </c>
      <c r="E1400" t="s">
        <v>70</v>
      </c>
      <c r="F1400" s="4">
        <v>46155</v>
      </c>
      <c r="G1400" s="4">
        <v>46159</v>
      </c>
      <c r="H1400" t="s">
        <v>201</v>
      </c>
      <c r="I1400" t="s">
        <v>280</v>
      </c>
      <c r="J1400" t="s">
        <v>295</v>
      </c>
      <c r="K1400" t="s">
        <v>124</v>
      </c>
      <c r="L1400" t="s">
        <v>94</v>
      </c>
      <c r="M1400" s="5">
        <v>46200</v>
      </c>
      <c r="N1400" s="5">
        <v>3850</v>
      </c>
      <c r="O1400" s="5">
        <v>5050</v>
      </c>
      <c r="P1400" s="5">
        <v>24000</v>
      </c>
      <c r="Q1400" s="5">
        <v>80100</v>
      </c>
      <c r="R1400" t="s">
        <v>75</v>
      </c>
      <c r="S1400" t="s">
        <v>76</v>
      </c>
      <c r="T1400" s="5">
        <v>36340</v>
      </c>
      <c r="U1400" s="6">
        <v>4</v>
      </c>
      <c r="V1400" t="s">
        <v>77</v>
      </c>
      <c r="W1400" s="4">
        <v>46173</v>
      </c>
      <c r="X1400" t="s">
        <v>77</v>
      </c>
      <c r="Y1400" t="s">
        <v>64</v>
      </c>
      <c r="Z1400" t="s">
        <v>96</v>
      </c>
    </row>
    <row r="1401" spans="1:26">
      <c r="A1401" t="s">
        <v>2168</v>
      </c>
      <c r="B1401" t="s">
        <v>2169</v>
      </c>
      <c r="C1401" s="4">
        <v>46143</v>
      </c>
      <c r="D1401" t="s">
        <v>330</v>
      </c>
      <c r="E1401" t="s">
        <v>70</v>
      </c>
      <c r="F1401" s="4">
        <v>46143</v>
      </c>
      <c r="G1401" s="4">
        <v>46144</v>
      </c>
      <c r="H1401" t="s">
        <v>121</v>
      </c>
      <c r="I1401" t="s">
        <v>334</v>
      </c>
      <c r="J1401" t="s">
        <v>123</v>
      </c>
      <c r="K1401" t="s">
        <v>60</v>
      </c>
      <c r="L1401" t="s">
        <v>146</v>
      </c>
      <c r="M1401" s="5">
        <v>34000</v>
      </c>
      <c r="N1401" s="5">
        <v>3400</v>
      </c>
      <c r="O1401" s="5">
        <v>7850</v>
      </c>
      <c r="P1401" s="5">
        <v>3000</v>
      </c>
      <c r="Q1401" s="5">
        <v>49250</v>
      </c>
      <c r="R1401" t="s">
        <v>95</v>
      </c>
      <c r="S1401" t="s">
        <v>63</v>
      </c>
      <c r="T1401" s="5">
        <v>49250</v>
      </c>
      <c r="U1401" s="6">
        <v>5</v>
      </c>
      <c r="V1401" t="s">
        <v>77</v>
      </c>
      <c r="W1401" s="4">
        <v>46158</v>
      </c>
      <c r="X1401" t="s">
        <v>77</v>
      </c>
      <c r="Y1401" t="s">
        <v>64</v>
      </c>
      <c r="Z1401" t="s">
        <v>96</v>
      </c>
    </row>
  </sheetData>
  <conditionalFormatting sqref="Q2:Q1401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{664177EC-EBB4-7745-E00E-397016FC1B76}</x14:id>
        </ext>
      </extLst>
    </cfRule>
  </conditionalFormatting>
  <conditionalFormatting sqref="Y2:Y1401">
    <cfRule type="expression" dxfId="2" priority="2">
      <formula>Y2="Yes"</formula>
    </cfRule>
  </conditionalFormatting>
  <dataValidations count="2">
    <dataValidation type="list" sqref="E2:E1401" xr:uid="{00000000-0002-0000-0100-000000000000}">
      <formula1>"Attended,No Show,Cancelled,Rescheduled,No-show,Missed,Canceled"</formula1>
    </dataValidation>
    <dataValidation type="list" sqref="U2:U1401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4177EC-EBB4-7745-E00E-397016FC1B76}">
            <x14:dataBar>
              <x14:cfvo type="min"/>
              <x14:cfvo type="max"/>
              <x14:negativeFillColor auto="1"/>
              <x14:axisColor auto="1"/>
            </x14:dataBar>
          </x14:cfRule>
          <xm:sqref>Q2:Q1401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263D-05CB-4020-BA0C-0CDACD48D55F}">
  <dimension ref="A1:AG1401"/>
  <sheetViews>
    <sheetView tabSelected="1" topLeftCell="R1" zoomScale="68" workbookViewId="0">
      <selection activeCell="AG1" sqref="AG1"/>
    </sheetView>
  </sheetViews>
  <sheetFormatPr defaultRowHeight="13.8"/>
  <cols>
    <col min="3" max="3" width="10.3984375" bestFit="1" customWidth="1"/>
    <col min="6" max="7" width="10.3984375" bestFit="1" customWidth="1"/>
    <col min="13" max="16" width="8.8984375" bestFit="1" customWidth="1"/>
    <col min="17" max="17" width="10.3984375" style="13" bestFit="1" customWidth="1"/>
    <col min="20" max="21" width="8.8984375" bestFit="1" customWidth="1"/>
    <col min="26" max="26" width="11" customWidth="1"/>
    <col min="27" max="27" width="16.8984375" customWidth="1"/>
    <col min="28" max="28" width="19.3984375" customWidth="1"/>
    <col min="29" max="29" width="17.19921875" customWidth="1"/>
    <col min="30" max="30" width="14.09765625" customWidth="1"/>
    <col min="31" max="31" width="20.59765625" style="13" customWidth="1"/>
    <col min="32" max="32" width="11.09765625" style="13" customWidth="1"/>
    <col min="33" max="33" width="18.09765625" customWidth="1"/>
  </cols>
  <sheetData>
    <row r="1" spans="1:33" ht="55.2">
      <c r="A1" s="3" t="s">
        <v>27</v>
      </c>
      <c r="B1" s="3" t="s">
        <v>28</v>
      </c>
      <c r="C1" s="10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12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2871</v>
      </c>
      <c r="AB1" s="3" t="s">
        <v>2872</v>
      </c>
      <c r="AC1" s="3" t="s">
        <v>2873</v>
      </c>
      <c r="AD1" s="3" t="s">
        <v>2874</v>
      </c>
      <c r="AE1" s="12" t="s">
        <v>2875</v>
      </c>
      <c r="AF1" s="12" t="s">
        <v>2876</v>
      </c>
      <c r="AG1" s="3" t="s">
        <v>2877</v>
      </c>
    </row>
    <row r="2" spans="1:33">
      <c r="A2" t="s">
        <v>53</v>
      </c>
      <c r="B2" t="s">
        <v>54</v>
      </c>
      <c r="C2" s="11">
        <v>46071</v>
      </c>
      <c r="D2" t="s">
        <v>55</v>
      </c>
      <c r="E2" t="s">
        <v>56</v>
      </c>
      <c r="F2" s="4"/>
      <c r="G2" s="4"/>
      <c r="H2" t="s">
        <v>57</v>
      </c>
      <c r="I2" t="s">
        <v>58</v>
      </c>
      <c r="J2" t="s">
        <v>59</v>
      </c>
      <c r="K2" t="s">
        <v>60</v>
      </c>
      <c r="L2" t="s">
        <v>61</v>
      </c>
      <c r="M2" s="5"/>
      <c r="N2" s="5"/>
      <c r="O2" s="5"/>
      <c r="P2" s="5"/>
      <c r="R2" t="s">
        <v>62</v>
      </c>
      <c r="S2" t="s">
        <v>63</v>
      </c>
      <c r="T2" s="5"/>
      <c r="U2" s="6"/>
      <c r="V2" t="s">
        <v>64</v>
      </c>
      <c r="W2" s="4"/>
      <c r="X2" t="s">
        <v>65</v>
      </c>
      <c r="Z2" t="s">
        <v>66</v>
      </c>
      <c r="AA2" t="str">
        <f>VLOOKUP(H2,Departments!$A:$B,2,0)</f>
        <v>Pulmonology</v>
      </c>
      <c r="AB2" t="str">
        <f>VLOOKUP(J2,Diagnosis_Guide!$A:$B,2,0)</f>
        <v>Pneumonia</v>
      </c>
      <c r="AC2" s="4" t="str">
        <f>VLOOKUP(J2,Diagnosis_Guide!$A:$C,3,0)</f>
        <v>Respiratory</v>
      </c>
      <c r="AD2" s="4" t="str">
        <f>VLOOKUP(R2,Insurance_Plans!$A:$C,3,0)</f>
        <v>Public</v>
      </c>
      <c r="AE2" s="13" t="str">
        <f t="shared" ref="AE2:AE65" si="0">IF(Q2="","",Q2*0.05)</f>
        <v/>
      </c>
      <c r="AF2" s="13" t="str">
        <f t="shared" ref="AF2:AF65" si="1">IF(Q2="","",Q2+AE2)</f>
        <v/>
      </c>
      <c r="AG2" s="4" t="str">
        <f t="shared" ref="AG2:AG65" si="2">IF(U2="","Not Available",IF(U2&gt;=4,"High",IF(U2=3,"Medium","Low")))</f>
        <v>Not Available</v>
      </c>
    </row>
    <row r="3" spans="1:33">
      <c r="A3" t="s">
        <v>67</v>
      </c>
      <c r="B3" t="s">
        <v>68</v>
      </c>
      <c r="C3" s="11">
        <v>46032</v>
      </c>
      <c r="D3" t="s">
        <v>69</v>
      </c>
      <c r="E3" t="s">
        <v>70</v>
      </c>
      <c r="F3" s="4">
        <v>46032</v>
      </c>
      <c r="G3" s="4">
        <v>46034</v>
      </c>
      <c r="H3" t="s">
        <v>57</v>
      </c>
      <c r="I3" t="s">
        <v>71</v>
      </c>
      <c r="J3" t="s">
        <v>72</v>
      </c>
      <c r="K3" t="s">
        <v>73</v>
      </c>
      <c r="L3" t="s">
        <v>74</v>
      </c>
      <c r="M3" s="5">
        <v>7600</v>
      </c>
      <c r="N3" s="5">
        <v>1350</v>
      </c>
      <c r="O3" s="5">
        <v>1700</v>
      </c>
      <c r="P3" s="5">
        <v>5000</v>
      </c>
      <c r="Q3" s="13">
        <v>17450</v>
      </c>
      <c r="R3" t="s">
        <v>75</v>
      </c>
      <c r="S3" t="s">
        <v>76</v>
      </c>
      <c r="T3" s="5">
        <v>8150</v>
      </c>
      <c r="U3" s="6">
        <v>2</v>
      </c>
      <c r="V3" t="s">
        <v>64</v>
      </c>
      <c r="W3" s="4"/>
      <c r="X3" t="s">
        <v>65</v>
      </c>
      <c r="Y3" t="s">
        <v>77</v>
      </c>
      <c r="Z3" t="s">
        <v>78</v>
      </c>
      <c r="AA3" t="str">
        <f>VLOOKUP(H3,Departments!$A:$B,2,0)</f>
        <v>Pulmonology</v>
      </c>
      <c r="AB3" t="str">
        <f>VLOOKUP(J3,Diagnosis_Guide!$A:$B,2,0)</f>
        <v>Acute Bronchitis</v>
      </c>
      <c r="AC3" s="4" t="str">
        <f>VLOOKUP(J3,Diagnosis_Guide!$A:$C,3,0)</f>
        <v>Respiratory</v>
      </c>
      <c r="AD3" s="4" t="str">
        <f>VLOOKUP(R3,Insurance_Plans!$A:$C,3,0)</f>
        <v>Public</v>
      </c>
      <c r="AE3" s="13">
        <f t="shared" si="0"/>
        <v>872.5</v>
      </c>
      <c r="AF3" s="13">
        <f t="shared" si="1"/>
        <v>18322.5</v>
      </c>
      <c r="AG3" s="4" t="str">
        <f t="shared" si="2"/>
        <v>Low</v>
      </c>
    </row>
    <row r="4" spans="1:33">
      <c r="A4" t="s">
        <v>79</v>
      </c>
      <c r="B4" t="s">
        <v>80</v>
      </c>
      <c r="C4" s="11">
        <v>46082</v>
      </c>
      <c r="D4" t="s">
        <v>81</v>
      </c>
      <c r="E4" t="s">
        <v>70</v>
      </c>
      <c r="F4" s="4">
        <v>46082</v>
      </c>
      <c r="G4" s="4">
        <v>46082</v>
      </c>
      <c r="H4" t="s">
        <v>82</v>
      </c>
      <c r="I4" t="s">
        <v>83</v>
      </c>
      <c r="J4" t="s">
        <v>84</v>
      </c>
      <c r="K4" t="s">
        <v>73</v>
      </c>
      <c r="L4" t="s">
        <v>61</v>
      </c>
      <c r="M4" s="5">
        <v>6300</v>
      </c>
      <c r="N4" s="5">
        <v>900</v>
      </c>
      <c r="O4" s="5">
        <v>650</v>
      </c>
      <c r="P4" s="5">
        <v>0</v>
      </c>
      <c r="Q4" s="13">
        <v>9650</v>
      </c>
      <c r="R4" t="s">
        <v>85</v>
      </c>
      <c r="S4" t="s">
        <v>86</v>
      </c>
      <c r="T4" s="5">
        <v>3310</v>
      </c>
      <c r="U4" s="6">
        <v>5</v>
      </c>
      <c r="V4" t="s">
        <v>64</v>
      </c>
      <c r="W4" s="4"/>
      <c r="X4" t="s">
        <v>65</v>
      </c>
      <c r="Y4" t="s">
        <v>64</v>
      </c>
      <c r="Z4" t="s">
        <v>78</v>
      </c>
      <c r="AA4" t="str">
        <f>VLOOKUP(H4,Departments!$A:$B,2,0)</f>
        <v>Orthopedics</v>
      </c>
      <c r="AB4" t="str">
        <f>VLOOKUP(J4,Diagnosis_Guide!$A:$B,2,0)</f>
        <v>Joint Pain</v>
      </c>
      <c r="AC4" s="4" t="str">
        <f>VLOOKUP(J4,Diagnosis_Guide!$A:$C,3,0)</f>
        <v>Musculoskeletal</v>
      </c>
      <c r="AD4" s="4" t="str">
        <f>VLOOKUP(R4,Insurance_Plans!$A:$C,3,0)</f>
        <v>Employer</v>
      </c>
      <c r="AE4" s="13">
        <f t="shared" si="0"/>
        <v>482.5</v>
      </c>
      <c r="AF4" s="13">
        <f t="shared" si="1"/>
        <v>10132.5</v>
      </c>
      <c r="AG4" s="4" t="str">
        <f t="shared" si="2"/>
        <v>High</v>
      </c>
    </row>
    <row r="5" spans="1:33">
      <c r="A5" t="s">
        <v>87</v>
      </c>
      <c r="B5" t="s">
        <v>88</v>
      </c>
      <c r="C5" s="11">
        <v>46132</v>
      </c>
      <c r="D5" t="s">
        <v>89</v>
      </c>
      <c r="E5" t="s">
        <v>70</v>
      </c>
      <c r="F5" s="4">
        <v>46132</v>
      </c>
      <c r="G5" s="4">
        <v>46137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s="5">
        <v>59900</v>
      </c>
      <c r="N5" s="5">
        <v>6800</v>
      </c>
      <c r="O5" s="5">
        <v>7050</v>
      </c>
      <c r="P5" s="5">
        <v>15000</v>
      </c>
      <c r="Q5" s="13">
        <v>89950</v>
      </c>
      <c r="R5" t="s">
        <v>95</v>
      </c>
      <c r="S5" t="s">
        <v>63</v>
      </c>
      <c r="T5" s="5">
        <v>89950</v>
      </c>
      <c r="U5" s="6">
        <v>5</v>
      </c>
      <c r="V5" t="s">
        <v>77</v>
      </c>
      <c r="W5" s="4">
        <v>46149</v>
      </c>
      <c r="X5" t="s">
        <v>77</v>
      </c>
      <c r="Y5" t="s">
        <v>64</v>
      </c>
      <c r="Z5" t="s">
        <v>96</v>
      </c>
      <c r="AA5" t="str">
        <f>VLOOKUP(H5,Departments!$A:$B,2,0)</f>
        <v>Cardiology</v>
      </c>
      <c r="AB5" t="str">
        <f>VLOOKUP(J5,Diagnosis_Guide!$A:$B,2,0)</f>
        <v>Heart Failure</v>
      </c>
      <c r="AC5" s="4" t="str">
        <f>VLOOKUP(J5,Diagnosis_Guide!$A:$C,3,0)</f>
        <v>Cardiovascular</v>
      </c>
      <c r="AD5" s="4" t="str">
        <f>VLOOKUP(R5,Insurance_Plans!$A:$C,3,0)</f>
        <v>Self-Pay</v>
      </c>
      <c r="AE5" s="13">
        <f t="shared" si="0"/>
        <v>4497.5</v>
      </c>
      <c r="AF5" s="13">
        <f t="shared" si="1"/>
        <v>94447.5</v>
      </c>
      <c r="AG5" s="4" t="str">
        <f t="shared" si="2"/>
        <v>High</v>
      </c>
    </row>
    <row r="6" spans="1:33">
      <c r="A6" t="s">
        <v>97</v>
      </c>
      <c r="B6" t="s">
        <v>98</v>
      </c>
      <c r="C6" s="11">
        <v>46024</v>
      </c>
      <c r="D6" t="s">
        <v>99</v>
      </c>
      <c r="E6" t="s">
        <v>56</v>
      </c>
      <c r="F6" s="4"/>
      <c r="G6" s="4"/>
      <c r="H6" t="s">
        <v>57</v>
      </c>
      <c r="I6" t="s">
        <v>100</v>
      </c>
      <c r="J6" t="s">
        <v>72</v>
      </c>
      <c r="K6" t="s">
        <v>73</v>
      </c>
      <c r="L6" t="s">
        <v>74</v>
      </c>
      <c r="M6" s="5"/>
      <c r="N6" s="5"/>
      <c r="O6" s="5"/>
      <c r="P6" s="5"/>
      <c r="R6" t="s">
        <v>62</v>
      </c>
      <c r="S6" t="s">
        <v>63</v>
      </c>
      <c r="T6" s="5"/>
      <c r="U6" s="6"/>
      <c r="V6" t="s">
        <v>64</v>
      </c>
      <c r="W6" s="4"/>
      <c r="X6" t="s">
        <v>65</v>
      </c>
      <c r="Z6" t="s">
        <v>66</v>
      </c>
      <c r="AA6" t="str">
        <f>VLOOKUP(H6,Departments!$A:$B,2,0)</f>
        <v>Pulmonology</v>
      </c>
      <c r="AB6" t="str">
        <f>VLOOKUP(J6,Diagnosis_Guide!$A:$B,2,0)</f>
        <v>Acute Bronchitis</v>
      </c>
      <c r="AC6" s="4" t="str">
        <f>VLOOKUP(J6,Diagnosis_Guide!$A:$C,3,0)</f>
        <v>Respiratory</v>
      </c>
      <c r="AD6" s="4" t="str">
        <f>VLOOKUP(R6,Insurance_Plans!$A:$C,3,0)</f>
        <v>Public</v>
      </c>
      <c r="AE6" s="13" t="str">
        <f t="shared" si="0"/>
        <v/>
      </c>
      <c r="AF6" s="13" t="str">
        <f t="shared" si="1"/>
        <v/>
      </c>
      <c r="AG6" s="4" t="str">
        <f t="shared" si="2"/>
        <v>Not Available</v>
      </c>
    </row>
    <row r="7" spans="1:33">
      <c r="A7" t="s">
        <v>101</v>
      </c>
      <c r="B7" t="s">
        <v>102</v>
      </c>
      <c r="C7" s="11">
        <v>46059</v>
      </c>
      <c r="D7" t="s">
        <v>55</v>
      </c>
      <c r="E7" t="s">
        <v>70</v>
      </c>
      <c r="F7" s="4">
        <v>46059</v>
      </c>
      <c r="G7" s="4">
        <v>46067</v>
      </c>
      <c r="H7" t="s">
        <v>103</v>
      </c>
      <c r="I7" t="s">
        <v>104</v>
      </c>
      <c r="J7" t="s">
        <v>105</v>
      </c>
      <c r="K7" t="s">
        <v>93</v>
      </c>
      <c r="L7" t="s">
        <v>94</v>
      </c>
      <c r="M7" s="5">
        <v>63500</v>
      </c>
      <c r="N7" s="5">
        <v>8950</v>
      </c>
      <c r="O7" s="5">
        <v>7200</v>
      </c>
      <c r="P7" s="5">
        <v>28000</v>
      </c>
      <c r="Q7" s="13">
        <v>109450</v>
      </c>
      <c r="R7" t="s">
        <v>106</v>
      </c>
      <c r="S7" t="s">
        <v>76</v>
      </c>
      <c r="T7" s="5">
        <v>39010</v>
      </c>
      <c r="U7" s="6">
        <v>3</v>
      </c>
      <c r="V7" t="s">
        <v>77</v>
      </c>
      <c r="W7" s="4">
        <v>46075</v>
      </c>
      <c r="X7" t="s">
        <v>64</v>
      </c>
      <c r="Y7" t="s">
        <v>64</v>
      </c>
      <c r="Z7" t="s">
        <v>107</v>
      </c>
      <c r="AA7" t="str">
        <f>VLOOKUP(H7,Departments!$A:$B,2,0)</f>
        <v>Nephrology</v>
      </c>
      <c r="AB7" t="str">
        <f>VLOOKUP(J7,Diagnosis_Guide!$A:$B,2,0)</f>
        <v>Dialysis Complication</v>
      </c>
      <c r="AC7" s="4" t="str">
        <f>VLOOKUP(J7,Diagnosis_Guide!$A:$C,3,0)</f>
        <v>Renal</v>
      </c>
      <c r="AD7" s="4" t="str">
        <f>VLOOKUP(R7,Insurance_Plans!$A:$C,3,0)</f>
        <v>Private</v>
      </c>
      <c r="AE7" s="13">
        <f t="shared" si="0"/>
        <v>5472.5</v>
      </c>
      <c r="AF7" s="13">
        <f t="shared" si="1"/>
        <v>114922.5</v>
      </c>
      <c r="AG7" s="4" t="str">
        <f t="shared" si="2"/>
        <v>Medium</v>
      </c>
    </row>
    <row r="8" spans="1:33">
      <c r="A8" t="s">
        <v>108</v>
      </c>
      <c r="B8" t="s">
        <v>109</v>
      </c>
      <c r="C8" s="11">
        <v>46051</v>
      </c>
      <c r="D8" t="s">
        <v>110</v>
      </c>
      <c r="E8" t="s">
        <v>70</v>
      </c>
      <c r="F8" s="4">
        <v>46051</v>
      </c>
      <c r="G8" s="4">
        <v>46051</v>
      </c>
      <c r="H8" t="s">
        <v>111</v>
      </c>
      <c r="I8" t="s">
        <v>112</v>
      </c>
      <c r="J8" t="s">
        <v>113</v>
      </c>
      <c r="K8" t="s">
        <v>60</v>
      </c>
      <c r="L8" t="s">
        <v>94</v>
      </c>
      <c r="M8" s="5">
        <v>20100</v>
      </c>
      <c r="N8" s="5">
        <v>3250</v>
      </c>
      <c r="O8" s="5">
        <v>4300</v>
      </c>
      <c r="P8" s="5">
        <v>0</v>
      </c>
      <c r="Q8" s="13">
        <v>28450</v>
      </c>
      <c r="R8" t="s">
        <v>75</v>
      </c>
      <c r="S8" t="s">
        <v>76</v>
      </c>
      <c r="T8" s="5">
        <v>13100</v>
      </c>
      <c r="U8" s="6">
        <v>4</v>
      </c>
      <c r="V8" t="s">
        <v>64</v>
      </c>
      <c r="W8" s="4"/>
      <c r="X8" t="s">
        <v>65</v>
      </c>
      <c r="Y8" t="s">
        <v>64</v>
      </c>
      <c r="Z8" t="s">
        <v>96</v>
      </c>
      <c r="AA8" t="str">
        <f>VLOOKUP(H8,Departments!$A:$B,2,0)</f>
        <v>General Medicine</v>
      </c>
      <c r="AB8" t="str">
        <f>VLOOKUP(J8,Diagnosis_Guide!$A:$B,2,0)</f>
        <v>Diabetes Complication</v>
      </c>
      <c r="AC8" s="4" t="str">
        <f>VLOOKUP(J8,Diagnosis_Guide!$A:$C,3,0)</f>
        <v>Endocrine/General</v>
      </c>
      <c r="AD8" s="4" t="str">
        <f>VLOOKUP(R8,Insurance_Plans!$A:$C,3,0)</f>
        <v>Public</v>
      </c>
      <c r="AE8" s="13">
        <f t="shared" si="0"/>
        <v>1422.5</v>
      </c>
      <c r="AF8" s="13">
        <f t="shared" si="1"/>
        <v>29872.5</v>
      </c>
      <c r="AG8" s="4" t="str">
        <f t="shared" si="2"/>
        <v>High</v>
      </c>
    </row>
    <row r="9" spans="1:33">
      <c r="A9" t="s">
        <v>114</v>
      </c>
      <c r="B9" t="s">
        <v>115</v>
      </c>
      <c r="C9" s="11">
        <v>46106</v>
      </c>
      <c r="D9" t="s">
        <v>69</v>
      </c>
      <c r="E9" t="s">
        <v>70</v>
      </c>
      <c r="F9" s="4">
        <v>46106</v>
      </c>
      <c r="G9" s="4">
        <v>46106</v>
      </c>
      <c r="H9" t="s">
        <v>111</v>
      </c>
      <c r="I9" t="s">
        <v>116</v>
      </c>
      <c r="J9" t="s">
        <v>117</v>
      </c>
      <c r="K9" t="s">
        <v>60</v>
      </c>
      <c r="L9" t="s">
        <v>94</v>
      </c>
      <c r="M9" s="5">
        <v>5800</v>
      </c>
      <c r="N9" s="5">
        <v>750</v>
      </c>
      <c r="O9" s="5">
        <v>1000</v>
      </c>
      <c r="P9" s="5">
        <v>0</v>
      </c>
      <c r="Q9" s="13">
        <v>8350</v>
      </c>
      <c r="R9" t="s">
        <v>62</v>
      </c>
      <c r="S9" t="s">
        <v>76</v>
      </c>
      <c r="T9" s="5">
        <v>2910</v>
      </c>
      <c r="U9" s="6">
        <v>5</v>
      </c>
      <c r="V9" t="s">
        <v>64</v>
      </c>
      <c r="W9" s="4"/>
      <c r="X9" t="s">
        <v>65</v>
      </c>
      <c r="Y9" t="s">
        <v>64</v>
      </c>
      <c r="Z9" t="s">
        <v>78</v>
      </c>
      <c r="AA9" t="str">
        <f>VLOOKUP(H9,Departments!$A:$B,2,0)</f>
        <v>General Medicine</v>
      </c>
      <c r="AB9" t="str">
        <f>VLOOKUP(J9,Diagnosis_Guide!$A:$B,2,0)</f>
        <v>Fever Investigation</v>
      </c>
      <c r="AC9" s="4" t="str">
        <f>VLOOKUP(J9,Diagnosis_Guide!$A:$C,3,0)</f>
        <v>Infectious/General</v>
      </c>
      <c r="AD9" s="4" t="str">
        <f>VLOOKUP(R9,Insurance_Plans!$A:$C,3,0)</f>
        <v>Public</v>
      </c>
      <c r="AE9" s="13">
        <f t="shared" si="0"/>
        <v>417.5</v>
      </c>
      <c r="AF9" s="13">
        <f t="shared" si="1"/>
        <v>8767.5</v>
      </c>
      <c r="AG9" s="4" t="str">
        <f t="shared" si="2"/>
        <v>High</v>
      </c>
    </row>
    <row r="10" spans="1:33">
      <c r="A10" t="s">
        <v>118</v>
      </c>
      <c r="B10" t="s">
        <v>119</v>
      </c>
      <c r="C10" s="11">
        <v>46168</v>
      </c>
      <c r="D10" t="s">
        <v>120</v>
      </c>
      <c r="E10" t="s">
        <v>70</v>
      </c>
      <c r="F10" s="4">
        <v>46168</v>
      </c>
      <c r="G10" s="4">
        <v>46172</v>
      </c>
      <c r="H10" t="s">
        <v>121</v>
      </c>
      <c r="I10" t="s">
        <v>122</v>
      </c>
      <c r="J10" t="s">
        <v>123</v>
      </c>
      <c r="K10" t="s">
        <v>124</v>
      </c>
      <c r="L10" t="s">
        <v>74</v>
      </c>
      <c r="M10" s="5">
        <v>42600</v>
      </c>
      <c r="N10" s="5">
        <v>6150</v>
      </c>
      <c r="O10" s="5">
        <v>8150</v>
      </c>
      <c r="P10" s="5">
        <v>12000</v>
      </c>
      <c r="Q10" s="13">
        <v>69900</v>
      </c>
      <c r="R10" t="s">
        <v>85</v>
      </c>
      <c r="S10" t="s">
        <v>76</v>
      </c>
      <c r="T10" s="5">
        <v>18380</v>
      </c>
      <c r="U10" s="6">
        <v>3</v>
      </c>
      <c r="V10" t="s">
        <v>77</v>
      </c>
      <c r="W10" s="4">
        <v>46185</v>
      </c>
      <c r="X10" t="s">
        <v>64</v>
      </c>
      <c r="Y10" t="s">
        <v>64</v>
      </c>
      <c r="Z10" t="s">
        <v>107</v>
      </c>
      <c r="AA10" t="str">
        <f>VLOOKUP(H10,Departments!$A:$B,2,0)</f>
        <v>Neurology</v>
      </c>
      <c r="AB10" t="str">
        <f>VLOOKUP(J10,Diagnosis_Guide!$A:$B,2,0)</f>
        <v>Seizure Episode</v>
      </c>
      <c r="AC10" s="4" t="str">
        <f>VLOOKUP(J10,Diagnosis_Guide!$A:$C,3,0)</f>
        <v>Neurological</v>
      </c>
      <c r="AD10" s="4" t="str">
        <f>VLOOKUP(R10,Insurance_Plans!$A:$C,3,0)</f>
        <v>Employer</v>
      </c>
      <c r="AE10" s="13">
        <f t="shared" si="0"/>
        <v>3495</v>
      </c>
      <c r="AF10" s="13">
        <f t="shared" si="1"/>
        <v>73395</v>
      </c>
      <c r="AG10" s="4" t="str">
        <f t="shared" si="2"/>
        <v>Medium</v>
      </c>
    </row>
    <row r="11" spans="1:33">
      <c r="A11" t="s">
        <v>125</v>
      </c>
      <c r="B11" t="s">
        <v>126</v>
      </c>
      <c r="C11" s="11">
        <v>46171</v>
      </c>
      <c r="D11" t="s">
        <v>127</v>
      </c>
      <c r="E11" t="s">
        <v>56</v>
      </c>
      <c r="F11" s="4"/>
      <c r="G11" s="4"/>
      <c r="H11" t="s">
        <v>90</v>
      </c>
      <c r="I11" t="s">
        <v>128</v>
      </c>
      <c r="J11" t="s">
        <v>129</v>
      </c>
      <c r="K11" t="s">
        <v>60</v>
      </c>
      <c r="L11" t="s">
        <v>61</v>
      </c>
      <c r="M11" s="5"/>
      <c r="N11" s="5"/>
      <c r="O11" s="5"/>
      <c r="P11" s="5"/>
      <c r="R11" t="s">
        <v>85</v>
      </c>
      <c r="S11" t="s">
        <v>63</v>
      </c>
      <c r="T11" s="5"/>
      <c r="U11" s="6"/>
      <c r="V11" t="s">
        <v>64</v>
      </c>
      <c r="W11" s="4"/>
      <c r="X11" t="s">
        <v>65</v>
      </c>
      <c r="Z11" t="s">
        <v>66</v>
      </c>
      <c r="AA11" t="str">
        <f>VLOOKUP(H11,Departments!$A:$B,2,0)</f>
        <v>Cardiology</v>
      </c>
      <c r="AB11" t="str">
        <f>VLOOKUP(J11,Diagnosis_Guide!$A:$B,2,0)</f>
        <v>Hypertension Crisis</v>
      </c>
      <c r="AC11" s="4" t="str">
        <f>VLOOKUP(J11,Diagnosis_Guide!$A:$C,3,0)</f>
        <v>Cardiovascular</v>
      </c>
      <c r="AD11" s="4" t="str">
        <f>VLOOKUP(R11,Insurance_Plans!$A:$C,3,0)</f>
        <v>Employer</v>
      </c>
      <c r="AE11" s="13" t="str">
        <f t="shared" si="0"/>
        <v/>
      </c>
      <c r="AF11" s="13" t="str">
        <f t="shared" si="1"/>
        <v/>
      </c>
      <c r="AG11" s="4" t="str">
        <f t="shared" si="2"/>
        <v>Not Available</v>
      </c>
    </row>
    <row r="12" spans="1:33">
      <c r="A12" t="s">
        <v>130</v>
      </c>
      <c r="B12" t="s">
        <v>131</v>
      </c>
      <c r="C12" s="11">
        <v>46123</v>
      </c>
      <c r="D12" t="s">
        <v>132</v>
      </c>
      <c r="E12" t="s">
        <v>70</v>
      </c>
      <c r="F12" s="4">
        <v>46123</v>
      </c>
      <c r="G12" s="4">
        <v>46123</v>
      </c>
      <c r="H12" t="s">
        <v>90</v>
      </c>
      <c r="I12" t="s">
        <v>133</v>
      </c>
      <c r="J12" t="s">
        <v>92</v>
      </c>
      <c r="K12" t="s">
        <v>60</v>
      </c>
      <c r="L12" t="s">
        <v>94</v>
      </c>
      <c r="M12" s="5">
        <v>43000</v>
      </c>
      <c r="N12" s="5">
        <v>5000</v>
      </c>
      <c r="O12" s="5">
        <v>5850</v>
      </c>
      <c r="P12" s="5">
        <v>0</v>
      </c>
      <c r="Q12" s="13">
        <v>55850</v>
      </c>
      <c r="R12" t="s">
        <v>134</v>
      </c>
      <c r="S12" t="s">
        <v>76</v>
      </c>
      <c r="T12" s="5">
        <v>30920</v>
      </c>
      <c r="U12" s="6"/>
      <c r="V12" t="s">
        <v>77</v>
      </c>
      <c r="W12" s="4">
        <v>46132</v>
      </c>
      <c r="X12" t="s">
        <v>64</v>
      </c>
      <c r="Y12" t="s">
        <v>64</v>
      </c>
      <c r="Z12" t="s">
        <v>78</v>
      </c>
      <c r="AA12" t="str">
        <f>VLOOKUP(H12,Departments!$A:$B,2,0)</f>
        <v>Cardiology</v>
      </c>
      <c r="AB12" t="str">
        <f>VLOOKUP(J12,Diagnosis_Guide!$A:$B,2,0)</f>
        <v>Heart Failure</v>
      </c>
      <c r="AC12" s="4" t="str">
        <f>VLOOKUP(J12,Diagnosis_Guide!$A:$C,3,0)</f>
        <v>Cardiovascular</v>
      </c>
      <c r="AD12" s="4" t="str">
        <f>VLOOKUP(R12,Insurance_Plans!$A:$C,3,0)</f>
        <v>Community</v>
      </c>
      <c r="AE12" s="13">
        <f t="shared" si="0"/>
        <v>2792.5</v>
      </c>
      <c r="AF12" s="13">
        <f t="shared" si="1"/>
        <v>58642.5</v>
      </c>
      <c r="AG12" s="4" t="str">
        <f t="shared" si="2"/>
        <v>Not Available</v>
      </c>
    </row>
    <row r="13" spans="1:33">
      <c r="A13" t="s">
        <v>135</v>
      </c>
      <c r="B13" t="s">
        <v>136</v>
      </c>
      <c r="C13" s="11">
        <v>46023</v>
      </c>
      <c r="D13" t="s">
        <v>137</v>
      </c>
      <c r="E13" t="s">
        <v>56</v>
      </c>
      <c r="F13" s="4"/>
      <c r="G13" s="4"/>
      <c r="H13" t="s">
        <v>138</v>
      </c>
      <c r="I13" t="s">
        <v>139</v>
      </c>
      <c r="J13" t="s">
        <v>140</v>
      </c>
      <c r="K13" t="s">
        <v>60</v>
      </c>
      <c r="L13" t="s">
        <v>74</v>
      </c>
      <c r="M13" s="5"/>
      <c r="N13" s="5"/>
      <c r="O13" s="5"/>
      <c r="P13" s="5"/>
      <c r="R13" t="s">
        <v>141</v>
      </c>
      <c r="S13" t="s">
        <v>63</v>
      </c>
      <c r="T13" s="5"/>
      <c r="U13" s="6"/>
      <c r="V13" t="s">
        <v>64</v>
      </c>
      <c r="W13" s="4"/>
      <c r="X13" t="s">
        <v>65</v>
      </c>
      <c r="Z13" t="s">
        <v>66</v>
      </c>
      <c r="AA13" t="str">
        <f>VLOOKUP(H13,Departments!$A:$B,2,0)</f>
        <v>Pediatrics</v>
      </c>
      <c r="AB13" t="str">
        <f>VLOOKUP(J13,Diagnosis_Guide!$A:$B,2,0)</f>
        <v>Pediatric Asthma</v>
      </c>
      <c r="AC13" s="4" t="str">
        <f>VLOOKUP(J13,Diagnosis_Guide!$A:$C,3,0)</f>
        <v>Pediatric</v>
      </c>
      <c r="AD13" s="4" t="str">
        <f>VLOOKUP(R13,Insurance_Plans!$A:$C,3,0)</f>
        <v>Private</v>
      </c>
      <c r="AE13" s="13" t="str">
        <f t="shared" si="0"/>
        <v/>
      </c>
      <c r="AF13" s="13" t="str">
        <f t="shared" si="1"/>
        <v/>
      </c>
      <c r="AG13" s="4" t="str">
        <f t="shared" si="2"/>
        <v>Not Available</v>
      </c>
    </row>
    <row r="14" spans="1:33">
      <c r="A14" t="s">
        <v>142</v>
      </c>
      <c r="B14" t="s">
        <v>143</v>
      </c>
      <c r="C14" s="11">
        <v>46043</v>
      </c>
      <c r="D14" t="s">
        <v>144</v>
      </c>
      <c r="E14" t="s">
        <v>70</v>
      </c>
      <c r="F14" s="4">
        <v>46043</v>
      </c>
      <c r="G14" s="4">
        <v>46043</v>
      </c>
      <c r="H14" t="s">
        <v>103</v>
      </c>
      <c r="I14" t="s">
        <v>104</v>
      </c>
      <c r="J14" t="s">
        <v>145</v>
      </c>
      <c r="K14" t="s">
        <v>60</v>
      </c>
      <c r="L14" t="s">
        <v>146</v>
      </c>
      <c r="M14" s="5">
        <v>27500</v>
      </c>
      <c r="N14" s="5">
        <v>3200</v>
      </c>
      <c r="O14" s="5">
        <v>3450</v>
      </c>
      <c r="P14" s="5">
        <v>0</v>
      </c>
      <c r="Q14" s="13">
        <v>35950</v>
      </c>
      <c r="R14" t="s">
        <v>85</v>
      </c>
      <c r="S14" t="s">
        <v>76</v>
      </c>
      <c r="T14" s="5">
        <v>9890</v>
      </c>
      <c r="U14" s="6">
        <v>5</v>
      </c>
      <c r="V14" t="s">
        <v>64</v>
      </c>
      <c r="W14" s="4"/>
      <c r="X14" t="s">
        <v>65</v>
      </c>
      <c r="Y14" t="s">
        <v>64</v>
      </c>
      <c r="Z14" t="s">
        <v>96</v>
      </c>
      <c r="AA14" t="str">
        <f>VLOOKUP(H14,Departments!$A:$B,2,0)</f>
        <v>Nephrology</v>
      </c>
      <c r="AB14" t="str">
        <f>VLOOKUP(J14,Diagnosis_Guide!$A:$B,2,0)</f>
        <v>Kidney Stone</v>
      </c>
      <c r="AC14" s="4" t="str">
        <f>VLOOKUP(J14,Diagnosis_Guide!$A:$C,3,0)</f>
        <v>Renal</v>
      </c>
      <c r="AD14" s="4" t="str">
        <f>VLOOKUP(R14,Insurance_Plans!$A:$C,3,0)</f>
        <v>Employer</v>
      </c>
      <c r="AE14" s="13">
        <f t="shared" si="0"/>
        <v>1797.5</v>
      </c>
      <c r="AF14" s="13">
        <f t="shared" si="1"/>
        <v>37747.5</v>
      </c>
      <c r="AG14" s="4" t="str">
        <f t="shared" si="2"/>
        <v>High</v>
      </c>
    </row>
    <row r="15" spans="1:33">
      <c r="A15" t="s">
        <v>147</v>
      </c>
      <c r="B15" t="s">
        <v>148</v>
      </c>
      <c r="C15" s="11">
        <v>46105</v>
      </c>
      <c r="D15" t="s">
        <v>149</v>
      </c>
      <c r="E15" t="s">
        <v>70</v>
      </c>
      <c r="F15" s="4">
        <v>46105</v>
      </c>
      <c r="G15" s="4">
        <v>46107</v>
      </c>
      <c r="H15" t="s">
        <v>150</v>
      </c>
      <c r="I15" t="s">
        <v>151</v>
      </c>
      <c r="J15" t="s">
        <v>152</v>
      </c>
      <c r="K15" t="s">
        <v>73</v>
      </c>
      <c r="L15" t="s">
        <v>61</v>
      </c>
      <c r="M15" s="5">
        <v>22000</v>
      </c>
      <c r="N15" s="5">
        <v>2850</v>
      </c>
      <c r="O15" s="5">
        <v>3950</v>
      </c>
      <c r="P15" s="5">
        <v>5000</v>
      </c>
      <c r="Q15" s="13">
        <v>36300</v>
      </c>
      <c r="R15" t="s">
        <v>141</v>
      </c>
      <c r="S15" t="s">
        <v>76</v>
      </c>
      <c r="T15" s="5">
        <v>6650</v>
      </c>
      <c r="U15" s="6">
        <v>5</v>
      </c>
      <c r="V15" t="s">
        <v>64</v>
      </c>
      <c r="W15" s="4"/>
      <c r="X15" t="s">
        <v>65</v>
      </c>
      <c r="Y15" t="s">
        <v>64</v>
      </c>
      <c r="Z15" t="s">
        <v>107</v>
      </c>
      <c r="AA15" t="str">
        <f>VLOOKUP(H15,Departments!$A:$B,2,0)</f>
        <v>Obstetrics</v>
      </c>
      <c r="AB15" t="str">
        <f>VLOOKUP(J15,Diagnosis_Guide!$A:$B,2,0)</f>
        <v>Antenatal Complication</v>
      </c>
      <c r="AC15" s="4" t="str">
        <f>VLOOKUP(J15,Diagnosis_Guide!$A:$C,3,0)</f>
        <v>Maternal Health</v>
      </c>
      <c r="AD15" s="4" t="str">
        <f>VLOOKUP(R15,Insurance_Plans!$A:$C,3,0)</f>
        <v>Private</v>
      </c>
      <c r="AE15" s="13">
        <f t="shared" si="0"/>
        <v>1815</v>
      </c>
      <c r="AF15" s="13">
        <f t="shared" si="1"/>
        <v>38115</v>
      </c>
      <c r="AG15" s="4" t="str">
        <f t="shared" si="2"/>
        <v>High</v>
      </c>
    </row>
    <row r="16" spans="1:33">
      <c r="A16" t="s">
        <v>153</v>
      </c>
      <c r="B16" t="s">
        <v>154</v>
      </c>
      <c r="C16" s="11">
        <v>46045</v>
      </c>
      <c r="D16" t="s">
        <v>137</v>
      </c>
      <c r="E16" t="s">
        <v>56</v>
      </c>
      <c r="F16" s="4"/>
      <c r="G16" s="4"/>
      <c r="H16" t="s">
        <v>82</v>
      </c>
      <c r="I16" t="s">
        <v>155</v>
      </c>
      <c r="J16" t="s">
        <v>156</v>
      </c>
      <c r="K16" t="s">
        <v>93</v>
      </c>
      <c r="L16" t="s">
        <v>61</v>
      </c>
      <c r="M16" s="5"/>
      <c r="N16" s="5"/>
      <c r="O16" s="5"/>
      <c r="P16" s="5"/>
      <c r="R16" t="s">
        <v>141</v>
      </c>
      <c r="S16" t="s">
        <v>63</v>
      </c>
      <c r="T16" s="5"/>
      <c r="U16" s="6"/>
      <c r="V16" t="s">
        <v>64</v>
      </c>
      <c r="W16" s="4"/>
      <c r="X16" t="s">
        <v>65</v>
      </c>
      <c r="Z16" t="s">
        <v>66</v>
      </c>
      <c r="AA16" t="str">
        <f>VLOOKUP(H16,Departments!$A:$B,2,0)</f>
        <v>Orthopedics</v>
      </c>
      <c r="AB16" t="str">
        <f>VLOOKUP(J16,Diagnosis_Guide!$A:$B,2,0)</f>
        <v>Spinal Injury</v>
      </c>
      <c r="AC16" s="4" t="str">
        <f>VLOOKUP(J16,Diagnosis_Guide!$A:$C,3,0)</f>
        <v>Musculoskeletal</v>
      </c>
      <c r="AD16" s="4" t="str">
        <f>VLOOKUP(R16,Insurance_Plans!$A:$C,3,0)</f>
        <v>Private</v>
      </c>
      <c r="AE16" s="13" t="str">
        <f t="shared" si="0"/>
        <v/>
      </c>
      <c r="AF16" s="13" t="str">
        <f t="shared" si="1"/>
        <v/>
      </c>
      <c r="AG16" s="4" t="str">
        <f t="shared" si="2"/>
        <v>Not Available</v>
      </c>
    </row>
    <row r="17" spans="1:33">
      <c r="A17" t="s">
        <v>157</v>
      </c>
      <c r="B17" t="s">
        <v>158</v>
      </c>
      <c r="C17" s="11">
        <v>46061</v>
      </c>
      <c r="D17" t="s">
        <v>69</v>
      </c>
      <c r="E17" t="s">
        <v>70</v>
      </c>
      <c r="F17" s="4">
        <v>46061</v>
      </c>
      <c r="G17" s="4">
        <v>46064</v>
      </c>
      <c r="H17" t="s">
        <v>57</v>
      </c>
      <c r="I17" t="s">
        <v>58</v>
      </c>
      <c r="J17" t="s">
        <v>59</v>
      </c>
      <c r="K17" t="s">
        <v>93</v>
      </c>
      <c r="L17" t="s">
        <v>74</v>
      </c>
      <c r="M17" s="5">
        <v>39000</v>
      </c>
      <c r="N17" s="5">
        <v>3850</v>
      </c>
      <c r="O17" s="5">
        <v>4050</v>
      </c>
      <c r="P17" s="5">
        <v>9000</v>
      </c>
      <c r="Q17" s="13">
        <v>58400</v>
      </c>
      <c r="R17" t="s">
        <v>95</v>
      </c>
      <c r="S17" t="s">
        <v>63</v>
      </c>
      <c r="T17" s="5">
        <v>58400</v>
      </c>
      <c r="U17" s="6">
        <v>5</v>
      </c>
      <c r="V17" t="s">
        <v>77</v>
      </c>
      <c r="W17" s="4">
        <v>46076</v>
      </c>
      <c r="X17" t="s">
        <v>77</v>
      </c>
      <c r="Y17" t="s">
        <v>64</v>
      </c>
      <c r="Z17" t="s">
        <v>78</v>
      </c>
      <c r="AA17" t="str">
        <f>VLOOKUP(H17,Departments!$A:$B,2,0)</f>
        <v>Pulmonology</v>
      </c>
      <c r="AB17" t="str">
        <f>VLOOKUP(J17,Diagnosis_Guide!$A:$B,2,0)</f>
        <v>Pneumonia</v>
      </c>
      <c r="AC17" s="4" t="str">
        <f>VLOOKUP(J17,Diagnosis_Guide!$A:$C,3,0)</f>
        <v>Respiratory</v>
      </c>
      <c r="AD17" s="4" t="str">
        <f>VLOOKUP(R17,Insurance_Plans!$A:$C,3,0)</f>
        <v>Self-Pay</v>
      </c>
      <c r="AE17" s="13">
        <f t="shared" si="0"/>
        <v>2920</v>
      </c>
      <c r="AF17" s="13">
        <f t="shared" si="1"/>
        <v>61320</v>
      </c>
      <c r="AG17" s="4" t="str">
        <f t="shared" si="2"/>
        <v>High</v>
      </c>
    </row>
    <row r="18" spans="1:33">
      <c r="A18" t="s">
        <v>159</v>
      </c>
      <c r="B18" t="s">
        <v>160</v>
      </c>
      <c r="C18" s="11">
        <v>46066</v>
      </c>
      <c r="D18" t="s">
        <v>161</v>
      </c>
      <c r="E18" t="s">
        <v>70</v>
      </c>
      <c r="F18" s="4">
        <v>46066</v>
      </c>
      <c r="G18" s="4">
        <v>46074</v>
      </c>
      <c r="H18" t="s">
        <v>90</v>
      </c>
      <c r="I18" t="s">
        <v>162</v>
      </c>
      <c r="J18" t="s">
        <v>92</v>
      </c>
      <c r="K18" t="s">
        <v>93</v>
      </c>
      <c r="L18" t="s">
        <v>94</v>
      </c>
      <c r="M18" s="5">
        <v>55900</v>
      </c>
      <c r="N18" s="5">
        <v>5400</v>
      </c>
      <c r="O18" s="5">
        <v>13350</v>
      </c>
      <c r="P18" s="5">
        <v>48000</v>
      </c>
      <c r="Q18" s="13">
        <v>123850</v>
      </c>
      <c r="R18" t="s">
        <v>106</v>
      </c>
      <c r="S18" t="s">
        <v>163</v>
      </c>
      <c r="T18" s="5">
        <v>44050</v>
      </c>
      <c r="U18" s="6">
        <v>3</v>
      </c>
      <c r="V18" t="s">
        <v>64</v>
      </c>
      <c r="W18" s="4"/>
      <c r="X18" t="s">
        <v>65</v>
      </c>
      <c r="Y18" t="s">
        <v>64</v>
      </c>
      <c r="Z18" t="s">
        <v>96</v>
      </c>
      <c r="AA18" t="str">
        <f>VLOOKUP(H18,Departments!$A:$B,2,0)</f>
        <v>Cardiology</v>
      </c>
      <c r="AB18" t="str">
        <f>VLOOKUP(J18,Diagnosis_Guide!$A:$B,2,0)</f>
        <v>Heart Failure</v>
      </c>
      <c r="AC18" s="4" t="str">
        <f>VLOOKUP(J18,Diagnosis_Guide!$A:$C,3,0)</f>
        <v>Cardiovascular</v>
      </c>
      <c r="AD18" s="4" t="str">
        <f>VLOOKUP(R18,Insurance_Plans!$A:$C,3,0)</f>
        <v>Private</v>
      </c>
      <c r="AE18" s="13">
        <f t="shared" si="0"/>
        <v>6192.5</v>
      </c>
      <c r="AF18" s="13">
        <f t="shared" si="1"/>
        <v>130042.5</v>
      </c>
      <c r="AG18" s="4" t="str">
        <f t="shared" si="2"/>
        <v>Medium</v>
      </c>
    </row>
    <row r="19" spans="1:33">
      <c r="A19" t="s">
        <v>164</v>
      </c>
      <c r="B19" t="s">
        <v>165</v>
      </c>
      <c r="C19" s="11">
        <v>46031</v>
      </c>
      <c r="D19" t="s">
        <v>149</v>
      </c>
      <c r="E19" t="s">
        <v>70</v>
      </c>
      <c r="F19" s="4">
        <v>46031</v>
      </c>
      <c r="G19" s="4">
        <v>46033</v>
      </c>
      <c r="H19" t="s">
        <v>82</v>
      </c>
      <c r="I19" t="s">
        <v>83</v>
      </c>
      <c r="J19" t="s">
        <v>84</v>
      </c>
      <c r="K19" t="s">
        <v>73</v>
      </c>
      <c r="L19" t="s">
        <v>146</v>
      </c>
      <c r="M19" s="5">
        <v>10000</v>
      </c>
      <c r="N19" s="5">
        <v>1550</v>
      </c>
      <c r="O19" s="5">
        <v>2400</v>
      </c>
      <c r="P19" s="5">
        <v>7000</v>
      </c>
      <c r="Q19" s="13">
        <v>22750</v>
      </c>
      <c r="R19" t="s">
        <v>75</v>
      </c>
      <c r="S19" t="s">
        <v>163</v>
      </c>
      <c r="T19" s="5">
        <v>10540</v>
      </c>
      <c r="U19" s="6">
        <v>4</v>
      </c>
      <c r="V19" t="s">
        <v>64</v>
      </c>
      <c r="W19" s="4"/>
      <c r="X19" t="s">
        <v>65</v>
      </c>
      <c r="Y19" t="s">
        <v>64</v>
      </c>
      <c r="Z19" t="s">
        <v>96</v>
      </c>
      <c r="AA19" t="str">
        <f>VLOOKUP(H19,Departments!$A:$B,2,0)</f>
        <v>Orthopedics</v>
      </c>
      <c r="AB19" t="str">
        <f>VLOOKUP(J19,Diagnosis_Guide!$A:$B,2,0)</f>
        <v>Joint Pain</v>
      </c>
      <c r="AC19" s="4" t="str">
        <f>VLOOKUP(J19,Diagnosis_Guide!$A:$C,3,0)</f>
        <v>Musculoskeletal</v>
      </c>
      <c r="AD19" s="4" t="str">
        <f>VLOOKUP(R19,Insurance_Plans!$A:$C,3,0)</f>
        <v>Public</v>
      </c>
      <c r="AE19" s="13">
        <f t="shared" si="0"/>
        <v>1137.5</v>
      </c>
      <c r="AF19" s="13">
        <f t="shared" si="1"/>
        <v>23887.5</v>
      </c>
      <c r="AG19" s="4" t="str">
        <f t="shared" si="2"/>
        <v>High</v>
      </c>
    </row>
    <row r="20" spans="1:33">
      <c r="A20" t="s">
        <v>166</v>
      </c>
      <c r="B20" t="s">
        <v>167</v>
      </c>
      <c r="C20" s="11">
        <v>46136</v>
      </c>
      <c r="D20" t="s">
        <v>168</v>
      </c>
      <c r="E20" t="s">
        <v>70</v>
      </c>
      <c r="F20" s="4">
        <v>46136</v>
      </c>
      <c r="G20" s="4">
        <v>46144</v>
      </c>
      <c r="H20" t="s">
        <v>57</v>
      </c>
      <c r="I20" t="s">
        <v>169</v>
      </c>
      <c r="J20" t="s">
        <v>170</v>
      </c>
      <c r="K20" t="s">
        <v>124</v>
      </c>
      <c r="L20" t="s">
        <v>61</v>
      </c>
      <c r="M20" s="5">
        <v>63500</v>
      </c>
      <c r="N20" s="5">
        <v>6500</v>
      </c>
      <c r="O20" s="5">
        <v>9750</v>
      </c>
      <c r="P20" s="5">
        <v>28000</v>
      </c>
      <c r="Q20" s="13">
        <v>108550</v>
      </c>
      <c r="R20" t="s">
        <v>75</v>
      </c>
      <c r="S20" t="s">
        <v>76</v>
      </c>
      <c r="T20" s="5">
        <v>49150</v>
      </c>
      <c r="U20" s="6"/>
      <c r="V20" t="s">
        <v>77</v>
      </c>
      <c r="W20" s="4">
        <v>46154</v>
      </c>
      <c r="X20" t="s">
        <v>64</v>
      </c>
      <c r="Y20" t="s">
        <v>64</v>
      </c>
      <c r="Z20" t="s">
        <v>78</v>
      </c>
      <c r="AA20" t="str">
        <f>VLOOKUP(H20,Departments!$A:$B,2,0)</f>
        <v>Pulmonology</v>
      </c>
      <c r="AB20" t="str">
        <f>VLOOKUP(J20,Diagnosis_Guide!$A:$B,2,0)</f>
        <v>COPD Exacerbation</v>
      </c>
      <c r="AC20" s="4" t="str">
        <f>VLOOKUP(J20,Diagnosis_Guide!$A:$C,3,0)</f>
        <v>Respiratory</v>
      </c>
      <c r="AD20" s="4" t="str">
        <f>VLOOKUP(R20,Insurance_Plans!$A:$C,3,0)</f>
        <v>Public</v>
      </c>
      <c r="AE20" s="13">
        <f t="shared" si="0"/>
        <v>5427.5</v>
      </c>
      <c r="AF20" s="13">
        <f t="shared" si="1"/>
        <v>113977.5</v>
      </c>
      <c r="AG20" s="4" t="str">
        <f t="shared" si="2"/>
        <v>Not Available</v>
      </c>
    </row>
    <row r="21" spans="1:33">
      <c r="A21" t="s">
        <v>171</v>
      </c>
      <c r="B21" t="s">
        <v>172</v>
      </c>
      <c r="C21" s="11">
        <v>46104</v>
      </c>
      <c r="D21" t="s">
        <v>173</v>
      </c>
      <c r="E21" t="s">
        <v>56</v>
      </c>
      <c r="F21" s="4"/>
      <c r="G21" s="4"/>
      <c r="H21" t="s">
        <v>121</v>
      </c>
      <c r="I21" t="s">
        <v>174</v>
      </c>
      <c r="J21" t="s">
        <v>123</v>
      </c>
      <c r="K21" t="s">
        <v>60</v>
      </c>
      <c r="L21" t="s">
        <v>94</v>
      </c>
      <c r="M21" s="5"/>
      <c r="N21" s="5"/>
      <c r="O21" s="5"/>
      <c r="P21" s="5"/>
      <c r="R21" t="s">
        <v>141</v>
      </c>
      <c r="S21" t="s">
        <v>63</v>
      </c>
      <c r="T21" s="5"/>
      <c r="U21" s="6"/>
      <c r="V21" t="s">
        <v>64</v>
      </c>
      <c r="W21" s="4"/>
      <c r="X21" t="s">
        <v>65</v>
      </c>
      <c r="Z21" t="s">
        <v>66</v>
      </c>
      <c r="AA21" t="str">
        <f>VLOOKUP(H21,Departments!$A:$B,2,0)</f>
        <v>Neurology</v>
      </c>
      <c r="AB21" t="str">
        <f>VLOOKUP(J21,Diagnosis_Guide!$A:$B,2,0)</f>
        <v>Seizure Episode</v>
      </c>
      <c r="AC21" s="4" t="str">
        <f>VLOOKUP(J21,Diagnosis_Guide!$A:$C,3,0)</f>
        <v>Neurological</v>
      </c>
      <c r="AD21" s="4" t="str">
        <f>VLOOKUP(R21,Insurance_Plans!$A:$C,3,0)</f>
        <v>Private</v>
      </c>
      <c r="AE21" s="13" t="str">
        <f t="shared" si="0"/>
        <v/>
      </c>
      <c r="AF21" s="13" t="str">
        <f t="shared" si="1"/>
        <v/>
      </c>
      <c r="AG21" s="4" t="str">
        <f t="shared" si="2"/>
        <v>Not Available</v>
      </c>
    </row>
    <row r="22" spans="1:33">
      <c r="A22" t="s">
        <v>175</v>
      </c>
      <c r="B22" t="s">
        <v>176</v>
      </c>
      <c r="C22" s="11">
        <v>46111</v>
      </c>
      <c r="D22" t="s">
        <v>149</v>
      </c>
      <c r="E22" t="s">
        <v>177</v>
      </c>
      <c r="F22" s="4"/>
      <c r="G22" s="4"/>
      <c r="H22" t="s">
        <v>178</v>
      </c>
      <c r="I22" t="s">
        <v>179</v>
      </c>
      <c r="J22" t="s">
        <v>180</v>
      </c>
      <c r="K22" t="s">
        <v>93</v>
      </c>
      <c r="L22" t="s">
        <v>94</v>
      </c>
      <c r="M22" s="5"/>
      <c r="N22" s="5"/>
      <c r="O22" s="5"/>
      <c r="P22" s="5"/>
      <c r="R22" t="s">
        <v>85</v>
      </c>
      <c r="S22" t="s">
        <v>63</v>
      </c>
      <c r="T22" s="5"/>
      <c r="U22" s="6"/>
      <c r="V22" t="s">
        <v>64</v>
      </c>
      <c r="W22" s="4"/>
      <c r="X22" t="s">
        <v>65</v>
      </c>
      <c r="Z22" t="s">
        <v>66</v>
      </c>
      <c r="AA22" t="str">
        <f>VLOOKUP(H22,Departments!$A:$B,2,0)</f>
        <v>Surgery</v>
      </c>
      <c r="AB22" t="str">
        <f>VLOOKUP(J22,Diagnosis_Guide!$A:$B,2,0)</f>
        <v>Appendicitis Surgery</v>
      </c>
      <c r="AC22" s="4" t="str">
        <f>VLOOKUP(J22,Diagnosis_Guide!$A:$C,3,0)</f>
        <v>Surgical</v>
      </c>
      <c r="AD22" s="4" t="str">
        <f>VLOOKUP(R22,Insurance_Plans!$A:$C,3,0)</f>
        <v>Employer</v>
      </c>
      <c r="AE22" s="13" t="str">
        <f t="shared" si="0"/>
        <v/>
      </c>
      <c r="AF22" s="13" t="str">
        <f t="shared" si="1"/>
        <v/>
      </c>
      <c r="AG22" s="4" t="str">
        <f t="shared" si="2"/>
        <v>Not Available</v>
      </c>
    </row>
    <row r="23" spans="1:33">
      <c r="A23" t="s">
        <v>181</v>
      </c>
      <c r="B23" t="s">
        <v>182</v>
      </c>
      <c r="C23" s="11">
        <v>46064</v>
      </c>
      <c r="D23" t="s">
        <v>183</v>
      </c>
      <c r="E23" t="s">
        <v>70</v>
      </c>
      <c r="F23" s="4">
        <v>46064</v>
      </c>
      <c r="G23" s="4">
        <v>46068</v>
      </c>
      <c r="H23" t="s">
        <v>57</v>
      </c>
      <c r="I23" t="s">
        <v>184</v>
      </c>
      <c r="J23" t="s">
        <v>170</v>
      </c>
      <c r="K23" t="s">
        <v>73</v>
      </c>
      <c r="L23" t="s">
        <v>61</v>
      </c>
      <c r="M23" s="5">
        <v>54800</v>
      </c>
      <c r="N23" s="5">
        <v>9500</v>
      </c>
      <c r="O23" s="5">
        <v>10350</v>
      </c>
      <c r="P23" s="5">
        <v>18000</v>
      </c>
      <c r="Q23" s="13">
        <v>93850</v>
      </c>
      <c r="R23" t="s">
        <v>75</v>
      </c>
      <c r="S23" t="s">
        <v>76</v>
      </c>
      <c r="T23" s="5">
        <v>42530</v>
      </c>
      <c r="U23" s="6">
        <v>5</v>
      </c>
      <c r="V23" t="s">
        <v>64</v>
      </c>
      <c r="W23" s="4"/>
      <c r="X23" t="s">
        <v>65</v>
      </c>
      <c r="Y23" t="s">
        <v>64</v>
      </c>
      <c r="Z23" t="s">
        <v>96</v>
      </c>
      <c r="AA23" t="str">
        <f>VLOOKUP(H23,Departments!$A:$B,2,0)</f>
        <v>Pulmonology</v>
      </c>
      <c r="AB23" t="str">
        <f>VLOOKUP(J23,Diagnosis_Guide!$A:$B,2,0)</f>
        <v>COPD Exacerbation</v>
      </c>
      <c r="AC23" s="4" t="str">
        <f>VLOOKUP(J23,Diagnosis_Guide!$A:$C,3,0)</f>
        <v>Respiratory</v>
      </c>
      <c r="AD23" s="4" t="str">
        <f>VLOOKUP(R23,Insurance_Plans!$A:$C,3,0)</f>
        <v>Public</v>
      </c>
      <c r="AE23" s="13">
        <f t="shared" si="0"/>
        <v>4692.5</v>
      </c>
      <c r="AF23" s="13">
        <f t="shared" si="1"/>
        <v>98542.5</v>
      </c>
      <c r="AG23" s="4" t="str">
        <f t="shared" si="2"/>
        <v>High</v>
      </c>
    </row>
    <row r="24" spans="1:33">
      <c r="A24" t="s">
        <v>185</v>
      </c>
      <c r="B24" t="s">
        <v>186</v>
      </c>
      <c r="C24" s="11">
        <v>46172</v>
      </c>
      <c r="D24" t="s">
        <v>55</v>
      </c>
      <c r="E24" t="s">
        <v>70</v>
      </c>
      <c r="F24" s="4">
        <v>46172</v>
      </c>
      <c r="G24" s="4">
        <v>46184</v>
      </c>
      <c r="H24" t="s">
        <v>150</v>
      </c>
      <c r="I24" t="s">
        <v>187</v>
      </c>
      <c r="J24" t="s">
        <v>188</v>
      </c>
      <c r="K24" t="s">
        <v>73</v>
      </c>
      <c r="L24" t="s">
        <v>61</v>
      </c>
      <c r="M24" s="5">
        <v>103400</v>
      </c>
      <c r="N24" s="5">
        <v>16900</v>
      </c>
      <c r="O24" s="5">
        <v>17650</v>
      </c>
      <c r="P24" s="5">
        <v>42000</v>
      </c>
      <c r="Q24" s="13">
        <v>182450</v>
      </c>
      <c r="R24" t="s">
        <v>141</v>
      </c>
      <c r="S24" t="s">
        <v>76</v>
      </c>
      <c r="T24" s="5">
        <v>28570</v>
      </c>
      <c r="U24" s="6">
        <v>3</v>
      </c>
      <c r="V24" t="s">
        <v>77</v>
      </c>
      <c r="W24" s="4">
        <v>46194</v>
      </c>
      <c r="X24" t="s">
        <v>77</v>
      </c>
      <c r="Y24" t="s">
        <v>64</v>
      </c>
      <c r="Z24" t="s">
        <v>96</v>
      </c>
      <c r="AA24" t="str">
        <f>VLOOKUP(H24,Departments!$A:$B,2,0)</f>
        <v>Obstetrics</v>
      </c>
      <c r="AB24" t="str">
        <f>VLOOKUP(J24,Diagnosis_Guide!$A:$B,2,0)</f>
        <v>Emergency C-Section</v>
      </c>
      <c r="AC24" s="4" t="str">
        <f>VLOOKUP(J24,Diagnosis_Guide!$A:$C,3,0)</f>
        <v>Maternal Health</v>
      </c>
      <c r="AD24" s="4" t="str">
        <f>VLOOKUP(R24,Insurance_Plans!$A:$C,3,0)</f>
        <v>Private</v>
      </c>
      <c r="AE24" s="13">
        <f t="shared" si="0"/>
        <v>9122.5</v>
      </c>
      <c r="AF24" s="13">
        <f t="shared" si="1"/>
        <v>191572.5</v>
      </c>
      <c r="AG24" s="4" t="str">
        <f t="shared" si="2"/>
        <v>Medium</v>
      </c>
    </row>
    <row r="25" spans="1:33">
      <c r="A25" t="s">
        <v>189</v>
      </c>
      <c r="B25" t="s">
        <v>190</v>
      </c>
      <c r="C25" s="11">
        <v>46053</v>
      </c>
      <c r="D25" t="s">
        <v>168</v>
      </c>
      <c r="E25" t="s">
        <v>191</v>
      </c>
      <c r="F25" s="4"/>
      <c r="G25" s="4"/>
      <c r="H25" t="s">
        <v>57</v>
      </c>
      <c r="I25" t="s">
        <v>58</v>
      </c>
      <c r="J25" t="s">
        <v>59</v>
      </c>
      <c r="K25" t="s">
        <v>60</v>
      </c>
      <c r="L25" t="s">
        <v>74</v>
      </c>
      <c r="M25" s="5"/>
      <c r="N25" s="5"/>
      <c r="O25" s="5"/>
      <c r="P25" s="5"/>
      <c r="R25" t="s">
        <v>62</v>
      </c>
      <c r="S25" t="s">
        <v>63</v>
      </c>
      <c r="T25" s="5"/>
      <c r="U25" s="6"/>
      <c r="V25" t="s">
        <v>64</v>
      </c>
      <c r="W25" s="4"/>
      <c r="X25" t="s">
        <v>65</v>
      </c>
      <c r="Z25" t="s">
        <v>66</v>
      </c>
      <c r="AA25" t="str">
        <f>VLOOKUP(H25,Departments!$A:$B,2,0)</f>
        <v>Pulmonology</v>
      </c>
      <c r="AB25" t="str">
        <f>VLOOKUP(J25,Diagnosis_Guide!$A:$B,2,0)</f>
        <v>Pneumonia</v>
      </c>
      <c r="AC25" s="4" t="str">
        <f>VLOOKUP(J25,Diagnosis_Guide!$A:$C,3,0)</f>
        <v>Respiratory</v>
      </c>
      <c r="AD25" s="4" t="str">
        <f>VLOOKUP(R25,Insurance_Plans!$A:$C,3,0)</f>
        <v>Public</v>
      </c>
      <c r="AE25" s="13" t="str">
        <f t="shared" si="0"/>
        <v/>
      </c>
      <c r="AF25" s="13" t="str">
        <f t="shared" si="1"/>
        <v/>
      </c>
      <c r="AG25" s="4" t="str">
        <f t="shared" si="2"/>
        <v>Not Available</v>
      </c>
    </row>
    <row r="26" spans="1:33">
      <c r="A26" t="s">
        <v>192</v>
      </c>
      <c r="B26" t="s">
        <v>193</v>
      </c>
      <c r="C26" s="11">
        <v>46092</v>
      </c>
      <c r="D26" t="s">
        <v>89</v>
      </c>
      <c r="E26" t="s">
        <v>70</v>
      </c>
      <c r="F26" s="4">
        <v>46092</v>
      </c>
      <c r="G26" s="4">
        <v>46092</v>
      </c>
      <c r="H26" t="s">
        <v>82</v>
      </c>
      <c r="I26" t="s">
        <v>194</v>
      </c>
      <c r="J26" t="s">
        <v>84</v>
      </c>
      <c r="K26" t="s">
        <v>93</v>
      </c>
      <c r="L26" t="s">
        <v>61</v>
      </c>
      <c r="M26" s="5">
        <v>7300</v>
      </c>
      <c r="N26" s="5">
        <v>1150</v>
      </c>
      <c r="O26" s="5">
        <v>950</v>
      </c>
      <c r="P26" s="5">
        <v>0</v>
      </c>
      <c r="Q26" s="13">
        <v>11200</v>
      </c>
      <c r="R26" t="s">
        <v>75</v>
      </c>
      <c r="S26" t="s">
        <v>76</v>
      </c>
      <c r="T26" s="5">
        <v>5340</v>
      </c>
      <c r="U26" s="6">
        <v>5</v>
      </c>
      <c r="V26" t="s">
        <v>64</v>
      </c>
      <c r="W26" s="4"/>
      <c r="X26" t="s">
        <v>65</v>
      </c>
      <c r="Y26" t="s">
        <v>64</v>
      </c>
      <c r="Z26" t="s">
        <v>78</v>
      </c>
      <c r="AA26" t="str">
        <f>VLOOKUP(H26,Departments!$A:$B,2,0)</f>
        <v>Orthopedics</v>
      </c>
      <c r="AB26" t="str">
        <f>VLOOKUP(J26,Diagnosis_Guide!$A:$B,2,0)</f>
        <v>Joint Pain</v>
      </c>
      <c r="AC26" s="4" t="str">
        <f>VLOOKUP(J26,Diagnosis_Guide!$A:$C,3,0)</f>
        <v>Musculoskeletal</v>
      </c>
      <c r="AD26" s="4" t="str">
        <f>VLOOKUP(R26,Insurance_Plans!$A:$C,3,0)</f>
        <v>Public</v>
      </c>
      <c r="AE26" s="13">
        <f t="shared" si="0"/>
        <v>560</v>
      </c>
      <c r="AF26" s="13">
        <f t="shared" si="1"/>
        <v>11760</v>
      </c>
      <c r="AG26" s="4" t="str">
        <f t="shared" si="2"/>
        <v>High</v>
      </c>
    </row>
    <row r="27" spans="1:33">
      <c r="A27" t="s">
        <v>195</v>
      </c>
      <c r="B27" t="s">
        <v>196</v>
      </c>
      <c r="C27" s="11">
        <v>46095</v>
      </c>
      <c r="D27" t="s">
        <v>89</v>
      </c>
      <c r="E27" t="s">
        <v>70</v>
      </c>
      <c r="F27" s="4">
        <v>46095</v>
      </c>
      <c r="G27" s="4">
        <v>46097</v>
      </c>
      <c r="H27" t="s">
        <v>90</v>
      </c>
      <c r="I27" t="s">
        <v>133</v>
      </c>
      <c r="J27" t="s">
        <v>197</v>
      </c>
      <c r="K27" t="s">
        <v>93</v>
      </c>
      <c r="L27" t="s">
        <v>61</v>
      </c>
      <c r="M27" s="5">
        <v>14800</v>
      </c>
      <c r="N27" s="5">
        <v>1500</v>
      </c>
      <c r="O27" s="5">
        <v>1900</v>
      </c>
      <c r="P27" s="5">
        <v>12000</v>
      </c>
      <c r="Q27" s="13">
        <v>32200</v>
      </c>
      <c r="R27" t="s">
        <v>85</v>
      </c>
      <c r="S27" t="s">
        <v>86</v>
      </c>
      <c r="T27" s="5">
        <v>8950</v>
      </c>
      <c r="U27" s="6">
        <v>5</v>
      </c>
      <c r="V27" t="s">
        <v>64</v>
      </c>
      <c r="W27" s="4"/>
      <c r="X27" t="s">
        <v>65</v>
      </c>
      <c r="Y27" t="s">
        <v>64</v>
      </c>
      <c r="Z27" t="s">
        <v>107</v>
      </c>
      <c r="AA27" t="str">
        <f>VLOOKUP(H27,Departments!$A:$B,2,0)</f>
        <v>Cardiology</v>
      </c>
      <c r="AB27" t="str">
        <f>VLOOKUP(J27,Diagnosis_Guide!$A:$B,2,0)</f>
        <v>Chest Pain</v>
      </c>
      <c r="AC27" s="4" t="str">
        <f>VLOOKUP(J27,Diagnosis_Guide!$A:$C,3,0)</f>
        <v>Cardiovascular</v>
      </c>
      <c r="AD27" s="4" t="str">
        <f>VLOOKUP(R27,Insurance_Plans!$A:$C,3,0)</f>
        <v>Employer</v>
      </c>
      <c r="AE27" s="13">
        <f t="shared" si="0"/>
        <v>1610</v>
      </c>
      <c r="AF27" s="13">
        <f t="shared" si="1"/>
        <v>33810</v>
      </c>
      <c r="AG27" s="4" t="str">
        <f t="shared" si="2"/>
        <v>High</v>
      </c>
    </row>
    <row r="28" spans="1:33">
      <c r="A28" t="s">
        <v>198</v>
      </c>
      <c r="B28" t="s">
        <v>199</v>
      </c>
      <c r="C28" s="11">
        <v>46112</v>
      </c>
      <c r="D28" t="s">
        <v>200</v>
      </c>
      <c r="E28" t="s">
        <v>70</v>
      </c>
      <c r="F28" s="4">
        <v>46112</v>
      </c>
      <c r="G28" s="4">
        <v>46112</v>
      </c>
      <c r="H28" t="s">
        <v>201</v>
      </c>
      <c r="I28" t="s">
        <v>202</v>
      </c>
      <c r="J28" t="s">
        <v>203</v>
      </c>
      <c r="K28" t="s">
        <v>60</v>
      </c>
      <c r="L28" t="s">
        <v>74</v>
      </c>
      <c r="M28" s="5">
        <v>33000</v>
      </c>
      <c r="N28" s="5">
        <v>4950</v>
      </c>
      <c r="O28" s="5">
        <v>6700</v>
      </c>
      <c r="P28" s="5">
        <v>0</v>
      </c>
      <c r="Q28" s="13">
        <v>47150</v>
      </c>
      <c r="R28" t="s">
        <v>106</v>
      </c>
      <c r="S28" t="s">
        <v>76</v>
      </c>
      <c r="T28" s="5">
        <v>17200</v>
      </c>
      <c r="U28" s="6">
        <v>4</v>
      </c>
      <c r="V28" t="s">
        <v>64</v>
      </c>
      <c r="W28" s="4"/>
      <c r="X28" t="s">
        <v>65</v>
      </c>
      <c r="Y28" t="s">
        <v>64</v>
      </c>
      <c r="Z28" t="s">
        <v>107</v>
      </c>
      <c r="AA28" t="str">
        <f>VLOOKUP(H28,Departments!$A:$B,2,0)</f>
        <v>Emergency</v>
      </c>
      <c r="AB28" t="str">
        <f>VLOOKUP(J28,Diagnosis_Guide!$A:$B,2,0)</f>
        <v>Trauma Observation</v>
      </c>
      <c r="AC28" s="4" t="str">
        <f>VLOOKUP(J28,Diagnosis_Guide!$A:$C,3,0)</f>
        <v>Emergency</v>
      </c>
      <c r="AD28" s="4" t="str">
        <f>VLOOKUP(R28,Insurance_Plans!$A:$C,3,0)</f>
        <v>Private</v>
      </c>
      <c r="AE28" s="13">
        <f t="shared" si="0"/>
        <v>2357.5</v>
      </c>
      <c r="AF28" s="13">
        <f t="shared" si="1"/>
        <v>49507.5</v>
      </c>
      <c r="AG28" s="4" t="str">
        <f t="shared" si="2"/>
        <v>High</v>
      </c>
    </row>
    <row r="29" spans="1:33">
      <c r="A29" t="s">
        <v>204</v>
      </c>
      <c r="B29" t="s">
        <v>205</v>
      </c>
      <c r="C29" s="11">
        <v>46053</v>
      </c>
      <c r="D29" t="s">
        <v>206</v>
      </c>
      <c r="E29" t="s">
        <v>70</v>
      </c>
      <c r="F29" s="4">
        <v>46053</v>
      </c>
      <c r="G29" s="4">
        <v>46058</v>
      </c>
      <c r="H29" t="s">
        <v>103</v>
      </c>
      <c r="I29" t="s">
        <v>207</v>
      </c>
      <c r="J29" t="s">
        <v>105</v>
      </c>
      <c r="K29" t="s">
        <v>73</v>
      </c>
      <c r="L29" t="s">
        <v>94</v>
      </c>
      <c r="M29" s="5">
        <v>42700</v>
      </c>
      <c r="N29" s="5">
        <v>7250</v>
      </c>
      <c r="O29" s="5">
        <v>5450</v>
      </c>
      <c r="P29" s="5">
        <v>17500</v>
      </c>
      <c r="Q29" s="13">
        <v>74400</v>
      </c>
      <c r="R29" t="s">
        <v>75</v>
      </c>
      <c r="S29" t="s">
        <v>76</v>
      </c>
      <c r="T29" s="5">
        <v>33780</v>
      </c>
      <c r="U29" s="6">
        <v>4</v>
      </c>
      <c r="V29" t="s">
        <v>77</v>
      </c>
      <c r="W29" s="4">
        <v>46069</v>
      </c>
      <c r="X29" t="s">
        <v>64</v>
      </c>
      <c r="Y29" t="s">
        <v>64</v>
      </c>
      <c r="Z29" t="s">
        <v>107</v>
      </c>
      <c r="AA29" t="str">
        <f>VLOOKUP(H29,Departments!$A:$B,2,0)</f>
        <v>Nephrology</v>
      </c>
      <c r="AB29" t="str">
        <f>VLOOKUP(J29,Diagnosis_Guide!$A:$B,2,0)</f>
        <v>Dialysis Complication</v>
      </c>
      <c r="AC29" s="4" t="str">
        <f>VLOOKUP(J29,Diagnosis_Guide!$A:$C,3,0)</f>
        <v>Renal</v>
      </c>
      <c r="AD29" s="4" t="str">
        <f>VLOOKUP(R29,Insurance_Plans!$A:$C,3,0)</f>
        <v>Public</v>
      </c>
      <c r="AE29" s="13">
        <f t="shared" si="0"/>
        <v>3720</v>
      </c>
      <c r="AF29" s="13">
        <f t="shared" si="1"/>
        <v>78120</v>
      </c>
      <c r="AG29" s="4" t="str">
        <f t="shared" si="2"/>
        <v>High</v>
      </c>
    </row>
    <row r="30" spans="1:33">
      <c r="A30" t="s">
        <v>208</v>
      </c>
      <c r="B30" t="s">
        <v>209</v>
      </c>
      <c r="C30" s="11">
        <v>46078</v>
      </c>
      <c r="D30" t="s">
        <v>210</v>
      </c>
      <c r="E30" t="s">
        <v>70</v>
      </c>
      <c r="F30" s="4">
        <v>46078</v>
      </c>
      <c r="G30" s="4">
        <v>46085</v>
      </c>
      <c r="H30" t="s">
        <v>57</v>
      </c>
      <c r="I30" t="s">
        <v>211</v>
      </c>
      <c r="J30" t="s">
        <v>59</v>
      </c>
      <c r="K30" t="s">
        <v>124</v>
      </c>
      <c r="L30" t="s">
        <v>61</v>
      </c>
      <c r="M30" s="5">
        <v>57700</v>
      </c>
      <c r="N30" s="5">
        <v>8650</v>
      </c>
      <c r="O30" s="5">
        <v>7350</v>
      </c>
      <c r="P30" s="5">
        <v>17500</v>
      </c>
      <c r="Q30" s="13">
        <v>93200</v>
      </c>
      <c r="R30" t="s">
        <v>75</v>
      </c>
      <c r="S30" t="s">
        <v>76</v>
      </c>
      <c r="T30" s="5">
        <v>42240</v>
      </c>
      <c r="U30" s="6">
        <v>3</v>
      </c>
      <c r="V30" t="s">
        <v>77</v>
      </c>
      <c r="W30" s="4">
        <v>46095</v>
      </c>
      <c r="X30" t="s">
        <v>77</v>
      </c>
      <c r="Y30" t="s">
        <v>64</v>
      </c>
      <c r="Z30" t="s">
        <v>96</v>
      </c>
      <c r="AA30" t="str">
        <f>VLOOKUP(H30,Departments!$A:$B,2,0)</f>
        <v>Pulmonology</v>
      </c>
      <c r="AB30" t="str">
        <f>VLOOKUP(J30,Diagnosis_Guide!$A:$B,2,0)</f>
        <v>Pneumonia</v>
      </c>
      <c r="AC30" s="4" t="str">
        <f>VLOOKUP(J30,Diagnosis_Guide!$A:$C,3,0)</f>
        <v>Respiratory</v>
      </c>
      <c r="AD30" s="4" t="str">
        <f>VLOOKUP(R30,Insurance_Plans!$A:$C,3,0)</f>
        <v>Public</v>
      </c>
      <c r="AE30" s="13">
        <f t="shared" si="0"/>
        <v>4660</v>
      </c>
      <c r="AF30" s="13">
        <f t="shared" si="1"/>
        <v>97860</v>
      </c>
      <c r="AG30" s="4" t="str">
        <f t="shared" si="2"/>
        <v>Medium</v>
      </c>
    </row>
    <row r="31" spans="1:33">
      <c r="A31" t="s">
        <v>212</v>
      </c>
      <c r="B31" t="s">
        <v>213</v>
      </c>
      <c r="C31" s="11">
        <v>46106</v>
      </c>
      <c r="D31" t="s">
        <v>132</v>
      </c>
      <c r="E31" t="s">
        <v>70</v>
      </c>
      <c r="F31" s="4">
        <v>46107</v>
      </c>
      <c r="G31" s="4">
        <v>46112</v>
      </c>
      <c r="H31" t="s">
        <v>103</v>
      </c>
      <c r="I31" t="s">
        <v>214</v>
      </c>
      <c r="J31" t="s">
        <v>105</v>
      </c>
      <c r="K31" t="s">
        <v>73</v>
      </c>
      <c r="L31" t="s">
        <v>94</v>
      </c>
      <c r="M31" s="5">
        <v>57600</v>
      </c>
      <c r="N31" s="5">
        <v>9550</v>
      </c>
      <c r="O31" s="5">
        <v>7400</v>
      </c>
      <c r="P31" s="5">
        <v>12500</v>
      </c>
      <c r="Q31" s="13">
        <v>87850</v>
      </c>
      <c r="R31" t="s">
        <v>62</v>
      </c>
      <c r="S31" t="s">
        <v>86</v>
      </c>
      <c r="T31" s="5">
        <v>26760</v>
      </c>
      <c r="U31" s="6">
        <v>3</v>
      </c>
      <c r="V31" t="s">
        <v>64</v>
      </c>
      <c r="W31" s="4"/>
      <c r="X31" t="s">
        <v>65</v>
      </c>
      <c r="Y31" t="s">
        <v>77</v>
      </c>
      <c r="Z31" t="s">
        <v>96</v>
      </c>
      <c r="AA31" t="str">
        <f>VLOOKUP(H31,Departments!$A:$B,2,0)</f>
        <v>Nephrology</v>
      </c>
      <c r="AB31" t="str">
        <f>VLOOKUP(J31,Diagnosis_Guide!$A:$B,2,0)</f>
        <v>Dialysis Complication</v>
      </c>
      <c r="AC31" s="4" t="str">
        <f>VLOOKUP(J31,Diagnosis_Guide!$A:$C,3,0)</f>
        <v>Renal</v>
      </c>
      <c r="AD31" s="4" t="str">
        <f>VLOOKUP(R31,Insurance_Plans!$A:$C,3,0)</f>
        <v>Public</v>
      </c>
      <c r="AE31" s="13">
        <f t="shared" si="0"/>
        <v>4392.5</v>
      </c>
      <c r="AF31" s="13">
        <f t="shared" si="1"/>
        <v>92242.5</v>
      </c>
      <c r="AG31" s="4" t="str">
        <f t="shared" si="2"/>
        <v>Medium</v>
      </c>
    </row>
    <row r="32" spans="1:33">
      <c r="A32" t="s">
        <v>215</v>
      </c>
      <c r="B32" t="s">
        <v>216</v>
      </c>
      <c r="C32" s="11">
        <v>46049</v>
      </c>
      <c r="D32" t="s">
        <v>217</v>
      </c>
      <c r="E32" t="s">
        <v>70</v>
      </c>
      <c r="F32" s="4">
        <v>46050</v>
      </c>
      <c r="G32" s="4">
        <v>46056</v>
      </c>
      <c r="H32" t="s">
        <v>178</v>
      </c>
      <c r="I32" t="s">
        <v>218</v>
      </c>
      <c r="J32" t="s">
        <v>180</v>
      </c>
      <c r="K32" t="s">
        <v>93</v>
      </c>
      <c r="L32" t="s">
        <v>94</v>
      </c>
      <c r="M32" s="5">
        <v>58300</v>
      </c>
      <c r="N32" s="5">
        <v>8800</v>
      </c>
      <c r="O32" s="5">
        <v>10900</v>
      </c>
      <c r="P32" s="5">
        <v>21000</v>
      </c>
      <c r="Q32" s="13">
        <v>100500</v>
      </c>
      <c r="R32" t="s">
        <v>95</v>
      </c>
      <c r="S32" t="s">
        <v>63</v>
      </c>
      <c r="T32" s="5">
        <v>100500</v>
      </c>
      <c r="U32" s="6">
        <v>5</v>
      </c>
      <c r="V32" t="s">
        <v>64</v>
      </c>
      <c r="W32" s="4"/>
      <c r="X32" t="s">
        <v>65</v>
      </c>
      <c r="Y32" t="s">
        <v>64</v>
      </c>
      <c r="Z32" t="s">
        <v>219</v>
      </c>
      <c r="AA32" t="str">
        <f>VLOOKUP(H32,Departments!$A:$B,2,0)</f>
        <v>Surgery</v>
      </c>
      <c r="AB32" t="str">
        <f>VLOOKUP(J32,Diagnosis_Guide!$A:$B,2,0)</f>
        <v>Appendicitis Surgery</v>
      </c>
      <c r="AC32" s="4" t="str">
        <f>VLOOKUP(J32,Diagnosis_Guide!$A:$C,3,0)</f>
        <v>Surgical</v>
      </c>
      <c r="AD32" s="4" t="str">
        <f>VLOOKUP(R32,Insurance_Plans!$A:$C,3,0)</f>
        <v>Self-Pay</v>
      </c>
      <c r="AE32" s="13">
        <f t="shared" si="0"/>
        <v>5025</v>
      </c>
      <c r="AF32" s="13">
        <f t="shared" si="1"/>
        <v>105525</v>
      </c>
      <c r="AG32" s="4" t="str">
        <f t="shared" si="2"/>
        <v>High</v>
      </c>
    </row>
    <row r="33" spans="1:33">
      <c r="A33" t="s">
        <v>220</v>
      </c>
      <c r="B33" t="s">
        <v>221</v>
      </c>
      <c r="C33" s="11">
        <v>46082</v>
      </c>
      <c r="D33" t="s">
        <v>217</v>
      </c>
      <c r="E33" t="s">
        <v>70</v>
      </c>
      <c r="F33" s="4">
        <v>46082</v>
      </c>
      <c r="G33" s="4">
        <v>46083</v>
      </c>
      <c r="H33" t="s">
        <v>111</v>
      </c>
      <c r="I33" t="s">
        <v>222</v>
      </c>
      <c r="J33" t="s">
        <v>113</v>
      </c>
      <c r="K33" t="s">
        <v>60</v>
      </c>
      <c r="L33" t="s">
        <v>61</v>
      </c>
      <c r="M33" s="5">
        <v>23400</v>
      </c>
      <c r="N33" s="5">
        <v>3450</v>
      </c>
      <c r="O33" s="5">
        <v>2900</v>
      </c>
      <c r="P33" s="5">
        <v>6000</v>
      </c>
      <c r="Q33" s="13">
        <v>36750</v>
      </c>
      <c r="R33" t="s">
        <v>85</v>
      </c>
      <c r="S33" t="s">
        <v>76</v>
      </c>
      <c r="T33" s="5">
        <v>10090</v>
      </c>
      <c r="U33" s="6">
        <v>5</v>
      </c>
      <c r="V33" t="s">
        <v>64</v>
      </c>
      <c r="W33" s="4"/>
      <c r="X33" t="s">
        <v>65</v>
      </c>
      <c r="Y33" t="s">
        <v>64</v>
      </c>
      <c r="Z33" t="s">
        <v>96</v>
      </c>
      <c r="AA33" t="str">
        <f>VLOOKUP(H33,Departments!$A:$B,2,0)</f>
        <v>General Medicine</v>
      </c>
      <c r="AB33" t="str">
        <f>VLOOKUP(J33,Diagnosis_Guide!$A:$B,2,0)</f>
        <v>Diabetes Complication</v>
      </c>
      <c r="AC33" s="4" t="str">
        <f>VLOOKUP(J33,Diagnosis_Guide!$A:$C,3,0)</f>
        <v>Endocrine/General</v>
      </c>
      <c r="AD33" s="4" t="str">
        <f>VLOOKUP(R33,Insurance_Plans!$A:$C,3,0)</f>
        <v>Employer</v>
      </c>
      <c r="AE33" s="13">
        <f t="shared" si="0"/>
        <v>1837.5</v>
      </c>
      <c r="AF33" s="13">
        <f t="shared" si="1"/>
        <v>38587.5</v>
      </c>
      <c r="AG33" s="4" t="str">
        <f t="shared" si="2"/>
        <v>High</v>
      </c>
    </row>
    <row r="34" spans="1:33">
      <c r="A34" t="s">
        <v>223</v>
      </c>
      <c r="B34" t="s">
        <v>224</v>
      </c>
      <c r="C34" s="11">
        <v>46162</v>
      </c>
      <c r="D34" t="s">
        <v>225</v>
      </c>
      <c r="E34" t="s">
        <v>177</v>
      </c>
      <c r="F34" s="4"/>
      <c r="G34" s="4"/>
      <c r="H34" t="s">
        <v>57</v>
      </c>
      <c r="I34" t="s">
        <v>211</v>
      </c>
      <c r="J34" t="s">
        <v>170</v>
      </c>
      <c r="K34" t="s">
        <v>124</v>
      </c>
      <c r="L34" t="s">
        <v>61</v>
      </c>
      <c r="M34" s="5"/>
      <c r="N34" s="5"/>
      <c r="O34" s="5"/>
      <c r="P34" s="5"/>
      <c r="R34" t="s">
        <v>85</v>
      </c>
      <c r="S34" t="s">
        <v>63</v>
      </c>
      <c r="T34" s="5"/>
      <c r="U34" s="6"/>
      <c r="V34" t="s">
        <v>64</v>
      </c>
      <c r="W34" s="4"/>
      <c r="X34" t="s">
        <v>65</v>
      </c>
      <c r="Z34" t="s">
        <v>66</v>
      </c>
      <c r="AA34" t="str">
        <f>VLOOKUP(H34,Departments!$A:$B,2,0)</f>
        <v>Pulmonology</v>
      </c>
      <c r="AB34" t="str">
        <f>VLOOKUP(J34,Diagnosis_Guide!$A:$B,2,0)</f>
        <v>COPD Exacerbation</v>
      </c>
      <c r="AC34" s="4" t="str">
        <f>VLOOKUP(J34,Diagnosis_Guide!$A:$C,3,0)</f>
        <v>Respiratory</v>
      </c>
      <c r="AD34" s="4" t="str">
        <f>VLOOKUP(R34,Insurance_Plans!$A:$C,3,0)</f>
        <v>Employer</v>
      </c>
      <c r="AE34" s="13" t="str">
        <f t="shared" si="0"/>
        <v/>
      </c>
      <c r="AF34" s="13" t="str">
        <f t="shared" si="1"/>
        <v/>
      </c>
      <c r="AG34" s="4" t="str">
        <f t="shared" si="2"/>
        <v>Not Available</v>
      </c>
    </row>
    <row r="35" spans="1:33">
      <c r="A35" t="s">
        <v>226</v>
      </c>
      <c r="B35" t="s">
        <v>227</v>
      </c>
      <c r="C35" s="11">
        <v>46140</v>
      </c>
      <c r="D35" t="s">
        <v>225</v>
      </c>
      <c r="E35" t="s">
        <v>70</v>
      </c>
      <c r="F35" s="4">
        <v>46140</v>
      </c>
      <c r="G35" s="4">
        <v>46142</v>
      </c>
      <c r="H35" t="s">
        <v>150</v>
      </c>
      <c r="I35" t="s">
        <v>228</v>
      </c>
      <c r="J35" t="s">
        <v>229</v>
      </c>
      <c r="K35" t="s">
        <v>73</v>
      </c>
      <c r="L35" t="s">
        <v>94</v>
      </c>
      <c r="M35" s="5">
        <v>47900</v>
      </c>
      <c r="N35" s="5">
        <v>6150</v>
      </c>
      <c r="O35" s="5">
        <v>5600</v>
      </c>
      <c r="P35" s="5">
        <v>9000</v>
      </c>
      <c r="Q35" s="13">
        <v>70150</v>
      </c>
      <c r="R35" t="s">
        <v>85</v>
      </c>
      <c r="S35" t="s">
        <v>76</v>
      </c>
      <c r="T35" s="5">
        <v>18440</v>
      </c>
      <c r="U35" s="6">
        <v>4</v>
      </c>
      <c r="V35" t="s">
        <v>64</v>
      </c>
      <c r="W35" s="4"/>
      <c r="X35" t="s">
        <v>65</v>
      </c>
      <c r="Y35" t="s">
        <v>64</v>
      </c>
      <c r="Z35" t="s">
        <v>96</v>
      </c>
      <c r="AA35" t="str">
        <f>VLOOKUP(H35,Departments!$A:$B,2,0)</f>
        <v>Obstetrics</v>
      </c>
      <c r="AB35" t="str">
        <f>VLOOKUP(J35,Diagnosis_Guide!$A:$B,2,0)</f>
        <v>Delivery Care</v>
      </c>
      <c r="AC35" s="4" t="str">
        <f>VLOOKUP(J35,Diagnosis_Guide!$A:$C,3,0)</f>
        <v>Maternal Health</v>
      </c>
      <c r="AD35" s="4" t="str">
        <f>VLOOKUP(R35,Insurance_Plans!$A:$C,3,0)</f>
        <v>Employer</v>
      </c>
      <c r="AE35" s="13">
        <f t="shared" si="0"/>
        <v>3507.5</v>
      </c>
      <c r="AF35" s="13">
        <f t="shared" si="1"/>
        <v>73657.5</v>
      </c>
      <c r="AG35" s="4" t="str">
        <f t="shared" si="2"/>
        <v>High</v>
      </c>
    </row>
    <row r="36" spans="1:33">
      <c r="A36" t="s">
        <v>230</v>
      </c>
      <c r="B36" t="s">
        <v>231</v>
      </c>
      <c r="C36" s="11">
        <v>46105</v>
      </c>
      <c r="D36" t="s">
        <v>225</v>
      </c>
      <c r="E36" t="s">
        <v>70</v>
      </c>
      <c r="F36" s="4">
        <v>46105</v>
      </c>
      <c r="G36" s="4">
        <v>46105</v>
      </c>
      <c r="H36" t="s">
        <v>57</v>
      </c>
      <c r="I36" t="s">
        <v>184</v>
      </c>
      <c r="J36" t="s">
        <v>170</v>
      </c>
      <c r="K36" t="s">
        <v>60</v>
      </c>
      <c r="L36" t="s">
        <v>74</v>
      </c>
      <c r="M36" s="5">
        <v>49400</v>
      </c>
      <c r="N36" s="5">
        <v>6050</v>
      </c>
      <c r="O36" s="5">
        <v>12300</v>
      </c>
      <c r="P36" s="5">
        <v>0</v>
      </c>
      <c r="Q36" s="13">
        <v>68950</v>
      </c>
      <c r="R36" t="s">
        <v>141</v>
      </c>
      <c r="S36" t="s">
        <v>76</v>
      </c>
      <c r="T36" s="5">
        <v>11540</v>
      </c>
      <c r="U36" s="6">
        <v>4</v>
      </c>
      <c r="V36" t="s">
        <v>77</v>
      </c>
      <c r="W36" s="4">
        <v>46115</v>
      </c>
      <c r="X36" t="s">
        <v>77</v>
      </c>
      <c r="Y36" t="s">
        <v>64</v>
      </c>
      <c r="Z36" t="s">
        <v>96</v>
      </c>
      <c r="AA36" t="str">
        <f>VLOOKUP(H36,Departments!$A:$B,2,0)</f>
        <v>Pulmonology</v>
      </c>
      <c r="AB36" t="str">
        <f>VLOOKUP(J36,Diagnosis_Guide!$A:$B,2,0)</f>
        <v>COPD Exacerbation</v>
      </c>
      <c r="AC36" s="4" t="str">
        <f>VLOOKUP(J36,Diagnosis_Guide!$A:$C,3,0)</f>
        <v>Respiratory</v>
      </c>
      <c r="AD36" s="4" t="str">
        <f>VLOOKUP(R36,Insurance_Plans!$A:$C,3,0)</f>
        <v>Private</v>
      </c>
      <c r="AE36" s="13">
        <f t="shared" si="0"/>
        <v>3447.5</v>
      </c>
      <c r="AF36" s="13">
        <f t="shared" si="1"/>
        <v>72397.5</v>
      </c>
      <c r="AG36" s="4" t="str">
        <f t="shared" si="2"/>
        <v>High</v>
      </c>
    </row>
    <row r="37" spans="1:33">
      <c r="A37" t="s">
        <v>232</v>
      </c>
      <c r="B37" t="s">
        <v>233</v>
      </c>
      <c r="C37" s="11">
        <v>46091</v>
      </c>
      <c r="D37" t="s">
        <v>234</v>
      </c>
      <c r="E37" t="s">
        <v>70</v>
      </c>
      <c r="F37" s="4">
        <v>46092</v>
      </c>
      <c r="G37" s="4">
        <v>46096</v>
      </c>
      <c r="H37" t="s">
        <v>138</v>
      </c>
      <c r="I37" t="s">
        <v>235</v>
      </c>
      <c r="J37" t="s">
        <v>236</v>
      </c>
      <c r="K37" t="s">
        <v>93</v>
      </c>
      <c r="L37" t="s">
        <v>74</v>
      </c>
      <c r="M37" s="5">
        <v>41800</v>
      </c>
      <c r="N37" s="5">
        <v>4200</v>
      </c>
      <c r="O37" s="5">
        <v>7300</v>
      </c>
      <c r="P37" s="5">
        <v>14000</v>
      </c>
      <c r="Q37" s="13">
        <v>68300</v>
      </c>
      <c r="R37" t="s">
        <v>75</v>
      </c>
      <c r="S37" t="s">
        <v>76</v>
      </c>
      <c r="T37" s="5">
        <v>31030</v>
      </c>
      <c r="U37" s="6">
        <v>4</v>
      </c>
      <c r="V37" t="s">
        <v>77</v>
      </c>
      <c r="W37" s="4">
        <v>46113</v>
      </c>
      <c r="X37" t="s">
        <v>64</v>
      </c>
      <c r="Y37" t="s">
        <v>64</v>
      </c>
      <c r="Z37" t="s">
        <v>96</v>
      </c>
      <c r="AA37" t="str">
        <f>VLOOKUP(H37,Departments!$A:$B,2,0)</f>
        <v>Pediatrics</v>
      </c>
      <c r="AB37" t="str">
        <f>VLOOKUP(J37,Diagnosis_Guide!$A:$B,2,0)</f>
        <v>Neonatal Observation</v>
      </c>
      <c r="AC37" s="4" t="str">
        <f>VLOOKUP(J37,Diagnosis_Guide!$A:$C,3,0)</f>
        <v>Pediatric</v>
      </c>
      <c r="AD37" s="4" t="str">
        <f>VLOOKUP(R37,Insurance_Plans!$A:$C,3,0)</f>
        <v>Public</v>
      </c>
      <c r="AE37" s="13">
        <f t="shared" si="0"/>
        <v>3415</v>
      </c>
      <c r="AF37" s="13">
        <f t="shared" si="1"/>
        <v>71715</v>
      </c>
      <c r="AG37" s="4" t="str">
        <f t="shared" si="2"/>
        <v>High</v>
      </c>
    </row>
    <row r="38" spans="1:33">
      <c r="A38" t="s">
        <v>237</v>
      </c>
      <c r="B38" t="s">
        <v>238</v>
      </c>
      <c r="C38" s="11">
        <v>46047</v>
      </c>
      <c r="D38" t="s">
        <v>144</v>
      </c>
      <c r="E38" t="s">
        <v>70</v>
      </c>
      <c r="F38" s="4">
        <v>46048</v>
      </c>
      <c r="G38" s="4">
        <v>46051</v>
      </c>
      <c r="H38" t="s">
        <v>150</v>
      </c>
      <c r="I38" t="s">
        <v>239</v>
      </c>
      <c r="J38" t="s">
        <v>152</v>
      </c>
      <c r="K38" t="s">
        <v>73</v>
      </c>
      <c r="L38" t="s">
        <v>74</v>
      </c>
      <c r="M38" s="5">
        <v>20400</v>
      </c>
      <c r="N38" s="5">
        <v>3250</v>
      </c>
      <c r="O38" s="5">
        <v>4050</v>
      </c>
      <c r="P38" s="5">
        <v>10500</v>
      </c>
      <c r="Q38" s="13">
        <v>40000</v>
      </c>
      <c r="R38" t="s">
        <v>141</v>
      </c>
      <c r="S38" t="s">
        <v>76</v>
      </c>
      <c r="T38" s="5">
        <v>7200</v>
      </c>
      <c r="U38" s="6">
        <v>5</v>
      </c>
      <c r="V38" t="s">
        <v>64</v>
      </c>
      <c r="W38" s="4"/>
      <c r="X38" t="s">
        <v>65</v>
      </c>
      <c r="Y38" t="s">
        <v>64</v>
      </c>
      <c r="Z38" t="s">
        <v>78</v>
      </c>
      <c r="AA38" t="str">
        <f>VLOOKUP(H38,Departments!$A:$B,2,0)</f>
        <v>Obstetrics</v>
      </c>
      <c r="AB38" t="str">
        <f>VLOOKUP(J38,Diagnosis_Guide!$A:$B,2,0)</f>
        <v>Antenatal Complication</v>
      </c>
      <c r="AC38" s="4" t="str">
        <f>VLOOKUP(J38,Diagnosis_Guide!$A:$C,3,0)</f>
        <v>Maternal Health</v>
      </c>
      <c r="AD38" s="4" t="str">
        <f>VLOOKUP(R38,Insurance_Plans!$A:$C,3,0)</f>
        <v>Private</v>
      </c>
      <c r="AE38" s="13">
        <f t="shared" si="0"/>
        <v>2000</v>
      </c>
      <c r="AF38" s="13">
        <f t="shared" si="1"/>
        <v>42000</v>
      </c>
      <c r="AG38" s="4" t="str">
        <f t="shared" si="2"/>
        <v>High</v>
      </c>
    </row>
    <row r="39" spans="1:33">
      <c r="A39" t="s">
        <v>240</v>
      </c>
      <c r="B39" t="s">
        <v>241</v>
      </c>
      <c r="C39" s="11">
        <v>46070</v>
      </c>
      <c r="D39" t="s">
        <v>242</v>
      </c>
      <c r="E39" t="s">
        <v>70</v>
      </c>
      <c r="F39" s="4">
        <v>46071</v>
      </c>
      <c r="G39" s="4">
        <v>46076</v>
      </c>
      <c r="H39" t="s">
        <v>103</v>
      </c>
      <c r="I39" t="s">
        <v>243</v>
      </c>
      <c r="J39" t="s">
        <v>244</v>
      </c>
      <c r="K39" t="s">
        <v>93</v>
      </c>
      <c r="L39" t="s">
        <v>94</v>
      </c>
      <c r="M39" s="5">
        <v>90800</v>
      </c>
      <c r="N39" s="5">
        <v>15500</v>
      </c>
      <c r="O39" s="5">
        <v>21800</v>
      </c>
      <c r="P39" s="5">
        <v>12500</v>
      </c>
      <c r="Q39" s="13">
        <v>142400</v>
      </c>
      <c r="R39" t="s">
        <v>141</v>
      </c>
      <c r="S39" t="s">
        <v>76</v>
      </c>
      <c r="T39" s="5">
        <v>22560</v>
      </c>
      <c r="U39" s="6">
        <v>3</v>
      </c>
      <c r="V39" t="s">
        <v>77</v>
      </c>
      <c r="W39" s="4">
        <v>46085</v>
      </c>
      <c r="X39" t="s">
        <v>64</v>
      </c>
      <c r="Y39" t="s">
        <v>64</v>
      </c>
      <c r="Z39" t="s">
        <v>107</v>
      </c>
      <c r="AA39" t="str">
        <f>VLOOKUP(H39,Departments!$A:$B,2,0)</f>
        <v>Nephrology</v>
      </c>
      <c r="AB39" t="str">
        <f>VLOOKUP(J39,Diagnosis_Guide!$A:$B,2,0)</f>
        <v>Chronic Kidney Disease</v>
      </c>
      <c r="AC39" s="4" t="str">
        <f>VLOOKUP(J39,Diagnosis_Guide!$A:$C,3,0)</f>
        <v>Renal</v>
      </c>
      <c r="AD39" s="4" t="str">
        <f>VLOOKUP(R39,Insurance_Plans!$A:$C,3,0)</f>
        <v>Private</v>
      </c>
      <c r="AE39" s="13">
        <f t="shared" si="0"/>
        <v>7120</v>
      </c>
      <c r="AF39" s="13">
        <f t="shared" si="1"/>
        <v>149520</v>
      </c>
      <c r="AG39" s="4" t="str">
        <f t="shared" si="2"/>
        <v>Medium</v>
      </c>
    </row>
    <row r="40" spans="1:33">
      <c r="A40" t="s">
        <v>245</v>
      </c>
      <c r="B40" t="s">
        <v>246</v>
      </c>
      <c r="C40" s="11">
        <v>46064</v>
      </c>
      <c r="D40" t="s">
        <v>161</v>
      </c>
      <c r="E40" t="s">
        <v>70</v>
      </c>
      <c r="F40" s="4">
        <v>46064</v>
      </c>
      <c r="G40" s="4">
        <v>46064</v>
      </c>
      <c r="H40" t="s">
        <v>150</v>
      </c>
      <c r="I40" t="s">
        <v>247</v>
      </c>
      <c r="J40" t="s">
        <v>188</v>
      </c>
      <c r="K40" t="s">
        <v>60</v>
      </c>
      <c r="L40" t="s">
        <v>61</v>
      </c>
      <c r="M40" s="5">
        <v>83200</v>
      </c>
      <c r="N40" s="5">
        <v>14900</v>
      </c>
      <c r="O40" s="5">
        <v>13600</v>
      </c>
      <c r="P40" s="5">
        <v>0</v>
      </c>
      <c r="Q40" s="13">
        <v>112700</v>
      </c>
      <c r="R40" t="s">
        <v>62</v>
      </c>
      <c r="S40" t="s">
        <v>76</v>
      </c>
      <c r="T40" s="5">
        <v>34210</v>
      </c>
      <c r="U40" s="6">
        <v>5</v>
      </c>
      <c r="V40" t="s">
        <v>77</v>
      </c>
      <c r="W40" s="4">
        <v>46071</v>
      </c>
      <c r="X40" t="s">
        <v>77</v>
      </c>
      <c r="Y40" t="s">
        <v>64</v>
      </c>
      <c r="Z40" t="s">
        <v>107</v>
      </c>
      <c r="AA40" t="str">
        <f>VLOOKUP(H40,Departments!$A:$B,2,0)</f>
        <v>Obstetrics</v>
      </c>
      <c r="AB40" t="str">
        <f>VLOOKUP(J40,Diagnosis_Guide!$A:$B,2,0)</f>
        <v>Emergency C-Section</v>
      </c>
      <c r="AC40" s="4" t="str">
        <f>VLOOKUP(J40,Diagnosis_Guide!$A:$C,3,0)</f>
        <v>Maternal Health</v>
      </c>
      <c r="AD40" s="4" t="str">
        <f>VLOOKUP(R40,Insurance_Plans!$A:$C,3,0)</f>
        <v>Public</v>
      </c>
      <c r="AE40" s="13">
        <f t="shared" si="0"/>
        <v>5635</v>
      </c>
      <c r="AF40" s="13">
        <f t="shared" si="1"/>
        <v>118335</v>
      </c>
      <c r="AG40" s="4" t="str">
        <f t="shared" si="2"/>
        <v>High</v>
      </c>
    </row>
    <row r="41" spans="1:33">
      <c r="A41" t="s">
        <v>248</v>
      </c>
      <c r="B41" t="s">
        <v>249</v>
      </c>
      <c r="C41" s="11">
        <v>46039</v>
      </c>
      <c r="D41" t="s">
        <v>250</v>
      </c>
      <c r="E41" t="s">
        <v>70</v>
      </c>
      <c r="F41" s="4">
        <v>46039</v>
      </c>
      <c r="G41" s="4">
        <v>46045</v>
      </c>
      <c r="H41" t="s">
        <v>121</v>
      </c>
      <c r="I41" t="s">
        <v>251</v>
      </c>
      <c r="J41" t="s">
        <v>252</v>
      </c>
      <c r="K41" t="s">
        <v>124</v>
      </c>
      <c r="L41" t="s">
        <v>74</v>
      </c>
      <c r="M41" s="5">
        <v>64300</v>
      </c>
      <c r="N41" s="5">
        <v>9400</v>
      </c>
      <c r="O41" s="5">
        <v>12050</v>
      </c>
      <c r="P41" s="5">
        <v>36000</v>
      </c>
      <c r="Q41" s="13">
        <v>123750</v>
      </c>
      <c r="R41" t="s">
        <v>106</v>
      </c>
      <c r="S41" t="s">
        <v>86</v>
      </c>
      <c r="T41" s="5">
        <v>44010</v>
      </c>
      <c r="U41" s="6">
        <v>4</v>
      </c>
      <c r="V41" t="s">
        <v>77</v>
      </c>
      <c r="W41" s="4">
        <v>46053</v>
      </c>
      <c r="X41" t="s">
        <v>64</v>
      </c>
      <c r="Y41" t="s">
        <v>64</v>
      </c>
      <c r="Z41" t="s">
        <v>107</v>
      </c>
      <c r="AA41" t="str">
        <f>VLOOKUP(H41,Departments!$A:$B,2,0)</f>
        <v>Neurology</v>
      </c>
      <c r="AB41" t="str">
        <f>VLOOKUP(J41,Diagnosis_Guide!$A:$B,2,0)</f>
        <v>Stroke Assessment</v>
      </c>
      <c r="AC41" s="4" t="str">
        <f>VLOOKUP(J41,Diagnosis_Guide!$A:$C,3,0)</f>
        <v>Neurological</v>
      </c>
      <c r="AD41" s="4" t="str">
        <f>VLOOKUP(R41,Insurance_Plans!$A:$C,3,0)</f>
        <v>Private</v>
      </c>
      <c r="AE41" s="13">
        <f t="shared" si="0"/>
        <v>6187.5</v>
      </c>
      <c r="AF41" s="13">
        <f t="shared" si="1"/>
        <v>129937.5</v>
      </c>
      <c r="AG41" s="4" t="str">
        <f t="shared" si="2"/>
        <v>High</v>
      </c>
    </row>
    <row r="42" spans="1:33">
      <c r="A42" t="s">
        <v>253</v>
      </c>
      <c r="B42" t="s">
        <v>254</v>
      </c>
      <c r="C42" s="11">
        <v>46135</v>
      </c>
      <c r="D42" t="s">
        <v>250</v>
      </c>
      <c r="E42" t="s">
        <v>255</v>
      </c>
      <c r="F42" s="4"/>
      <c r="G42" s="4"/>
      <c r="H42" t="s">
        <v>121</v>
      </c>
      <c r="I42" t="s">
        <v>251</v>
      </c>
      <c r="J42" t="s">
        <v>256</v>
      </c>
      <c r="K42" t="s">
        <v>124</v>
      </c>
      <c r="L42" t="s">
        <v>61</v>
      </c>
      <c r="M42" s="5"/>
      <c r="N42" s="5"/>
      <c r="O42" s="5"/>
      <c r="P42" s="5"/>
      <c r="R42" t="s">
        <v>95</v>
      </c>
      <c r="S42" t="s">
        <v>63</v>
      </c>
      <c r="T42" s="5"/>
      <c r="U42" s="6"/>
      <c r="V42" t="s">
        <v>64</v>
      </c>
      <c r="W42" s="4"/>
      <c r="X42" t="s">
        <v>65</v>
      </c>
      <c r="Z42" t="s">
        <v>66</v>
      </c>
      <c r="AA42" t="str">
        <f>VLOOKUP(H42,Departments!$A:$B,2,0)</f>
        <v>Neurology</v>
      </c>
      <c r="AB42" t="str">
        <f>VLOOKUP(J42,Diagnosis_Guide!$A:$B,2,0)</f>
        <v>Migraine Complication</v>
      </c>
      <c r="AC42" s="4" t="str">
        <f>VLOOKUP(J42,Diagnosis_Guide!$A:$C,3,0)</f>
        <v>Neurological</v>
      </c>
      <c r="AD42" s="4" t="str">
        <f>VLOOKUP(R42,Insurance_Plans!$A:$C,3,0)</f>
        <v>Self-Pay</v>
      </c>
      <c r="AE42" s="13" t="str">
        <f t="shared" si="0"/>
        <v/>
      </c>
      <c r="AF42" s="13" t="str">
        <f t="shared" si="1"/>
        <v/>
      </c>
      <c r="AG42" s="4" t="str">
        <f t="shared" si="2"/>
        <v>Not Available</v>
      </c>
    </row>
    <row r="43" spans="1:33">
      <c r="A43" t="s">
        <v>257</v>
      </c>
      <c r="B43" t="s">
        <v>258</v>
      </c>
      <c r="C43" s="11">
        <v>46094</v>
      </c>
      <c r="D43" t="s">
        <v>259</v>
      </c>
      <c r="E43" t="s">
        <v>70</v>
      </c>
      <c r="F43" s="4">
        <v>46094</v>
      </c>
      <c r="G43" s="4">
        <v>46095</v>
      </c>
      <c r="H43" t="s">
        <v>138</v>
      </c>
      <c r="I43" t="s">
        <v>260</v>
      </c>
      <c r="J43" t="s">
        <v>261</v>
      </c>
      <c r="K43" t="s">
        <v>60</v>
      </c>
      <c r="L43" t="s">
        <v>74</v>
      </c>
      <c r="M43" s="5"/>
      <c r="N43" s="5">
        <v>1050</v>
      </c>
      <c r="O43" s="5">
        <v>1200</v>
      </c>
      <c r="P43" s="5">
        <v>3000</v>
      </c>
      <c r="Q43" s="13">
        <v>13750</v>
      </c>
      <c r="R43" t="s">
        <v>106</v>
      </c>
      <c r="S43" t="s">
        <v>76</v>
      </c>
      <c r="T43" s="5">
        <v>5510</v>
      </c>
      <c r="U43" s="6">
        <v>3</v>
      </c>
      <c r="V43" t="s">
        <v>64</v>
      </c>
      <c r="W43" s="4"/>
      <c r="X43" t="s">
        <v>65</v>
      </c>
      <c r="Y43" t="s">
        <v>64</v>
      </c>
      <c r="Z43" t="s">
        <v>96</v>
      </c>
      <c r="AA43" t="str">
        <f>VLOOKUP(H43,Departments!$A:$B,2,0)</f>
        <v>Pediatrics</v>
      </c>
      <c r="AB43" t="str">
        <f>VLOOKUP(J43,Diagnosis_Guide!$A:$B,2,0)</f>
        <v>Child Fever</v>
      </c>
      <c r="AC43" s="4" t="str">
        <f>VLOOKUP(J43,Diagnosis_Guide!$A:$C,3,0)</f>
        <v>Pediatric</v>
      </c>
      <c r="AD43" s="4" t="str">
        <f>VLOOKUP(R43,Insurance_Plans!$A:$C,3,0)</f>
        <v>Private</v>
      </c>
      <c r="AE43" s="13">
        <f t="shared" si="0"/>
        <v>687.5</v>
      </c>
      <c r="AF43" s="13">
        <f t="shared" si="1"/>
        <v>14437.5</v>
      </c>
      <c r="AG43" s="4" t="str">
        <f t="shared" si="2"/>
        <v>Medium</v>
      </c>
    </row>
    <row r="44" spans="1:33">
      <c r="A44" t="s">
        <v>262</v>
      </c>
      <c r="B44" t="s">
        <v>263</v>
      </c>
      <c r="C44" s="11">
        <v>46099</v>
      </c>
      <c r="D44" t="s">
        <v>127</v>
      </c>
      <c r="E44" t="s">
        <v>56</v>
      </c>
      <c r="F44" s="4"/>
      <c r="G44" s="4"/>
      <c r="H44" t="s">
        <v>111</v>
      </c>
      <c r="I44" t="s">
        <v>112</v>
      </c>
      <c r="J44" t="s">
        <v>117</v>
      </c>
      <c r="K44" t="s">
        <v>124</v>
      </c>
      <c r="L44" t="s">
        <v>94</v>
      </c>
      <c r="M44" s="5"/>
      <c r="N44" s="5"/>
      <c r="O44" s="5"/>
      <c r="P44" s="5"/>
      <c r="R44" t="s">
        <v>85</v>
      </c>
      <c r="S44" t="s">
        <v>63</v>
      </c>
      <c r="T44" s="5"/>
      <c r="U44" s="6"/>
      <c r="V44" t="s">
        <v>64</v>
      </c>
      <c r="W44" s="4"/>
      <c r="X44" t="s">
        <v>65</v>
      </c>
      <c r="Z44" t="s">
        <v>66</v>
      </c>
      <c r="AA44" t="str">
        <f>VLOOKUP(H44,Departments!$A:$B,2,0)</f>
        <v>General Medicine</v>
      </c>
      <c r="AB44" t="str">
        <f>VLOOKUP(J44,Diagnosis_Guide!$A:$B,2,0)</f>
        <v>Fever Investigation</v>
      </c>
      <c r="AC44" s="4" t="str">
        <f>VLOOKUP(J44,Diagnosis_Guide!$A:$C,3,0)</f>
        <v>Infectious/General</v>
      </c>
      <c r="AD44" s="4" t="str">
        <f>VLOOKUP(R44,Insurance_Plans!$A:$C,3,0)</f>
        <v>Employer</v>
      </c>
      <c r="AE44" s="13" t="str">
        <f t="shared" si="0"/>
        <v/>
      </c>
      <c r="AF44" s="13" t="str">
        <f t="shared" si="1"/>
        <v/>
      </c>
      <c r="AG44" s="4" t="str">
        <f t="shared" si="2"/>
        <v>Not Available</v>
      </c>
    </row>
    <row r="45" spans="1:33">
      <c r="A45" t="s">
        <v>264</v>
      </c>
      <c r="B45" t="s">
        <v>265</v>
      </c>
      <c r="C45" s="11">
        <v>46148</v>
      </c>
      <c r="D45" t="s">
        <v>266</v>
      </c>
      <c r="E45" t="s">
        <v>56</v>
      </c>
      <c r="F45" s="4"/>
      <c r="G45" s="4"/>
      <c r="H45" t="s">
        <v>111</v>
      </c>
      <c r="I45" t="s">
        <v>267</v>
      </c>
      <c r="J45" t="s">
        <v>117</v>
      </c>
      <c r="K45" t="s">
        <v>73</v>
      </c>
      <c r="L45" t="s">
        <v>94</v>
      </c>
      <c r="M45" s="5"/>
      <c r="N45" s="5"/>
      <c r="O45" s="5"/>
      <c r="P45" s="5"/>
      <c r="R45" t="s">
        <v>75</v>
      </c>
      <c r="S45" t="s">
        <v>63</v>
      </c>
      <c r="T45" s="5"/>
      <c r="U45" s="6"/>
      <c r="V45" t="s">
        <v>64</v>
      </c>
      <c r="W45" s="4"/>
      <c r="X45" t="s">
        <v>65</v>
      </c>
      <c r="Z45" t="s">
        <v>66</v>
      </c>
      <c r="AA45" t="str">
        <f>VLOOKUP(H45,Departments!$A:$B,2,0)</f>
        <v>General Medicine</v>
      </c>
      <c r="AB45" t="str">
        <f>VLOOKUP(J45,Diagnosis_Guide!$A:$B,2,0)</f>
        <v>Fever Investigation</v>
      </c>
      <c r="AC45" s="4" t="str">
        <f>VLOOKUP(J45,Diagnosis_Guide!$A:$C,3,0)</f>
        <v>Infectious/General</v>
      </c>
      <c r="AD45" s="4" t="str">
        <f>VLOOKUP(R45,Insurance_Plans!$A:$C,3,0)</f>
        <v>Public</v>
      </c>
      <c r="AE45" s="13" t="str">
        <f t="shared" si="0"/>
        <v/>
      </c>
      <c r="AF45" s="13" t="str">
        <f t="shared" si="1"/>
        <v/>
      </c>
      <c r="AG45" s="4" t="str">
        <f t="shared" si="2"/>
        <v>Not Available</v>
      </c>
    </row>
    <row r="46" spans="1:33">
      <c r="A46" t="s">
        <v>268</v>
      </c>
      <c r="B46" t="s">
        <v>269</v>
      </c>
      <c r="C46" s="11">
        <v>46039</v>
      </c>
      <c r="D46" t="s">
        <v>89</v>
      </c>
      <c r="E46" t="s">
        <v>70</v>
      </c>
      <c r="F46" s="4">
        <v>46040</v>
      </c>
      <c r="G46" s="4">
        <v>46044</v>
      </c>
      <c r="H46" t="s">
        <v>103</v>
      </c>
      <c r="I46" t="s">
        <v>243</v>
      </c>
      <c r="J46" t="s">
        <v>244</v>
      </c>
      <c r="K46" t="s">
        <v>124</v>
      </c>
      <c r="L46" t="s">
        <v>94</v>
      </c>
      <c r="M46" s="5">
        <v>57000</v>
      </c>
      <c r="N46" s="5">
        <v>7100</v>
      </c>
      <c r="O46" s="5">
        <v>11200</v>
      </c>
      <c r="P46" s="5">
        <v>10000</v>
      </c>
      <c r="Q46" s="13">
        <v>87100</v>
      </c>
      <c r="R46" t="s">
        <v>141</v>
      </c>
      <c r="S46" t="s">
        <v>76</v>
      </c>
      <c r="T46" s="5">
        <v>14270</v>
      </c>
      <c r="U46" s="6">
        <v>5</v>
      </c>
      <c r="V46" t="s">
        <v>77</v>
      </c>
      <c r="W46" s="4">
        <v>46052</v>
      </c>
      <c r="X46" t="s">
        <v>77</v>
      </c>
      <c r="Y46" t="s">
        <v>64</v>
      </c>
      <c r="Z46" t="s">
        <v>78</v>
      </c>
      <c r="AA46" t="str">
        <f>VLOOKUP(H46,Departments!$A:$B,2,0)</f>
        <v>Nephrology</v>
      </c>
      <c r="AB46" t="str">
        <f>VLOOKUP(J46,Diagnosis_Guide!$A:$B,2,0)</f>
        <v>Chronic Kidney Disease</v>
      </c>
      <c r="AC46" s="4" t="str">
        <f>VLOOKUP(J46,Diagnosis_Guide!$A:$C,3,0)</f>
        <v>Renal</v>
      </c>
      <c r="AD46" s="4" t="str">
        <f>VLOOKUP(R46,Insurance_Plans!$A:$C,3,0)</f>
        <v>Private</v>
      </c>
      <c r="AE46" s="13">
        <f t="shared" si="0"/>
        <v>4355</v>
      </c>
      <c r="AF46" s="13">
        <f t="shared" si="1"/>
        <v>91455</v>
      </c>
      <c r="AG46" s="4" t="str">
        <f t="shared" si="2"/>
        <v>High</v>
      </c>
    </row>
    <row r="47" spans="1:33">
      <c r="A47" t="s">
        <v>270</v>
      </c>
      <c r="B47" t="s">
        <v>271</v>
      </c>
      <c r="C47" s="11">
        <v>46106</v>
      </c>
      <c r="D47" t="s">
        <v>161</v>
      </c>
      <c r="E47" t="s">
        <v>70</v>
      </c>
      <c r="F47" s="4">
        <v>46107</v>
      </c>
      <c r="G47" s="4">
        <v>46108</v>
      </c>
      <c r="H47" t="s">
        <v>82</v>
      </c>
      <c r="I47" t="s">
        <v>272</v>
      </c>
      <c r="J47" t="s">
        <v>156</v>
      </c>
      <c r="K47" t="s">
        <v>60</v>
      </c>
      <c r="L47" t="s">
        <v>74</v>
      </c>
      <c r="M47" s="5">
        <v>66800</v>
      </c>
      <c r="N47" s="5">
        <v>11700</v>
      </c>
      <c r="O47" s="5">
        <v>15950</v>
      </c>
      <c r="P47" s="5">
        <v>6000</v>
      </c>
      <c r="Q47" s="13">
        <v>102250</v>
      </c>
      <c r="R47" t="s">
        <v>85</v>
      </c>
      <c r="S47" t="s">
        <v>86</v>
      </c>
      <c r="T47" s="5">
        <v>26460</v>
      </c>
      <c r="U47" s="6">
        <v>4</v>
      </c>
      <c r="V47" t="s">
        <v>77</v>
      </c>
      <c r="W47" s="4">
        <v>46126</v>
      </c>
      <c r="X47" t="s">
        <v>64</v>
      </c>
      <c r="Y47" t="s">
        <v>77</v>
      </c>
      <c r="Z47" t="s">
        <v>96</v>
      </c>
      <c r="AA47" t="str">
        <f>VLOOKUP(H47,Departments!$A:$B,2,0)</f>
        <v>Orthopedics</v>
      </c>
      <c r="AB47" t="str">
        <f>VLOOKUP(J47,Diagnosis_Guide!$A:$B,2,0)</f>
        <v>Spinal Injury</v>
      </c>
      <c r="AC47" s="4" t="str">
        <f>VLOOKUP(J47,Diagnosis_Guide!$A:$C,3,0)</f>
        <v>Musculoskeletal</v>
      </c>
      <c r="AD47" s="4" t="str">
        <f>VLOOKUP(R47,Insurance_Plans!$A:$C,3,0)</f>
        <v>Employer</v>
      </c>
      <c r="AE47" s="13">
        <f t="shared" si="0"/>
        <v>5112.5</v>
      </c>
      <c r="AF47" s="13">
        <f t="shared" si="1"/>
        <v>107362.5</v>
      </c>
      <c r="AG47" s="4" t="str">
        <f t="shared" si="2"/>
        <v>High</v>
      </c>
    </row>
    <row r="48" spans="1:33">
      <c r="A48" t="s">
        <v>273</v>
      </c>
      <c r="B48" t="s">
        <v>274</v>
      </c>
      <c r="C48" s="11">
        <v>46134</v>
      </c>
      <c r="D48" t="s">
        <v>266</v>
      </c>
      <c r="E48" t="s">
        <v>70</v>
      </c>
      <c r="F48" s="4">
        <v>46134</v>
      </c>
      <c r="G48" s="4">
        <v>46136</v>
      </c>
      <c r="H48" t="s">
        <v>90</v>
      </c>
      <c r="I48" t="s">
        <v>133</v>
      </c>
      <c r="J48" t="s">
        <v>197</v>
      </c>
      <c r="K48" t="s">
        <v>124</v>
      </c>
      <c r="L48" t="s">
        <v>61</v>
      </c>
      <c r="M48" s="5">
        <v>16500</v>
      </c>
      <c r="N48" s="5">
        <v>2750</v>
      </c>
      <c r="O48" s="5">
        <v>3150</v>
      </c>
      <c r="P48" s="5">
        <v>7000</v>
      </c>
      <c r="Q48" s="13">
        <v>31400</v>
      </c>
      <c r="R48" t="s">
        <v>95</v>
      </c>
      <c r="S48" t="s">
        <v>63</v>
      </c>
      <c r="T48" s="5">
        <v>31400</v>
      </c>
      <c r="U48" s="6">
        <v>5</v>
      </c>
      <c r="V48" t="s">
        <v>77</v>
      </c>
      <c r="W48" s="4">
        <v>46145</v>
      </c>
      <c r="X48" t="s">
        <v>77</v>
      </c>
      <c r="Y48" t="s">
        <v>64</v>
      </c>
      <c r="Z48" t="s">
        <v>96</v>
      </c>
      <c r="AA48" t="str">
        <f>VLOOKUP(H48,Departments!$A:$B,2,0)</f>
        <v>Cardiology</v>
      </c>
      <c r="AB48" t="str">
        <f>VLOOKUP(J48,Diagnosis_Guide!$A:$B,2,0)</f>
        <v>Chest Pain</v>
      </c>
      <c r="AC48" s="4" t="str">
        <f>VLOOKUP(J48,Diagnosis_Guide!$A:$C,3,0)</f>
        <v>Cardiovascular</v>
      </c>
      <c r="AD48" s="4" t="str">
        <f>VLOOKUP(R48,Insurance_Plans!$A:$C,3,0)</f>
        <v>Self-Pay</v>
      </c>
      <c r="AE48" s="13">
        <f t="shared" si="0"/>
        <v>1570</v>
      </c>
      <c r="AF48" s="13">
        <f t="shared" si="1"/>
        <v>32970</v>
      </c>
      <c r="AG48" s="4" t="str">
        <f t="shared" si="2"/>
        <v>High</v>
      </c>
    </row>
    <row r="49" spans="1:33">
      <c r="A49" t="s">
        <v>275</v>
      </c>
      <c r="B49" t="s">
        <v>276</v>
      </c>
      <c r="C49" s="11">
        <v>46057</v>
      </c>
      <c r="D49" t="s">
        <v>89</v>
      </c>
      <c r="E49" t="s">
        <v>70</v>
      </c>
      <c r="F49" s="4">
        <v>46057</v>
      </c>
      <c r="G49" s="4">
        <v>46068</v>
      </c>
      <c r="H49" t="s">
        <v>121</v>
      </c>
      <c r="I49" t="s">
        <v>174</v>
      </c>
      <c r="J49" t="s">
        <v>252</v>
      </c>
      <c r="K49" t="s">
        <v>124</v>
      </c>
      <c r="L49" t="s">
        <v>94</v>
      </c>
      <c r="M49" s="5">
        <v>61800</v>
      </c>
      <c r="N49" s="5">
        <v>7000</v>
      </c>
      <c r="O49" s="5">
        <v>8350</v>
      </c>
      <c r="P49" s="5">
        <v>38500</v>
      </c>
      <c r="Q49" s="13">
        <v>117450</v>
      </c>
      <c r="R49" t="s">
        <v>134</v>
      </c>
      <c r="S49" t="s">
        <v>86</v>
      </c>
      <c r="T49" s="5">
        <v>64800</v>
      </c>
      <c r="U49" s="6"/>
      <c r="V49" t="s">
        <v>64</v>
      </c>
      <c r="W49" s="4"/>
      <c r="X49" t="s">
        <v>65</v>
      </c>
      <c r="Y49" t="s">
        <v>64</v>
      </c>
      <c r="Z49" t="s">
        <v>78</v>
      </c>
      <c r="AA49" t="str">
        <f>VLOOKUP(H49,Departments!$A:$B,2,0)</f>
        <v>Neurology</v>
      </c>
      <c r="AB49" t="str">
        <f>VLOOKUP(J49,Diagnosis_Guide!$A:$B,2,0)</f>
        <v>Stroke Assessment</v>
      </c>
      <c r="AC49" s="4" t="str">
        <f>VLOOKUP(J49,Diagnosis_Guide!$A:$C,3,0)</f>
        <v>Neurological</v>
      </c>
      <c r="AD49" s="4" t="str">
        <f>VLOOKUP(R49,Insurance_Plans!$A:$C,3,0)</f>
        <v>Community</v>
      </c>
      <c r="AE49" s="13">
        <f t="shared" si="0"/>
        <v>5872.5</v>
      </c>
      <c r="AF49" s="13">
        <f t="shared" si="1"/>
        <v>123322.5</v>
      </c>
      <c r="AG49" s="4" t="str">
        <f t="shared" si="2"/>
        <v>Not Available</v>
      </c>
    </row>
    <row r="50" spans="1:33">
      <c r="A50" t="s">
        <v>277</v>
      </c>
      <c r="B50" t="s">
        <v>278</v>
      </c>
      <c r="C50" s="11">
        <v>46033</v>
      </c>
      <c r="D50" t="s">
        <v>279</v>
      </c>
      <c r="E50" t="s">
        <v>70</v>
      </c>
      <c r="F50" s="4">
        <v>46033</v>
      </c>
      <c r="G50" s="4">
        <v>46033</v>
      </c>
      <c r="H50" t="s">
        <v>201</v>
      </c>
      <c r="I50" t="s">
        <v>280</v>
      </c>
      <c r="J50" t="s">
        <v>281</v>
      </c>
      <c r="K50" t="s">
        <v>60</v>
      </c>
      <c r="L50" t="s">
        <v>94</v>
      </c>
      <c r="M50" s="5">
        <v>5900</v>
      </c>
      <c r="N50" s="5">
        <v>650</v>
      </c>
      <c r="O50" s="5">
        <v>1450</v>
      </c>
      <c r="P50" s="5">
        <v>0</v>
      </c>
      <c r="Q50" s="13">
        <v>9000</v>
      </c>
      <c r="R50" t="s">
        <v>141</v>
      </c>
      <c r="S50" t="s">
        <v>163</v>
      </c>
      <c r="T50" s="5">
        <v>2550</v>
      </c>
      <c r="U50" s="6">
        <v>4</v>
      </c>
      <c r="V50" t="s">
        <v>77</v>
      </c>
      <c r="W50" s="4">
        <v>46045</v>
      </c>
      <c r="X50" t="s">
        <v>64</v>
      </c>
      <c r="Y50" t="s">
        <v>64</v>
      </c>
      <c r="Z50" t="s">
        <v>107</v>
      </c>
      <c r="AA50" t="str">
        <f>VLOOKUP(H50,Departments!$A:$B,2,0)</f>
        <v>Emergency</v>
      </c>
      <c r="AB50" t="str">
        <f>VLOOKUP(J50,Diagnosis_Guide!$A:$B,2,0)</f>
        <v>Food Poisoning</v>
      </c>
      <c r="AC50" s="4" t="str">
        <f>VLOOKUP(J50,Diagnosis_Guide!$A:$C,3,0)</f>
        <v>Emergency</v>
      </c>
      <c r="AD50" s="4" t="str">
        <f>VLOOKUP(R50,Insurance_Plans!$A:$C,3,0)</f>
        <v>Private</v>
      </c>
      <c r="AE50" s="13">
        <f t="shared" si="0"/>
        <v>450</v>
      </c>
      <c r="AF50" s="13">
        <f t="shared" si="1"/>
        <v>9450</v>
      </c>
      <c r="AG50" s="4" t="str">
        <f t="shared" si="2"/>
        <v>High</v>
      </c>
    </row>
    <row r="51" spans="1:33">
      <c r="A51" t="s">
        <v>282</v>
      </c>
      <c r="B51" t="s">
        <v>283</v>
      </c>
      <c r="C51" s="11">
        <v>46061</v>
      </c>
      <c r="D51" t="s">
        <v>284</v>
      </c>
      <c r="E51" t="s">
        <v>70</v>
      </c>
      <c r="F51" s="4">
        <v>46061</v>
      </c>
      <c r="G51" s="4">
        <v>46061</v>
      </c>
      <c r="H51" t="s">
        <v>57</v>
      </c>
      <c r="I51" t="s">
        <v>58</v>
      </c>
      <c r="J51" t="s">
        <v>59</v>
      </c>
      <c r="K51" t="s">
        <v>60</v>
      </c>
      <c r="L51" t="s">
        <v>61</v>
      </c>
      <c r="M51" s="5">
        <v>50800</v>
      </c>
      <c r="N51" s="5">
        <v>4650</v>
      </c>
      <c r="O51" s="5">
        <v>11900</v>
      </c>
      <c r="P51" s="5">
        <v>0</v>
      </c>
      <c r="Q51" s="13">
        <v>69850</v>
      </c>
      <c r="R51" t="s">
        <v>141</v>
      </c>
      <c r="S51" t="s">
        <v>76</v>
      </c>
      <c r="T51" s="5">
        <v>11680</v>
      </c>
      <c r="U51" s="6">
        <v>3</v>
      </c>
      <c r="V51" t="s">
        <v>64</v>
      </c>
      <c r="W51" s="4"/>
      <c r="X51" t="s">
        <v>65</v>
      </c>
      <c r="Y51" t="s">
        <v>64</v>
      </c>
      <c r="Z51" t="s">
        <v>107</v>
      </c>
      <c r="AA51" t="str">
        <f>VLOOKUP(H51,Departments!$A:$B,2,0)</f>
        <v>Pulmonology</v>
      </c>
      <c r="AB51" t="str">
        <f>VLOOKUP(J51,Diagnosis_Guide!$A:$B,2,0)</f>
        <v>Pneumonia</v>
      </c>
      <c r="AC51" s="4" t="str">
        <f>VLOOKUP(J51,Diagnosis_Guide!$A:$C,3,0)</f>
        <v>Respiratory</v>
      </c>
      <c r="AD51" s="4" t="str">
        <f>VLOOKUP(R51,Insurance_Plans!$A:$C,3,0)</f>
        <v>Private</v>
      </c>
      <c r="AE51" s="13">
        <f t="shared" si="0"/>
        <v>3492.5</v>
      </c>
      <c r="AF51" s="13">
        <f t="shared" si="1"/>
        <v>73342.5</v>
      </c>
      <c r="AG51" s="4" t="str">
        <f t="shared" si="2"/>
        <v>Medium</v>
      </c>
    </row>
    <row r="52" spans="1:33">
      <c r="A52" t="s">
        <v>285</v>
      </c>
      <c r="B52" t="s">
        <v>286</v>
      </c>
      <c r="C52" s="11">
        <v>46153</v>
      </c>
      <c r="D52" t="s">
        <v>161</v>
      </c>
      <c r="E52" t="s">
        <v>70</v>
      </c>
      <c r="F52" s="4">
        <v>46153</v>
      </c>
      <c r="G52" s="4">
        <v>46156</v>
      </c>
      <c r="H52" t="s">
        <v>150</v>
      </c>
      <c r="I52" t="s">
        <v>247</v>
      </c>
      <c r="J52" t="s">
        <v>229</v>
      </c>
      <c r="K52" t="s">
        <v>93</v>
      </c>
      <c r="L52" t="s">
        <v>74</v>
      </c>
      <c r="M52" s="5">
        <v>43100</v>
      </c>
      <c r="N52" s="5">
        <v>6350</v>
      </c>
      <c r="O52" s="5">
        <v>10050</v>
      </c>
      <c r="P52" s="5">
        <v>7500</v>
      </c>
      <c r="Q52" s="13">
        <v>68000</v>
      </c>
      <c r="R52" t="s">
        <v>106</v>
      </c>
      <c r="S52" t="s">
        <v>163</v>
      </c>
      <c r="T52" s="5">
        <v>24500</v>
      </c>
      <c r="U52" s="6">
        <v>5</v>
      </c>
      <c r="V52" t="s">
        <v>77</v>
      </c>
      <c r="W52" s="4">
        <v>46168</v>
      </c>
      <c r="X52" t="s">
        <v>77</v>
      </c>
      <c r="Y52" t="s">
        <v>64</v>
      </c>
      <c r="Z52" t="s">
        <v>96</v>
      </c>
      <c r="AA52" t="str">
        <f>VLOOKUP(H52,Departments!$A:$B,2,0)</f>
        <v>Obstetrics</v>
      </c>
      <c r="AB52" t="str">
        <f>VLOOKUP(J52,Diagnosis_Guide!$A:$B,2,0)</f>
        <v>Delivery Care</v>
      </c>
      <c r="AC52" s="4" t="str">
        <f>VLOOKUP(J52,Diagnosis_Guide!$A:$C,3,0)</f>
        <v>Maternal Health</v>
      </c>
      <c r="AD52" s="4" t="str">
        <f>VLOOKUP(R52,Insurance_Plans!$A:$C,3,0)</f>
        <v>Private</v>
      </c>
      <c r="AE52" s="13">
        <f t="shared" si="0"/>
        <v>3400</v>
      </c>
      <c r="AF52" s="13">
        <f t="shared" si="1"/>
        <v>71400</v>
      </c>
      <c r="AG52" s="4" t="str">
        <f t="shared" si="2"/>
        <v>High</v>
      </c>
    </row>
    <row r="53" spans="1:33">
      <c r="A53" t="s">
        <v>287</v>
      </c>
      <c r="B53" t="s">
        <v>288</v>
      </c>
      <c r="C53" s="11">
        <v>46107</v>
      </c>
      <c r="D53" t="s">
        <v>234</v>
      </c>
      <c r="E53" t="s">
        <v>70</v>
      </c>
      <c r="F53" s="4">
        <v>46107</v>
      </c>
      <c r="G53" s="4">
        <v>46113</v>
      </c>
      <c r="H53" t="s">
        <v>103</v>
      </c>
      <c r="I53" t="s">
        <v>214</v>
      </c>
      <c r="J53" t="s">
        <v>105</v>
      </c>
      <c r="K53" t="s">
        <v>124</v>
      </c>
      <c r="L53" t="s">
        <v>94</v>
      </c>
      <c r="M53" s="5">
        <v>58100</v>
      </c>
      <c r="N53" s="5">
        <v>6300</v>
      </c>
      <c r="O53" s="5">
        <v>12750</v>
      </c>
      <c r="P53" s="5">
        <v>15000</v>
      </c>
      <c r="Q53" s="13">
        <v>92950</v>
      </c>
      <c r="R53" t="s">
        <v>85</v>
      </c>
      <c r="S53" t="s">
        <v>76</v>
      </c>
      <c r="T53" s="5">
        <v>24140</v>
      </c>
      <c r="U53" s="6">
        <v>4</v>
      </c>
      <c r="V53" t="s">
        <v>77</v>
      </c>
      <c r="W53" s="4">
        <v>46124</v>
      </c>
      <c r="X53" t="s">
        <v>77</v>
      </c>
      <c r="Y53" t="s">
        <v>64</v>
      </c>
      <c r="Z53" t="s">
        <v>107</v>
      </c>
      <c r="AA53" t="str">
        <f>VLOOKUP(H53,Departments!$A:$B,2,0)</f>
        <v>Nephrology</v>
      </c>
      <c r="AB53" t="str">
        <f>VLOOKUP(J53,Diagnosis_Guide!$A:$B,2,0)</f>
        <v>Dialysis Complication</v>
      </c>
      <c r="AC53" s="4" t="str">
        <f>VLOOKUP(J53,Diagnosis_Guide!$A:$C,3,0)</f>
        <v>Renal</v>
      </c>
      <c r="AD53" s="4" t="str">
        <f>VLOOKUP(R53,Insurance_Plans!$A:$C,3,0)</f>
        <v>Employer</v>
      </c>
      <c r="AE53" s="13">
        <f t="shared" si="0"/>
        <v>4647.5</v>
      </c>
      <c r="AF53" s="13">
        <f t="shared" si="1"/>
        <v>97597.5</v>
      </c>
      <c r="AG53" s="4" t="str">
        <f t="shared" si="2"/>
        <v>High</v>
      </c>
    </row>
    <row r="54" spans="1:33">
      <c r="A54" t="s">
        <v>289</v>
      </c>
      <c r="B54" t="s">
        <v>290</v>
      </c>
      <c r="C54" s="11">
        <v>46133</v>
      </c>
      <c r="D54" t="s">
        <v>161</v>
      </c>
      <c r="E54" t="s">
        <v>70</v>
      </c>
      <c r="F54" s="4">
        <v>46133</v>
      </c>
      <c r="G54" s="4">
        <v>46133</v>
      </c>
      <c r="H54" t="s">
        <v>82</v>
      </c>
      <c r="I54" t="s">
        <v>155</v>
      </c>
      <c r="J54" t="s">
        <v>291</v>
      </c>
      <c r="K54" t="s">
        <v>60</v>
      </c>
      <c r="L54" t="s">
        <v>74</v>
      </c>
      <c r="M54" s="5">
        <v>41000</v>
      </c>
      <c r="N54" s="5">
        <v>5000</v>
      </c>
      <c r="O54" s="5">
        <v>8750</v>
      </c>
      <c r="P54" s="5">
        <v>0</v>
      </c>
      <c r="Q54" s="13">
        <v>57250</v>
      </c>
      <c r="R54" t="s">
        <v>95</v>
      </c>
      <c r="S54" t="s">
        <v>63</v>
      </c>
      <c r="T54" s="5">
        <v>57250</v>
      </c>
      <c r="U54" s="6">
        <v>5</v>
      </c>
      <c r="V54" t="s">
        <v>64</v>
      </c>
      <c r="W54" s="4"/>
      <c r="X54" t="s">
        <v>65</v>
      </c>
      <c r="Y54" t="s">
        <v>64</v>
      </c>
      <c r="Z54" t="s">
        <v>78</v>
      </c>
      <c r="AA54" t="str">
        <f>VLOOKUP(H54,Departments!$A:$B,2,0)</f>
        <v>Orthopedics</v>
      </c>
      <c r="AB54" t="str">
        <f>VLOOKUP(J54,Diagnosis_Guide!$A:$B,2,0)</f>
        <v>Fracture Repair</v>
      </c>
      <c r="AC54" s="4" t="str">
        <f>VLOOKUP(J54,Diagnosis_Guide!$A:$C,3,0)</f>
        <v>Musculoskeletal</v>
      </c>
      <c r="AD54" s="4" t="str">
        <f>VLOOKUP(R54,Insurance_Plans!$A:$C,3,0)</f>
        <v>Self-Pay</v>
      </c>
      <c r="AE54" s="13">
        <f t="shared" si="0"/>
        <v>2862.5</v>
      </c>
      <c r="AF54" s="13">
        <f t="shared" si="1"/>
        <v>60112.5</v>
      </c>
      <c r="AG54" s="4" t="str">
        <f t="shared" si="2"/>
        <v>High</v>
      </c>
    </row>
    <row r="55" spans="1:33">
      <c r="A55" t="s">
        <v>292</v>
      </c>
      <c r="B55" t="s">
        <v>293</v>
      </c>
      <c r="C55" s="11">
        <v>46157</v>
      </c>
      <c r="D55" t="s">
        <v>294</v>
      </c>
      <c r="E55" t="s">
        <v>70</v>
      </c>
      <c r="F55" s="4">
        <v>46157</v>
      </c>
      <c r="G55" s="4">
        <v>46161</v>
      </c>
      <c r="H55" t="s">
        <v>201</v>
      </c>
      <c r="I55" t="s">
        <v>280</v>
      </c>
      <c r="J55" t="s">
        <v>295</v>
      </c>
      <c r="K55" t="s">
        <v>73</v>
      </c>
      <c r="L55" t="s">
        <v>74</v>
      </c>
      <c r="M55" s="5">
        <v>38700</v>
      </c>
      <c r="N55" s="5">
        <v>4050</v>
      </c>
      <c r="O55" s="5">
        <v>6350</v>
      </c>
      <c r="P55" s="5">
        <v>24000</v>
      </c>
      <c r="Q55" s="13">
        <v>74100</v>
      </c>
      <c r="R55" t="s">
        <v>75</v>
      </c>
      <c r="S55" t="s">
        <v>76</v>
      </c>
      <c r="T55" s="5">
        <v>33640</v>
      </c>
      <c r="U55" s="6">
        <v>4</v>
      </c>
      <c r="V55" t="s">
        <v>77</v>
      </c>
      <c r="W55" s="4">
        <v>46169</v>
      </c>
      <c r="X55" t="s">
        <v>77</v>
      </c>
      <c r="Y55" t="s">
        <v>64</v>
      </c>
      <c r="Z55" t="s">
        <v>78</v>
      </c>
      <c r="AA55" t="str">
        <f>VLOOKUP(H55,Departments!$A:$B,2,0)</f>
        <v>Emergency</v>
      </c>
      <c r="AB55" t="str">
        <f>VLOOKUP(J55,Diagnosis_Guide!$A:$B,2,0)</f>
        <v>Accident Injury</v>
      </c>
      <c r="AC55" s="4" t="str">
        <f>VLOOKUP(J55,Diagnosis_Guide!$A:$C,3,0)</f>
        <v>Emergency</v>
      </c>
      <c r="AD55" s="4" t="str">
        <f>VLOOKUP(R55,Insurance_Plans!$A:$C,3,0)</f>
        <v>Public</v>
      </c>
      <c r="AE55" s="13">
        <f t="shared" si="0"/>
        <v>3705</v>
      </c>
      <c r="AF55" s="13">
        <f t="shared" si="1"/>
        <v>77805</v>
      </c>
      <c r="AG55" s="4" t="str">
        <f t="shared" si="2"/>
        <v>High</v>
      </c>
    </row>
    <row r="56" spans="1:33">
      <c r="A56" t="s">
        <v>296</v>
      </c>
      <c r="B56" t="s">
        <v>297</v>
      </c>
      <c r="C56" s="11">
        <v>46141</v>
      </c>
      <c r="D56" t="s">
        <v>298</v>
      </c>
      <c r="E56" t="s">
        <v>255</v>
      </c>
      <c r="F56" s="4"/>
      <c r="G56" s="4"/>
      <c r="H56" t="s">
        <v>90</v>
      </c>
      <c r="I56" t="s">
        <v>299</v>
      </c>
      <c r="J56" t="s">
        <v>197</v>
      </c>
      <c r="K56" t="s">
        <v>124</v>
      </c>
      <c r="L56" t="s">
        <v>74</v>
      </c>
      <c r="M56" s="5"/>
      <c r="N56" s="5"/>
      <c r="O56" s="5"/>
      <c r="P56" s="5"/>
      <c r="R56" t="s">
        <v>95</v>
      </c>
      <c r="S56" t="s">
        <v>63</v>
      </c>
      <c r="T56" s="5"/>
      <c r="U56" s="6"/>
      <c r="V56" t="s">
        <v>64</v>
      </c>
      <c r="W56" s="4"/>
      <c r="X56" t="s">
        <v>65</v>
      </c>
      <c r="Z56" t="s">
        <v>66</v>
      </c>
      <c r="AA56" t="str">
        <f>VLOOKUP(H56,Departments!$A:$B,2,0)</f>
        <v>Cardiology</v>
      </c>
      <c r="AB56" t="str">
        <f>VLOOKUP(J56,Diagnosis_Guide!$A:$B,2,0)</f>
        <v>Chest Pain</v>
      </c>
      <c r="AC56" s="4" t="str">
        <f>VLOOKUP(J56,Diagnosis_Guide!$A:$C,3,0)</f>
        <v>Cardiovascular</v>
      </c>
      <c r="AD56" s="4" t="str">
        <f>VLOOKUP(R56,Insurance_Plans!$A:$C,3,0)</f>
        <v>Self-Pay</v>
      </c>
      <c r="AE56" s="13" t="str">
        <f t="shared" si="0"/>
        <v/>
      </c>
      <c r="AF56" s="13" t="str">
        <f t="shared" si="1"/>
        <v/>
      </c>
      <c r="AG56" s="4" t="str">
        <f t="shared" si="2"/>
        <v>Not Available</v>
      </c>
    </row>
    <row r="57" spans="1:33">
      <c r="A57" t="s">
        <v>300</v>
      </c>
      <c r="B57" t="s">
        <v>301</v>
      </c>
      <c r="C57" s="11">
        <v>46090</v>
      </c>
      <c r="D57" t="s">
        <v>302</v>
      </c>
      <c r="E57" t="s">
        <v>70</v>
      </c>
      <c r="F57" s="4">
        <v>46090</v>
      </c>
      <c r="G57" s="4">
        <v>46090</v>
      </c>
      <c r="H57" t="s">
        <v>150</v>
      </c>
      <c r="I57" t="s">
        <v>228</v>
      </c>
      <c r="J57" t="s">
        <v>229</v>
      </c>
      <c r="K57" t="s">
        <v>60</v>
      </c>
      <c r="L57" t="s">
        <v>146</v>
      </c>
      <c r="M57" s="5">
        <v>28300</v>
      </c>
      <c r="N57" s="5">
        <v>2600</v>
      </c>
      <c r="O57" s="5">
        <v>3550</v>
      </c>
      <c r="P57" s="5">
        <v>0</v>
      </c>
      <c r="Q57" s="13">
        <v>35950</v>
      </c>
      <c r="R57" t="s">
        <v>141</v>
      </c>
      <c r="S57" t="s">
        <v>76</v>
      </c>
      <c r="T57" s="5">
        <v>6590</v>
      </c>
      <c r="U57" s="6">
        <v>5</v>
      </c>
      <c r="V57" t="s">
        <v>64</v>
      </c>
      <c r="W57" s="4"/>
      <c r="X57" t="s">
        <v>65</v>
      </c>
      <c r="Y57" t="s">
        <v>64</v>
      </c>
      <c r="Z57" t="s">
        <v>96</v>
      </c>
      <c r="AA57" t="str">
        <f>VLOOKUP(H57,Departments!$A:$B,2,0)</f>
        <v>Obstetrics</v>
      </c>
      <c r="AB57" t="str">
        <f>VLOOKUP(J57,Diagnosis_Guide!$A:$B,2,0)</f>
        <v>Delivery Care</v>
      </c>
      <c r="AC57" s="4" t="str">
        <f>VLOOKUP(J57,Diagnosis_Guide!$A:$C,3,0)</f>
        <v>Maternal Health</v>
      </c>
      <c r="AD57" s="4" t="str">
        <f>VLOOKUP(R57,Insurance_Plans!$A:$C,3,0)</f>
        <v>Private</v>
      </c>
      <c r="AE57" s="13">
        <f t="shared" si="0"/>
        <v>1797.5</v>
      </c>
      <c r="AF57" s="13">
        <f t="shared" si="1"/>
        <v>37747.5</v>
      </c>
      <c r="AG57" s="4" t="str">
        <f t="shared" si="2"/>
        <v>High</v>
      </c>
    </row>
    <row r="58" spans="1:33">
      <c r="A58" t="s">
        <v>303</v>
      </c>
      <c r="B58" t="s">
        <v>216</v>
      </c>
      <c r="C58" s="11">
        <v>46055</v>
      </c>
      <c r="D58" t="s">
        <v>217</v>
      </c>
      <c r="E58" t="s">
        <v>70</v>
      </c>
      <c r="F58" s="4">
        <v>46055</v>
      </c>
      <c r="G58" s="4">
        <v>46060</v>
      </c>
      <c r="H58" t="s">
        <v>150</v>
      </c>
      <c r="I58" t="s">
        <v>304</v>
      </c>
      <c r="J58" t="s">
        <v>188</v>
      </c>
      <c r="K58" t="s">
        <v>124</v>
      </c>
      <c r="L58" t="s">
        <v>94</v>
      </c>
      <c r="M58" s="5">
        <v>71300</v>
      </c>
      <c r="N58" s="5">
        <v>10350</v>
      </c>
      <c r="O58" s="5">
        <v>14100</v>
      </c>
      <c r="P58" s="5">
        <v>22500</v>
      </c>
      <c r="Q58" s="13">
        <v>119450</v>
      </c>
      <c r="R58" t="s">
        <v>95</v>
      </c>
      <c r="S58" t="s">
        <v>63</v>
      </c>
      <c r="T58" s="5">
        <v>119450</v>
      </c>
      <c r="U58" s="6">
        <v>4</v>
      </c>
      <c r="V58" t="s">
        <v>64</v>
      </c>
      <c r="W58" s="4"/>
      <c r="X58" t="s">
        <v>65</v>
      </c>
      <c r="Y58" t="s">
        <v>77</v>
      </c>
      <c r="Z58" t="s">
        <v>78</v>
      </c>
      <c r="AA58" t="str">
        <f>VLOOKUP(H58,Departments!$A:$B,2,0)</f>
        <v>Obstetrics</v>
      </c>
      <c r="AB58" t="str">
        <f>VLOOKUP(J58,Diagnosis_Guide!$A:$B,2,0)</f>
        <v>Emergency C-Section</v>
      </c>
      <c r="AC58" s="4" t="str">
        <f>VLOOKUP(J58,Diagnosis_Guide!$A:$C,3,0)</f>
        <v>Maternal Health</v>
      </c>
      <c r="AD58" s="4" t="str">
        <f>VLOOKUP(R58,Insurance_Plans!$A:$C,3,0)</f>
        <v>Self-Pay</v>
      </c>
      <c r="AE58" s="13">
        <f t="shared" si="0"/>
        <v>5972.5</v>
      </c>
      <c r="AF58" s="13">
        <f t="shared" si="1"/>
        <v>125422.5</v>
      </c>
      <c r="AG58" s="4" t="str">
        <f t="shared" si="2"/>
        <v>High</v>
      </c>
    </row>
    <row r="59" spans="1:33">
      <c r="A59" t="s">
        <v>305</v>
      </c>
      <c r="B59" t="s">
        <v>306</v>
      </c>
      <c r="C59" s="11">
        <v>46028</v>
      </c>
      <c r="D59" t="s">
        <v>307</v>
      </c>
      <c r="E59" t="s">
        <v>70</v>
      </c>
      <c r="F59" s="4">
        <v>46028</v>
      </c>
      <c r="G59" s="4">
        <v>46034</v>
      </c>
      <c r="H59" t="s">
        <v>201</v>
      </c>
      <c r="I59" t="s">
        <v>202</v>
      </c>
      <c r="J59" t="s">
        <v>295</v>
      </c>
      <c r="K59" t="s">
        <v>73</v>
      </c>
      <c r="L59" t="s">
        <v>61</v>
      </c>
      <c r="M59" s="5">
        <v>52900</v>
      </c>
      <c r="N59" s="5">
        <v>6850</v>
      </c>
      <c r="O59" s="5">
        <v>9900</v>
      </c>
      <c r="P59" s="5">
        <v>36000</v>
      </c>
      <c r="Q59" s="13">
        <v>108150</v>
      </c>
      <c r="R59" t="s">
        <v>134</v>
      </c>
      <c r="S59" t="s">
        <v>76</v>
      </c>
      <c r="T59" s="5">
        <v>59680</v>
      </c>
      <c r="U59" s="6">
        <v>3</v>
      </c>
      <c r="V59" t="s">
        <v>77</v>
      </c>
      <c r="W59" s="4">
        <v>46049</v>
      </c>
      <c r="X59" t="s">
        <v>77</v>
      </c>
      <c r="Y59" t="s">
        <v>64</v>
      </c>
      <c r="Z59" t="s">
        <v>96</v>
      </c>
      <c r="AA59" t="str">
        <f>VLOOKUP(H59,Departments!$A:$B,2,0)</f>
        <v>Emergency</v>
      </c>
      <c r="AB59" t="str">
        <f>VLOOKUP(J59,Diagnosis_Guide!$A:$B,2,0)</f>
        <v>Accident Injury</v>
      </c>
      <c r="AC59" s="4" t="str">
        <f>VLOOKUP(J59,Diagnosis_Guide!$A:$C,3,0)</f>
        <v>Emergency</v>
      </c>
      <c r="AD59" s="4" t="str">
        <f>VLOOKUP(R59,Insurance_Plans!$A:$C,3,0)</f>
        <v>Community</v>
      </c>
      <c r="AE59" s="13">
        <f t="shared" si="0"/>
        <v>5407.5</v>
      </c>
      <c r="AF59" s="13">
        <f t="shared" si="1"/>
        <v>113557.5</v>
      </c>
      <c r="AG59" s="4" t="str">
        <f t="shared" si="2"/>
        <v>Medium</v>
      </c>
    </row>
    <row r="60" spans="1:33">
      <c r="A60" t="s">
        <v>308</v>
      </c>
      <c r="B60" t="s">
        <v>309</v>
      </c>
      <c r="C60" s="11">
        <v>46144</v>
      </c>
      <c r="D60" t="s">
        <v>137</v>
      </c>
      <c r="E60" t="s">
        <v>70</v>
      </c>
      <c r="F60" s="4">
        <v>46144</v>
      </c>
      <c r="G60" s="4">
        <v>46149</v>
      </c>
      <c r="H60" t="s">
        <v>201</v>
      </c>
      <c r="I60" t="s">
        <v>202</v>
      </c>
      <c r="J60" t="s">
        <v>203</v>
      </c>
      <c r="K60" t="s">
        <v>124</v>
      </c>
      <c r="L60" t="s">
        <v>74</v>
      </c>
      <c r="M60" s="5">
        <v>40200</v>
      </c>
      <c r="N60" s="5">
        <v>5000</v>
      </c>
      <c r="O60" s="5">
        <v>7100</v>
      </c>
      <c r="P60" s="5">
        <v>30000</v>
      </c>
      <c r="Q60" s="13">
        <v>84800</v>
      </c>
      <c r="R60" t="s">
        <v>62</v>
      </c>
      <c r="S60" t="s">
        <v>76</v>
      </c>
      <c r="T60" s="5">
        <v>25840</v>
      </c>
      <c r="U60" s="6">
        <v>2</v>
      </c>
      <c r="V60" t="s">
        <v>77</v>
      </c>
      <c r="W60" s="4">
        <v>46169</v>
      </c>
      <c r="X60" t="s">
        <v>64</v>
      </c>
      <c r="Y60" t="s">
        <v>64</v>
      </c>
      <c r="Z60" t="s">
        <v>96</v>
      </c>
      <c r="AA60" t="str">
        <f>VLOOKUP(H60,Departments!$A:$B,2,0)</f>
        <v>Emergency</v>
      </c>
      <c r="AB60" t="str">
        <f>VLOOKUP(J60,Diagnosis_Guide!$A:$B,2,0)</f>
        <v>Trauma Observation</v>
      </c>
      <c r="AC60" s="4" t="str">
        <f>VLOOKUP(J60,Diagnosis_Guide!$A:$C,3,0)</f>
        <v>Emergency</v>
      </c>
      <c r="AD60" s="4" t="str">
        <f>VLOOKUP(R60,Insurance_Plans!$A:$C,3,0)</f>
        <v>Public</v>
      </c>
      <c r="AE60" s="13">
        <f t="shared" si="0"/>
        <v>4240</v>
      </c>
      <c r="AF60" s="13">
        <f t="shared" si="1"/>
        <v>89040</v>
      </c>
      <c r="AG60" s="4" t="str">
        <f t="shared" si="2"/>
        <v>Low</v>
      </c>
    </row>
    <row r="61" spans="1:33">
      <c r="A61" t="s">
        <v>310</v>
      </c>
      <c r="B61" t="s">
        <v>311</v>
      </c>
      <c r="C61" s="11">
        <v>46076</v>
      </c>
      <c r="D61" t="s">
        <v>206</v>
      </c>
      <c r="E61" t="s">
        <v>70</v>
      </c>
      <c r="F61" s="4">
        <v>46077</v>
      </c>
      <c r="G61" s="4">
        <v>46077</v>
      </c>
      <c r="H61" t="s">
        <v>150</v>
      </c>
      <c r="I61" t="s">
        <v>151</v>
      </c>
      <c r="J61" t="s">
        <v>188</v>
      </c>
      <c r="K61" t="s">
        <v>60</v>
      </c>
      <c r="L61" t="s">
        <v>61</v>
      </c>
      <c r="M61" s="5">
        <v>71300</v>
      </c>
      <c r="N61" s="5">
        <v>6050</v>
      </c>
      <c r="O61" s="5">
        <v>7300</v>
      </c>
      <c r="P61" s="5">
        <v>0</v>
      </c>
      <c r="Q61" s="13">
        <v>87150</v>
      </c>
      <c r="R61" t="s">
        <v>62</v>
      </c>
      <c r="S61" t="s">
        <v>76</v>
      </c>
      <c r="T61" s="5">
        <v>26550</v>
      </c>
      <c r="U61" s="6">
        <v>3</v>
      </c>
      <c r="V61" t="s">
        <v>77</v>
      </c>
      <c r="W61" s="4">
        <v>46097</v>
      </c>
      <c r="X61" t="s">
        <v>64</v>
      </c>
      <c r="Y61" t="s">
        <v>64</v>
      </c>
      <c r="Z61" t="s">
        <v>96</v>
      </c>
      <c r="AA61" t="str">
        <f>VLOOKUP(H61,Departments!$A:$B,2,0)</f>
        <v>Obstetrics</v>
      </c>
      <c r="AB61" t="str">
        <f>VLOOKUP(J61,Diagnosis_Guide!$A:$B,2,0)</f>
        <v>Emergency C-Section</v>
      </c>
      <c r="AC61" s="4" t="str">
        <f>VLOOKUP(J61,Diagnosis_Guide!$A:$C,3,0)</f>
        <v>Maternal Health</v>
      </c>
      <c r="AD61" s="4" t="str">
        <f>VLOOKUP(R61,Insurance_Plans!$A:$C,3,0)</f>
        <v>Public</v>
      </c>
      <c r="AE61" s="13">
        <f t="shared" si="0"/>
        <v>4357.5</v>
      </c>
      <c r="AF61" s="13">
        <f t="shared" si="1"/>
        <v>91507.5</v>
      </c>
      <c r="AG61" s="4" t="str">
        <f t="shared" si="2"/>
        <v>Medium</v>
      </c>
    </row>
    <row r="62" spans="1:33">
      <c r="A62" t="s">
        <v>312</v>
      </c>
      <c r="B62" t="s">
        <v>313</v>
      </c>
      <c r="C62" s="11">
        <v>46165</v>
      </c>
      <c r="D62" t="s">
        <v>161</v>
      </c>
      <c r="E62" t="s">
        <v>314</v>
      </c>
      <c r="F62" s="4"/>
      <c r="G62" s="4"/>
      <c r="H62" t="s">
        <v>150</v>
      </c>
      <c r="I62" t="s">
        <v>304</v>
      </c>
      <c r="J62" t="s">
        <v>229</v>
      </c>
      <c r="K62" t="s">
        <v>73</v>
      </c>
      <c r="L62" t="s">
        <v>61</v>
      </c>
      <c r="M62" s="5"/>
      <c r="N62" s="5"/>
      <c r="O62" s="5"/>
      <c r="P62" s="5"/>
      <c r="R62" t="s">
        <v>75</v>
      </c>
      <c r="S62" t="s">
        <v>63</v>
      </c>
      <c r="T62" s="5"/>
      <c r="U62" s="6"/>
      <c r="V62" t="s">
        <v>64</v>
      </c>
      <c r="W62" s="4"/>
      <c r="X62" t="s">
        <v>65</v>
      </c>
      <c r="Z62" t="s">
        <v>66</v>
      </c>
      <c r="AA62" t="str">
        <f>VLOOKUP(H62,Departments!$A:$B,2,0)</f>
        <v>Obstetrics</v>
      </c>
      <c r="AB62" t="str">
        <f>VLOOKUP(J62,Diagnosis_Guide!$A:$B,2,0)</f>
        <v>Delivery Care</v>
      </c>
      <c r="AC62" s="4" t="str">
        <f>VLOOKUP(J62,Diagnosis_Guide!$A:$C,3,0)</f>
        <v>Maternal Health</v>
      </c>
      <c r="AD62" s="4" t="str">
        <f>VLOOKUP(R62,Insurance_Plans!$A:$C,3,0)</f>
        <v>Public</v>
      </c>
      <c r="AE62" s="13" t="str">
        <f t="shared" si="0"/>
        <v/>
      </c>
      <c r="AF62" s="13" t="str">
        <f t="shared" si="1"/>
        <v/>
      </c>
      <c r="AG62" s="4" t="str">
        <f t="shared" si="2"/>
        <v>Not Available</v>
      </c>
    </row>
    <row r="63" spans="1:33">
      <c r="A63" t="s">
        <v>315</v>
      </c>
      <c r="B63" t="s">
        <v>68</v>
      </c>
      <c r="C63" s="11">
        <v>46050</v>
      </c>
      <c r="D63" t="s">
        <v>173</v>
      </c>
      <c r="E63" t="s">
        <v>191</v>
      </c>
      <c r="F63" s="4"/>
      <c r="G63" s="4"/>
      <c r="H63" t="s">
        <v>150</v>
      </c>
      <c r="I63" t="s">
        <v>304</v>
      </c>
      <c r="J63" t="s">
        <v>229</v>
      </c>
      <c r="K63" t="s">
        <v>60</v>
      </c>
      <c r="L63" t="s">
        <v>61</v>
      </c>
      <c r="M63" s="5"/>
      <c r="N63" s="5"/>
      <c r="O63" s="5"/>
      <c r="P63" s="5"/>
      <c r="R63" t="s">
        <v>106</v>
      </c>
      <c r="S63" t="s">
        <v>63</v>
      </c>
      <c r="T63" s="5"/>
      <c r="U63" s="6"/>
      <c r="V63" t="s">
        <v>64</v>
      </c>
      <c r="W63" s="4"/>
      <c r="X63" t="s">
        <v>65</v>
      </c>
      <c r="Z63" t="s">
        <v>66</v>
      </c>
      <c r="AA63" t="str">
        <f>VLOOKUP(H63,Departments!$A:$B,2,0)</f>
        <v>Obstetrics</v>
      </c>
      <c r="AB63" t="str">
        <f>VLOOKUP(J63,Diagnosis_Guide!$A:$B,2,0)</f>
        <v>Delivery Care</v>
      </c>
      <c r="AC63" s="4" t="str">
        <f>VLOOKUP(J63,Diagnosis_Guide!$A:$C,3,0)</f>
        <v>Maternal Health</v>
      </c>
      <c r="AD63" s="4" t="str">
        <f>VLOOKUP(R63,Insurance_Plans!$A:$C,3,0)</f>
        <v>Private</v>
      </c>
      <c r="AE63" s="13" t="str">
        <f t="shared" si="0"/>
        <v/>
      </c>
      <c r="AF63" s="13" t="str">
        <f t="shared" si="1"/>
        <v/>
      </c>
      <c r="AG63" s="4" t="str">
        <f t="shared" si="2"/>
        <v>Not Available</v>
      </c>
    </row>
    <row r="64" spans="1:33">
      <c r="A64" t="s">
        <v>316</v>
      </c>
      <c r="B64" t="s">
        <v>317</v>
      </c>
      <c r="C64" s="11">
        <v>46136</v>
      </c>
      <c r="D64" t="s">
        <v>284</v>
      </c>
      <c r="E64" t="s">
        <v>70</v>
      </c>
      <c r="F64" s="4">
        <v>46136</v>
      </c>
      <c r="G64" s="4">
        <v>46136</v>
      </c>
      <c r="H64" t="s">
        <v>121</v>
      </c>
      <c r="I64" t="s">
        <v>251</v>
      </c>
      <c r="J64" t="s">
        <v>252</v>
      </c>
      <c r="K64" t="s">
        <v>60</v>
      </c>
      <c r="L64" t="s">
        <v>94</v>
      </c>
      <c r="M64" s="5">
        <v>59900</v>
      </c>
      <c r="N64" s="5">
        <v>10600</v>
      </c>
      <c r="O64" s="5">
        <v>12900</v>
      </c>
      <c r="P64" s="5">
        <v>0</v>
      </c>
      <c r="Q64" s="13">
        <v>85400</v>
      </c>
      <c r="R64" t="s">
        <v>75</v>
      </c>
      <c r="S64" t="s">
        <v>86</v>
      </c>
      <c r="T64" s="5">
        <v>38730</v>
      </c>
      <c r="U64" s="6">
        <v>4</v>
      </c>
      <c r="V64" t="s">
        <v>77</v>
      </c>
      <c r="W64" s="4">
        <v>46147</v>
      </c>
      <c r="X64" t="s">
        <v>77</v>
      </c>
      <c r="Y64" t="s">
        <v>77</v>
      </c>
      <c r="Z64" t="s">
        <v>96</v>
      </c>
      <c r="AA64" t="str">
        <f>VLOOKUP(H64,Departments!$A:$B,2,0)</f>
        <v>Neurology</v>
      </c>
      <c r="AB64" t="str">
        <f>VLOOKUP(J64,Diagnosis_Guide!$A:$B,2,0)</f>
        <v>Stroke Assessment</v>
      </c>
      <c r="AC64" s="4" t="str">
        <f>VLOOKUP(J64,Diagnosis_Guide!$A:$C,3,0)</f>
        <v>Neurological</v>
      </c>
      <c r="AD64" s="4" t="str">
        <f>VLOOKUP(R64,Insurance_Plans!$A:$C,3,0)</f>
        <v>Public</v>
      </c>
      <c r="AE64" s="13">
        <f t="shared" si="0"/>
        <v>4270</v>
      </c>
      <c r="AF64" s="13">
        <f t="shared" si="1"/>
        <v>89670</v>
      </c>
      <c r="AG64" s="4" t="str">
        <f t="shared" si="2"/>
        <v>High</v>
      </c>
    </row>
    <row r="65" spans="1:33">
      <c r="A65" t="s">
        <v>318</v>
      </c>
      <c r="B65" t="s">
        <v>319</v>
      </c>
      <c r="C65" s="11">
        <v>46058</v>
      </c>
      <c r="D65" t="s">
        <v>183</v>
      </c>
      <c r="E65" t="s">
        <v>56</v>
      </c>
      <c r="F65" s="4"/>
      <c r="G65" s="4"/>
      <c r="H65" t="s">
        <v>138</v>
      </c>
      <c r="I65" t="s">
        <v>260</v>
      </c>
      <c r="J65" t="s">
        <v>140</v>
      </c>
      <c r="K65" t="s">
        <v>93</v>
      </c>
      <c r="L65" t="s">
        <v>74</v>
      </c>
      <c r="M65" s="5"/>
      <c r="N65" s="5"/>
      <c r="O65" s="5"/>
      <c r="P65" s="5"/>
      <c r="R65" t="s">
        <v>62</v>
      </c>
      <c r="S65" t="s">
        <v>63</v>
      </c>
      <c r="T65" s="5"/>
      <c r="U65" s="6"/>
      <c r="V65" t="s">
        <v>64</v>
      </c>
      <c r="W65" s="4"/>
      <c r="X65" t="s">
        <v>65</v>
      </c>
      <c r="Z65" t="s">
        <v>66</v>
      </c>
      <c r="AA65" t="str">
        <f>VLOOKUP(H65,Departments!$A:$B,2,0)</f>
        <v>Pediatrics</v>
      </c>
      <c r="AB65" t="str">
        <f>VLOOKUP(J65,Diagnosis_Guide!$A:$B,2,0)</f>
        <v>Pediatric Asthma</v>
      </c>
      <c r="AC65" s="4" t="str">
        <f>VLOOKUP(J65,Diagnosis_Guide!$A:$C,3,0)</f>
        <v>Pediatric</v>
      </c>
      <c r="AD65" s="4" t="str">
        <f>VLOOKUP(R65,Insurance_Plans!$A:$C,3,0)</f>
        <v>Public</v>
      </c>
      <c r="AE65" s="13" t="str">
        <f t="shared" si="0"/>
        <v/>
      </c>
      <c r="AF65" s="13" t="str">
        <f t="shared" si="1"/>
        <v/>
      </c>
      <c r="AG65" s="4" t="str">
        <f t="shared" si="2"/>
        <v>Not Available</v>
      </c>
    </row>
    <row r="66" spans="1:33">
      <c r="A66" t="s">
        <v>320</v>
      </c>
      <c r="B66" t="s">
        <v>317</v>
      </c>
      <c r="C66" s="11">
        <v>46060</v>
      </c>
      <c r="D66" t="s">
        <v>225</v>
      </c>
      <c r="E66" t="s">
        <v>70</v>
      </c>
      <c r="F66" s="4">
        <v>46060</v>
      </c>
      <c r="G66" s="4">
        <v>46060</v>
      </c>
      <c r="H66" t="s">
        <v>201</v>
      </c>
      <c r="I66" t="s">
        <v>202</v>
      </c>
      <c r="J66" t="s">
        <v>203</v>
      </c>
      <c r="K66" t="s">
        <v>60</v>
      </c>
      <c r="L66" t="s">
        <v>61</v>
      </c>
      <c r="M66" s="5">
        <v>42400</v>
      </c>
      <c r="N66" s="5">
        <v>7550</v>
      </c>
      <c r="O66" s="5">
        <v>10450</v>
      </c>
      <c r="P66" s="5">
        <v>0</v>
      </c>
      <c r="Q66" s="13">
        <v>62900</v>
      </c>
      <c r="R66" t="s">
        <v>95</v>
      </c>
      <c r="S66" t="s">
        <v>63</v>
      </c>
      <c r="T66" s="5">
        <v>62900</v>
      </c>
      <c r="U66" s="6">
        <v>5</v>
      </c>
      <c r="V66" t="s">
        <v>64</v>
      </c>
      <c r="W66" s="4"/>
      <c r="X66" t="s">
        <v>65</v>
      </c>
      <c r="Y66" t="s">
        <v>64</v>
      </c>
      <c r="Z66" t="s">
        <v>78</v>
      </c>
      <c r="AA66" t="str">
        <f>VLOOKUP(H66,Departments!$A:$B,2,0)</f>
        <v>Emergency</v>
      </c>
      <c r="AB66" t="str">
        <f>VLOOKUP(J66,Diagnosis_Guide!$A:$B,2,0)</f>
        <v>Trauma Observation</v>
      </c>
      <c r="AC66" s="4" t="str">
        <f>VLOOKUP(J66,Diagnosis_Guide!$A:$C,3,0)</f>
        <v>Emergency</v>
      </c>
      <c r="AD66" s="4" t="str">
        <f>VLOOKUP(R66,Insurance_Plans!$A:$C,3,0)</f>
        <v>Self-Pay</v>
      </c>
      <c r="AE66" s="13">
        <f t="shared" ref="AE66:AE129" si="3">IF(Q66="","",Q66*0.05)</f>
        <v>3145</v>
      </c>
      <c r="AF66" s="13">
        <f t="shared" ref="AF66:AF129" si="4">IF(Q66="","",Q66+AE66)</f>
        <v>66045</v>
      </c>
      <c r="AG66" s="4" t="str">
        <f t="shared" ref="AG66:AG129" si="5">IF(U66="","Not Available",IF(U66&gt;=4,"High",IF(U66=3,"Medium","Low")))</f>
        <v>High</v>
      </c>
    </row>
    <row r="67" spans="1:33">
      <c r="A67" t="s">
        <v>321</v>
      </c>
      <c r="B67" t="s">
        <v>322</v>
      </c>
      <c r="C67" s="11">
        <v>46126</v>
      </c>
      <c r="D67" t="s">
        <v>307</v>
      </c>
      <c r="E67" t="s">
        <v>56</v>
      </c>
      <c r="F67" s="4"/>
      <c r="G67" s="4"/>
      <c r="H67" t="s">
        <v>138</v>
      </c>
      <c r="I67" t="s">
        <v>260</v>
      </c>
      <c r="J67" t="s">
        <v>236</v>
      </c>
      <c r="K67" t="s">
        <v>73</v>
      </c>
      <c r="L67" t="s">
        <v>74</v>
      </c>
      <c r="M67" s="5"/>
      <c r="N67" s="5"/>
      <c r="O67" s="5"/>
      <c r="P67" s="5"/>
      <c r="R67" t="s">
        <v>141</v>
      </c>
      <c r="S67" t="s">
        <v>63</v>
      </c>
      <c r="T67" s="5"/>
      <c r="U67" s="6"/>
      <c r="V67" t="s">
        <v>64</v>
      </c>
      <c r="W67" s="4"/>
      <c r="X67" t="s">
        <v>65</v>
      </c>
      <c r="Z67" t="s">
        <v>66</v>
      </c>
      <c r="AA67" t="str">
        <f>VLOOKUP(H67,Departments!$A:$B,2,0)</f>
        <v>Pediatrics</v>
      </c>
      <c r="AB67" t="str">
        <f>VLOOKUP(J67,Diagnosis_Guide!$A:$B,2,0)</f>
        <v>Neonatal Observation</v>
      </c>
      <c r="AC67" s="4" t="str">
        <f>VLOOKUP(J67,Diagnosis_Guide!$A:$C,3,0)</f>
        <v>Pediatric</v>
      </c>
      <c r="AD67" s="4" t="str">
        <f>VLOOKUP(R67,Insurance_Plans!$A:$C,3,0)</f>
        <v>Private</v>
      </c>
      <c r="AE67" s="13" t="str">
        <f t="shared" si="3"/>
        <v/>
      </c>
      <c r="AF67" s="13" t="str">
        <f t="shared" si="4"/>
        <v/>
      </c>
      <c r="AG67" s="4" t="str">
        <f t="shared" si="5"/>
        <v>Not Available</v>
      </c>
    </row>
    <row r="68" spans="1:33">
      <c r="A68" t="s">
        <v>323</v>
      </c>
      <c r="B68" t="s">
        <v>324</v>
      </c>
      <c r="C68" s="11">
        <v>46044</v>
      </c>
      <c r="D68" t="s">
        <v>120</v>
      </c>
      <c r="E68" t="s">
        <v>70</v>
      </c>
      <c r="F68" s="4">
        <v>46044</v>
      </c>
      <c r="G68" s="4">
        <v>46046</v>
      </c>
      <c r="H68" t="s">
        <v>57</v>
      </c>
      <c r="I68" t="s">
        <v>184</v>
      </c>
      <c r="J68" t="s">
        <v>72</v>
      </c>
      <c r="K68" t="s">
        <v>124</v>
      </c>
      <c r="L68" t="s">
        <v>94</v>
      </c>
      <c r="M68" s="5">
        <v>6500</v>
      </c>
      <c r="N68" s="5">
        <v>850</v>
      </c>
      <c r="O68" s="5">
        <v>950</v>
      </c>
      <c r="P68" s="5">
        <v>7000</v>
      </c>
      <c r="Q68" s="13">
        <v>16500</v>
      </c>
      <c r="R68" t="s">
        <v>95</v>
      </c>
      <c r="S68" t="s">
        <v>63</v>
      </c>
      <c r="T68" s="5">
        <v>16500</v>
      </c>
      <c r="U68" s="6">
        <v>3</v>
      </c>
      <c r="V68" t="s">
        <v>77</v>
      </c>
      <c r="W68" s="4">
        <v>46053</v>
      </c>
      <c r="X68" t="s">
        <v>64</v>
      </c>
      <c r="Y68" t="s">
        <v>64</v>
      </c>
      <c r="Z68" t="s">
        <v>107</v>
      </c>
      <c r="AA68" t="str">
        <f>VLOOKUP(H68,Departments!$A:$B,2,0)</f>
        <v>Pulmonology</v>
      </c>
      <c r="AB68" t="str">
        <f>VLOOKUP(J68,Diagnosis_Guide!$A:$B,2,0)</f>
        <v>Acute Bronchitis</v>
      </c>
      <c r="AC68" s="4" t="str">
        <f>VLOOKUP(J68,Diagnosis_Guide!$A:$C,3,0)</f>
        <v>Respiratory</v>
      </c>
      <c r="AD68" s="4" t="str">
        <f>VLOOKUP(R68,Insurance_Plans!$A:$C,3,0)</f>
        <v>Self-Pay</v>
      </c>
      <c r="AE68" s="13">
        <f t="shared" si="3"/>
        <v>825</v>
      </c>
      <c r="AF68" s="13">
        <f t="shared" si="4"/>
        <v>17325</v>
      </c>
      <c r="AG68" s="4" t="str">
        <f t="shared" si="5"/>
        <v>Medium</v>
      </c>
    </row>
    <row r="69" spans="1:33">
      <c r="A69" t="s">
        <v>325</v>
      </c>
      <c r="B69" t="s">
        <v>326</v>
      </c>
      <c r="C69" s="11">
        <v>46152</v>
      </c>
      <c r="D69" t="s">
        <v>168</v>
      </c>
      <c r="E69" t="s">
        <v>70</v>
      </c>
      <c r="F69" s="4">
        <v>46152</v>
      </c>
      <c r="G69" s="4">
        <v>46152</v>
      </c>
      <c r="H69" t="s">
        <v>201</v>
      </c>
      <c r="I69" t="s">
        <v>327</v>
      </c>
      <c r="J69" t="s">
        <v>203</v>
      </c>
      <c r="K69" t="s">
        <v>124</v>
      </c>
      <c r="L69" t="s">
        <v>74</v>
      </c>
      <c r="M69" s="5">
        <v>44900</v>
      </c>
      <c r="N69" s="5">
        <v>6150</v>
      </c>
      <c r="O69" s="5">
        <v>10500</v>
      </c>
      <c r="P69" s="5">
        <v>0</v>
      </c>
      <c r="Q69" s="13">
        <v>62550</v>
      </c>
      <c r="R69" t="s">
        <v>85</v>
      </c>
      <c r="S69" t="s">
        <v>76</v>
      </c>
      <c r="T69" s="5">
        <v>16540</v>
      </c>
      <c r="U69" s="6">
        <v>5</v>
      </c>
      <c r="V69" t="s">
        <v>77</v>
      </c>
      <c r="W69" s="4">
        <v>46164</v>
      </c>
      <c r="X69" t="s">
        <v>77</v>
      </c>
      <c r="Y69" t="s">
        <v>64</v>
      </c>
      <c r="Z69" t="s">
        <v>78</v>
      </c>
      <c r="AA69" t="str">
        <f>VLOOKUP(H69,Departments!$A:$B,2,0)</f>
        <v>Emergency</v>
      </c>
      <c r="AB69" t="str">
        <f>VLOOKUP(J69,Diagnosis_Guide!$A:$B,2,0)</f>
        <v>Trauma Observation</v>
      </c>
      <c r="AC69" s="4" t="str">
        <f>VLOOKUP(J69,Diagnosis_Guide!$A:$C,3,0)</f>
        <v>Emergency</v>
      </c>
      <c r="AD69" s="4" t="str">
        <f>VLOOKUP(R69,Insurance_Plans!$A:$C,3,0)</f>
        <v>Employer</v>
      </c>
      <c r="AE69" s="13">
        <f t="shared" si="3"/>
        <v>3127.5</v>
      </c>
      <c r="AF69" s="13">
        <f t="shared" si="4"/>
        <v>65677.5</v>
      </c>
      <c r="AG69" s="4" t="str">
        <f t="shared" si="5"/>
        <v>High</v>
      </c>
    </row>
    <row r="70" spans="1:33">
      <c r="A70" t="s">
        <v>328</v>
      </c>
      <c r="B70" t="s">
        <v>329</v>
      </c>
      <c r="C70" s="11">
        <v>46139</v>
      </c>
      <c r="D70" t="s">
        <v>330</v>
      </c>
      <c r="E70" t="s">
        <v>70</v>
      </c>
      <c r="F70" s="4">
        <v>46139</v>
      </c>
      <c r="G70" s="4">
        <v>46148</v>
      </c>
      <c r="H70" t="s">
        <v>82</v>
      </c>
      <c r="I70" t="s">
        <v>331</v>
      </c>
      <c r="J70" t="s">
        <v>156</v>
      </c>
      <c r="K70" t="s">
        <v>124</v>
      </c>
      <c r="L70" t="s">
        <v>61</v>
      </c>
      <c r="M70" s="5">
        <v>80900</v>
      </c>
      <c r="N70" s="5">
        <v>8200</v>
      </c>
      <c r="O70" s="5">
        <v>9050</v>
      </c>
      <c r="P70" s="5">
        <v>54000</v>
      </c>
      <c r="Q70" s="13">
        <v>153650</v>
      </c>
      <c r="R70" t="s">
        <v>141</v>
      </c>
      <c r="S70" t="s">
        <v>76</v>
      </c>
      <c r="T70" s="5">
        <v>24250</v>
      </c>
      <c r="U70" s="6">
        <v>4</v>
      </c>
      <c r="V70" t="s">
        <v>77</v>
      </c>
      <c r="W70" s="4">
        <v>46168</v>
      </c>
      <c r="X70" t="s">
        <v>77</v>
      </c>
      <c r="Y70" t="s">
        <v>64</v>
      </c>
      <c r="Z70" t="s">
        <v>78</v>
      </c>
      <c r="AA70" t="str">
        <f>VLOOKUP(H70,Departments!$A:$B,2,0)</f>
        <v>Orthopedics</v>
      </c>
      <c r="AB70" t="str">
        <f>VLOOKUP(J70,Diagnosis_Guide!$A:$B,2,0)</f>
        <v>Spinal Injury</v>
      </c>
      <c r="AC70" s="4" t="str">
        <f>VLOOKUP(J70,Diagnosis_Guide!$A:$C,3,0)</f>
        <v>Musculoskeletal</v>
      </c>
      <c r="AD70" s="4" t="str">
        <f>VLOOKUP(R70,Insurance_Plans!$A:$C,3,0)</f>
        <v>Private</v>
      </c>
      <c r="AE70" s="13">
        <f t="shared" si="3"/>
        <v>7682.5</v>
      </c>
      <c r="AF70" s="13">
        <f t="shared" si="4"/>
        <v>161332.5</v>
      </c>
      <c r="AG70" s="4" t="str">
        <f t="shared" si="5"/>
        <v>High</v>
      </c>
    </row>
    <row r="71" spans="1:33">
      <c r="A71" t="s">
        <v>332</v>
      </c>
      <c r="B71" t="s">
        <v>333</v>
      </c>
      <c r="C71" s="11">
        <v>46147</v>
      </c>
      <c r="D71" t="s">
        <v>307</v>
      </c>
      <c r="E71" t="s">
        <v>177</v>
      </c>
      <c r="F71" s="4"/>
      <c r="G71" s="4"/>
      <c r="H71" t="s">
        <v>121</v>
      </c>
      <c r="I71" t="s">
        <v>334</v>
      </c>
      <c r="J71" t="s">
        <v>256</v>
      </c>
      <c r="K71" t="s">
        <v>73</v>
      </c>
      <c r="L71" t="s">
        <v>74</v>
      </c>
      <c r="M71" s="5"/>
      <c r="N71" s="5"/>
      <c r="O71" s="5"/>
      <c r="P71" s="5"/>
      <c r="R71" t="s">
        <v>62</v>
      </c>
      <c r="S71" t="s">
        <v>63</v>
      </c>
      <c r="T71" s="5"/>
      <c r="U71" s="6"/>
      <c r="V71" t="s">
        <v>64</v>
      </c>
      <c r="W71" s="4"/>
      <c r="X71" t="s">
        <v>65</v>
      </c>
      <c r="Z71" t="s">
        <v>66</v>
      </c>
      <c r="AA71" t="str">
        <f>VLOOKUP(H71,Departments!$A:$B,2,0)</f>
        <v>Neurology</v>
      </c>
      <c r="AB71" t="str">
        <f>VLOOKUP(J71,Diagnosis_Guide!$A:$B,2,0)</f>
        <v>Migraine Complication</v>
      </c>
      <c r="AC71" s="4" t="str">
        <f>VLOOKUP(J71,Diagnosis_Guide!$A:$C,3,0)</f>
        <v>Neurological</v>
      </c>
      <c r="AD71" s="4" t="str">
        <f>VLOOKUP(R71,Insurance_Plans!$A:$C,3,0)</f>
        <v>Public</v>
      </c>
      <c r="AE71" s="13" t="str">
        <f t="shared" si="3"/>
        <v/>
      </c>
      <c r="AF71" s="13" t="str">
        <f t="shared" si="4"/>
        <v/>
      </c>
      <c r="AG71" s="4" t="str">
        <f t="shared" si="5"/>
        <v>Not Available</v>
      </c>
    </row>
    <row r="72" spans="1:33">
      <c r="A72" t="s">
        <v>335</v>
      </c>
      <c r="B72" t="s">
        <v>336</v>
      </c>
      <c r="C72" s="11">
        <v>46063</v>
      </c>
      <c r="D72" t="s">
        <v>337</v>
      </c>
      <c r="E72" t="s">
        <v>338</v>
      </c>
      <c r="F72" s="4"/>
      <c r="G72" s="4"/>
      <c r="H72" t="s">
        <v>178</v>
      </c>
      <c r="I72" t="s">
        <v>339</v>
      </c>
      <c r="J72" t="s">
        <v>340</v>
      </c>
      <c r="K72" t="s">
        <v>93</v>
      </c>
      <c r="L72" t="s">
        <v>74</v>
      </c>
      <c r="M72" s="5"/>
      <c r="N72" s="5"/>
      <c r="O72" s="5"/>
      <c r="P72" s="5"/>
      <c r="R72" t="s">
        <v>141</v>
      </c>
      <c r="S72" t="s">
        <v>63</v>
      </c>
      <c r="T72" s="5"/>
      <c r="U72" s="6"/>
      <c r="V72" t="s">
        <v>64</v>
      </c>
      <c r="W72" s="4"/>
      <c r="X72" t="s">
        <v>65</v>
      </c>
      <c r="Z72" t="s">
        <v>66</v>
      </c>
      <c r="AA72" t="str">
        <f>VLOOKUP(H72,Departments!$A:$B,2,0)</f>
        <v>Surgery</v>
      </c>
      <c r="AB72" t="str">
        <f>VLOOKUP(J72,Diagnosis_Guide!$A:$B,2,0)</f>
        <v>Post-Operative Infection</v>
      </c>
      <c r="AC72" s="4" t="str">
        <f>VLOOKUP(J72,Diagnosis_Guide!$A:$C,3,0)</f>
        <v>Surgical</v>
      </c>
      <c r="AD72" s="4" t="str">
        <f>VLOOKUP(R72,Insurance_Plans!$A:$C,3,0)</f>
        <v>Private</v>
      </c>
      <c r="AE72" s="13" t="str">
        <f t="shared" si="3"/>
        <v/>
      </c>
      <c r="AF72" s="13" t="str">
        <f t="shared" si="4"/>
        <v/>
      </c>
      <c r="AG72" s="4" t="str">
        <f t="shared" si="5"/>
        <v>Not Available</v>
      </c>
    </row>
    <row r="73" spans="1:33">
      <c r="A73" t="s">
        <v>341</v>
      </c>
      <c r="B73" t="s">
        <v>342</v>
      </c>
      <c r="C73" s="11">
        <v>46118</v>
      </c>
      <c r="D73" t="s">
        <v>200</v>
      </c>
      <c r="E73" t="s">
        <v>70</v>
      </c>
      <c r="F73" s="4">
        <v>46118</v>
      </c>
      <c r="G73" s="4">
        <v>46120</v>
      </c>
      <c r="H73" t="s">
        <v>138</v>
      </c>
      <c r="I73" t="s">
        <v>343</v>
      </c>
      <c r="J73" t="s">
        <v>261</v>
      </c>
      <c r="K73" t="s">
        <v>73</v>
      </c>
      <c r="L73" t="s">
        <v>94</v>
      </c>
      <c r="M73" s="5">
        <v>6700</v>
      </c>
      <c r="N73" s="5">
        <v>750</v>
      </c>
      <c r="O73" s="5">
        <v>950</v>
      </c>
      <c r="P73" s="5">
        <v>6000</v>
      </c>
      <c r="Q73" s="13">
        <v>16200</v>
      </c>
      <c r="R73" t="s">
        <v>95</v>
      </c>
      <c r="S73" t="s">
        <v>63</v>
      </c>
      <c r="T73" s="5">
        <v>16200</v>
      </c>
      <c r="U73" s="6">
        <v>4</v>
      </c>
      <c r="V73" t="s">
        <v>64</v>
      </c>
      <c r="W73" s="4"/>
      <c r="X73" t="s">
        <v>65</v>
      </c>
      <c r="Y73" t="s">
        <v>64</v>
      </c>
      <c r="Z73" t="s">
        <v>96</v>
      </c>
      <c r="AA73" t="str">
        <f>VLOOKUP(H73,Departments!$A:$B,2,0)</f>
        <v>Pediatrics</v>
      </c>
      <c r="AB73" t="str">
        <f>VLOOKUP(J73,Diagnosis_Guide!$A:$B,2,0)</f>
        <v>Child Fever</v>
      </c>
      <c r="AC73" s="4" t="str">
        <f>VLOOKUP(J73,Diagnosis_Guide!$A:$C,3,0)</f>
        <v>Pediatric</v>
      </c>
      <c r="AD73" s="4" t="str">
        <f>VLOOKUP(R73,Insurance_Plans!$A:$C,3,0)</f>
        <v>Self-Pay</v>
      </c>
      <c r="AE73" s="13">
        <f t="shared" si="3"/>
        <v>810</v>
      </c>
      <c r="AF73" s="13">
        <f t="shared" si="4"/>
        <v>17010</v>
      </c>
      <c r="AG73" s="4" t="str">
        <f t="shared" si="5"/>
        <v>High</v>
      </c>
    </row>
    <row r="74" spans="1:33">
      <c r="A74" t="s">
        <v>344</v>
      </c>
      <c r="B74" t="s">
        <v>345</v>
      </c>
      <c r="C74" s="11">
        <v>46056</v>
      </c>
      <c r="D74" t="s">
        <v>110</v>
      </c>
      <c r="E74" t="s">
        <v>70</v>
      </c>
      <c r="F74" s="4">
        <v>46056</v>
      </c>
      <c r="G74" s="4">
        <v>46056</v>
      </c>
      <c r="H74" t="s">
        <v>57</v>
      </c>
      <c r="I74" t="s">
        <v>58</v>
      </c>
      <c r="J74" t="s">
        <v>72</v>
      </c>
      <c r="K74" t="s">
        <v>73</v>
      </c>
      <c r="L74" t="s">
        <v>61</v>
      </c>
      <c r="M74" s="5">
        <v>6800</v>
      </c>
      <c r="N74" s="5">
        <v>950</v>
      </c>
      <c r="O74" s="5">
        <v>1300</v>
      </c>
      <c r="P74" s="5">
        <v>0</v>
      </c>
      <c r="Q74" s="13">
        <v>11550</v>
      </c>
      <c r="R74" t="s">
        <v>106</v>
      </c>
      <c r="S74" t="s">
        <v>86</v>
      </c>
      <c r="T74" s="5">
        <v>4740</v>
      </c>
      <c r="U74" s="6">
        <v>4</v>
      </c>
      <c r="V74" t="s">
        <v>77</v>
      </c>
      <c r="W74" s="4">
        <v>46063</v>
      </c>
      <c r="X74" t="s">
        <v>64</v>
      </c>
      <c r="Y74" t="s">
        <v>64</v>
      </c>
      <c r="Z74" t="s">
        <v>107</v>
      </c>
      <c r="AA74" t="str">
        <f>VLOOKUP(H74,Departments!$A:$B,2,0)</f>
        <v>Pulmonology</v>
      </c>
      <c r="AB74" t="str">
        <f>VLOOKUP(J74,Diagnosis_Guide!$A:$B,2,0)</f>
        <v>Acute Bronchitis</v>
      </c>
      <c r="AC74" s="4" t="str">
        <f>VLOOKUP(J74,Diagnosis_Guide!$A:$C,3,0)</f>
        <v>Respiratory</v>
      </c>
      <c r="AD74" s="4" t="str">
        <f>VLOOKUP(R74,Insurance_Plans!$A:$C,3,0)</f>
        <v>Private</v>
      </c>
      <c r="AE74" s="13">
        <f t="shared" si="3"/>
        <v>577.5</v>
      </c>
      <c r="AF74" s="13">
        <f t="shared" si="4"/>
        <v>12127.5</v>
      </c>
      <c r="AG74" s="4" t="str">
        <f t="shared" si="5"/>
        <v>High</v>
      </c>
    </row>
    <row r="75" spans="1:33">
      <c r="A75" t="s">
        <v>346</v>
      </c>
      <c r="B75" t="s">
        <v>347</v>
      </c>
      <c r="C75" s="11">
        <v>46166</v>
      </c>
      <c r="D75" t="s">
        <v>330</v>
      </c>
      <c r="E75" t="s">
        <v>177</v>
      </c>
      <c r="F75" s="4"/>
      <c r="G75" s="4"/>
      <c r="H75" t="s">
        <v>103</v>
      </c>
      <c r="I75" t="s">
        <v>214</v>
      </c>
      <c r="J75" t="s">
        <v>145</v>
      </c>
      <c r="K75" t="s">
        <v>73</v>
      </c>
      <c r="L75" t="s">
        <v>94</v>
      </c>
      <c r="M75" s="5"/>
      <c r="N75" s="5"/>
      <c r="O75" s="5"/>
      <c r="P75" s="5"/>
      <c r="R75" t="s">
        <v>95</v>
      </c>
      <c r="S75" t="s">
        <v>63</v>
      </c>
      <c r="T75" s="5"/>
      <c r="U75" s="6"/>
      <c r="V75" t="s">
        <v>64</v>
      </c>
      <c r="W75" s="4"/>
      <c r="X75" t="s">
        <v>65</v>
      </c>
      <c r="Z75" t="s">
        <v>66</v>
      </c>
      <c r="AA75" t="str">
        <f>VLOOKUP(H75,Departments!$A:$B,2,0)</f>
        <v>Nephrology</v>
      </c>
      <c r="AB75" t="str">
        <f>VLOOKUP(J75,Diagnosis_Guide!$A:$B,2,0)</f>
        <v>Kidney Stone</v>
      </c>
      <c r="AC75" s="4" t="str">
        <f>VLOOKUP(J75,Diagnosis_Guide!$A:$C,3,0)</f>
        <v>Renal</v>
      </c>
      <c r="AD75" s="4" t="str">
        <f>VLOOKUP(R75,Insurance_Plans!$A:$C,3,0)</f>
        <v>Self-Pay</v>
      </c>
      <c r="AE75" s="13" t="str">
        <f t="shared" si="3"/>
        <v/>
      </c>
      <c r="AF75" s="13" t="str">
        <f t="shared" si="4"/>
        <v/>
      </c>
      <c r="AG75" s="4" t="str">
        <f t="shared" si="5"/>
        <v>Not Available</v>
      </c>
    </row>
    <row r="76" spans="1:33">
      <c r="A76" t="s">
        <v>348</v>
      </c>
      <c r="B76" t="s">
        <v>349</v>
      </c>
      <c r="C76" s="11">
        <v>46151</v>
      </c>
      <c r="D76" t="s">
        <v>225</v>
      </c>
      <c r="E76" t="s">
        <v>70</v>
      </c>
      <c r="F76" s="4">
        <v>46151</v>
      </c>
      <c r="G76" s="4">
        <v>46153</v>
      </c>
      <c r="H76" t="s">
        <v>82</v>
      </c>
      <c r="I76" t="s">
        <v>155</v>
      </c>
      <c r="J76" t="s">
        <v>84</v>
      </c>
      <c r="K76" t="s">
        <v>73</v>
      </c>
      <c r="L76" t="s">
        <v>146</v>
      </c>
      <c r="M76" s="5">
        <v>8000</v>
      </c>
      <c r="N76" s="5">
        <v>1350</v>
      </c>
      <c r="O76" s="5">
        <v>1350</v>
      </c>
      <c r="P76" s="5">
        <v>12000</v>
      </c>
      <c r="Q76" s="13">
        <v>25200</v>
      </c>
      <c r="R76" t="s">
        <v>85</v>
      </c>
      <c r="S76" t="s">
        <v>76</v>
      </c>
      <c r="T76" s="5">
        <v>7200</v>
      </c>
      <c r="U76" s="6">
        <v>3</v>
      </c>
      <c r="V76" t="s">
        <v>77</v>
      </c>
      <c r="W76" s="4">
        <v>46173</v>
      </c>
      <c r="X76" t="s">
        <v>64</v>
      </c>
      <c r="Y76" t="s">
        <v>64</v>
      </c>
      <c r="Z76" t="s">
        <v>107</v>
      </c>
      <c r="AA76" t="str">
        <f>VLOOKUP(H76,Departments!$A:$B,2,0)</f>
        <v>Orthopedics</v>
      </c>
      <c r="AB76" t="str">
        <f>VLOOKUP(J76,Diagnosis_Guide!$A:$B,2,0)</f>
        <v>Joint Pain</v>
      </c>
      <c r="AC76" s="4" t="str">
        <f>VLOOKUP(J76,Diagnosis_Guide!$A:$C,3,0)</f>
        <v>Musculoskeletal</v>
      </c>
      <c r="AD76" s="4" t="str">
        <f>VLOOKUP(R76,Insurance_Plans!$A:$C,3,0)</f>
        <v>Employer</v>
      </c>
      <c r="AE76" s="13">
        <f t="shared" si="3"/>
        <v>1260</v>
      </c>
      <c r="AF76" s="13">
        <f t="shared" si="4"/>
        <v>26460</v>
      </c>
      <c r="AG76" s="4" t="str">
        <f t="shared" si="5"/>
        <v>Medium</v>
      </c>
    </row>
    <row r="77" spans="1:33">
      <c r="A77" t="s">
        <v>350</v>
      </c>
      <c r="B77" t="s">
        <v>351</v>
      </c>
      <c r="C77" s="11">
        <v>46059</v>
      </c>
      <c r="D77" t="s">
        <v>259</v>
      </c>
      <c r="E77" t="s">
        <v>70</v>
      </c>
      <c r="F77" s="4">
        <v>46059</v>
      </c>
      <c r="G77" s="4">
        <v>46059</v>
      </c>
      <c r="H77" t="s">
        <v>138</v>
      </c>
      <c r="I77" t="s">
        <v>352</v>
      </c>
      <c r="J77" t="s">
        <v>236</v>
      </c>
      <c r="K77" t="s">
        <v>60</v>
      </c>
      <c r="L77" t="s">
        <v>146</v>
      </c>
      <c r="M77" s="5">
        <v>37200</v>
      </c>
      <c r="N77" s="5">
        <v>4100</v>
      </c>
      <c r="O77" s="5">
        <v>4250</v>
      </c>
      <c r="P77" s="5">
        <v>0</v>
      </c>
      <c r="Q77" s="13">
        <v>47350</v>
      </c>
      <c r="R77" t="s">
        <v>75</v>
      </c>
      <c r="S77" t="s">
        <v>86</v>
      </c>
      <c r="T77" s="5">
        <v>21610</v>
      </c>
      <c r="U77" s="6">
        <v>3</v>
      </c>
      <c r="V77" t="s">
        <v>77</v>
      </c>
      <c r="W77" s="4">
        <v>46079</v>
      </c>
      <c r="X77" t="s">
        <v>64</v>
      </c>
      <c r="Y77" t="s">
        <v>77</v>
      </c>
      <c r="Z77" t="s">
        <v>78</v>
      </c>
      <c r="AA77" t="str">
        <f>VLOOKUP(H77,Departments!$A:$B,2,0)</f>
        <v>Pediatrics</v>
      </c>
      <c r="AB77" t="str">
        <f>VLOOKUP(J77,Diagnosis_Guide!$A:$B,2,0)</f>
        <v>Neonatal Observation</v>
      </c>
      <c r="AC77" s="4" t="str">
        <f>VLOOKUP(J77,Diagnosis_Guide!$A:$C,3,0)</f>
        <v>Pediatric</v>
      </c>
      <c r="AD77" s="4" t="str">
        <f>VLOOKUP(R77,Insurance_Plans!$A:$C,3,0)</f>
        <v>Public</v>
      </c>
      <c r="AE77" s="13">
        <f t="shared" si="3"/>
        <v>2367.5</v>
      </c>
      <c r="AF77" s="13">
        <f t="shared" si="4"/>
        <v>49717.5</v>
      </c>
      <c r="AG77" s="4" t="str">
        <f t="shared" si="5"/>
        <v>Medium</v>
      </c>
    </row>
    <row r="78" spans="1:33">
      <c r="A78" t="s">
        <v>353</v>
      </c>
      <c r="B78" t="s">
        <v>354</v>
      </c>
      <c r="C78" s="11">
        <v>46141</v>
      </c>
      <c r="D78" t="s">
        <v>284</v>
      </c>
      <c r="E78" t="s">
        <v>70</v>
      </c>
      <c r="F78" s="4">
        <v>46141</v>
      </c>
      <c r="G78" s="4">
        <v>46141</v>
      </c>
      <c r="H78" t="s">
        <v>111</v>
      </c>
      <c r="I78" t="s">
        <v>355</v>
      </c>
      <c r="J78" t="s">
        <v>117</v>
      </c>
      <c r="K78" t="s">
        <v>60</v>
      </c>
      <c r="L78" t="s">
        <v>94</v>
      </c>
      <c r="M78" s="5">
        <v>5200</v>
      </c>
      <c r="N78" s="5">
        <v>700</v>
      </c>
      <c r="O78" s="5">
        <v>1150</v>
      </c>
      <c r="P78" s="5">
        <v>0</v>
      </c>
      <c r="Q78" s="13">
        <v>8550</v>
      </c>
      <c r="R78" t="s">
        <v>106</v>
      </c>
      <c r="S78" t="s">
        <v>76</v>
      </c>
      <c r="T78" s="5">
        <v>3690</v>
      </c>
      <c r="U78" s="6">
        <v>5</v>
      </c>
      <c r="V78" t="s">
        <v>77</v>
      </c>
      <c r="W78" s="4">
        <v>46158</v>
      </c>
      <c r="X78" t="s">
        <v>77</v>
      </c>
      <c r="Y78" t="s">
        <v>64</v>
      </c>
      <c r="Z78" t="s">
        <v>219</v>
      </c>
      <c r="AA78" t="str">
        <f>VLOOKUP(H78,Departments!$A:$B,2,0)</f>
        <v>General Medicine</v>
      </c>
      <c r="AB78" t="str">
        <f>VLOOKUP(J78,Diagnosis_Guide!$A:$B,2,0)</f>
        <v>Fever Investigation</v>
      </c>
      <c r="AC78" s="4" t="str">
        <f>VLOOKUP(J78,Diagnosis_Guide!$A:$C,3,0)</f>
        <v>Infectious/General</v>
      </c>
      <c r="AD78" s="4" t="str">
        <f>VLOOKUP(R78,Insurance_Plans!$A:$C,3,0)</f>
        <v>Private</v>
      </c>
      <c r="AE78" s="13">
        <f t="shared" si="3"/>
        <v>427.5</v>
      </c>
      <c r="AF78" s="13">
        <f t="shared" si="4"/>
        <v>8977.5</v>
      </c>
      <c r="AG78" s="4" t="str">
        <f t="shared" si="5"/>
        <v>High</v>
      </c>
    </row>
    <row r="79" spans="1:33">
      <c r="A79" t="s">
        <v>356</v>
      </c>
      <c r="B79" t="s">
        <v>357</v>
      </c>
      <c r="C79" s="11">
        <v>46141</v>
      </c>
      <c r="D79" t="s">
        <v>144</v>
      </c>
      <c r="E79" t="s">
        <v>70</v>
      </c>
      <c r="F79" s="4">
        <v>46141</v>
      </c>
      <c r="G79" s="4">
        <v>46148</v>
      </c>
      <c r="H79" t="s">
        <v>178</v>
      </c>
      <c r="I79" t="s">
        <v>339</v>
      </c>
      <c r="J79" t="s">
        <v>358</v>
      </c>
      <c r="K79" t="s">
        <v>93</v>
      </c>
      <c r="L79" t="s">
        <v>94</v>
      </c>
      <c r="M79" s="5">
        <v>64600</v>
      </c>
      <c r="N79" s="5">
        <v>10600</v>
      </c>
      <c r="O79" s="5">
        <v>10150</v>
      </c>
      <c r="P79" s="5">
        <v>24500</v>
      </c>
      <c r="Q79" s="13">
        <v>110650</v>
      </c>
      <c r="R79" t="s">
        <v>95</v>
      </c>
      <c r="S79" t="s">
        <v>63</v>
      </c>
      <c r="T79" s="5">
        <v>110650</v>
      </c>
      <c r="U79" s="6">
        <v>3</v>
      </c>
      <c r="V79" t="s">
        <v>77</v>
      </c>
      <c r="W79" s="4">
        <v>46168</v>
      </c>
      <c r="X79" t="s">
        <v>77</v>
      </c>
      <c r="Y79" t="s">
        <v>77</v>
      </c>
      <c r="Z79" t="s">
        <v>96</v>
      </c>
      <c r="AA79" t="str">
        <f>VLOOKUP(H79,Departments!$A:$B,2,0)</f>
        <v>Surgery</v>
      </c>
      <c r="AB79" t="str">
        <f>VLOOKUP(J79,Diagnosis_Guide!$A:$B,2,0)</f>
        <v>Gallbladder Surgery</v>
      </c>
      <c r="AC79" s="4" t="str">
        <f>VLOOKUP(J79,Diagnosis_Guide!$A:$C,3,0)</f>
        <v>Surgical</v>
      </c>
      <c r="AD79" s="4" t="str">
        <f>VLOOKUP(R79,Insurance_Plans!$A:$C,3,0)</f>
        <v>Self-Pay</v>
      </c>
      <c r="AE79" s="13">
        <f t="shared" si="3"/>
        <v>5532.5</v>
      </c>
      <c r="AF79" s="13">
        <f t="shared" si="4"/>
        <v>116182.5</v>
      </c>
      <c r="AG79" s="4" t="str">
        <f t="shared" si="5"/>
        <v>Medium</v>
      </c>
    </row>
    <row r="80" spans="1:33">
      <c r="A80" t="s">
        <v>359</v>
      </c>
      <c r="B80" t="s">
        <v>360</v>
      </c>
      <c r="C80" s="11">
        <v>46076</v>
      </c>
      <c r="D80" t="s">
        <v>144</v>
      </c>
      <c r="E80" t="s">
        <v>56</v>
      </c>
      <c r="F80" s="4"/>
      <c r="G80" s="4"/>
      <c r="H80" t="s">
        <v>201</v>
      </c>
      <c r="I80" t="s">
        <v>202</v>
      </c>
      <c r="J80" t="s">
        <v>281</v>
      </c>
      <c r="K80" t="s">
        <v>60</v>
      </c>
      <c r="L80" t="s">
        <v>94</v>
      </c>
      <c r="M80" s="5"/>
      <c r="N80" s="5"/>
      <c r="O80" s="5"/>
      <c r="P80" s="5"/>
      <c r="R80" t="s">
        <v>141</v>
      </c>
      <c r="S80" t="s">
        <v>63</v>
      </c>
      <c r="T80" s="5"/>
      <c r="U80" s="6"/>
      <c r="V80" t="s">
        <v>64</v>
      </c>
      <c r="W80" s="4"/>
      <c r="X80" t="s">
        <v>65</v>
      </c>
      <c r="Z80" t="s">
        <v>66</v>
      </c>
      <c r="AA80" t="str">
        <f>VLOOKUP(H80,Departments!$A:$B,2,0)</f>
        <v>Emergency</v>
      </c>
      <c r="AB80" t="str">
        <f>VLOOKUP(J80,Diagnosis_Guide!$A:$B,2,0)</f>
        <v>Food Poisoning</v>
      </c>
      <c r="AC80" s="4" t="str">
        <f>VLOOKUP(J80,Diagnosis_Guide!$A:$C,3,0)</f>
        <v>Emergency</v>
      </c>
      <c r="AD80" s="4" t="str">
        <f>VLOOKUP(R80,Insurance_Plans!$A:$C,3,0)</f>
        <v>Private</v>
      </c>
      <c r="AE80" s="13" t="str">
        <f t="shared" si="3"/>
        <v/>
      </c>
      <c r="AF80" s="13" t="str">
        <f t="shared" si="4"/>
        <v/>
      </c>
      <c r="AG80" s="4" t="str">
        <f t="shared" si="5"/>
        <v>Not Available</v>
      </c>
    </row>
    <row r="81" spans="1:33">
      <c r="A81" t="s">
        <v>361</v>
      </c>
      <c r="B81" t="s">
        <v>362</v>
      </c>
      <c r="C81" s="11">
        <v>46110</v>
      </c>
      <c r="D81" t="s">
        <v>363</v>
      </c>
      <c r="E81" t="s">
        <v>177</v>
      </c>
      <c r="F81" s="4"/>
      <c r="G81" s="4"/>
      <c r="H81" t="s">
        <v>103</v>
      </c>
      <c r="I81" t="s">
        <v>364</v>
      </c>
      <c r="J81" t="s">
        <v>105</v>
      </c>
      <c r="K81" t="s">
        <v>60</v>
      </c>
      <c r="L81" t="s">
        <v>94</v>
      </c>
      <c r="M81" s="5"/>
      <c r="N81" s="5"/>
      <c r="O81" s="5"/>
      <c r="P81" s="5"/>
      <c r="R81" t="s">
        <v>106</v>
      </c>
      <c r="S81" t="s">
        <v>63</v>
      </c>
      <c r="T81" s="5"/>
      <c r="U81" s="6"/>
      <c r="V81" t="s">
        <v>64</v>
      </c>
      <c r="W81" s="4"/>
      <c r="X81" t="s">
        <v>65</v>
      </c>
      <c r="Z81" t="s">
        <v>66</v>
      </c>
      <c r="AA81" t="str">
        <f>VLOOKUP(H81,Departments!$A:$B,2,0)</f>
        <v>Nephrology</v>
      </c>
      <c r="AB81" t="str">
        <f>VLOOKUP(J81,Diagnosis_Guide!$A:$B,2,0)</f>
        <v>Dialysis Complication</v>
      </c>
      <c r="AC81" s="4" t="str">
        <f>VLOOKUP(J81,Diagnosis_Guide!$A:$C,3,0)</f>
        <v>Renal</v>
      </c>
      <c r="AD81" s="4" t="str">
        <f>VLOOKUP(R81,Insurance_Plans!$A:$C,3,0)</f>
        <v>Private</v>
      </c>
      <c r="AE81" s="13" t="str">
        <f t="shared" si="3"/>
        <v/>
      </c>
      <c r="AF81" s="13" t="str">
        <f t="shared" si="4"/>
        <v/>
      </c>
      <c r="AG81" s="4" t="str">
        <f t="shared" si="5"/>
        <v>Not Available</v>
      </c>
    </row>
    <row r="82" spans="1:33">
      <c r="A82" t="s">
        <v>365</v>
      </c>
      <c r="B82" t="s">
        <v>366</v>
      </c>
      <c r="C82" s="11">
        <v>46025</v>
      </c>
      <c r="D82" t="s">
        <v>110</v>
      </c>
      <c r="E82" t="s">
        <v>70</v>
      </c>
      <c r="F82" s="4">
        <v>46026</v>
      </c>
      <c r="G82" s="4">
        <v>46029</v>
      </c>
      <c r="H82" t="s">
        <v>103</v>
      </c>
      <c r="I82" t="s">
        <v>214</v>
      </c>
      <c r="J82" t="s">
        <v>244</v>
      </c>
      <c r="K82" t="s">
        <v>124</v>
      </c>
      <c r="L82" t="s">
        <v>74</v>
      </c>
      <c r="M82" s="5">
        <v>60200</v>
      </c>
      <c r="N82" s="5">
        <v>5000</v>
      </c>
      <c r="O82" s="5">
        <v>13550</v>
      </c>
      <c r="P82" s="5">
        <v>13500</v>
      </c>
      <c r="Q82" s="13">
        <v>93050</v>
      </c>
      <c r="R82" t="s">
        <v>85</v>
      </c>
      <c r="S82" t="s">
        <v>76</v>
      </c>
      <c r="T82" s="5">
        <v>24160</v>
      </c>
      <c r="U82" s="6">
        <v>4</v>
      </c>
      <c r="V82" t="s">
        <v>64</v>
      </c>
      <c r="W82" s="4"/>
      <c r="X82" t="s">
        <v>65</v>
      </c>
      <c r="Y82" t="s">
        <v>64</v>
      </c>
      <c r="Z82" t="s">
        <v>107</v>
      </c>
      <c r="AA82" t="str">
        <f>VLOOKUP(H82,Departments!$A:$B,2,0)</f>
        <v>Nephrology</v>
      </c>
      <c r="AB82" t="str">
        <f>VLOOKUP(J82,Diagnosis_Guide!$A:$B,2,0)</f>
        <v>Chronic Kidney Disease</v>
      </c>
      <c r="AC82" s="4" t="str">
        <f>VLOOKUP(J82,Diagnosis_Guide!$A:$C,3,0)</f>
        <v>Renal</v>
      </c>
      <c r="AD82" s="4" t="str">
        <f>VLOOKUP(R82,Insurance_Plans!$A:$C,3,0)</f>
        <v>Employer</v>
      </c>
      <c r="AE82" s="13">
        <f t="shared" si="3"/>
        <v>4652.5</v>
      </c>
      <c r="AF82" s="13">
        <f t="shared" si="4"/>
        <v>97702.5</v>
      </c>
      <c r="AG82" s="4" t="str">
        <f t="shared" si="5"/>
        <v>High</v>
      </c>
    </row>
    <row r="83" spans="1:33">
      <c r="A83" t="s">
        <v>367</v>
      </c>
      <c r="B83" t="s">
        <v>368</v>
      </c>
      <c r="C83" s="11">
        <v>46028</v>
      </c>
      <c r="D83" t="s">
        <v>200</v>
      </c>
      <c r="E83" t="s">
        <v>70</v>
      </c>
      <c r="F83" s="4">
        <v>46028</v>
      </c>
      <c r="G83" s="4">
        <v>46029</v>
      </c>
      <c r="H83" t="s">
        <v>82</v>
      </c>
      <c r="I83" t="s">
        <v>369</v>
      </c>
      <c r="J83" t="s">
        <v>84</v>
      </c>
      <c r="K83" t="s">
        <v>124</v>
      </c>
      <c r="L83" t="s">
        <v>94</v>
      </c>
      <c r="M83" s="5">
        <v>8000</v>
      </c>
      <c r="N83" s="5">
        <v>1050</v>
      </c>
      <c r="O83" s="5">
        <v>1250</v>
      </c>
      <c r="P83" s="5">
        <v>3500</v>
      </c>
      <c r="Q83" s="13">
        <v>14600</v>
      </c>
      <c r="R83" t="s">
        <v>141</v>
      </c>
      <c r="S83" t="s">
        <v>76</v>
      </c>
      <c r="T83" s="5">
        <v>3390</v>
      </c>
      <c r="U83" s="6">
        <v>5</v>
      </c>
      <c r="V83" t="s">
        <v>77</v>
      </c>
      <c r="W83" s="4">
        <v>46036</v>
      </c>
      <c r="X83" t="s">
        <v>77</v>
      </c>
      <c r="Y83" t="s">
        <v>64</v>
      </c>
      <c r="Z83" t="s">
        <v>96</v>
      </c>
      <c r="AA83" t="str">
        <f>VLOOKUP(H83,Departments!$A:$B,2,0)</f>
        <v>Orthopedics</v>
      </c>
      <c r="AB83" t="str">
        <f>VLOOKUP(J83,Diagnosis_Guide!$A:$B,2,0)</f>
        <v>Joint Pain</v>
      </c>
      <c r="AC83" s="4" t="str">
        <f>VLOOKUP(J83,Diagnosis_Guide!$A:$C,3,0)</f>
        <v>Musculoskeletal</v>
      </c>
      <c r="AD83" s="4" t="str">
        <f>VLOOKUP(R83,Insurance_Plans!$A:$C,3,0)</f>
        <v>Private</v>
      </c>
      <c r="AE83" s="13">
        <f t="shared" si="3"/>
        <v>730</v>
      </c>
      <c r="AF83" s="13">
        <f t="shared" si="4"/>
        <v>15330</v>
      </c>
      <c r="AG83" s="4" t="str">
        <f t="shared" si="5"/>
        <v>High</v>
      </c>
    </row>
    <row r="84" spans="1:33">
      <c r="A84" t="s">
        <v>370</v>
      </c>
      <c r="B84" t="s">
        <v>371</v>
      </c>
      <c r="C84" s="11">
        <v>46167</v>
      </c>
      <c r="D84" t="s">
        <v>217</v>
      </c>
      <c r="E84" t="s">
        <v>70</v>
      </c>
      <c r="F84" s="4">
        <v>46167</v>
      </c>
      <c r="G84" s="4">
        <v>46176</v>
      </c>
      <c r="H84" t="s">
        <v>57</v>
      </c>
      <c r="I84" t="s">
        <v>211</v>
      </c>
      <c r="J84" t="s">
        <v>59</v>
      </c>
      <c r="K84" t="s">
        <v>124</v>
      </c>
      <c r="L84" t="s">
        <v>61</v>
      </c>
      <c r="M84" s="5">
        <v>34300</v>
      </c>
      <c r="N84" s="5">
        <v>6050</v>
      </c>
      <c r="O84" s="5">
        <v>6900</v>
      </c>
      <c r="P84" s="5">
        <v>54000</v>
      </c>
      <c r="Q84" s="13">
        <v>103250</v>
      </c>
      <c r="R84" t="s">
        <v>106</v>
      </c>
      <c r="S84" t="s">
        <v>76</v>
      </c>
      <c r="T84" s="5">
        <v>36840</v>
      </c>
      <c r="U84" s="6">
        <v>2</v>
      </c>
      <c r="V84" t="s">
        <v>77</v>
      </c>
      <c r="W84" s="4">
        <v>46189</v>
      </c>
      <c r="X84" t="s">
        <v>77</v>
      </c>
      <c r="Y84" t="s">
        <v>64</v>
      </c>
      <c r="Z84" t="s">
        <v>96</v>
      </c>
      <c r="AA84" t="str">
        <f>VLOOKUP(H84,Departments!$A:$B,2,0)</f>
        <v>Pulmonology</v>
      </c>
      <c r="AB84" t="str">
        <f>VLOOKUP(J84,Diagnosis_Guide!$A:$B,2,0)</f>
        <v>Pneumonia</v>
      </c>
      <c r="AC84" s="4" t="str">
        <f>VLOOKUP(J84,Diagnosis_Guide!$A:$C,3,0)</f>
        <v>Respiratory</v>
      </c>
      <c r="AD84" s="4" t="str">
        <f>VLOOKUP(R84,Insurance_Plans!$A:$C,3,0)</f>
        <v>Private</v>
      </c>
      <c r="AE84" s="13">
        <f t="shared" si="3"/>
        <v>5162.5</v>
      </c>
      <c r="AF84" s="13">
        <f t="shared" si="4"/>
        <v>108412.5</v>
      </c>
      <c r="AG84" s="4" t="str">
        <f t="shared" si="5"/>
        <v>Low</v>
      </c>
    </row>
    <row r="85" spans="1:33">
      <c r="A85" t="s">
        <v>372</v>
      </c>
      <c r="B85" t="s">
        <v>373</v>
      </c>
      <c r="C85" s="11">
        <v>46155</v>
      </c>
      <c r="D85" t="s">
        <v>99</v>
      </c>
      <c r="E85" t="s">
        <v>70</v>
      </c>
      <c r="F85" s="4">
        <v>46155</v>
      </c>
      <c r="G85" s="4">
        <v>46156</v>
      </c>
      <c r="H85" t="s">
        <v>138</v>
      </c>
      <c r="I85" t="s">
        <v>352</v>
      </c>
      <c r="J85" t="s">
        <v>140</v>
      </c>
      <c r="K85" t="s">
        <v>93</v>
      </c>
      <c r="L85" t="s">
        <v>74</v>
      </c>
      <c r="M85" s="5">
        <v>11200</v>
      </c>
      <c r="N85" s="5">
        <v>1100</v>
      </c>
      <c r="O85" s="5">
        <v>1250</v>
      </c>
      <c r="P85" s="5">
        <v>6000</v>
      </c>
      <c r="Q85" s="13">
        <v>21350</v>
      </c>
      <c r="R85" t="s">
        <v>95</v>
      </c>
      <c r="S85" t="s">
        <v>63</v>
      </c>
      <c r="T85" s="5">
        <v>21350</v>
      </c>
      <c r="U85" s="6">
        <v>5</v>
      </c>
      <c r="V85" t="s">
        <v>64</v>
      </c>
      <c r="W85" s="4"/>
      <c r="X85" t="s">
        <v>65</v>
      </c>
      <c r="Y85" t="s">
        <v>64</v>
      </c>
      <c r="Z85" t="s">
        <v>107</v>
      </c>
      <c r="AA85" t="str">
        <f>VLOOKUP(H85,Departments!$A:$B,2,0)</f>
        <v>Pediatrics</v>
      </c>
      <c r="AB85" t="str">
        <f>VLOOKUP(J85,Diagnosis_Guide!$A:$B,2,0)</f>
        <v>Pediatric Asthma</v>
      </c>
      <c r="AC85" s="4" t="str">
        <f>VLOOKUP(J85,Diagnosis_Guide!$A:$C,3,0)</f>
        <v>Pediatric</v>
      </c>
      <c r="AD85" s="4" t="str">
        <f>VLOOKUP(R85,Insurance_Plans!$A:$C,3,0)</f>
        <v>Self-Pay</v>
      </c>
      <c r="AE85" s="13">
        <f t="shared" si="3"/>
        <v>1067.5</v>
      </c>
      <c r="AF85" s="13">
        <f t="shared" si="4"/>
        <v>22417.5</v>
      </c>
      <c r="AG85" s="4" t="str">
        <f t="shared" si="5"/>
        <v>High</v>
      </c>
    </row>
    <row r="86" spans="1:33">
      <c r="A86" t="s">
        <v>374</v>
      </c>
      <c r="B86" t="s">
        <v>375</v>
      </c>
      <c r="C86" s="11">
        <v>46029</v>
      </c>
      <c r="D86" t="s">
        <v>144</v>
      </c>
      <c r="E86" t="s">
        <v>255</v>
      </c>
      <c r="F86" s="4"/>
      <c r="G86" s="4"/>
      <c r="H86" t="s">
        <v>90</v>
      </c>
      <c r="I86" t="s">
        <v>128</v>
      </c>
      <c r="J86" t="s">
        <v>197</v>
      </c>
      <c r="K86" t="s">
        <v>60</v>
      </c>
      <c r="L86" t="s">
        <v>74</v>
      </c>
      <c r="M86" s="5"/>
      <c r="N86" s="5"/>
      <c r="O86" s="5"/>
      <c r="P86" s="5"/>
      <c r="R86" t="s">
        <v>75</v>
      </c>
      <c r="S86" t="s">
        <v>63</v>
      </c>
      <c r="T86" s="5"/>
      <c r="U86" s="6"/>
      <c r="V86" t="s">
        <v>64</v>
      </c>
      <c r="W86" s="4"/>
      <c r="X86" t="s">
        <v>65</v>
      </c>
      <c r="Z86" t="s">
        <v>66</v>
      </c>
      <c r="AA86" t="str">
        <f>VLOOKUP(H86,Departments!$A:$B,2,0)</f>
        <v>Cardiology</v>
      </c>
      <c r="AB86" t="str">
        <f>VLOOKUP(J86,Diagnosis_Guide!$A:$B,2,0)</f>
        <v>Chest Pain</v>
      </c>
      <c r="AC86" s="4" t="str">
        <f>VLOOKUP(J86,Diagnosis_Guide!$A:$C,3,0)</f>
        <v>Cardiovascular</v>
      </c>
      <c r="AD86" s="4" t="str">
        <f>VLOOKUP(R86,Insurance_Plans!$A:$C,3,0)</f>
        <v>Public</v>
      </c>
      <c r="AE86" s="13" t="str">
        <f t="shared" si="3"/>
        <v/>
      </c>
      <c r="AF86" s="13" t="str">
        <f t="shared" si="4"/>
        <v/>
      </c>
      <c r="AG86" s="4" t="str">
        <f t="shared" si="5"/>
        <v>Not Available</v>
      </c>
    </row>
    <row r="87" spans="1:33">
      <c r="A87" t="s">
        <v>376</v>
      </c>
      <c r="B87" t="s">
        <v>377</v>
      </c>
      <c r="C87" s="11">
        <v>46041</v>
      </c>
      <c r="D87" t="s">
        <v>242</v>
      </c>
      <c r="E87" t="s">
        <v>70</v>
      </c>
      <c r="F87" s="4">
        <v>46041</v>
      </c>
      <c r="G87" s="4">
        <v>46046</v>
      </c>
      <c r="H87" t="s">
        <v>138</v>
      </c>
      <c r="I87" t="s">
        <v>260</v>
      </c>
      <c r="J87" t="s">
        <v>261</v>
      </c>
      <c r="K87" t="s">
        <v>73</v>
      </c>
      <c r="L87" t="s">
        <v>94</v>
      </c>
      <c r="M87" s="5">
        <v>5200</v>
      </c>
      <c r="N87" s="5">
        <v>900</v>
      </c>
      <c r="O87" s="5">
        <v>1050</v>
      </c>
      <c r="P87" s="5">
        <v>15000</v>
      </c>
      <c r="Q87" s="13">
        <v>24650</v>
      </c>
      <c r="R87" t="s">
        <v>75</v>
      </c>
      <c r="S87" t="s">
        <v>86</v>
      </c>
      <c r="T87" s="5">
        <v>11390</v>
      </c>
      <c r="U87" s="6">
        <v>1</v>
      </c>
      <c r="V87" t="s">
        <v>77</v>
      </c>
      <c r="W87" s="4">
        <v>46062</v>
      </c>
      <c r="X87" t="s">
        <v>77</v>
      </c>
      <c r="Y87" t="s">
        <v>77</v>
      </c>
      <c r="Z87" t="s">
        <v>96</v>
      </c>
      <c r="AA87" t="str">
        <f>VLOOKUP(H87,Departments!$A:$B,2,0)</f>
        <v>Pediatrics</v>
      </c>
      <c r="AB87" t="str">
        <f>VLOOKUP(J87,Diagnosis_Guide!$A:$B,2,0)</f>
        <v>Child Fever</v>
      </c>
      <c r="AC87" s="4" t="str">
        <f>VLOOKUP(J87,Diagnosis_Guide!$A:$C,3,0)</f>
        <v>Pediatric</v>
      </c>
      <c r="AD87" s="4" t="str">
        <f>VLOOKUP(R87,Insurance_Plans!$A:$C,3,0)</f>
        <v>Public</v>
      </c>
      <c r="AE87" s="13">
        <f t="shared" si="3"/>
        <v>1232.5</v>
      </c>
      <c r="AF87" s="13">
        <f t="shared" si="4"/>
        <v>25882.5</v>
      </c>
      <c r="AG87" s="4" t="str">
        <f t="shared" si="5"/>
        <v>Low</v>
      </c>
    </row>
    <row r="88" spans="1:33">
      <c r="A88" t="s">
        <v>378</v>
      </c>
      <c r="B88" t="s">
        <v>379</v>
      </c>
      <c r="C88" s="11">
        <v>46025</v>
      </c>
      <c r="D88" t="s">
        <v>266</v>
      </c>
      <c r="E88" t="s">
        <v>70</v>
      </c>
      <c r="F88" s="4">
        <v>46025</v>
      </c>
      <c r="G88" s="4">
        <v>46026</v>
      </c>
      <c r="H88" t="s">
        <v>57</v>
      </c>
      <c r="I88" t="s">
        <v>169</v>
      </c>
      <c r="J88" t="s">
        <v>72</v>
      </c>
      <c r="K88" t="s">
        <v>73</v>
      </c>
      <c r="L88" t="s">
        <v>94</v>
      </c>
      <c r="M88" s="5">
        <v>9000</v>
      </c>
      <c r="N88" s="5">
        <v>1550</v>
      </c>
      <c r="O88" s="5">
        <v>1950</v>
      </c>
      <c r="P88" s="5">
        <v>4500</v>
      </c>
      <c r="Q88" s="13">
        <v>17800</v>
      </c>
      <c r="R88" t="s">
        <v>141</v>
      </c>
      <c r="S88" t="s">
        <v>76</v>
      </c>
      <c r="T88" s="5">
        <v>3870</v>
      </c>
      <c r="U88" s="6">
        <v>3</v>
      </c>
      <c r="V88" t="s">
        <v>77</v>
      </c>
      <c r="W88" s="4">
        <v>46033</v>
      </c>
      <c r="X88" t="s">
        <v>77</v>
      </c>
      <c r="Y88" t="s">
        <v>77</v>
      </c>
      <c r="Z88" t="s">
        <v>96</v>
      </c>
      <c r="AA88" t="str">
        <f>VLOOKUP(H88,Departments!$A:$B,2,0)</f>
        <v>Pulmonology</v>
      </c>
      <c r="AB88" t="str">
        <f>VLOOKUP(J88,Diagnosis_Guide!$A:$B,2,0)</f>
        <v>Acute Bronchitis</v>
      </c>
      <c r="AC88" s="4" t="str">
        <f>VLOOKUP(J88,Diagnosis_Guide!$A:$C,3,0)</f>
        <v>Respiratory</v>
      </c>
      <c r="AD88" s="4" t="str">
        <f>VLOOKUP(R88,Insurance_Plans!$A:$C,3,0)</f>
        <v>Private</v>
      </c>
      <c r="AE88" s="13">
        <f t="shared" si="3"/>
        <v>890</v>
      </c>
      <c r="AF88" s="13">
        <f t="shared" si="4"/>
        <v>18690</v>
      </c>
      <c r="AG88" s="4" t="str">
        <f t="shared" si="5"/>
        <v>Medium</v>
      </c>
    </row>
    <row r="89" spans="1:33">
      <c r="A89" t="s">
        <v>380</v>
      </c>
      <c r="B89" t="s">
        <v>306</v>
      </c>
      <c r="C89" s="11">
        <v>46034</v>
      </c>
      <c r="D89" t="s">
        <v>99</v>
      </c>
      <c r="E89" t="s">
        <v>70</v>
      </c>
      <c r="F89" s="4">
        <v>46034</v>
      </c>
      <c r="G89" s="4">
        <v>46039</v>
      </c>
      <c r="H89" t="s">
        <v>121</v>
      </c>
      <c r="I89" t="s">
        <v>334</v>
      </c>
      <c r="J89" t="s">
        <v>252</v>
      </c>
      <c r="K89" t="s">
        <v>73</v>
      </c>
      <c r="L89" t="s">
        <v>146</v>
      </c>
      <c r="M89" s="5">
        <v>65400</v>
      </c>
      <c r="N89" s="5">
        <v>7250</v>
      </c>
      <c r="O89" s="5">
        <v>9900</v>
      </c>
      <c r="P89" s="5">
        <v>17500</v>
      </c>
      <c r="Q89" s="13">
        <v>101050</v>
      </c>
      <c r="R89" t="s">
        <v>134</v>
      </c>
      <c r="S89" t="s">
        <v>76</v>
      </c>
      <c r="T89" s="5">
        <v>55780</v>
      </c>
      <c r="U89" s="6">
        <v>5</v>
      </c>
      <c r="V89" t="s">
        <v>77</v>
      </c>
      <c r="W89" s="4">
        <v>46048</v>
      </c>
      <c r="X89" t="s">
        <v>77</v>
      </c>
      <c r="Y89" t="s">
        <v>64</v>
      </c>
      <c r="Z89" t="s">
        <v>78</v>
      </c>
      <c r="AA89" t="str">
        <f>VLOOKUP(H89,Departments!$A:$B,2,0)</f>
        <v>Neurology</v>
      </c>
      <c r="AB89" t="str">
        <f>VLOOKUP(J89,Diagnosis_Guide!$A:$B,2,0)</f>
        <v>Stroke Assessment</v>
      </c>
      <c r="AC89" s="4" t="str">
        <f>VLOOKUP(J89,Diagnosis_Guide!$A:$C,3,0)</f>
        <v>Neurological</v>
      </c>
      <c r="AD89" s="4" t="str">
        <f>VLOOKUP(R89,Insurance_Plans!$A:$C,3,0)</f>
        <v>Community</v>
      </c>
      <c r="AE89" s="13">
        <f t="shared" si="3"/>
        <v>5052.5</v>
      </c>
      <c r="AF89" s="13">
        <f t="shared" si="4"/>
        <v>106102.5</v>
      </c>
      <c r="AG89" s="4" t="str">
        <f t="shared" si="5"/>
        <v>High</v>
      </c>
    </row>
    <row r="90" spans="1:33">
      <c r="A90" t="s">
        <v>381</v>
      </c>
      <c r="B90" t="s">
        <v>382</v>
      </c>
      <c r="C90" s="11">
        <v>46144</v>
      </c>
      <c r="D90" t="s">
        <v>383</v>
      </c>
      <c r="E90" t="s">
        <v>314</v>
      </c>
      <c r="F90" s="4"/>
      <c r="G90" s="4"/>
      <c r="H90" t="s">
        <v>111</v>
      </c>
      <c r="I90" t="s">
        <v>116</v>
      </c>
      <c r="J90" t="s">
        <v>384</v>
      </c>
      <c r="K90" t="s">
        <v>60</v>
      </c>
      <c r="L90" t="s">
        <v>74</v>
      </c>
      <c r="M90" s="5"/>
      <c r="N90" s="5"/>
      <c r="O90" s="5"/>
      <c r="P90" s="5"/>
      <c r="R90" t="s">
        <v>141</v>
      </c>
      <c r="S90" t="s">
        <v>63</v>
      </c>
      <c r="T90" s="5"/>
      <c r="U90" s="6"/>
      <c r="V90" t="s">
        <v>64</v>
      </c>
      <c r="W90" s="4"/>
      <c r="X90" t="s">
        <v>65</v>
      </c>
      <c r="Z90" t="s">
        <v>66</v>
      </c>
      <c r="AA90" t="str">
        <f>VLOOKUP(H90,Departments!$A:$B,2,0)</f>
        <v>General Medicine</v>
      </c>
      <c r="AB90" t="str">
        <f>VLOOKUP(J90,Diagnosis_Guide!$A:$B,2,0)</f>
        <v>Severe Infection</v>
      </c>
      <c r="AC90" s="4" t="str">
        <f>VLOOKUP(J90,Diagnosis_Guide!$A:$C,3,0)</f>
        <v>Infectious/General</v>
      </c>
      <c r="AD90" s="4" t="str">
        <f>VLOOKUP(R90,Insurance_Plans!$A:$C,3,0)</f>
        <v>Private</v>
      </c>
      <c r="AE90" s="13" t="str">
        <f t="shared" si="3"/>
        <v/>
      </c>
      <c r="AF90" s="13" t="str">
        <f t="shared" si="4"/>
        <v/>
      </c>
      <c r="AG90" s="4" t="str">
        <f t="shared" si="5"/>
        <v>Not Available</v>
      </c>
    </row>
    <row r="91" spans="1:33">
      <c r="A91" t="s">
        <v>385</v>
      </c>
      <c r="B91" t="s">
        <v>333</v>
      </c>
      <c r="C91" s="11">
        <v>46149</v>
      </c>
      <c r="D91" t="s">
        <v>69</v>
      </c>
      <c r="E91" t="s">
        <v>70</v>
      </c>
      <c r="F91" s="4">
        <v>46149</v>
      </c>
      <c r="G91" s="4">
        <v>46161</v>
      </c>
      <c r="H91" t="s">
        <v>121</v>
      </c>
      <c r="I91" t="s">
        <v>386</v>
      </c>
      <c r="J91" t="s">
        <v>252</v>
      </c>
      <c r="K91" t="s">
        <v>124</v>
      </c>
      <c r="L91" t="s">
        <v>74</v>
      </c>
      <c r="M91" s="5">
        <v>70800</v>
      </c>
      <c r="N91" s="5">
        <v>11450</v>
      </c>
      <c r="O91" s="5">
        <v>15650</v>
      </c>
      <c r="P91" s="5">
        <v>54000</v>
      </c>
      <c r="Q91" s="13">
        <v>154400</v>
      </c>
      <c r="R91" t="s">
        <v>75</v>
      </c>
      <c r="S91" t="s">
        <v>76</v>
      </c>
      <c r="T91" s="5">
        <v>69780</v>
      </c>
      <c r="U91" s="6">
        <v>1</v>
      </c>
      <c r="V91" t="s">
        <v>64</v>
      </c>
      <c r="W91" s="4"/>
      <c r="X91" t="s">
        <v>65</v>
      </c>
      <c r="Y91" t="s">
        <v>77</v>
      </c>
      <c r="Z91" t="s">
        <v>96</v>
      </c>
      <c r="AA91" t="str">
        <f>VLOOKUP(H91,Departments!$A:$B,2,0)</f>
        <v>Neurology</v>
      </c>
      <c r="AB91" t="str">
        <f>VLOOKUP(J91,Diagnosis_Guide!$A:$B,2,0)</f>
        <v>Stroke Assessment</v>
      </c>
      <c r="AC91" s="4" t="str">
        <f>VLOOKUP(J91,Diagnosis_Guide!$A:$C,3,0)</f>
        <v>Neurological</v>
      </c>
      <c r="AD91" s="4" t="str">
        <f>VLOOKUP(R91,Insurance_Plans!$A:$C,3,0)</f>
        <v>Public</v>
      </c>
      <c r="AE91" s="13">
        <f t="shared" si="3"/>
        <v>7720</v>
      </c>
      <c r="AF91" s="13">
        <f t="shared" si="4"/>
        <v>162120</v>
      </c>
      <c r="AG91" s="4" t="str">
        <f t="shared" si="5"/>
        <v>Low</v>
      </c>
    </row>
    <row r="92" spans="1:33">
      <c r="A92" t="s">
        <v>387</v>
      </c>
      <c r="B92" t="s">
        <v>311</v>
      </c>
      <c r="C92" s="11">
        <v>46073</v>
      </c>
      <c r="D92" t="s">
        <v>210</v>
      </c>
      <c r="E92" t="s">
        <v>70</v>
      </c>
      <c r="F92" s="4">
        <v>46073</v>
      </c>
      <c r="G92" s="4">
        <v>46080</v>
      </c>
      <c r="H92" t="s">
        <v>90</v>
      </c>
      <c r="I92" t="s">
        <v>388</v>
      </c>
      <c r="J92" t="s">
        <v>92</v>
      </c>
      <c r="K92" t="s">
        <v>124</v>
      </c>
      <c r="L92" t="s">
        <v>94</v>
      </c>
      <c r="M92" s="5">
        <v>59100</v>
      </c>
      <c r="N92" s="5">
        <v>10100</v>
      </c>
      <c r="O92" s="5">
        <v>6100</v>
      </c>
      <c r="P92" s="5">
        <v>21000</v>
      </c>
      <c r="Q92" s="13">
        <v>97800</v>
      </c>
      <c r="R92" t="s">
        <v>106</v>
      </c>
      <c r="S92" t="s">
        <v>86</v>
      </c>
      <c r="T92" s="5">
        <v>34930</v>
      </c>
      <c r="U92" s="6">
        <v>4</v>
      </c>
      <c r="V92" t="s">
        <v>77</v>
      </c>
      <c r="W92" s="4">
        <v>46101</v>
      </c>
      <c r="X92" t="s">
        <v>77</v>
      </c>
      <c r="Y92" t="s">
        <v>64</v>
      </c>
      <c r="Z92" t="s">
        <v>78</v>
      </c>
      <c r="AA92" t="str">
        <f>VLOOKUP(H92,Departments!$A:$B,2,0)</f>
        <v>Cardiology</v>
      </c>
      <c r="AB92" t="str">
        <f>VLOOKUP(J92,Diagnosis_Guide!$A:$B,2,0)</f>
        <v>Heart Failure</v>
      </c>
      <c r="AC92" s="4" t="str">
        <f>VLOOKUP(J92,Diagnosis_Guide!$A:$C,3,0)</f>
        <v>Cardiovascular</v>
      </c>
      <c r="AD92" s="4" t="str">
        <f>VLOOKUP(R92,Insurance_Plans!$A:$C,3,0)</f>
        <v>Private</v>
      </c>
      <c r="AE92" s="13">
        <f t="shared" si="3"/>
        <v>4890</v>
      </c>
      <c r="AF92" s="13">
        <f t="shared" si="4"/>
        <v>102690</v>
      </c>
      <c r="AG92" s="4" t="str">
        <f t="shared" si="5"/>
        <v>High</v>
      </c>
    </row>
    <row r="93" spans="1:33">
      <c r="A93" t="s">
        <v>389</v>
      </c>
      <c r="B93" t="s">
        <v>390</v>
      </c>
      <c r="C93" s="11">
        <v>46053</v>
      </c>
      <c r="D93" t="s">
        <v>298</v>
      </c>
      <c r="E93" t="s">
        <v>255</v>
      </c>
      <c r="F93" s="4"/>
      <c r="G93" s="4"/>
      <c r="H93" t="s">
        <v>150</v>
      </c>
      <c r="I93" t="s">
        <v>304</v>
      </c>
      <c r="J93" t="s">
        <v>188</v>
      </c>
      <c r="K93" t="s">
        <v>124</v>
      </c>
      <c r="L93" t="s">
        <v>74</v>
      </c>
      <c r="M93" s="5"/>
      <c r="N93" s="5"/>
      <c r="O93" s="5"/>
      <c r="P93" s="5"/>
      <c r="R93" t="s">
        <v>85</v>
      </c>
      <c r="S93" t="s">
        <v>63</v>
      </c>
      <c r="T93" s="5"/>
      <c r="U93" s="6"/>
      <c r="V93" t="s">
        <v>64</v>
      </c>
      <c r="W93" s="4"/>
      <c r="X93" t="s">
        <v>65</v>
      </c>
      <c r="Z93" t="s">
        <v>66</v>
      </c>
      <c r="AA93" t="str">
        <f>VLOOKUP(H93,Departments!$A:$B,2,0)</f>
        <v>Obstetrics</v>
      </c>
      <c r="AB93" t="str">
        <f>VLOOKUP(J93,Diagnosis_Guide!$A:$B,2,0)</f>
        <v>Emergency C-Section</v>
      </c>
      <c r="AC93" s="4" t="str">
        <f>VLOOKUP(J93,Diagnosis_Guide!$A:$C,3,0)</f>
        <v>Maternal Health</v>
      </c>
      <c r="AD93" s="4" t="str">
        <f>VLOOKUP(R93,Insurance_Plans!$A:$C,3,0)</f>
        <v>Employer</v>
      </c>
      <c r="AE93" s="13" t="str">
        <f t="shared" si="3"/>
        <v/>
      </c>
      <c r="AF93" s="13" t="str">
        <f t="shared" si="4"/>
        <v/>
      </c>
      <c r="AG93" s="4" t="str">
        <f t="shared" si="5"/>
        <v>Not Available</v>
      </c>
    </row>
    <row r="94" spans="1:33">
      <c r="A94" t="s">
        <v>391</v>
      </c>
      <c r="B94" t="s">
        <v>392</v>
      </c>
      <c r="C94" s="11">
        <v>46071</v>
      </c>
      <c r="D94" t="s">
        <v>337</v>
      </c>
      <c r="E94" t="s">
        <v>314</v>
      </c>
      <c r="F94" s="4"/>
      <c r="G94" s="4"/>
      <c r="H94" t="s">
        <v>201</v>
      </c>
      <c r="I94" t="s">
        <v>280</v>
      </c>
      <c r="J94" t="s">
        <v>295</v>
      </c>
      <c r="K94" t="s">
        <v>73</v>
      </c>
      <c r="L94" t="s">
        <v>94</v>
      </c>
      <c r="M94" s="5"/>
      <c r="N94" s="5"/>
      <c r="O94" s="5"/>
      <c r="P94" s="5"/>
      <c r="R94" t="s">
        <v>134</v>
      </c>
      <c r="S94" t="s">
        <v>63</v>
      </c>
      <c r="T94" s="5"/>
      <c r="U94" s="6"/>
      <c r="V94" t="s">
        <v>64</v>
      </c>
      <c r="W94" s="4"/>
      <c r="X94" t="s">
        <v>65</v>
      </c>
      <c r="Z94" t="s">
        <v>66</v>
      </c>
      <c r="AA94" t="str">
        <f>VLOOKUP(H94,Departments!$A:$B,2,0)</f>
        <v>Emergency</v>
      </c>
      <c r="AB94" t="str">
        <f>VLOOKUP(J94,Diagnosis_Guide!$A:$B,2,0)</f>
        <v>Accident Injury</v>
      </c>
      <c r="AC94" s="4" t="str">
        <f>VLOOKUP(J94,Diagnosis_Guide!$A:$C,3,0)</f>
        <v>Emergency</v>
      </c>
      <c r="AD94" s="4" t="str">
        <f>VLOOKUP(R94,Insurance_Plans!$A:$C,3,0)</f>
        <v>Community</v>
      </c>
      <c r="AE94" s="13" t="str">
        <f t="shared" si="3"/>
        <v/>
      </c>
      <c r="AF94" s="13" t="str">
        <f t="shared" si="4"/>
        <v/>
      </c>
      <c r="AG94" s="4" t="str">
        <f t="shared" si="5"/>
        <v>Not Available</v>
      </c>
    </row>
    <row r="95" spans="1:33">
      <c r="A95" t="s">
        <v>393</v>
      </c>
      <c r="B95" t="s">
        <v>394</v>
      </c>
      <c r="C95" s="11">
        <v>46076</v>
      </c>
      <c r="D95" t="s">
        <v>137</v>
      </c>
      <c r="E95" t="s">
        <v>314</v>
      </c>
      <c r="F95" s="4"/>
      <c r="G95" s="4"/>
      <c r="H95" t="s">
        <v>201</v>
      </c>
      <c r="I95" t="s">
        <v>202</v>
      </c>
      <c r="J95" t="s">
        <v>281</v>
      </c>
      <c r="K95" t="s">
        <v>124</v>
      </c>
      <c r="L95" t="s">
        <v>94</v>
      </c>
      <c r="M95" s="5"/>
      <c r="N95" s="5"/>
      <c r="O95" s="5"/>
      <c r="P95" s="5"/>
      <c r="R95" t="s">
        <v>134</v>
      </c>
      <c r="S95" t="s">
        <v>63</v>
      </c>
      <c r="T95" s="5"/>
      <c r="U95" s="6"/>
      <c r="V95" t="s">
        <v>64</v>
      </c>
      <c r="W95" s="4"/>
      <c r="X95" t="s">
        <v>65</v>
      </c>
      <c r="Z95" t="s">
        <v>66</v>
      </c>
      <c r="AA95" t="str">
        <f>VLOOKUP(H95,Departments!$A:$B,2,0)</f>
        <v>Emergency</v>
      </c>
      <c r="AB95" t="str">
        <f>VLOOKUP(J95,Diagnosis_Guide!$A:$B,2,0)</f>
        <v>Food Poisoning</v>
      </c>
      <c r="AC95" s="4" t="str">
        <f>VLOOKUP(J95,Diagnosis_Guide!$A:$C,3,0)</f>
        <v>Emergency</v>
      </c>
      <c r="AD95" s="4" t="str">
        <f>VLOOKUP(R95,Insurance_Plans!$A:$C,3,0)</f>
        <v>Community</v>
      </c>
      <c r="AE95" s="13" t="str">
        <f t="shared" si="3"/>
        <v/>
      </c>
      <c r="AF95" s="13" t="str">
        <f t="shared" si="4"/>
        <v/>
      </c>
      <c r="AG95" s="4" t="str">
        <f t="shared" si="5"/>
        <v>Not Available</v>
      </c>
    </row>
    <row r="96" spans="1:33">
      <c r="A96" t="s">
        <v>395</v>
      </c>
      <c r="B96" t="s">
        <v>396</v>
      </c>
      <c r="C96" s="11">
        <v>46141</v>
      </c>
      <c r="D96" t="s">
        <v>259</v>
      </c>
      <c r="E96" t="s">
        <v>70</v>
      </c>
      <c r="F96" s="4">
        <v>46142</v>
      </c>
      <c r="G96" s="4">
        <v>46144</v>
      </c>
      <c r="H96" t="s">
        <v>111</v>
      </c>
      <c r="I96" t="s">
        <v>397</v>
      </c>
      <c r="J96" t="s">
        <v>113</v>
      </c>
      <c r="K96" t="s">
        <v>73</v>
      </c>
      <c r="L96" t="s">
        <v>74</v>
      </c>
      <c r="M96" s="5">
        <v>27800</v>
      </c>
      <c r="N96" s="5">
        <v>3850</v>
      </c>
      <c r="O96" s="5">
        <v>5450</v>
      </c>
      <c r="P96" s="5">
        <v>12000</v>
      </c>
      <c r="Q96" s="13">
        <v>51100</v>
      </c>
      <c r="R96" t="s">
        <v>85</v>
      </c>
      <c r="S96" t="s">
        <v>76</v>
      </c>
      <c r="T96" s="5">
        <v>13680</v>
      </c>
      <c r="U96" s="6">
        <v>4</v>
      </c>
      <c r="V96" t="s">
        <v>64</v>
      </c>
      <c r="W96" s="4"/>
      <c r="X96" t="s">
        <v>65</v>
      </c>
      <c r="Y96" t="s">
        <v>64</v>
      </c>
      <c r="Z96" t="s">
        <v>107</v>
      </c>
      <c r="AA96" t="str">
        <f>VLOOKUP(H96,Departments!$A:$B,2,0)</f>
        <v>General Medicine</v>
      </c>
      <c r="AB96" t="str">
        <f>VLOOKUP(J96,Diagnosis_Guide!$A:$B,2,0)</f>
        <v>Diabetes Complication</v>
      </c>
      <c r="AC96" s="4" t="str">
        <f>VLOOKUP(J96,Diagnosis_Guide!$A:$C,3,0)</f>
        <v>Endocrine/General</v>
      </c>
      <c r="AD96" s="4" t="str">
        <f>VLOOKUP(R96,Insurance_Plans!$A:$C,3,0)</f>
        <v>Employer</v>
      </c>
      <c r="AE96" s="13">
        <f t="shared" si="3"/>
        <v>2555</v>
      </c>
      <c r="AF96" s="13">
        <f t="shared" si="4"/>
        <v>53655</v>
      </c>
      <c r="AG96" s="4" t="str">
        <f t="shared" si="5"/>
        <v>High</v>
      </c>
    </row>
    <row r="97" spans="1:33">
      <c r="A97" t="s">
        <v>398</v>
      </c>
      <c r="B97" t="s">
        <v>399</v>
      </c>
      <c r="C97" s="11">
        <v>46098</v>
      </c>
      <c r="D97" t="s">
        <v>383</v>
      </c>
      <c r="E97" t="s">
        <v>70</v>
      </c>
      <c r="F97" s="4">
        <v>46098</v>
      </c>
      <c r="G97" s="4">
        <v>46099</v>
      </c>
      <c r="H97" t="s">
        <v>90</v>
      </c>
      <c r="I97" t="s">
        <v>388</v>
      </c>
      <c r="J97" t="s">
        <v>92</v>
      </c>
      <c r="K97" t="s">
        <v>60</v>
      </c>
      <c r="L97" t="s">
        <v>74</v>
      </c>
      <c r="M97" s="5">
        <v>45500</v>
      </c>
      <c r="N97" s="5">
        <v>5400</v>
      </c>
      <c r="O97" s="5">
        <v>5800</v>
      </c>
      <c r="P97" s="5">
        <v>3000</v>
      </c>
      <c r="Q97" s="13">
        <v>61200</v>
      </c>
      <c r="R97" t="s">
        <v>106</v>
      </c>
      <c r="S97" t="s">
        <v>76</v>
      </c>
      <c r="T97" s="5">
        <v>22120</v>
      </c>
      <c r="U97" s="6">
        <v>5</v>
      </c>
      <c r="V97" t="s">
        <v>77</v>
      </c>
      <c r="W97" s="4">
        <v>46114</v>
      </c>
      <c r="X97" t="s">
        <v>77</v>
      </c>
      <c r="Y97" t="s">
        <v>64</v>
      </c>
      <c r="Z97" t="s">
        <v>96</v>
      </c>
      <c r="AA97" t="str">
        <f>VLOOKUP(H97,Departments!$A:$B,2,0)</f>
        <v>Cardiology</v>
      </c>
      <c r="AB97" t="str">
        <f>VLOOKUP(J97,Diagnosis_Guide!$A:$B,2,0)</f>
        <v>Heart Failure</v>
      </c>
      <c r="AC97" s="4" t="str">
        <f>VLOOKUP(J97,Diagnosis_Guide!$A:$C,3,0)</f>
        <v>Cardiovascular</v>
      </c>
      <c r="AD97" s="4" t="str">
        <f>VLOOKUP(R97,Insurance_Plans!$A:$C,3,0)</f>
        <v>Private</v>
      </c>
      <c r="AE97" s="13">
        <f t="shared" si="3"/>
        <v>3060</v>
      </c>
      <c r="AF97" s="13">
        <f t="shared" si="4"/>
        <v>64260</v>
      </c>
      <c r="AG97" s="4" t="str">
        <f t="shared" si="5"/>
        <v>High</v>
      </c>
    </row>
    <row r="98" spans="1:33">
      <c r="A98" t="s">
        <v>400</v>
      </c>
      <c r="B98" t="s">
        <v>401</v>
      </c>
      <c r="C98" s="11">
        <v>46100</v>
      </c>
      <c r="D98" t="s">
        <v>161</v>
      </c>
      <c r="E98" t="s">
        <v>70</v>
      </c>
      <c r="F98" s="4">
        <v>46100</v>
      </c>
      <c r="G98" s="4">
        <v>46107</v>
      </c>
      <c r="H98" t="s">
        <v>103</v>
      </c>
      <c r="I98" t="s">
        <v>364</v>
      </c>
      <c r="J98" t="s">
        <v>105</v>
      </c>
      <c r="K98" t="s">
        <v>93</v>
      </c>
      <c r="L98" t="s">
        <v>146</v>
      </c>
      <c r="M98" s="5">
        <v>50700</v>
      </c>
      <c r="N98" s="5">
        <v>5800</v>
      </c>
      <c r="O98" s="5">
        <v>12650</v>
      </c>
      <c r="P98" s="5">
        <v>31500</v>
      </c>
      <c r="Q98" s="13">
        <v>101450</v>
      </c>
      <c r="R98" t="s">
        <v>95</v>
      </c>
      <c r="S98" t="s">
        <v>63</v>
      </c>
      <c r="T98" s="5">
        <v>101450</v>
      </c>
      <c r="U98" s="6">
        <v>3</v>
      </c>
      <c r="V98" t="s">
        <v>77</v>
      </c>
      <c r="W98" s="4">
        <v>46114</v>
      </c>
      <c r="X98" t="s">
        <v>77</v>
      </c>
      <c r="Y98" t="s">
        <v>64</v>
      </c>
      <c r="Z98" t="s">
        <v>96</v>
      </c>
      <c r="AA98" t="str">
        <f>VLOOKUP(H98,Departments!$A:$B,2,0)</f>
        <v>Nephrology</v>
      </c>
      <c r="AB98" t="str">
        <f>VLOOKUP(J98,Diagnosis_Guide!$A:$B,2,0)</f>
        <v>Dialysis Complication</v>
      </c>
      <c r="AC98" s="4" t="str">
        <f>VLOOKUP(J98,Diagnosis_Guide!$A:$C,3,0)</f>
        <v>Renal</v>
      </c>
      <c r="AD98" s="4" t="str">
        <f>VLOOKUP(R98,Insurance_Plans!$A:$C,3,0)</f>
        <v>Self-Pay</v>
      </c>
      <c r="AE98" s="13">
        <f t="shared" si="3"/>
        <v>5072.5</v>
      </c>
      <c r="AF98" s="13">
        <f t="shared" si="4"/>
        <v>106522.5</v>
      </c>
      <c r="AG98" s="4" t="str">
        <f t="shared" si="5"/>
        <v>Medium</v>
      </c>
    </row>
    <row r="99" spans="1:33">
      <c r="A99" t="s">
        <v>402</v>
      </c>
      <c r="B99" t="s">
        <v>403</v>
      </c>
      <c r="C99" s="11">
        <v>46141</v>
      </c>
      <c r="D99" t="s">
        <v>168</v>
      </c>
      <c r="E99" t="s">
        <v>70</v>
      </c>
      <c r="F99" s="4">
        <v>46142</v>
      </c>
      <c r="G99" s="4">
        <v>46142</v>
      </c>
      <c r="H99" t="s">
        <v>150</v>
      </c>
      <c r="I99" t="s">
        <v>247</v>
      </c>
      <c r="J99" t="s">
        <v>152</v>
      </c>
      <c r="K99" t="s">
        <v>60</v>
      </c>
      <c r="L99" t="s">
        <v>94</v>
      </c>
      <c r="M99" s="5">
        <v>22400</v>
      </c>
      <c r="N99" s="5">
        <v>3100</v>
      </c>
      <c r="O99" s="5">
        <v>2650</v>
      </c>
      <c r="P99" s="5">
        <v>0</v>
      </c>
      <c r="Q99" s="13">
        <v>29150</v>
      </c>
      <c r="R99" t="s">
        <v>62</v>
      </c>
      <c r="S99" t="s">
        <v>76</v>
      </c>
      <c r="T99" s="5">
        <v>9150</v>
      </c>
      <c r="U99" s="6">
        <v>5</v>
      </c>
      <c r="V99" t="s">
        <v>64</v>
      </c>
      <c r="W99" s="4"/>
      <c r="X99" t="s">
        <v>65</v>
      </c>
      <c r="Y99" t="s">
        <v>64</v>
      </c>
      <c r="Z99" t="s">
        <v>78</v>
      </c>
      <c r="AA99" t="str">
        <f>VLOOKUP(H99,Departments!$A:$B,2,0)</f>
        <v>Obstetrics</v>
      </c>
      <c r="AB99" t="str">
        <f>VLOOKUP(J99,Diagnosis_Guide!$A:$B,2,0)</f>
        <v>Antenatal Complication</v>
      </c>
      <c r="AC99" s="4" t="str">
        <f>VLOOKUP(J99,Diagnosis_Guide!$A:$C,3,0)</f>
        <v>Maternal Health</v>
      </c>
      <c r="AD99" s="4" t="str">
        <f>VLOOKUP(R99,Insurance_Plans!$A:$C,3,0)</f>
        <v>Public</v>
      </c>
      <c r="AE99" s="13">
        <f t="shared" si="3"/>
        <v>1457.5</v>
      </c>
      <c r="AF99" s="13">
        <f t="shared" si="4"/>
        <v>30607.5</v>
      </c>
      <c r="AG99" s="4" t="str">
        <f t="shared" si="5"/>
        <v>High</v>
      </c>
    </row>
    <row r="100" spans="1:33">
      <c r="A100" t="s">
        <v>404</v>
      </c>
      <c r="B100" t="s">
        <v>405</v>
      </c>
      <c r="C100" s="11">
        <v>46168</v>
      </c>
      <c r="D100" t="s">
        <v>99</v>
      </c>
      <c r="E100" t="s">
        <v>70</v>
      </c>
      <c r="F100" s="4">
        <v>46169</v>
      </c>
      <c r="G100" s="4">
        <v>46174</v>
      </c>
      <c r="H100" t="s">
        <v>111</v>
      </c>
      <c r="I100" t="s">
        <v>267</v>
      </c>
      <c r="J100" t="s">
        <v>113</v>
      </c>
      <c r="K100" t="s">
        <v>93</v>
      </c>
      <c r="L100" t="s">
        <v>74</v>
      </c>
      <c r="M100" s="5">
        <v>27400</v>
      </c>
      <c r="N100" s="5">
        <v>2750</v>
      </c>
      <c r="O100" s="5">
        <v>4350</v>
      </c>
      <c r="P100" s="5">
        <v>30000</v>
      </c>
      <c r="Q100" s="13">
        <v>65700</v>
      </c>
      <c r="R100" t="s">
        <v>106</v>
      </c>
      <c r="S100" t="s">
        <v>76</v>
      </c>
      <c r="T100" s="5">
        <v>23700</v>
      </c>
      <c r="U100" s="6">
        <v>4</v>
      </c>
      <c r="V100" t="s">
        <v>77</v>
      </c>
      <c r="W100" s="4">
        <v>46188</v>
      </c>
      <c r="X100" t="s">
        <v>77</v>
      </c>
      <c r="Y100" t="s">
        <v>64</v>
      </c>
      <c r="Z100" t="s">
        <v>78</v>
      </c>
      <c r="AA100" t="str">
        <f>VLOOKUP(H100,Departments!$A:$B,2,0)</f>
        <v>General Medicine</v>
      </c>
      <c r="AB100" t="str">
        <f>VLOOKUP(J100,Diagnosis_Guide!$A:$B,2,0)</f>
        <v>Diabetes Complication</v>
      </c>
      <c r="AC100" s="4" t="str">
        <f>VLOOKUP(J100,Diagnosis_Guide!$A:$C,3,0)</f>
        <v>Endocrine/General</v>
      </c>
      <c r="AD100" s="4" t="str">
        <f>VLOOKUP(R100,Insurance_Plans!$A:$C,3,0)</f>
        <v>Private</v>
      </c>
      <c r="AE100" s="13">
        <f t="shared" si="3"/>
        <v>3285</v>
      </c>
      <c r="AF100" s="13">
        <f t="shared" si="4"/>
        <v>68985</v>
      </c>
      <c r="AG100" s="4" t="str">
        <f t="shared" si="5"/>
        <v>High</v>
      </c>
    </row>
    <row r="101" spans="1:33">
      <c r="A101" t="s">
        <v>406</v>
      </c>
      <c r="B101" t="s">
        <v>407</v>
      </c>
      <c r="C101" s="11">
        <v>46095</v>
      </c>
      <c r="D101" t="s">
        <v>127</v>
      </c>
      <c r="E101" t="s">
        <v>70</v>
      </c>
      <c r="F101" s="4">
        <v>46095</v>
      </c>
      <c r="G101" s="4">
        <v>46101</v>
      </c>
      <c r="H101" t="s">
        <v>82</v>
      </c>
      <c r="I101" t="s">
        <v>155</v>
      </c>
      <c r="J101" t="s">
        <v>156</v>
      </c>
      <c r="K101" t="s">
        <v>73</v>
      </c>
      <c r="L101" t="s">
        <v>74</v>
      </c>
      <c r="M101" s="5">
        <v>74200</v>
      </c>
      <c r="N101" s="5">
        <v>7100</v>
      </c>
      <c r="O101" s="5">
        <v>8650</v>
      </c>
      <c r="P101" s="5">
        <v>36000</v>
      </c>
      <c r="Q101" s="13">
        <v>128450</v>
      </c>
      <c r="R101" t="s">
        <v>141</v>
      </c>
      <c r="S101" t="s">
        <v>76</v>
      </c>
      <c r="T101" s="5">
        <v>20470</v>
      </c>
      <c r="U101" s="6">
        <v>2</v>
      </c>
      <c r="V101" t="s">
        <v>77</v>
      </c>
      <c r="W101" s="4">
        <v>46122</v>
      </c>
      <c r="X101" t="s">
        <v>64</v>
      </c>
      <c r="Y101" t="s">
        <v>77</v>
      </c>
      <c r="Z101" t="s">
        <v>107</v>
      </c>
      <c r="AA101" t="str">
        <f>VLOOKUP(H101,Departments!$A:$B,2,0)</f>
        <v>Orthopedics</v>
      </c>
      <c r="AB101" t="str">
        <f>VLOOKUP(J101,Diagnosis_Guide!$A:$B,2,0)</f>
        <v>Spinal Injury</v>
      </c>
      <c r="AC101" s="4" t="str">
        <f>VLOOKUP(J101,Diagnosis_Guide!$A:$C,3,0)</f>
        <v>Musculoskeletal</v>
      </c>
      <c r="AD101" s="4" t="str">
        <f>VLOOKUP(R101,Insurance_Plans!$A:$C,3,0)</f>
        <v>Private</v>
      </c>
      <c r="AE101" s="13">
        <f t="shared" si="3"/>
        <v>6422.5</v>
      </c>
      <c r="AF101" s="13">
        <f t="shared" si="4"/>
        <v>134872.5</v>
      </c>
      <c r="AG101" s="4" t="str">
        <f t="shared" si="5"/>
        <v>Low</v>
      </c>
    </row>
    <row r="102" spans="1:33">
      <c r="A102" t="s">
        <v>408</v>
      </c>
      <c r="B102" t="s">
        <v>409</v>
      </c>
      <c r="C102" s="11">
        <v>46140</v>
      </c>
      <c r="D102" t="s">
        <v>161</v>
      </c>
      <c r="E102" t="s">
        <v>70</v>
      </c>
      <c r="F102" s="4">
        <v>46141</v>
      </c>
      <c r="G102" s="4">
        <v>46141</v>
      </c>
      <c r="H102" t="s">
        <v>103</v>
      </c>
      <c r="I102" t="s">
        <v>243</v>
      </c>
      <c r="J102" t="s">
        <v>244</v>
      </c>
      <c r="K102" t="s">
        <v>60</v>
      </c>
      <c r="L102" t="s">
        <v>61</v>
      </c>
      <c r="M102" s="5">
        <v>62100</v>
      </c>
      <c r="N102" s="5">
        <v>8500</v>
      </c>
      <c r="O102" s="5">
        <v>10800</v>
      </c>
      <c r="P102" s="5">
        <v>0</v>
      </c>
      <c r="Q102" s="13">
        <v>83200</v>
      </c>
      <c r="R102" t="s">
        <v>141</v>
      </c>
      <c r="S102" t="s">
        <v>76</v>
      </c>
      <c r="T102" s="5">
        <v>13680</v>
      </c>
      <c r="U102" s="6">
        <v>4</v>
      </c>
      <c r="V102" t="s">
        <v>77</v>
      </c>
      <c r="W102" s="4">
        <v>46158</v>
      </c>
      <c r="X102" t="s">
        <v>64</v>
      </c>
      <c r="Y102" t="s">
        <v>64</v>
      </c>
      <c r="Z102" t="s">
        <v>107</v>
      </c>
      <c r="AA102" t="str">
        <f>VLOOKUP(H102,Departments!$A:$B,2,0)</f>
        <v>Nephrology</v>
      </c>
      <c r="AB102" t="str">
        <f>VLOOKUP(J102,Diagnosis_Guide!$A:$B,2,0)</f>
        <v>Chronic Kidney Disease</v>
      </c>
      <c r="AC102" s="4" t="str">
        <f>VLOOKUP(J102,Diagnosis_Guide!$A:$C,3,0)</f>
        <v>Renal</v>
      </c>
      <c r="AD102" s="4" t="str">
        <f>VLOOKUP(R102,Insurance_Plans!$A:$C,3,0)</f>
        <v>Private</v>
      </c>
      <c r="AE102" s="13">
        <f t="shared" si="3"/>
        <v>4160</v>
      </c>
      <c r="AF102" s="13">
        <f t="shared" si="4"/>
        <v>87360</v>
      </c>
      <c r="AG102" s="4" t="str">
        <f t="shared" si="5"/>
        <v>High</v>
      </c>
    </row>
    <row r="103" spans="1:33">
      <c r="A103" t="s">
        <v>410</v>
      </c>
      <c r="B103" t="s">
        <v>411</v>
      </c>
      <c r="C103" s="11">
        <v>46069</v>
      </c>
      <c r="D103" t="s">
        <v>173</v>
      </c>
      <c r="E103" t="s">
        <v>70</v>
      </c>
      <c r="F103" s="4">
        <v>46069</v>
      </c>
      <c r="G103" s="4">
        <v>46074</v>
      </c>
      <c r="H103" t="s">
        <v>103</v>
      </c>
      <c r="I103" t="s">
        <v>412</v>
      </c>
      <c r="J103" t="s">
        <v>105</v>
      </c>
      <c r="K103" t="s">
        <v>93</v>
      </c>
      <c r="L103" t="s">
        <v>61</v>
      </c>
      <c r="M103" s="5">
        <v>63000</v>
      </c>
      <c r="N103" s="5">
        <v>9600</v>
      </c>
      <c r="O103" s="5">
        <v>8350</v>
      </c>
      <c r="P103" s="5">
        <v>22500</v>
      </c>
      <c r="Q103" s="13">
        <v>104650</v>
      </c>
      <c r="R103" t="s">
        <v>141</v>
      </c>
      <c r="S103" t="s">
        <v>76</v>
      </c>
      <c r="T103" s="5">
        <v>16900</v>
      </c>
      <c r="U103" s="6">
        <v>3</v>
      </c>
      <c r="V103" t="s">
        <v>77</v>
      </c>
      <c r="W103" s="4">
        <v>46086</v>
      </c>
      <c r="X103" t="s">
        <v>77</v>
      </c>
      <c r="Y103" t="s">
        <v>77</v>
      </c>
      <c r="Z103" t="s">
        <v>96</v>
      </c>
      <c r="AA103" t="str">
        <f>VLOOKUP(H103,Departments!$A:$B,2,0)</f>
        <v>Nephrology</v>
      </c>
      <c r="AB103" t="str">
        <f>VLOOKUP(J103,Diagnosis_Guide!$A:$B,2,0)</f>
        <v>Dialysis Complication</v>
      </c>
      <c r="AC103" s="4" t="str">
        <f>VLOOKUP(J103,Diagnosis_Guide!$A:$C,3,0)</f>
        <v>Renal</v>
      </c>
      <c r="AD103" s="4" t="str">
        <f>VLOOKUP(R103,Insurance_Plans!$A:$C,3,0)</f>
        <v>Private</v>
      </c>
      <c r="AE103" s="13">
        <f t="shared" si="3"/>
        <v>5232.5</v>
      </c>
      <c r="AF103" s="13">
        <f t="shared" si="4"/>
        <v>109882.5</v>
      </c>
      <c r="AG103" s="4" t="str">
        <f t="shared" si="5"/>
        <v>Medium</v>
      </c>
    </row>
    <row r="104" spans="1:33">
      <c r="A104" t="s">
        <v>413</v>
      </c>
      <c r="B104" t="s">
        <v>414</v>
      </c>
      <c r="C104" s="11">
        <v>46125</v>
      </c>
      <c r="D104" t="s">
        <v>363</v>
      </c>
      <c r="E104" t="s">
        <v>70</v>
      </c>
      <c r="F104" s="4">
        <v>46126</v>
      </c>
      <c r="G104" s="4">
        <v>46132</v>
      </c>
      <c r="H104" t="s">
        <v>178</v>
      </c>
      <c r="I104" t="s">
        <v>415</v>
      </c>
      <c r="J104" t="s">
        <v>180</v>
      </c>
      <c r="K104" t="s">
        <v>73</v>
      </c>
      <c r="L104" t="s">
        <v>61</v>
      </c>
      <c r="M104" s="5">
        <v>51200</v>
      </c>
      <c r="N104" s="5">
        <v>6900</v>
      </c>
      <c r="O104" s="5">
        <v>7000</v>
      </c>
      <c r="P104" s="5">
        <v>27000</v>
      </c>
      <c r="Q104" s="13">
        <v>92900</v>
      </c>
      <c r="R104" t="s">
        <v>75</v>
      </c>
      <c r="S104" t="s">
        <v>86</v>
      </c>
      <c r="T104" s="5">
        <v>42100</v>
      </c>
      <c r="U104" s="6">
        <v>4</v>
      </c>
      <c r="V104" t="s">
        <v>77</v>
      </c>
      <c r="W104" s="4">
        <v>46139</v>
      </c>
      <c r="X104" t="s">
        <v>77</v>
      </c>
      <c r="Y104" t="s">
        <v>64</v>
      </c>
      <c r="Z104" t="s">
        <v>96</v>
      </c>
      <c r="AA104" t="str">
        <f>VLOOKUP(H104,Departments!$A:$B,2,0)</f>
        <v>Surgery</v>
      </c>
      <c r="AB104" t="str">
        <f>VLOOKUP(J104,Diagnosis_Guide!$A:$B,2,0)</f>
        <v>Appendicitis Surgery</v>
      </c>
      <c r="AC104" s="4" t="str">
        <f>VLOOKUP(J104,Diagnosis_Guide!$A:$C,3,0)</f>
        <v>Surgical</v>
      </c>
      <c r="AD104" s="4" t="str">
        <f>VLOOKUP(R104,Insurance_Plans!$A:$C,3,0)</f>
        <v>Public</v>
      </c>
      <c r="AE104" s="13">
        <f t="shared" si="3"/>
        <v>4645</v>
      </c>
      <c r="AF104" s="13">
        <f t="shared" si="4"/>
        <v>97545</v>
      </c>
      <c r="AG104" s="4" t="str">
        <f t="shared" si="5"/>
        <v>High</v>
      </c>
    </row>
    <row r="105" spans="1:33">
      <c r="A105" t="s">
        <v>416</v>
      </c>
      <c r="B105" t="s">
        <v>290</v>
      </c>
      <c r="C105" s="11">
        <v>46078</v>
      </c>
      <c r="D105" t="s">
        <v>99</v>
      </c>
      <c r="E105" t="s">
        <v>70</v>
      </c>
      <c r="F105" s="4">
        <v>46078</v>
      </c>
      <c r="G105" s="4">
        <v>46078</v>
      </c>
      <c r="H105" t="s">
        <v>138</v>
      </c>
      <c r="I105" t="s">
        <v>260</v>
      </c>
      <c r="J105" t="s">
        <v>236</v>
      </c>
      <c r="K105" t="s">
        <v>60</v>
      </c>
      <c r="L105" t="s">
        <v>94</v>
      </c>
      <c r="M105" s="5">
        <v>35700</v>
      </c>
      <c r="N105" s="5">
        <v>3600</v>
      </c>
      <c r="O105" s="5">
        <v>4900</v>
      </c>
      <c r="P105" s="5">
        <v>0</v>
      </c>
      <c r="Q105" s="13">
        <v>46700</v>
      </c>
      <c r="R105" t="s">
        <v>62</v>
      </c>
      <c r="S105" t="s">
        <v>76</v>
      </c>
      <c r="T105" s="5">
        <v>14410</v>
      </c>
      <c r="U105" s="6">
        <v>4</v>
      </c>
      <c r="V105" t="s">
        <v>77</v>
      </c>
      <c r="W105" s="4">
        <v>46085</v>
      </c>
      <c r="X105" t="s">
        <v>64</v>
      </c>
      <c r="Y105" t="s">
        <v>64</v>
      </c>
      <c r="Z105" t="s">
        <v>96</v>
      </c>
      <c r="AA105" t="str">
        <f>VLOOKUP(H105,Departments!$A:$B,2,0)</f>
        <v>Pediatrics</v>
      </c>
      <c r="AB105" t="str">
        <f>VLOOKUP(J105,Diagnosis_Guide!$A:$B,2,0)</f>
        <v>Neonatal Observation</v>
      </c>
      <c r="AC105" s="4" t="str">
        <f>VLOOKUP(J105,Diagnosis_Guide!$A:$C,3,0)</f>
        <v>Pediatric</v>
      </c>
      <c r="AD105" s="4" t="str">
        <f>VLOOKUP(R105,Insurance_Plans!$A:$C,3,0)</f>
        <v>Public</v>
      </c>
      <c r="AE105" s="13">
        <f t="shared" si="3"/>
        <v>2335</v>
      </c>
      <c r="AF105" s="13">
        <f t="shared" si="4"/>
        <v>49035</v>
      </c>
      <c r="AG105" s="4" t="str">
        <f t="shared" si="5"/>
        <v>High</v>
      </c>
    </row>
    <row r="106" spans="1:33">
      <c r="A106" t="s">
        <v>417</v>
      </c>
      <c r="B106" t="s">
        <v>418</v>
      </c>
      <c r="C106" s="11">
        <v>46129</v>
      </c>
      <c r="D106" t="s">
        <v>419</v>
      </c>
      <c r="E106" t="s">
        <v>314</v>
      </c>
      <c r="F106" s="4"/>
      <c r="G106" s="4"/>
      <c r="H106" t="s">
        <v>103</v>
      </c>
      <c r="I106" t="s">
        <v>214</v>
      </c>
      <c r="J106" t="s">
        <v>105</v>
      </c>
      <c r="K106" t="s">
        <v>73</v>
      </c>
      <c r="L106" t="s">
        <v>94</v>
      </c>
      <c r="M106" s="5"/>
      <c r="N106" s="5"/>
      <c r="O106" s="5"/>
      <c r="P106" s="5"/>
      <c r="R106" t="s">
        <v>95</v>
      </c>
      <c r="S106" t="s">
        <v>63</v>
      </c>
      <c r="T106" s="5"/>
      <c r="U106" s="6"/>
      <c r="V106" t="s">
        <v>64</v>
      </c>
      <c r="W106" s="4"/>
      <c r="X106" t="s">
        <v>65</v>
      </c>
      <c r="Z106" t="s">
        <v>66</v>
      </c>
      <c r="AA106" t="str">
        <f>VLOOKUP(H106,Departments!$A:$B,2,0)</f>
        <v>Nephrology</v>
      </c>
      <c r="AB106" t="str">
        <f>VLOOKUP(J106,Diagnosis_Guide!$A:$B,2,0)</f>
        <v>Dialysis Complication</v>
      </c>
      <c r="AC106" s="4" t="str">
        <f>VLOOKUP(J106,Diagnosis_Guide!$A:$C,3,0)</f>
        <v>Renal</v>
      </c>
      <c r="AD106" s="4" t="str">
        <f>VLOOKUP(R106,Insurance_Plans!$A:$C,3,0)</f>
        <v>Self-Pay</v>
      </c>
      <c r="AE106" s="13" t="str">
        <f t="shared" si="3"/>
        <v/>
      </c>
      <c r="AF106" s="13" t="str">
        <f t="shared" si="4"/>
        <v/>
      </c>
      <c r="AG106" s="4" t="str">
        <f t="shared" si="5"/>
        <v>Not Available</v>
      </c>
    </row>
    <row r="107" spans="1:33">
      <c r="A107" t="s">
        <v>420</v>
      </c>
      <c r="B107" t="s">
        <v>216</v>
      </c>
      <c r="C107" s="11">
        <v>46082</v>
      </c>
      <c r="D107" t="s">
        <v>69</v>
      </c>
      <c r="E107" t="s">
        <v>70</v>
      </c>
      <c r="F107" s="4">
        <v>46083</v>
      </c>
      <c r="G107" s="4">
        <v>46088</v>
      </c>
      <c r="H107" t="s">
        <v>201</v>
      </c>
      <c r="I107" t="s">
        <v>421</v>
      </c>
      <c r="J107" t="s">
        <v>295</v>
      </c>
      <c r="K107" t="s">
        <v>124</v>
      </c>
      <c r="L107" t="s">
        <v>74</v>
      </c>
      <c r="M107" s="5">
        <v>33500</v>
      </c>
      <c r="N107" s="5">
        <v>5400</v>
      </c>
      <c r="O107" s="5">
        <v>6600</v>
      </c>
      <c r="P107" s="5">
        <v>17500</v>
      </c>
      <c r="Q107" s="13">
        <v>64000</v>
      </c>
      <c r="R107" t="s">
        <v>75</v>
      </c>
      <c r="S107" t="s">
        <v>86</v>
      </c>
      <c r="T107" s="5">
        <v>29100</v>
      </c>
      <c r="U107" s="6">
        <v>4</v>
      </c>
      <c r="V107" t="s">
        <v>77</v>
      </c>
      <c r="W107" s="4">
        <v>46107</v>
      </c>
      <c r="X107" t="s">
        <v>77</v>
      </c>
      <c r="Y107" t="s">
        <v>64</v>
      </c>
      <c r="Z107" t="s">
        <v>107</v>
      </c>
      <c r="AA107" t="str">
        <f>VLOOKUP(H107,Departments!$A:$B,2,0)</f>
        <v>Emergency</v>
      </c>
      <c r="AB107" t="str">
        <f>VLOOKUP(J107,Diagnosis_Guide!$A:$B,2,0)</f>
        <v>Accident Injury</v>
      </c>
      <c r="AC107" s="4" t="str">
        <f>VLOOKUP(J107,Diagnosis_Guide!$A:$C,3,0)</f>
        <v>Emergency</v>
      </c>
      <c r="AD107" s="4" t="str">
        <f>VLOOKUP(R107,Insurance_Plans!$A:$C,3,0)</f>
        <v>Public</v>
      </c>
      <c r="AE107" s="13">
        <f t="shared" si="3"/>
        <v>3200</v>
      </c>
      <c r="AF107" s="13">
        <f t="shared" si="4"/>
        <v>67200</v>
      </c>
      <c r="AG107" s="4" t="str">
        <f t="shared" si="5"/>
        <v>High</v>
      </c>
    </row>
    <row r="108" spans="1:33">
      <c r="A108" t="s">
        <v>422</v>
      </c>
      <c r="B108" t="s">
        <v>423</v>
      </c>
      <c r="C108" s="11">
        <v>46122</v>
      </c>
      <c r="D108" t="s">
        <v>259</v>
      </c>
      <c r="E108" t="s">
        <v>70</v>
      </c>
      <c r="F108" s="4">
        <v>46123</v>
      </c>
      <c r="G108" s="4">
        <v>46126</v>
      </c>
      <c r="H108" t="s">
        <v>103</v>
      </c>
      <c r="I108" t="s">
        <v>412</v>
      </c>
      <c r="J108" t="s">
        <v>145</v>
      </c>
      <c r="K108" t="s">
        <v>124</v>
      </c>
      <c r="L108" t="s">
        <v>94</v>
      </c>
      <c r="M108" s="5">
        <v>35700</v>
      </c>
      <c r="N108" s="5">
        <v>4450</v>
      </c>
      <c r="O108" s="5">
        <v>6300</v>
      </c>
      <c r="P108" s="5">
        <v>9000</v>
      </c>
      <c r="Q108" s="13">
        <v>56650</v>
      </c>
      <c r="R108" t="s">
        <v>141</v>
      </c>
      <c r="S108" t="s">
        <v>76</v>
      </c>
      <c r="T108" s="5">
        <v>9700</v>
      </c>
      <c r="U108" s="6">
        <v>4</v>
      </c>
      <c r="V108" t="s">
        <v>77</v>
      </c>
      <c r="W108" s="4">
        <v>46133</v>
      </c>
      <c r="X108" t="s">
        <v>77</v>
      </c>
      <c r="Y108" t="s">
        <v>64</v>
      </c>
      <c r="Z108" t="s">
        <v>78</v>
      </c>
      <c r="AA108" t="str">
        <f>VLOOKUP(H108,Departments!$A:$B,2,0)</f>
        <v>Nephrology</v>
      </c>
      <c r="AB108" t="str">
        <f>VLOOKUP(J108,Diagnosis_Guide!$A:$B,2,0)</f>
        <v>Kidney Stone</v>
      </c>
      <c r="AC108" s="4" t="str">
        <f>VLOOKUP(J108,Diagnosis_Guide!$A:$C,3,0)</f>
        <v>Renal</v>
      </c>
      <c r="AD108" s="4" t="str">
        <f>VLOOKUP(R108,Insurance_Plans!$A:$C,3,0)</f>
        <v>Private</v>
      </c>
      <c r="AE108" s="13">
        <f t="shared" si="3"/>
        <v>2832.5</v>
      </c>
      <c r="AF108" s="13">
        <f t="shared" si="4"/>
        <v>59482.5</v>
      </c>
      <c r="AG108" s="4" t="str">
        <f t="shared" si="5"/>
        <v>High</v>
      </c>
    </row>
    <row r="109" spans="1:33">
      <c r="A109" t="s">
        <v>424</v>
      </c>
      <c r="B109" t="s">
        <v>425</v>
      </c>
      <c r="C109" s="11">
        <v>46119</v>
      </c>
      <c r="D109" t="s">
        <v>69</v>
      </c>
      <c r="E109" t="s">
        <v>70</v>
      </c>
      <c r="F109" s="4">
        <v>46120</v>
      </c>
      <c r="G109" s="4">
        <v>46123</v>
      </c>
      <c r="H109" t="s">
        <v>111</v>
      </c>
      <c r="I109" t="s">
        <v>112</v>
      </c>
      <c r="J109" t="s">
        <v>113</v>
      </c>
      <c r="K109" t="s">
        <v>124</v>
      </c>
      <c r="L109" t="s">
        <v>146</v>
      </c>
      <c r="M109" s="5">
        <v>28000</v>
      </c>
      <c r="N109" s="5">
        <v>3150</v>
      </c>
      <c r="O109" s="5">
        <v>3950</v>
      </c>
      <c r="P109" s="5">
        <v>7500</v>
      </c>
      <c r="Q109" s="13">
        <v>43400</v>
      </c>
      <c r="R109" t="s">
        <v>141</v>
      </c>
      <c r="S109" t="s">
        <v>163</v>
      </c>
      <c r="T109" s="5">
        <v>7710</v>
      </c>
      <c r="U109" s="6">
        <v>3</v>
      </c>
      <c r="V109" t="s">
        <v>64</v>
      </c>
      <c r="W109" s="4"/>
      <c r="X109" t="s">
        <v>65</v>
      </c>
      <c r="Y109" t="s">
        <v>64</v>
      </c>
      <c r="Z109" t="s">
        <v>78</v>
      </c>
      <c r="AA109" t="str">
        <f>VLOOKUP(H109,Departments!$A:$B,2,0)</f>
        <v>General Medicine</v>
      </c>
      <c r="AB109" t="str">
        <f>VLOOKUP(J109,Diagnosis_Guide!$A:$B,2,0)</f>
        <v>Diabetes Complication</v>
      </c>
      <c r="AC109" s="4" t="str">
        <f>VLOOKUP(J109,Diagnosis_Guide!$A:$C,3,0)</f>
        <v>Endocrine/General</v>
      </c>
      <c r="AD109" s="4" t="str">
        <f>VLOOKUP(R109,Insurance_Plans!$A:$C,3,0)</f>
        <v>Private</v>
      </c>
      <c r="AE109" s="13">
        <f t="shared" si="3"/>
        <v>2170</v>
      </c>
      <c r="AF109" s="13">
        <f t="shared" si="4"/>
        <v>45570</v>
      </c>
      <c r="AG109" s="4" t="str">
        <f t="shared" si="5"/>
        <v>Medium</v>
      </c>
    </row>
    <row r="110" spans="1:33">
      <c r="A110" t="s">
        <v>426</v>
      </c>
      <c r="B110" t="s">
        <v>427</v>
      </c>
      <c r="C110" s="11">
        <v>46079</v>
      </c>
      <c r="D110" t="s">
        <v>242</v>
      </c>
      <c r="E110" t="s">
        <v>70</v>
      </c>
      <c r="F110" s="4">
        <v>46079</v>
      </c>
      <c r="G110" s="4">
        <v>46079</v>
      </c>
      <c r="H110" t="s">
        <v>150</v>
      </c>
      <c r="I110" t="s">
        <v>247</v>
      </c>
      <c r="J110" t="s">
        <v>152</v>
      </c>
      <c r="K110" t="s">
        <v>60</v>
      </c>
      <c r="L110" t="s">
        <v>94</v>
      </c>
      <c r="M110" s="5">
        <v>29100</v>
      </c>
      <c r="N110" s="5">
        <v>2750</v>
      </c>
      <c r="O110" s="5">
        <v>3800</v>
      </c>
      <c r="P110" s="5">
        <v>0</v>
      </c>
      <c r="Q110" s="13">
        <v>36650</v>
      </c>
      <c r="R110" t="s">
        <v>75</v>
      </c>
      <c r="S110" t="s">
        <v>76</v>
      </c>
      <c r="T110" s="5">
        <v>16790</v>
      </c>
      <c r="U110" s="6">
        <v>5</v>
      </c>
      <c r="V110" t="s">
        <v>64</v>
      </c>
      <c r="W110" s="4"/>
      <c r="X110" t="s">
        <v>65</v>
      </c>
      <c r="Y110" t="s">
        <v>64</v>
      </c>
      <c r="Z110" t="s">
        <v>78</v>
      </c>
      <c r="AA110" t="str">
        <f>VLOOKUP(H110,Departments!$A:$B,2,0)</f>
        <v>Obstetrics</v>
      </c>
      <c r="AB110" t="str">
        <f>VLOOKUP(J110,Diagnosis_Guide!$A:$B,2,0)</f>
        <v>Antenatal Complication</v>
      </c>
      <c r="AC110" s="4" t="str">
        <f>VLOOKUP(J110,Diagnosis_Guide!$A:$C,3,0)</f>
        <v>Maternal Health</v>
      </c>
      <c r="AD110" s="4" t="str">
        <f>VLOOKUP(R110,Insurance_Plans!$A:$C,3,0)</f>
        <v>Public</v>
      </c>
      <c r="AE110" s="13">
        <f t="shared" si="3"/>
        <v>1832.5</v>
      </c>
      <c r="AF110" s="13">
        <f t="shared" si="4"/>
        <v>38482.5</v>
      </c>
      <c r="AG110" s="4" t="str">
        <f t="shared" si="5"/>
        <v>High</v>
      </c>
    </row>
    <row r="111" spans="1:33">
      <c r="A111" t="s">
        <v>428</v>
      </c>
      <c r="B111" t="s">
        <v>429</v>
      </c>
      <c r="C111" s="11">
        <v>46100</v>
      </c>
      <c r="D111" t="s">
        <v>55</v>
      </c>
      <c r="E111" t="s">
        <v>177</v>
      </c>
      <c r="F111" s="4"/>
      <c r="G111" s="4"/>
      <c r="H111" t="s">
        <v>121</v>
      </c>
      <c r="I111" t="s">
        <v>334</v>
      </c>
      <c r="J111" t="s">
        <v>123</v>
      </c>
      <c r="K111" t="s">
        <v>60</v>
      </c>
      <c r="L111" t="s">
        <v>94</v>
      </c>
      <c r="M111" s="5"/>
      <c r="N111" s="5"/>
      <c r="O111" s="5"/>
      <c r="P111" s="5"/>
      <c r="R111" t="s">
        <v>85</v>
      </c>
      <c r="S111" t="s">
        <v>63</v>
      </c>
      <c r="T111" s="5"/>
      <c r="U111" s="6"/>
      <c r="V111" t="s">
        <v>64</v>
      </c>
      <c r="W111" s="4"/>
      <c r="X111" t="s">
        <v>65</v>
      </c>
      <c r="Z111" t="s">
        <v>66</v>
      </c>
      <c r="AA111" t="str">
        <f>VLOOKUP(H111,Departments!$A:$B,2,0)</f>
        <v>Neurology</v>
      </c>
      <c r="AB111" t="str">
        <f>VLOOKUP(J111,Diagnosis_Guide!$A:$B,2,0)</f>
        <v>Seizure Episode</v>
      </c>
      <c r="AC111" s="4" t="str">
        <f>VLOOKUP(J111,Diagnosis_Guide!$A:$C,3,0)</f>
        <v>Neurological</v>
      </c>
      <c r="AD111" s="4" t="str">
        <f>VLOOKUP(R111,Insurance_Plans!$A:$C,3,0)</f>
        <v>Employer</v>
      </c>
      <c r="AE111" s="13" t="str">
        <f t="shared" si="3"/>
        <v/>
      </c>
      <c r="AF111" s="13" t="str">
        <f t="shared" si="4"/>
        <v/>
      </c>
      <c r="AG111" s="4" t="str">
        <f t="shared" si="5"/>
        <v>Not Available</v>
      </c>
    </row>
    <row r="112" spans="1:33">
      <c r="A112" t="s">
        <v>430</v>
      </c>
      <c r="B112" t="s">
        <v>431</v>
      </c>
      <c r="C112" s="11">
        <v>46124</v>
      </c>
      <c r="D112" t="s">
        <v>432</v>
      </c>
      <c r="E112" t="s">
        <v>70</v>
      </c>
      <c r="F112" s="4">
        <v>46124</v>
      </c>
      <c r="G112" s="4">
        <v>46125</v>
      </c>
      <c r="H112" t="s">
        <v>201</v>
      </c>
      <c r="I112" t="s">
        <v>327</v>
      </c>
      <c r="J112" t="s">
        <v>281</v>
      </c>
      <c r="K112" t="s">
        <v>124</v>
      </c>
      <c r="L112" t="s">
        <v>74</v>
      </c>
      <c r="M112" s="5">
        <v>7900</v>
      </c>
      <c r="N112" s="5">
        <v>1250</v>
      </c>
      <c r="O112" s="5">
        <v>800</v>
      </c>
      <c r="P112" s="5">
        <v>4500</v>
      </c>
      <c r="Q112" s="13">
        <v>15450</v>
      </c>
      <c r="R112" t="s">
        <v>141</v>
      </c>
      <c r="S112" t="s">
        <v>76</v>
      </c>
      <c r="T112" s="5">
        <v>3520</v>
      </c>
      <c r="U112" s="6">
        <v>5</v>
      </c>
      <c r="V112" t="s">
        <v>64</v>
      </c>
      <c r="W112" s="4"/>
      <c r="X112" t="s">
        <v>65</v>
      </c>
      <c r="Y112" t="s">
        <v>64</v>
      </c>
      <c r="Z112" t="s">
        <v>78</v>
      </c>
      <c r="AA112" t="str">
        <f>VLOOKUP(H112,Departments!$A:$B,2,0)</f>
        <v>Emergency</v>
      </c>
      <c r="AB112" t="str">
        <f>VLOOKUP(J112,Diagnosis_Guide!$A:$B,2,0)</f>
        <v>Food Poisoning</v>
      </c>
      <c r="AC112" s="4" t="str">
        <f>VLOOKUP(J112,Diagnosis_Guide!$A:$C,3,0)</f>
        <v>Emergency</v>
      </c>
      <c r="AD112" s="4" t="str">
        <f>VLOOKUP(R112,Insurance_Plans!$A:$C,3,0)</f>
        <v>Private</v>
      </c>
      <c r="AE112" s="13">
        <f t="shared" si="3"/>
        <v>772.5</v>
      </c>
      <c r="AF112" s="13">
        <f t="shared" si="4"/>
        <v>16222.5</v>
      </c>
      <c r="AG112" s="4" t="str">
        <f t="shared" si="5"/>
        <v>High</v>
      </c>
    </row>
    <row r="113" spans="1:33">
      <c r="A113" t="s">
        <v>433</v>
      </c>
      <c r="B113" t="s">
        <v>434</v>
      </c>
      <c r="C113" s="11">
        <v>46041</v>
      </c>
      <c r="D113" t="s">
        <v>302</v>
      </c>
      <c r="E113" t="s">
        <v>70</v>
      </c>
      <c r="F113" s="4">
        <v>46041</v>
      </c>
      <c r="G113" s="4">
        <v>46041</v>
      </c>
      <c r="H113" t="s">
        <v>103</v>
      </c>
      <c r="I113" t="s">
        <v>207</v>
      </c>
      <c r="J113" t="s">
        <v>145</v>
      </c>
      <c r="K113" t="s">
        <v>60</v>
      </c>
      <c r="L113" t="s">
        <v>94</v>
      </c>
      <c r="M113" s="5">
        <v>25800</v>
      </c>
      <c r="N113" s="5">
        <v>4450</v>
      </c>
      <c r="O113" s="5">
        <v>6200</v>
      </c>
      <c r="P113" s="5">
        <v>0</v>
      </c>
      <c r="Q113" s="13">
        <v>37950</v>
      </c>
      <c r="R113" t="s">
        <v>134</v>
      </c>
      <c r="S113" t="s">
        <v>76</v>
      </c>
      <c r="T113" s="5">
        <v>21070</v>
      </c>
      <c r="U113" s="6">
        <v>5</v>
      </c>
      <c r="V113" t="s">
        <v>64</v>
      </c>
      <c r="W113" s="4"/>
      <c r="X113" t="s">
        <v>65</v>
      </c>
      <c r="Y113" t="s">
        <v>64</v>
      </c>
      <c r="Z113" t="s">
        <v>107</v>
      </c>
      <c r="AA113" t="str">
        <f>VLOOKUP(H113,Departments!$A:$B,2,0)</f>
        <v>Nephrology</v>
      </c>
      <c r="AB113" t="str">
        <f>VLOOKUP(J113,Diagnosis_Guide!$A:$B,2,0)</f>
        <v>Kidney Stone</v>
      </c>
      <c r="AC113" s="4" t="str">
        <f>VLOOKUP(J113,Diagnosis_Guide!$A:$C,3,0)</f>
        <v>Renal</v>
      </c>
      <c r="AD113" s="4" t="str">
        <f>VLOOKUP(R113,Insurance_Plans!$A:$C,3,0)</f>
        <v>Community</v>
      </c>
      <c r="AE113" s="13">
        <f t="shared" si="3"/>
        <v>1897.5</v>
      </c>
      <c r="AF113" s="13">
        <f t="shared" si="4"/>
        <v>39847.5</v>
      </c>
      <c r="AG113" s="4" t="str">
        <f t="shared" si="5"/>
        <v>High</v>
      </c>
    </row>
    <row r="114" spans="1:33">
      <c r="A114" t="s">
        <v>435</v>
      </c>
      <c r="B114" t="s">
        <v>333</v>
      </c>
      <c r="C114" s="11">
        <v>46088</v>
      </c>
      <c r="D114" t="s">
        <v>89</v>
      </c>
      <c r="E114" t="s">
        <v>70</v>
      </c>
      <c r="F114" s="4">
        <v>46089</v>
      </c>
      <c r="G114" s="4">
        <v>46090</v>
      </c>
      <c r="H114" t="s">
        <v>82</v>
      </c>
      <c r="I114" t="s">
        <v>155</v>
      </c>
      <c r="J114" t="s">
        <v>291</v>
      </c>
      <c r="K114" t="s">
        <v>60</v>
      </c>
      <c r="L114" t="s">
        <v>61</v>
      </c>
      <c r="M114" s="5">
        <v>39100</v>
      </c>
      <c r="N114" s="5">
        <v>4100</v>
      </c>
      <c r="O114" s="5">
        <v>4100</v>
      </c>
      <c r="P114" s="5">
        <v>3500</v>
      </c>
      <c r="Q114" s="13">
        <v>53300</v>
      </c>
      <c r="R114" t="s">
        <v>85</v>
      </c>
      <c r="S114" t="s">
        <v>76</v>
      </c>
      <c r="T114" s="5">
        <v>14220</v>
      </c>
      <c r="U114" s="6">
        <v>5</v>
      </c>
      <c r="V114" t="s">
        <v>64</v>
      </c>
      <c r="W114" s="4"/>
      <c r="X114" t="s">
        <v>65</v>
      </c>
      <c r="Y114" t="s">
        <v>64</v>
      </c>
      <c r="Z114" t="s">
        <v>436</v>
      </c>
      <c r="AA114" t="str">
        <f>VLOOKUP(H114,Departments!$A:$B,2,0)</f>
        <v>Orthopedics</v>
      </c>
      <c r="AB114" t="str">
        <f>VLOOKUP(J114,Diagnosis_Guide!$A:$B,2,0)</f>
        <v>Fracture Repair</v>
      </c>
      <c r="AC114" s="4" t="str">
        <f>VLOOKUP(J114,Diagnosis_Guide!$A:$C,3,0)</f>
        <v>Musculoskeletal</v>
      </c>
      <c r="AD114" s="4" t="str">
        <f>VLOOKUP(R114,Insurance_Plans!$A:$C,3,0)</f>
        <v>Employer</v>
      </c>
      <c r="AE114" s="13">
        <f t="shared" si="3"/>
        <v>2665</v>
      </c>
      <c r="AF114" s="13">
        <f t="shared" si="4"/>
        <v>55965</v>
      </c>
      <c r="AG114" s="4" t="str">
        <f t="shared" si="5"/>
        <v>High</v>
      </c>
    </row>
    <row r="115" spans="1:33">
      <c r="A115" t="s">
        <v>437</v>
      </c>
      <c r="B115" t="s">
        <v>438</v>
      </c>
      <c r="C115" s="11">
        <v>46121</v>
      </c>
      <c r="D115" t="s">
        <v>439</v>
      </c>
      <c r="E115" t="s">
        <v>70</v>
      </c>
      <c r="F115" s="4">
        <v>46122</v>
      </c>
      <c r="G115" s="4">
        <v>46123</v>
      </c>
      <c r="H115" t="s">
        <v>90</v>
      </c>
      <c r="I115" t="s">
        <v>388</v>
      </c>
      <c r="J115" t="s">
        <v>197</v>
      </c>
      <c r="K115" t="s">
        <v>60</v>
      </c>
      <c r="L115" t="s">
        <v>74</v>
      </c>
      <c r="M115" s="5">
        <v>19400</v>
      </c>
      <c r="N115" s="5">
        <v>2300</v>
      </c>
      <c r="O115" s="5">
        <v>2850</v>
      </c>
      <c r="P115" s="5">
        <v>4500</v>
      </c>
      <c r="Q115" s="13">
        <v>30550</v>
      </c>
      <c r="R115" t="s">
        <v>95</v>
      </c>
      <c r="S115" t="s">
        <v>63</v>
      </c>
      <c r="T115" s="5">
        <v>30550</v>
      </c>
      <c r="U115" s="6">
        <v>4</v>
      </c>
      <c r="V115" t="s">
        <v>64</v>
      </c>
      <c r="W115" s="4"/>
      <c r="X115" t="s">
        <v>65</v>
      </c>
      <c r="Y115" t="s">
        <v>64</v>
      </c>
      <c r="Z115" t="s">
        <v>107</v>
      </c>
      <c r="AA115" t="str">
        <f>VLOOKUP(H115,Departments!$A:$B,2,0)</f>
        <v>Cardiology</v>
      </c>
      <c r="AB115" t="str">
        <f>VLOOKUP(J115,Diagnosis_Guide!$A:$B,2,0)</f>
        <v>Chest Pain</v>
      </c>
      <c r="AC115" s="4" t="str">
        <f>VLOOKUP(J115,Diagnosis_Guide!$A:$C,3,0)</f>
        <v>Cardiovascular</v>
      </c>
      <c r="AD115" s="4" t="str">
        <f>VLOOKUP(R115,Insurance_Plans!$A:$C,3,0)</f>
        <v>Self-Pay</v>
      </c>
      <c r="AE115" s="13">
        <f t="shared" si="3"/>
        <v>1527.5</v>
      </c>
      <c r="AF115" s="13">
        <f t="shared" si="4"/>
        <v>32077.5</v>
      </c>
      <c r="AG115" s="4" t="str">
        <f t="shared" si="5"/>
        <v>High</v>
      </c>
    </row>
    <row r="116" spans="1:33">
      <c r="A116" t="s">
        <v>440</v>
      </c>
      <c r="B116" t="s">
        <v>441</v>
      </c>
      <c r="C116" s="11">
        <v>46066</v>
      </c>
      <c r="D116" t="s">
        <v>132</v>
      </c>
      <c r="E116" t="s">
        <v>70</v>
      </c>
      <c r="F116" s="4">
        <v>46067</v>
      </c>
      <c r="G116" s="4">
        <v>46073</v>
      </c>
      <c r="H116" t="s">
        <v>57</v>
      </c>
      <c r="I116" t="s">
        <v>100</v>
      </c>
      <c r="J116" t="s">
        <v>59</v>
      </c>
      <c r="K116" t="s">
        <v>124</v>
      </c>
      <c r="L116" t="s">
        <v>74</v>
      </c>
      <c r="M116" s="5">
        <v>57900</v>
      </c>
      <c r="N116" s="5">
        <v>5600</v>
      </c>
      <c r="O116" s="5">
        <v>9050</v>
      </c>
      <c r="P116" s="5">
        <v>18000</v>
      </c>
      <c r="Q116" s="13">
        <v>92550</v>
      </c>
      <c r="R116" t="s">
        <v>75</v>
      </c>
      <c r="S116" t="s">
        <v>76</v>
      </c>
      <c r="T116" s="5">
        <v>41950</v>
      </c>
      <c r="U116" s="6">
        <v>4</v>
      </c>
      <c r="V116" t="s">
        <v>64</v>
      </c>
      <c r="W116" s="4"/>
      <c r="X116" t="s">
        <v>65</v>
      </c>
      <c r="Y116" t="s">
        <v>64</v>
      </c>
      <c r="Z116" t="s">
        <v>107</v>
      </c>
      <c r="AA116" t="str">
        <f>VLOOKUP(H116,Departments!$A:$B,2,0)</f>
        <v>Pulmonology</v>
      </c>
      <c r="AB116" t="str">
        <f>VLOOKUP(J116,Diagnosis_Guide!$A:$B,2,0)</f>
        <v>Pneumonia</v>
      </c>
      <c r="AC116" s="4" t="str">
        <f>VLOOKUP(J116,Diagnosis_Guide!$A:$C,3,0)</f>
        <v>Respiratory</v>
      </c>
      <c r="AD116" s="4" t="str">
        <f>VLOOKUP(R116,Insurance_Plans!$A:$C,3,0)</f>
        <v>Public</v>
      </c>
      <c r="AE116" s="13">
        <f t="shared" si="3"/>
        <v>4627.5</v>
      </c>
      <c r="AF116" s="13">
        <f t="shared" si="4"/>
        <v>97177.5</v>
      </c>
      <c r="AG116" s="4" t="str">
        <f t="shared" si="5"/>
        <v>High</v>
      </c>
    </row>
    <row r="117" spans="1:33">
      <c r="A117" t="s">
        <v>442</v>
      </c>
      <c r="B117" t="s">
        <v>443</v>
      </c>
      <c r="C117" s="11">
        <v>46050</v>
      </c>
      <c r="D117" t="s">
        <v>217</v>
      </c>
      <c r="E117" t="s">
        <v>70</v>
      </c>
      <c r="F117" s="4">
        <v>46050</v>
      </c>
      <c r="G117" s="4">
        <v>46050</v>
      </c>
      <c r="H117" t="s">
        <v>138</v>
      </c>
      <c r="I117" t="s">
        <v>444</v>
      </c>
      <c r="J117" t="s">
        <v>261</v>
      </c>
      <c r="K117" t="s">
        <v>60</v>
      </c>
      <c r="L117" t="s">
        <v>61</v>
      </c>
      <c r="M117" s="5">
        <v>6200</v>
      </c>
      <c r="N117" s="5">
        <v>500</v>
      </c>
      <c r="O117" s="5">
        <v>850</v>
      </c>
      <c r="P117" s="5">
        <v>0</v>
      </c>
      <c r="Q117" s="13">
        <v>9050</v>
      </c>
      <c r="R117" t="s">
        <v>134</v>
      </c>
      <c r="S117" t="s">
        <v>76</v>
      </c>
      <c r="T117" s="5">
        <v>5180</v>
      </c>
      <c r="U117" s="6">
        <v>4</v>
      </c>
      <c r="V117" t="s">
        <v>64</v>
      </c>
      <c r="W117" s="4"/>
      <c r="X117" t="s">
        <v>65</v>
      </c>
      <c r="Y117" t="s">
        <v>77</v>
      </c>
      <c r="Z117" t="s">
        <v>96</v>
      </c>
      <c r="AA117" t="str">
        <f>VLOOKUP(H117,Departments!$A:$B,2,0)</f>
        <v>Pediatrics</v>
      </c>
      <c r="AB117" t="str">
        <f>VLOOKUP(J117,Diagnosis_Guide!$A:$B,2,0)</f>
        <v>Child Fever</v>
      </c>
      <c r="AC117" s="4" t="str">
        <f>VLOOKUP(J117,Diagnosis_Guide!$A:$C,3,0)</f>
        <v>Pediatric</v>
      </c>
      <c r="AD117" s="4" t="str">
        <f>VLOOKUP(R117,Insurance_Plans!$A:$C,3,0)</f>
        <v>Community</v>
      </c>
      <c r="AE117" s="13">
        <f t="shared" si="3"/>
        <v>452.5</v>
      </c>
      <c r="AF117" s="13">
        <f t="shared" si="4"/>
        <v>9502.5</v>
      </c>
      <c r="AG117" s="4" t="str">
        <f t="shared" si="5"/>
        <v>High</v>
      </c>
    </row>
    <row r="118" spans="1:33">
      <c r="A118" t="s">
        <v>445</v>
      </c>
      <c r="B118" t="s">
        <v>446</v>
      </c>
      <c r="C118" s="11">
        <v>46132</v>
      </c>
      <c r="D118" t="s">
        <v>149</v>
      </c>
      <c r="E118" t="s">
        <v>70</v>
      </c>
      <c r="F118" s="4">
        <v>46132</v>
      </c>
      <c r="G118" s="4">
        <v>46133</v>
      </c>
      <c r="H118" t="s">
        <v>138</v>
      </c>
      <c r="I118" t="s">
        <v>352</v>
      </c>
      <c r="J118" t="s">
        <v>140</v>
      </c>
      <c r="K118" t="s">
        <v>60</v>
      </c>
      <c r="L118" t="s">
        <v>74</v>
      </c>
      <c r="M118" s="5">
        <v>16200</v>
      </c>
      <c r="N118" s="5">
        <v>1900</v>
      </c>
      <c r="O118" s="5">
        <v>1750</v>
      </c>
      <c r="P118" s="5">
        <v>3500</v>
      </c>
      <c r="Q118" s="13">
        <v>25150</v>
      </c>
      <c r="R118" t="s">
        <v>95</v>
      </c>
      <c r="S118" t="s">
        <v>63</v>
      </c>
      <c r="T118" s="5">
        <v>25150</v>
      </c>
      <c r="U118" s="6">
        <v>4</v>
      </c>
      <c r="V118" t="s">
        <v>64</v>
      </c>
      <c r="W118" s="4"/>
      <c r="X118" t="s">
        <v>65</v>
      </c>
      <c r="Y118" t="s">
        <v>77</v>
      </c>
      <c r="Z118" t="s">
        <v>107</v>
      </c>
      <c r="AA118" t="str">
        <f>VLOOKUP(H118,Departments!$A:$B,2,0)</f>
        <v>Pediatrics</v>
      </c>
      <c r="AB118" t="str">
        <f>VLOOKUP(J118,Diagnosis_Guide!$A:$B,2,0)</f>
        <v>Pediatric Asthma</v>
      </c>
      <c r="AC118" s="4" t="str">
        <f>VLOOKUP(J118,Diagnosis_Guide!$A:$C,3,0)</f>
        <v>Pediatric</v>
      </c>
      <c r="AD118" s="4" t="str">
        <f>VLOOKUP(R118,Insurance_Plans!$A:$C,3,0)</f>
        <v>Self-Pay</v>
      </c>
      <c r="AE118" s="13">
        <f t="shared" si="3"/>
        <v>1257.5</v>
      </c>
      <c r="AF118" s="13">
        <f t="shared" si="4"/>
        <v>26407.5</v>
      </c>
      <c r="AG118" s="4" t="str">
        <f t="shared" si="5"/>
        <v>High</v>
      </c>
    </row>
    <row r="119" spans="1:33">
      <c r="A119" t="s">
        <v>447</v>
      </c>
      <c r="B119" t="s">
        <v>448</v>
      </c>
      <c r="C119" s="11">
        <v>46117</v>
      </c>
      <c r="D119" t="s">
        <v>266</v>
      </c>
      <c r="E119" t="s">
        <v>70</v>
      </c>
      <c r="F119" s="4">
        <v>46117</v>
      </c>
      <c r="G119" s="4">
        <v>46120</v>
      </c>
      <c r="H119" t="s">
        <v>201</v>
      </c>
      <c r="I119" t="s">
        <v>449</v>
      </c>
      <c r="J119" t="s">
        <v>281</v>
      </c>
      <c r="K119" t="s">
        <v>124</v>
      </c>
      <c r="L119" t="s">
        <v>94</v>
      </c>
      <c r="M119" s="5">
        <v>5200</v>
      </c>
      <c r="N119" s="5">
        <v>850</v>
      </c>
      <c r="O119" s="5">
        <v>750</v>
      </c>
      <c r="P119" s="5">
        <v>13500</v>
      </c>
      <c r="Q119" s="13">
        <v>21100</v>
      </c>
      <c r="R119" t="s">
        <v>106</v>
      </c>
      <c r="S119" t="s">
        <v>76</v>
      </c>
      <c r="T119" s="5">
        <v>8080</v>
      </c>
      <c r="U119" s="6">
        <v>4</v>
      </c>
      <c r="V119" t="s">
        <v>64</v>
      </c>
      <c r="W119" s="4"/>
      <c r="X119" t="s">
        <v>65</v>
      </c>
      <c r="Y119" t="s">
        <v>64</v>
      </c>
      <c r="Z119" t="s">
        <v>436</v>
      </c>
      <c r="AA119" t="str">
        <f>VLOOKUP(H119,Departments!$A:$B,2,0)</f>
        <v>Emergency</v>
      </c>
      <c r="AB119" t="str">
        <f>VLOOKUP(J119,Diagnosis_Guide!$A:$B,2,0)</f>
        <v>Food Poisoning</v>
      </c>
      <c r="AC119" s="4" t="str">
        <f>VLOOKUP(J119,Diagnosis_Guide!$A:$C,3,0)</f>
        <v>Emergency</v>
      </c>
      <c r="AD119" s="4" t="str">
        <f>VLOOKUP(R119,Insurance_Plans!$A:$C,3,0)</f>
        <v>Private</v>
      </c>
      <c r="AE119" s="13">
        <f t="shared" si="3"/>
        <v>1055</v>
      </c>
      <c r="AF119" s="13">
        <f t="shared" si="4"/>
        <v>22155</v>
      </c>
      <c r="AG119" s="4" t="str">
        <f t="shared" si="5"/>
        <v>High</v>
      </c>
    </row>
    <row r="120" spans="1:33">
      <c r="A120" t="s">
        <v>450</v>
      </c>
      <c r="B120" t="s">
        <v>451</v>
      </c>
      <c r="C120" s="11">
        <v>46072</v>
      </c>
      <c r="D120" t="s">
        <v>217</v>
      </c>
      <c r="E120" t="s">
        <v>70</v>
      </c>
      <c r="F120" s="4">
        <v>46073</v>
      </c>
      <c r="G120" s="4">
        <v>46079</v>
      </c>
      <c r="H120" t="s">
        <v>103</v>
      </c>
      <c r="I120" t="s">
        <v>364</v>
      </c>
      <c r="J120" t="s">
        <v>105</v>
      </c>
      <c r="K120" t="s">
        <v>124</v>
      </c>
      <c r="L120" t="s">
        <v>74</v>
      </c>
      <c r="M120" s="5">
        <v>70500</v>
      </c>
      <c r="N120" s="5">
        <v>9050</v>
      </c>
      <c r="O120" s="5">
        <v>12750</v>
      </c>
      <c r="P120" s="5">
        <v>18000</v>
      </c>
      <c r="Q120" s="13">
        <v>111100</v>
      </c>
      <c r="R120" t="s">
        <v>75</v>
      </c>
      <c r="S120" t="s">
        <v>76</v>
      </c>
      <c r="T120" s="5">
        <v>50290</v>
      </c>
      <c r="U120" s="6">
        <v>3</v>
      </c>
      <c r="V120" t="s">
        <v>77</v>
      </c>
      <c r="W120" s="4">
        <v>46087</v>
      </c>
      <c r="X120" t="s">
        <v>77</v>
      </c>
      <c r="Y120" t="s">
        <v>64</v>
      </c>
      <c r="Z120" t="s">
        <v>436</v>
      </c>
      <c r="AA120" t="str">
        <f>VLOOKUP(H120,Departments!$A:$B,2,0)</f>
        <v>Nephrology</v>
      </c>
      <c r="AB120" t="str">
        <f>VLOOKUP(J120,Diagnosis_Guide!$A:$B,2,0)</f>
        <v>Dialysis Complication</v>
      </c>
      <c r="AC120" s="4" t="str">
        <f>VLOOKUP(J120,Diagnosis_Guide!$A:$C,3,0)</f>
        <v>Renal</v>
      </c>
      <c r="AD120" s="4" t="str">
        <f>VLOOKUP(R120,Insurance_Plans!$A:$C,3,0)</f>
        <v>Public</v>
      </c>
      <c r="AE120" s="13">
        <f t="shared" si="3"/>
        <v>5555</v>
      </c>
      <c r="AF120" s="13">
        <f t="shared" si="4"/>
        <v>116655</v>
      </c>
      <c r="AG120" s="4" t="str">
        <f t="shared" si="5"/>
        <v>Medium</v>
      </c>
    </row>
    <row r="121" spans="1:33">
      <c r="A121" t="s">
        <v>452</v>
      </c>
      <c r="B121" t="s">
        <v>453</v>
      </c>
      <c r="C121" s="11">
        <v>46054</v>
      </c>
      <c r="D121" t="s">
        <v>110</v>
      </c>
      <c r="E121" t="s">
        <v>70</v>
      </c>
      <c r="F121" s="4">
        <v>46054</v>
      </c>
      <c r="G121" s="4">
        <v>46057</v>
      </c>
      <c r="H121" t="s">
        <v>57</v>
      </c>
      <c r="I121" t="s">
        <v>169</v>
      </c>
      <c r="J121" t="s">
        <v>59</v>
      </c>
      <c r="K121" t="s">
        <v>124</v>
      </c>
      <c r="L121" t="s">
        <v>94</v>
      </c>
      <c r="M121" s="5">
        <v>51000</v>
      </c>
      <c r="N121" s="5">
        <v>6050</v>
      </c>
      <c r="O121" s="5">
        <v>10000</v>
      </c>
      <c r="P121" s="5">
        <v>18000</v>
      </c>
      <c r="Q121" s="13">
        <v>85850</v>
      </c>
      <c r="R121" t="s">
        <v>134</v>
      </c>
      <c r="S121" t="s">
        <v>76</v>
      </c>
      <c r="T121" s="5">
        <v>47420</v>
      </c>
      <c r="U121" s="6">
        <v>2</v>
      </c>
      <c r="V121" t="s">
        <v>77</v>
      </c>
      <c r="W121" s="4">
        <v>46068</v>
      </c>
      <c r="X121" t="s">
        <v>77</v>
      </c>
      <c r="Y121" t="s">
        <v>77</v>
      </c>
      <c r="Z121" t="s">
        <v>78</v>
      </c>
      <c r="AA121" t="str">
        <f>VLOOKUP(H121,Departments!$A:$B,2,0)</f>
        <v>Pulmonology</v>
      </c>
      <c r="AB121" t="str">
        <f>VLOOKUP(J121,Diagnosis_Guide!$A:$B,2,0)</f>
        <v>Pneumonia</v>
      </c>
      <c r="AC121" s="4" t="str">
        <f>VLOOKUP(J121,Diagnosis_Guide!$A:$C,3,0)</f>
        <v>Respiratory</v>
      </c>
      <c r="AD121" s="4" t="str">
        <f>VLOOKUP(R121,Insurance_Plans!$A:$C,3,0)</f>
        <v>Community</v>
      </c>
      <c r="AE121" s="13">
        <f t="shared" si="3"/>
        <v>4292.5</v>
      </c>
      <c r="AF121" s="13">
        <f t="shared" si="4"/>
        <v>90142.5</v>
      </c>
      <c r="AG121" s="4" t="str">
        <f t="shared" si="5"/>
        <v>Low</v>
      </c>
    </row>
    <row r="122" spans="1:33">
      <c r="A122" t="s">
        <v>454</v>
      </c>
      <c r="B122" t="s">
        <v>455</v>
      </c>
      <c r="C122" s="11">
        <v>46170</v>
      </c>
      <c r="D122" t="s">
        <v>120</v>
      </c>
      <c r="E122" t="s">
        <v>70</v>
      </c>
      <c r="F122" s="4">
        <v>46171</v>
      </c>
      <c r="G122" s="4">
        <v>46177</v>
      </c>
      <c r="H122" t="s">
        <v>150</v>
      </c>
      <c r="I122" t="s">
        <v>228</v>
      </c>
      <c r="J122" t="s">
        <v>188</v>
      </c>
      <c r="K122" t="s">
        <v>73</v>
      </c>
      <c r="L122" t="s">
        <v>94</v>
      </c>
      <c r="M122" s="5">
        <v>109800</v>
      </c>
      <c r="N122" s="5">
        <v>19050</v>
      </c>
      <c r="O122" s="5">
        <v>13050</v>
      </c>
      <c r="P122" s="5">
        <v>36000</v>
      </c>
      <c r="Q122" s="13">
        <v>179400</v>
      </c>
      <c r="R122" t="s">
        <v>85</v>
      </c>
      <c r="S122" t="s">
        <v>76</v>
      </c>
      <c r="T122" s="5">
        <v>45750</v>
      </c>
      <c r="U122" s="6">
        <v>4</v>
      </c>
      <c r="V122" t="s">
        <v>77</v>
      </c>
      <c r="W122" s="4">
        <v>46197</v>
      </c>
      <c r="X122" t="s">
        <v>77</v>
      </c>
      <c r="Y122" t="s">
        <v>64</v>
      </c>
      <c r="Z122" t="s">
        <v>78</v>
      </c>
      <c r="AA122" t="str">
        <f>VLOOKUP(H122,Departments!$A:$B,2,0)</f>
        <v>Obstetrics</v>
      </c>
      <c r="AB122" t="str">
        <f>VLOOKUP(J122,Diagnosis_Guide!$A:$B,2,0)</f>
        <v>Emergency C-Section</v>
      </c>
      <c r="AC122" s="4" t="str">
        <f>VLOOKUP(J122,Diagnosis_Guide!$A:$C,3,0)</f>
        <v>Maternal Health</v>
      </c>
      <c r="AD122" s="4" t="str">
        <f>VLOOKUP(R122,Insurance_Plans!$A:$C,3,0)</f>
        <v>Employer</v>
      </c>
      <c r="AE122" s="13">
        <f t="shared" si="3"/>
        <v>8970</v>
      </c>
      <c r="AF122" s="13">
        <f t="shared" si="4"/>
        <v>188370</v>
      </c>
      <c r="AG122" s="4" t="str">
        <f t="shared" si="5"/>
        <v>High</v>
      </c>
    </row>
    <row r="123" spans="1:33">
      <c r="A123" t="s">
        <v>456</v>
      </c>
      <c r="B123" t="s">
        <v>457</v>
      </c>
      <c r="C123" s="11">
        <v>46151</v>
      </c>
      <c r="D123" t="s">
        <v>294</v>
      </c>
      <c r="E123" t="s">
        <v>177</v>
      </c>
      <c r="F123" s="4"/>
      <c r="G123" s="4"/>
      <c r="H123" t="s">
        <v>103</v>
      </c>
      <c r="I123" t="s">
        <v>364</v>
      </c>
      <c r="J123" t="s">
        <v>244</v>
      </c>
      <c r="K123" t="s">
        <v>124</v>
      </c>
      <c r="L123" t="s">
        <v>74</v>
      </c>
      <c r="M123" s="5"/>
      <c r="N123" s="5"/>
      <c r="O123" s="5"/>
      <c r="P123" s="5"/>
      <c r="R123" t="s">
        <v>134</v>
      </c>
      <c r="S123" t="s">
        <v>63</v>
      </c>
      <c r="T123" s="5"/>
      <c r="U123" s="6"/>
      <c r="V123" t="s">
        <v>64</v>
      </c>
      <c r="W123" s="4"/>
      <c r="X123" t="s">
        <v>65</v>
      </c>
      <c r="Z123" t="s">
        <v>66</v>
      </c>
      <c r="AA123" t="str">
        <f>VLOOKUP(H123,Departments!$A:$B,2,0)</f>
        <v>Nephrology</v>
      </c>
      <c r="AB123" t="str">
        <f>VLOOKUP(J123,Diagnosis_Guide!$A:$B,2,0)</f>
        <v>Chronic Kidney Disease</v>
      </c>
      <c r="AC123" s="4" t="str">
        <f>VLOOKUP(J123,Diagnosis_Guide!$A:$C,3,0)</f>
        <v>Renal</v>
      </c>
      <c r="AD123" s="4" t="str">
        <f>VLOOKUP(R123,Insurance_Plans!$A:$C,3,0)</f>
        <v>Community</v>
      </c>
      <c r="AE123" s="13" t="str">
        <f t="shared" si="3"/>
        <v/>
      </c>
      <c r="AF123" s="13" t="str">
        <f t="shared" si="4"/>
        <v/>
      </c>
      <c r="AG123" s="4" t="str">
        <f t="shared" si="5"/>
        <v>Not Available</v>
      </c>
    </row>
    <row r="124" spans="1:33">
      <c r="A124" t="s">
        <v>458</v>
      </c>
      <c r="B124" t="s">
        <v>459</v>
      </c>
      <c r="C124" s="11">
        <v>46119</v>
      </c>
      <c r="D124" t="s">
        <v>120</v>
      </c>
      <c r="E124" t="s">
        <v>70</v>
      </c>
      <c r="F124" s="4">
        <v>46119</v>
      </c>
      <c r="G124" s="4">
        <v>46125</v>
      </c>
      <c r="H124" t="s">
        <v>178</v>
      </c>
      <c r="I124" t="s">
        <v>415</v>
      </c>
      <c r="J124" t="s">
        <v>340</v>
      </c>
      <c r="K124" t="s">
        <v>73</v>
      </c>
      <c r="L124" t="s">
        <v>146</v>
      </c>
      <c r="M124" s="5">
        <v>68200</v>
      </c>
      <c r="N124" s="5">
        <v>8800</v>
      </c>
      <c r="O124" s="5">
        <v>10850</v>
      </c>
      <c r="P124" s="5">
        <v>18000</v>
      </c>
      <c r="Q124" s="13">
        <v>106650</v>
      </c>
      <c r="R124" t="s">
        <v>134</v>
      </c>
      <c r="S124" t="s">
        <v>76</v>
      </c>
      <c r="T124" s="5">
        <v>58860</v>
      </c>
      <c r="U124" s="6">
        <v>5</v>
      </c>
      <c r="V124" t="s">
        <v>77</v>
      </c>
      <c r="W124" s="4">
        <v>46142</v>
      </c>
      <c r="X124" t="s">
        <v>77</v>
      </c>
      <c r="Y124" t="s">
        <v>64</v>
      </c>
      <c r="Z124" t="s">
        <v>78</v>
      </c>
      <c r="AA124" t="str">
        <f>VLOOKUP(H124,Departments!$A:$B,2,0)</f>
        <v>Surgery</v>
      </c>
      <c r="AB124" t="str">
        <f>VLOOKUP(J124,Diagnosis_Guide!$A:$B,2,0)</f>
        <v>Post-Operative Infection</v>
      </c>
      <c r="AC124" s="4" t="str">
        <f>VLOOKUP(J124,Diagnosis_Guide!$A:$C,3,0)</f>
        <v>Surgical</v>
      </c>
      <c r="AD124" s="4" t="str">
        <f>VLOOKUP(R124,Insurance_Plans!$A:$C,3,0)</f>
        <v>Community</v>
      </c>
      <c r="AE124" s="13">
        <f t="shared" si="3"/>
        <v>5332.5</v>
      </c>
      <c r="AF124" s="13">
        <f t="shared" si="4"/>
        <v>111982.5</v>
      </c>
      <c r="AG124" s="4" t="str">
        <f t="shared" si="5"/>
        <v>High</v>
      </c>
    </row>
    <row r="125" spans="1:33">
      <c r="A125" t="s">
        <v>460</v>
      </c>
      <c r="B125" t="s">
        <v>461</v>
      </c>
      <c r="C125" s="11">
        <v>46105</v>
      </c>
      <c r="D125" t="s">
        <v>173</v>
      </c>
      <c r="E125" t="s">
        <v>314</v>
      </c>
      <c r="F125" s="4"/>
      <c r="G125" s="4"/>
      <c r="H125" t="s">
        <v>178</v>
      </c>
      <c r="I125" t="s">
        <v>462</v>
      </c>
      <c r="J125" t="s">
        <v>180</v>
      </c>
      <c r="K125" t="s">
        <v>93</v>
      </c>
      <c r="L125" t="s">
        <v>61</v>
      </c>
      <c r="M125" s="5"/>
      <c r="N125" s="5"/>
      <c r="O125" s="5"/>
      <c r="P125" s="5"/>
      <c r="R125" t="s">
        <v>62</v>
      </c>
      <c r="S125" t="s">
        <v>63</v>
      </c>
      <c r="T125" s="5"/>
      <c r="U125" s="6"/>
      <c r="V125" t="s">
        <v>64</v>
      </c>
      <c r="W125" s="4"/>
      <c r="X125" t="s">
        <v>65</v>
      </c>
      <c r="Z125" t="s">
        <v>66</v>
      </c>
      <c r="AA125" t="str">
        <f>VLOOKUP(H125,Departments!$A:$B,2,0)</f>
        <v>Surgery</v>
      </c>
      <c r="AB125" t="str">
        <f>VLOOKUP(J125,Diagnosis_Guide!$A:$B,2,0)</f>
        <v>Appendicitis Surgery</v>
      </c>
      <c r="AC125" s="4" t="str">
        <f>VLOOKUP(J125,Diagnosis_Guide!$A:$C,3,0)</f>
        <v>Surgical</v>
      </c>
      <c r="AD125" s="4" t="str">
        <f>VLOOKUP(R125,Insurance_Plans!$A:$C,3,0)</f>
        <v>Public</v>
      </c>
      <c r="AE125" s="13" t="str">
        <f t="shared" si="3"/>
        <v/>
      </c>
      <c r="AF125" s="13" t="str">
        <f t="shared" si="4"/>
        <v/>
      </c>
      <c r="AG125" s="4" t="str">
        <f t="shared" si="5"/>
        <v>Not Available</v>
      </c>
    </row>
    <row r="126" spans="1:33">
      <c r="A126" t="s">
        <v>463</v>
      </c>
      <c r="B126" t="s">
        <v>464</v>
      </c>
      <c r="C126" s="11">
        <v>46076</v>
      </c>
      <c r="D126" t="s">
        <v>127</v>
      </c>
      <c r="E126" t="s">
        <v>70</v>
      </c>
      <c r="F126" s="4">
        <v>46076</v>
      </c>
      <c r="G126" s="4">
        <v>46077</v>
      </c>
      <c r="H126" t="s">
        <v>90</v>
      </c>
      <c r="I126" t="s">
        <v>91</v>
      </c>
      <c r="J126" t="s">
        <v>129</v>
      </c>
      <c r="K126" t="s">
        <v>60</v>
      </c>
      <c r="L126" t="s">
        <v>94</v>
      </c>
      <c r="M126" s="5">
        <v>29400</v>
      </c>
      <c r="N126" s="5">
        <v>5150</v>
      </c>
      <c r="O126" s="5">
        <v>4800</v>
      </c>
      <c r="P126" s="5">
        <v>3000</v>
      </c>
      <c r="Q126" s="13">
        <v>43550</v>
      </c>
      <c r="R126" t="s">
        <v>62</v>
      </c>
      <c r="S126" t="s">
        <v>76</v>
      </c>
      <c r="T126" s="5">
        <v>13470</v>
      </c>
      <c r="U126" s="6">
        <v>5</v>
      </c>
      <c r="V126" t="s">
        <v>77</v>
      </c>
      <c r="W126" s="4">
        <v>46084</v>
      </c>
      <c r="X126" t="s">
        <v>77</v>
      </c>
      <c r="Y126" t="s">
        <v>64</v>
      </c>
      <c r="Z126" t="s">
        <v>436</v>
      </c>
      <c r="AA126" t="str">
        <f>VLOOKUP(H126,Departments!$A:$B,2,0)</f>
        <v>Cardiology</v>
      </c>
      <c r="AB126" t="str">
        <f>VLOOKUP(J126,Diagnosis_Guide!$A:$B,2,0)</f>
        <v>Hypertension Crisis</v>
      </c>
      <c r="AC126" s="4" t="str">
        <f>VLOOKUP(J126,Diagnosis_Guide!$A:$C,3,0)</f>
        <v>Cardiovascular</v>
      </c>
      <c r="AD126" s="4" t="str">
        <f>VLOOKUP(R126,Insurance_Plans!$A:$C,3,0)</f>
        <v>Public</v>
      </c>
      <c r="AE126" s="13">
        <f t="shared" si="3"/>
        <v>2177.5</v>
      </c>
      <c r="AF126" s="13">
        <f t="shared" si="4"/>
        <v>45727.5</v>
      </c>
      <c r="AG126" s="4" t="str">
        <f t="shared" si="5"/>
        <v>High</v>
      </c>
    </row>
    <row r="127" spans="1:33">
      <c r="A127" t="s">
        <v>465</v>
      </c>
      <c r="B127" t="s">
        <v>466</v>
      </c>
      <c r="C127" s="11">
        <v>46067</v>
      </c>
      <c r="D127" t="s">
        <v>439</v>
      </c>
      <c r="E127" t="s">
        <v>70</v>
      </c>
      <c r="F127" s="4">
        <v>46067</v>
      </c>
      <c r="G127" s="4">
        <v>46069</v>
      </c>
      <c r="H127" t="s">
        <v>111</v>
      </c>
      <c r="I127" t="s">
        <v>355</v>
      </c>
      <c r="J127" t="s">
        <v>113</v>
      </c>
      <c r="K127" t="s">
        <v>124</v>
      </c>
      <c r="L127" t="s">
        <v>94</v>
      </c>
      <c r="M127" s="5">
        <v>18700</v>
      </c>
      <c r="N127" s="5">
        <v>1700</v>
      </c>
      <c r="O127" s="5">
        <v>2200</v>
      </c>
      <c r="P127" s="5">
        <v>12000</v>
      </c>
      <c r="Q127" s="13">
        <v>36100</v>
      </c>
      <c r="R127" t="s">
        <v>75</v>
      </c>
      <c r="S127" t="s">
        <v>76</v>
      </c>
      <c r="T127" s="5">
        <v>16540</v>
      </c>
      <c r="U127" s="6">
        <v>4</v>
      </c>
      <c r="V127" t="s">
        <v>64</v>
      </c>
      <c r="W127" s="4"/>
      <c r="X127" t="s">
        <v>65</v>
      </c>
      <c r="Y127" t="s">
        <v>64</v>
      </c>
      <c r="Z127" t="s">
        <v>96</v>
      </c>
      <c r="AA127" t="str">
        <f>VLOOKUP(H127,Departments!$A:$B,2,0)</f>
        <v>General Medicine</v>
      </c>
      <c r="AB127" t="str">
        <f>VLOOKUP(J127,Diagnosis_Guide!$A:$B,2,0)</f>
        <v>Diabetes Complication</v>
      </c>
      <c r="AC127" s="4" t="str">
        <f>VLOOKUP(J127,Diagnosis_Guide!$A:$C,3,0)</f>
        <v>Endocrine/General</v>
      </c>
      <c r="AD127" s="4" t="str">
        <f>VLOOKUP(R127,Insurance_Plans!$A:$C,3,0)</f>
        <v>Public</v>
      </c>
      <c r="AE127" s="13">
        <f t="shared" si="3"/>
        <v>1805</v>
      </c>
      <c r="AF127" s="13">
        <f t="shared" si="4"/>
        <v>37905</v>
      </c>
      <c r="AG127" s="4" t="str">
        <f t="shared" si="5"/>
        <v>High</v>
      </c>
    </row>
    <row r="128" spans="1:33">
      <c r="A128" t="s">
        <v>467</v>
      </c>
      <c r="B128" t="s">
        <v>468</v>
      </c>
      <c r="C128" s="11">
        <v>46039</v>
      </c>
      <c r="D128" t="s">
        <v>469</v>
      </c>
      <c r="E128" t="s">
        <v>70</v>
      </c>
      <c r="F128" s="4">
        <v>46040</v>
      </c>
      <c r="G128" s="4">
        <v>46045</v>
      </c>
      <c r="H128" t="s">
        <v>90</v>
      </c>
      <c r="I128" t="s">
        <v>162</v>
      </c>
      <c r="J128" t="s">
        <v>129</v>
      </c>
      <c r="K128" t="s">
        <v>124</v>
      </c>
      <c r="L128" t="s">
        <v>74</v>
      </c>
      <c r="M128" s="5">
        <v>41600</v>
      </c>
      <c r="N128" s="5">
        <v>6750</v>
      </c>
      <c r="O128" s="5">
        <v>8250</v>
      </c>
      <c r="P128" s="5">
        <v>15000</v>
      </c>
      <c r="Q128" s="13">
        <v>72800</v>
      </c>
      <c r="R128" t="s">
        <v>134</v>
      </c>
      <c r="S128" t="s">
        <v>86</v>
      </c>
      <c r="T128" s="5">
        <v>40240</v>
      </c>
      <c r="U128" s="6">
        <v>3</v>
      </c>
      <c r="V128" t="s">
        <v>77</v>
      </c>
      <c r="W128" s="4">
        <v>46061</v>
      </c>
      <c r="X128" t="s">
        <v>77</v>
      </c>
      <c r="Y128" t="s">
        <v>77</v>
      </c>
      <c r="Z128" t="s">
        <v>96</v>
      </c>
      <c r="AA128" t="str">
        <f>VLOOKUP(H128,Departments!$A:$B,2,0)</f>
        <v>Cardiology</v>
      </c>
      <c r="AB128" t="str">
        <f>VLOOKUP(J128,Diagnosis_Guide!$A:$B,2,0)</f>
        <v>Hypertension Crisis</v>
      </c>
      <c r="AC128" s="4" t="str">
        <f>VLOOKUP(J128,Diagnosis_Guide!$A:$C,3,0)</f>
        <v>Cardiovascular</v>
      </c>
      <c r="AD128" s="4" t="str">
        <f>VLOOKUP(R128,Insurance_Plans!$A:$C,3,0)</f>
        <v>Community</v>
      </c>
      <c r="AE128" s="13">
        <f t="shared" si="3"/>
        <v>3640</v>
      </c>
      <c r="AF128" s="13">
        <f t="shared" si="4"/>
        <v>76440</v>
      </c>
      <c r="AG128" s="4" t="str">
        <f t="shared" si="5"/>
        <v>Medium</v>
      </c>
    </row>
    <row r="129" spans="1:33">
      <c r="A129" t="s">
        <v>470</v>
      </c>
      <c r="B129" t="s">
        <v>471</v>
      </c>
      <c r="C129" s="11">
        <v>46044</v>
      </c>
      <c r="D129" t="s">
        <v>294</v>
      </c>
      <c r="E129" t="s">
        <v>70</v>
      </c>
      <c r="F129" s="4">
        <v>46044</v>
      </c>
      <c r="G129" s="4">
        <v>46051</v>
      </c>
      <c r="H129" t="s">
        <v>82</v>
      </c>
      <c r="I129" t="s">
        <v>194</v>
      </c>
      <c r="J129" t="s">
        <v>156</v>
      </c>
      <c r="K129" t="s">
        <v>73</v>
      </c>
      <c r="L129" t="s">
        <v>74</v>
      </c>
      <c r="M129" s="5">
        <v>94000</v>
      </c>
      <c r="N129" s="5">
        <v>10300</v>
      </c>
      <c r="O129" s="5">
        <v>16950</v>
      </c>
      <c r="P129" s="5">
        <v>21000</v>
      </c>
      <c r="Q129" s="13">
        <v>144050</v>
      </c>
      <c r="R129" t="s">
        <v>85</v>
      </c>
      <c r="S129" t="s">
        <v>76</v>
      </c>
      <c r="T129" s="5">
        <v>36910</v>
      </c>
      <c r="U129" s="6">
        <v>3</v>
      </c>
      <c r="V129" t="s">
        <v>77</v>
      </c>
      <c r="W129" s="4">
        <v>46063</v>
      </c>
      <c r="X129" t="s">
        <v>77</v>
      </c>
      <c r="Y129" t="s">
        <v>64</v>
      </c>
      <c r="Z129" t="s">
        <v>96</v>
      </c>
      <c r="AA129" t="str">
        <f>VLOOKUP(H129,Departments!$A:$B,2,0)</f>
        <v>Orthopedics</v>
      </c>
      <c r="AB129" t="str">
        <f>VLOOKUP(J129,Diagnosis_Guide!$A:$B,2,0)</f>
        <v>Spinal Injury</v>
      </c>
      <c r="AC129" s="4" t="str">
        <f>VLOOKUP(J129,Diagnosis_Guide!$A:$C,3,0)</f>
        <v>Musculoskeletal</v>
      </c>
      <c r="AD129" s="4" t="str">
        <f>VLOOKUP(R129,Insurance_Plans!$A:$C,3,0)</f>
        <v>Employer</v>
      </c>
      <c r="AE129" s="13">
        <f t="shared" si="3"/>
        <v>7202.5</v>
      </c>
      <c r="AF129" s="13">
        <f t="shared" si="4"/>
        <v>151252.5</v>
      </c>
      <c r="AG129" s="4" t="str">
        <f t="shared" si="5"/>
        <v>Medium</v>
      </c>
    </row>
    <row r="130" spans="1:33">
      <c r="A130" t="s">
        <v>472</v>
      </c>
      <c r="B130" t="s">
        <v>459</v>
      </c>
      <c r="C130" s="11">
        <v>46164</v>
      </c>
      <c r="D130" t="s">
        <v>210</v>
      </c>
      <c r="E130" t="s">
        <v>70</v>
      </c>
      <c r="F130" s="4">
        <v>46164</v>
      </c>
      <c r="G130" s="4">
        <v>46166</v>
      </c>
      <c r="H130" t="s">
        <v>201</v>
      </c>
      <c r="I130" t="s">
        <v>280</v>
      </c>
      <c r="J130" t="s">
        <v>281</v>
      </c>
      <c r="K130" t="s">
        <v>124</v>
      </c>
      <c r="L130" t="s">
        <v>74</v>
      </c>
      <c r="M130" s="5">
        <v>7200</v>
      </c>
      <c r="N130" s="5">
        <v>1250</v>
      </c>
      <c r="O130" s="5">
        <v>1150</v>
      </c>
      <c r="P130" s="5">
        <v>5000</v>
      </c>
      <c r="Q130" s="13">
        <v>15600</v>
      </c>
      <c r="R130" t="s">
        <v>62</v>
      </c>
      <c r="S130" t="s">
        <v>76</v>
      </c>
      <c r="T130" s="5">
        <v>5080</v>
      </c>
      <c r="U130" s="6">
        <v>4</v>
      </c>
      <c r="V130" t="s">
        <v>64</v>
      </c>
      <c r="W130" s="4"/>
      <c r="X130" t="s">
        <v>65</v>
      </c>
      <c r="Y130" t="s">
        <v>64</v>
      </c>
      <c r="Z130" t="s">
        <v>78</v>
      </c>
      <c r="AA130" t="str">
        <f>VLOOKUP(H130,Departments!$A:$B,2,0)</f>
        <v>Emergency</v>
      </c>
      <c r="AB130" t="str">
        <f>VLOOKUP(J130,Diagnosis_Guide!$A:$B,2,0)</f>
        <v>Food Poisoning</v>
      </c>
      <c r="AC130" s="4" t="str">
        <f>VLOOKUP(J130,Diagnosis_Guide!$A:$C,3,0)</f>
        <v>Emergency</v>
      </c>
      <c r="AD130" s="4" t="str">
        <f>VLOOKUP(R130,Insurance_Plans!$A:$C,3,0)</f>
        <v>Public</v>
      </c>
      <c r="AE130" s="13">
        <f t="shared" ref="AE130:AE193" si="6">IF(Q130="","",Q130*0.05)</f>
        <v>780</v>
      </c>
      <c r="AF130" s="13">
        <f t="shared" ref="AF130:AF193" si="7">IF(Q130="","",Q130+AE130)</f>
        <v>16380</v>
      </c>
      <c r="AG130" s="4" t="str">
        <f t="shared" ref="AG130:AG193" si="8">IF(U130="","Not Available",IF(U130&gt;=4,"High",IF(U130=3,"Medium","Low")))</f>
        <v>High</v>
      </c>
    </row>
    <row r="131" spans="1:33">
      <c r="A131" t="s">
        <v>473</v>
      </c>
      <c r="B131" t="s">
        <v>474</v>
      </c>
      <c r="C131" s="11">
        <v>46153</v>
      </c>
      <c r="D131" t="s">
        <v>279</v>
      </c>
      <c r="E131" t="s">
        <v>70</v>
      </c>
      <c r="F131" s="4">
        <v>46154</v>
      </c>
      <c r="G131" s="4">
        <v>46154</v>
      </c>
      <c r="H131" t="s">
        <v>57</v>
      </c>
      <c r="I131" t="s">
        <v>169</v>
      </c>
      <c r="J131" t="s">
        <v>170</v>
      </c>
      <c r="K131" t="s">
        <v>60</v>
      </c>
      <c r="L131" t="s">
        <v>146</v>
      </c>
      <c r="M131" s="5">
        <v>47900</v>
      </c>
      <c r="N131" s="5">
        <v>6450</v>
      </c>
      <c r="O131" s="5">
        <v>5250</v>
      </c>
      <c r="P131" s="5">
        <v>0</v>
      </c>
      <c r="Q131" s="13">
        <v>60400</v>
      </c>
      <c r="R131" t="s">
        <v>85</v>
      </c>
      <c r="S131" t="s">
        <v>76</v>
      </c>
      <c r="T131" s="5">
        <v>16000</v>
      </c>
      <c r="U131" s="6"/>
      <c r="V131" t="s">
        <v>77</v>
      </c>
      <c r="W131" s="4">
        <v>46165</v>
      </c>
      <c r="X131" t="s">
        <v>77</v>
      </c>
      <c r="Y131" t="s">
        <v>64</v>
      </c>
      <c r="Z131" t="s">
        <v>96</v>
      </c>
      <c r="AA131" t="str">
        <f>VLOOKUP(H131,Departments!$A:$B,2,0)</f>
        <v>Pulmonology</v>
      </c>
      <c r="AB131" t="str">
        <f>VLOOKUP(J131,Diagnosis_Guide!$A:$B,2,0)</f>
        <v>COPD Exacerbation</v>
      </c>
      <c r="AC131" s="4" t="str">
        <f>VLOOKUP(J131,Diagnosis_Guide!$A:$C,3,0)</f>
        <v>Respiratory</v>
      </c>
      <c r="AD131" s="4" t="str">
        <f>VLOOKUP(R131,Insurance_Plans!$A:$C,3,0)</f>
        <v>Employer</v>
      </c>
      <c r="AE131" s="13">
        <f t="shared" si="6"/>
        <v>3020</v>
      </c>
      <c r="AF131" s="13">
        <f t="shared" si="7"/>
        <v>63420</v>
      </c>
      <c r="AG131" s="4" t="str">
        <f t="shared" si="8"/>
        <v>Not Available</v>
      </c>
    </row>
    <row r="132" spans="1:33">
      <c r="A132" t="s">
        <v>475</v>
      </c>
      <c r="B132" t="s">
        <v>476</v>
      </c>
      <c r="C132" s="11">
        <v>46101</v>
      </c>
      <c r="D132" t="s">
        <v>242</v>
      </c>
      <c r="E132" t="s">
        <v>70</v>
      </c>
      <c r="F132" s="4">
        <v>46101</v>
      </c>
      <c r="G132" s="4">
        <v>46101</v>
      </c>
      <c r="H132" t="s">
        <v>82</v>
      </c>
      <c r="I132" t="s">
        <v>272</v>
      </c>
      <c r="J132" t="s">
        <v>84</v>
      </c>
      <c r="K132" t="s">
        <v>60</v>
      </c>
      <c r="L132" t="s">
        <v>94</v>
      </c>
      <c r="M132" s="5">
        <v>8600</v>
      </c>
      <c r="N132" s="5">
        <v>1450</v>
      </c>
      <c r="O132" s="5">
        <v>1100</v>
      </c>
      <c r="P132" s="5">
        <v>0</v>
      </c>
      <c r="Q132" s="13">
        <v>12950</v>
      </c>
      <c r="R132" t="s">
        <v>62</v>
      </c>
      <c r="S132" t="s">
        <v>76</v>
      </c>
      <c r="T132" s="5">
        <v>4280</v>
      </c>
      <c r="U132" s="6">
        <v>5</v>
      </c>
      <c r="V132" t="s">
        <v>77</v>
      </c>
      <c r="W132" s="4">
        <v>46119</v>
      </c>
      <c r="Y132" t="s">
        <v>64</v>
      </c>
      <c r="Z132" t="s">
        <v>107</v>
      </c>
      <c r="AA132" t="str">
        <f>VLOOKUP(H132,Departments!$A:$B,2,0)</f>
        <v>Orthopedics</v>
      </c>
      <c r="AB132" t="str">
        <f>VLOOKUP(J132,Diagnosis_Guide!$A:$B,2,0)</f>
        <v>Joint Pain</v>
      </c>
      <c r="AC132" s="4" t="str">
        <f>VLOOKUP(J132,Diagnosis_Guide!$A:$C,3,0)</f>
        <v>Musculoskeletal</v>
      </c>
      <c r="AD132" s="4" t="str">
        <f>VLOOKUP(R132,Insurance_Plans!$A:$C,3,0)</f>
        <v>Public</v>
      </c>
      <c r="AE132" s="13">
        <f t="shared" si="6"/>
        <v>647.5</v>
      </c>
      <c r="AF132" s="13">
        <f t="shared" si="7"/>
        <v>13597.5</v>
      </c>
      <c r="AG132" s="4" t="str">
        <f t="shared" si="8"/>
        <v>High</v>
      </c>
    </row>
    <row r="133" spans="1:33">
      <c r="A133" t="s">
        <v>477</v>
      </c>
      <c r="B133" t="s">
        <v>205</v>
      </c>
      <c r="C133" s="11">
        <v>46055</v>
      </c>
      <c r="D133" t="s">
        <v>110</v>
      </c>
      <c r="E133" t="s">
        <v>70</v>
      </c>
      <c r="F133" s="4">
        <v>46055</v>
      </c>
      <c r="G133" s="4">
        <v>46055</v>
      </c>
      <c r="H133" t="s">
        <v>150</v>
      </c>
      <c r="I133" t="s">
        <v>247</v>
      </c>
      <c r="J133" t="s">
        <v>152</v>
      </c>
      <c r="K133" t="s">
        <v>60</v>
      </c>
      <c r="L133" t="s">
        <v>94</v>
      </c>
      <c r="M133" s="5">
        <v>26500</v>
      </c>
      <c r="N133" s="5">
        <v>2600</v>
      </c>
      <c r="O133" s="5">
        <v>6550</v>
      </c>
      <c r="P133" s="5">
        <v>0</v>
      </c>
      <c r="Q133" s="13">
        <v>36650</v>
      </c>
      <c r="R133" t="s">
        <v>95</v>
      </c>
      <c r="S133" t="s">
        <v>63</v>
      </c>
      <c r="T133" s="5">
        <v>36650</v>
      </c>
      <c r="U133" s="6">
        <v>5</v>
      </c>
      <c r="V133" t="s">
        <v>64</v>
      </c>
      <c r="W133" s="4"/>
      <c r="X133" t="s">
        <v>65</v>
      </c>
      <c r="Y133" t="s">
        <v>64</v>
      </c>
      <c r="Z133" t="s">
        <v>78</v>
      </c>
      <c r="AA133" t="str">
        <f>VLOOKUP(H133,Departments!$A:$B,2,0)</f>
        <v>Obstetrics</v>
      </c>
      <c r="AB133" t="str">
        <f>VLOOKUP(J133,Diagnosis_Guide!$A:$B,2,0)</f>
        <v>Antenatal Complication</v>
      </c>
      <c r="AC133" s="4" t="str">
        <f>VLOOKUP(J133,Diagnosis_Guide!$A:$C,3,0)</f>
        <v>Maternal Health</v>
      </c>
      <c r="AD133" s="4" t="str">
        <f>VLOOKUP(R133,Insurance_Plans!$A:$C,3,0)</f>
        <v>Self-Pay</v>
      </c>
      <c r="AE133" s="13">
        <f t="shared" si="6"/>
        <v>1832.5</v>
      </c>
      <c r="AF133" s="13">
        <f t="shared" si="7"/>
        <v>38482.5</v>
      </c>
      <c r="AG133" s="4" t="str">
        <f t="shared" si="8"/>
        <v>High</v>
      </c>
    </row>
    <row r="134" spans="1:33">
      <c r="A134" t="s">
        <v>478</v>
      </c>
      <c r="B134" t="s">
        <v>479</v>
      </c>
      <c r="C134" s="11">
        <v>46103</v>
      </c>
      <c r="D134" t="s">
        <v>81</v>
      </c>
      <c r="E134" t="s">
        <v>70</v>
      </c>
      <c r="F134" s="4">
        <v>46103</v>
      </c>
      <c r="G134" s="4">
        <v>46103</v>
      </c>
      <c r="H134" t="s">
        <v>201</v>
      </c>
      <c r="I134" t="s">
        <v>202</v>
      </c>
      <c r="J134" t="s">
        <v>281</v>
      </c>
      <c r="K134" t="s">
        <v>124</v>
      </c>
      <c r="L134" t="s">
        <v>94</v>
      </c>
      <c r="M134" s="5">
        <v>7600</v>
      </c>
      <c r="N134" s="5">
        <v>1050</v>
      </c>
      <c r="O134" s="5">
        <v>1300</v>
      </c>
      <c r="P134" s="5">
        <v>0</v>
      </c>
      <c r="Q134" s="13">
        <v>12450</v>
      </c>
      <c r="R134" t="s">
        <v>95</v>
      </c>
      <c r="S134" t="s">
        <v>63</v>
      </c>
      <c r="T134" s="5">
        <v>12450</v>
      </c>
      <c r="U134" s="6">
        <v>5</v>
      </c>
      <c r="V134" t="s">
        <v>64</v>
      </c>
      <c r="W134" s="4"/>
      <c r="X134" t="s">
        <v>65</v>
      </c>
      <c r="Y134" t="s">
        <v>64</v>
      </c>
      <c r="Z134" t="s">
        <v>96</v>
      </c>
      <c r="AA134" t="str">
        <f>VLOOKUP(H134,Departments!$A:$B,2,0)</f>
        <v>Emergency</v>
      </c>
      <c r="AB134" t="str">
        <f>VLOOKUP(J134,Diagnosis_Guide!$A:$B,2,0)</f>
        <v>Food Poisoning</v>
      </c>
      <c r="AC134" s="4" t="str">
        <f>VLOOKUP(J134,Diagnosis_Guide!$A:$C,3,0)</f>
        <v>Emergency</v>
      </c>
      <c r="AD134" s="4" t="str">
        <f>VLOOKUP(R134,Insurance_Plans!$A:$C,3,0)</f>
        <v>Self-Pay</v>
      </c>
      <c r="AE134" s="13">
        <f t="shared" si="6"/>
        <v>622.5</v>
      </c>
      <c r="AF134" s="13">
        <f t="shared" si="7"/>
        <v>13072.5</v>
      </c>
      <c r="AG134" s="4" t="str">
        <f t="shared" si="8"/>
        <v>High</v>
      </c>
    </row>
    <row r="135" spans="1:33">
      <c r="A135" t="s">
        <v>480</v>
      </c>
      <c r="B135" t="s">
        <v>481</v>
      </c>
      <c r="C135" s="11">
        <v>46026</v>
      </c>
      <c r="D135" t="s">
        <v>279</v>
      </c>
      <c r="E135" t="s">
        <v>56</v>
      </c>
      <c r="F135" s="4"/>
      <c r="G135" s="4"/>
      <c r="H135" t="s">
        <v>103</v>
      </c>
      <c r="I135" t="s">
        <v>207</v>
      </c>
      <c r="J135" t="s">
        <v>105</v>
      </c>
      <c r="K135" t="s">
        <v>124</v>
      </c>
      <c r="L135" t="s">
        <v>94</v>
      </c>
      <c r="M135" s="5"/>
      <c r="N135" s="5"/>
      <c r="O135" s="5"/>
      <c r="P135" s="5"/>
      <c r="R135" t="s">
        <v>62</v>
      </c>
      <c r="S135" t="s">
        <v>63</v>
      </c>
      <c r="T135" s="5"/>
      <c r="U135" s="6"/>
      <c r="V135" t="s">
        <v>64</v>
      </c>
      <c r="W135" s="4"/>
      <c r="X135" t="s">
        <v>65</v>
      </c>
      <c r="Z135" t="s">
        <v>66</v>
      </c>
      <c r="AA135" t="str">
        <f>VLOOKUP(H135,Departments!$A:$B,2,0)</f>
        <v>Nephrology</v>
      </c>
      <c r="AB135" t="str">
        <f>VLOOKUP(J135,Diagnosis_Guide!$A:$B,2,0)</f>
        <v>Dialysis Complication</v>
      </c>
      <c r="AC135" s="4" t="str">
        <f>VLOOKUP(J135,Diagnosis_Guide!$A:$C,3,0)</f>
        <v>Renal</v>
      </c>
      <c r="AD135" s="4" t="str">
        <f>VLOOKUP(R135,Insurance_Plans!$A:$C,3,0)</f>
        <v>Public</v>
      </c>
      <c r="AE135" s="13" t="str">
        <f t="shared" si="6"/>
        <v/>
      </c>
      <c r="AF135" s="13" t="str">
        <f t="shared" si="7"/>
        <v/>
      </c>
      <c r="AG135" s="4" t="str">
        <f t="shared" si="8"/>
        <v>Not Available</v>
      </c>
    </row>
    <row r="136" spans="1:33">
      <c r="A136" t="s">
        <v>482</v>
      </c>
      <c r="B136" t="s">
        <v>483</v>
      </c>
      <c r="C136" s="11">
        <v>46158</v>
      </c>
      <c r="D136" t="s">
        <v>173</v>
      </c>
      <c r="E136" t="s">
        <v>70</v>
      </c>
      <c r="F136" s="4">
        <v>46158</v>
      </c>
      <c r="G136" s="4">
        <v>46160</v>
      </c>
      <c r="H136" t="s">
        <v>82</v>
      </c>
      <c r="I136" t="s">
        <v>272</v>
      </c>
      <c r="J136" t="s">
        <v>84</v>
      </c>
      <c r="K136" t="s">
        <v>93</v>
      </c>
      <c r="L136" t="s">
        <v>94</v>
      </c>
      <c r="M136" s="5"/>
      <c r="N136" s="5">
        <v>650</v>
      </c>
      <c r="O136" s="5">
        <v>600</v>
      </c>
      <c r="P136" s="5">
        <v>9000</v>
      </c>
      <c r="Q136" s="13">
        <v>17850</v>
      </c>
      <c r="R136" t="s">
        <v>106</v>
      </c>
      <c r="S136" t="s">
        <v>76</v>
      </c>
      <c r="T136" s="5">
        <v>6950</v>
      </c>
      <c r="U136" s="6">
        <v>3</v>
      </c>
      <c r="V136" t="s">
        <v>77</v>
      </c>
      <c r="W136" s="4">
        <v>46181</v>
      </c>
      <c r="X136" t="s">
        <v>77</v>
      </c>
      <c r="Y136" t="s">
        <v>64</v>
      </c>
      <c r="Z136" t="s">
        <v>78</v>
      </c>
      <c r="AA136" t="str">
        <f>VLOOKUP(H136,Departments!$A:$B,2,0)</f>
        <v>Orthopedics</v>
      </c>
      <c r="AB136" t="str">
        <f>VLOOKUP(J136,Diagnosis_Guide!$A:$B,2,0)</f>
        <v>Joint Pain</v>
      </c>
      <c r="AC136" s="4" t="str">
        <f>VLOOKUP(J136,Diagnosis_Guide!$A:$C,3,0)</f>
        <v>Musculoskeletal</v>
      </c>
      <c r="AD136" s="4" t="str">
        <f>VLOOKUP(R136,Insurance_Plans!$A:$C,3,0)</f>
        <v>Private</v>
      </c>
      <c r="AE136" s="13">
        <f t="shared" si="6"/>
        <v>892.5</v>
      </c>
      <c r="AF136" s="13">
        <f t="shared" si="7"/>
        <v>18742.5</v>
      </c>
      <c r="AG136" s="4" t="str">
        <f t="shared" si="8"/>
        <v>Medium</v>
      </c>
    </row>
    <row r="137" spans="1:33">
      <c r="A137" t="s">
        <v>484</v>
      </c>
      <c r="B137" t="s">
        <v>485</v>
      </c>
      <c r="C137" s="11">
        <v>46154</v>
      </c>
      <c r="D137" t="s">
        <v>234</v>
      </c>
      <c r="E137" t="s">
        <v>56</v>
      </c>
      <c r="F137" s="4"/>
      <c r="G137" s="4"/>
      <c r="H137" t="s">
        <v>111</v>
      </c>
      <c r="I137" t="s">
        <v>355</v>
      </c>
      <c r="J137" t="s">
        <v>117</v>
      </c>
      <c r="K137" t="s">
        <v>60</v>
      </c>
      <c r="L137" t="s">
        <v>61</v>
      </c>
      <c r="M137" s="5"/>
      <c r="N137" s="5"/>
      <c r="O137" s="5"/>
      <c r="P137" s="5"/>
      <c r="R137" t="s">
        <v>85</v>
      </c>
      <c r="S137" t="s">
        <v>63</v>
      </c>
      <c r="T137" s="5"/>
      <c r="U137" s="6"/>
      <c r="V137" t="s">
        <v>64</v>
      </c>
      <c r="W137" s="4"/>
      <c r="X137" t="s">
        <v>65</v>
      </c>
      <c r="Z137" t="s">
        <v>66</v>
      </c>
      <c r="AA137" t="str">
        <f>VLOOKUP(H137,Departments!$A:$B,2,0)</f>
        <v>General Medicine</v>
      </c>
      <c r="AB137" t="str">
        <f>VLOOKUP(J137,Diagnosis_Guide!$A:$B,2,0)</f>
        <v>Fever Investigation</v>
      </c>
      <c r="AC137" s="4" t="str">
        <f>VLOOKUP(J137,Diagnosis_Guide!$A:$C,3,0)</f>
        <v>Infectious/General</v>
      </c>
      <c r="AD137" s="4" t="str">
        <f>VLOOKUP(R137,Insurance_Plans!$A:$C,3,0)</f>
        <v>Employer</v>
      </c>
      <c r="AE137" s="13" t="str">
        <f t="shared" si="6"/>
        <v/>
      </c>
      <c r="AF137" s="13" t="str">
        <f t="shared" si="7"/>
        <v/>
      </c>
      <c r="AG137" s="4" t="str">
        <f t="shared" si="8"/>
        <v>Not Available</v>
      </c>
    </row>
    <row r="138" spans="1:33">
      <c r="A138" t="s">
        <v>486</v>
      </c>
      <c r="B138" t="s">
        <v>487</v>
      </c>
      <c r="C138" s="11">
        <v>46024</v>
      </c>
      <c r="D138" t="s">
        <v>302</v>
      </c>
      <c r="E138" t="s">
        <v>70</v>
      </c>
      <c r="F138" s="4">
        <v>46024</v>
      </c>
      <c r="G138" s="4">
        <v>46024</v>
      </c>
      <c r="H138" t="s">
        <v>111</v>
      </c>
      <c r="I138" t="s">
        <v>267</v>
      </c>
      <c r="J138" t="s">
        <v>113</v>
      </c>
      <c r="K138" t="s">
        <v>60</v>
      </c>
      <c r="L138" t="s">
        <v>74</v>
      </c>
      <c r="M138" s="5">
        <v>25100</v>
      </c>
      <c r="N138" s="5">
        <v>2400</v>
      </c>
      <c r="O138" s="5">
        <v>3000</v>
      </c>
      <c r="P138" s="5">
        <v>0</v>
      </c>
      <c r="Q138" s="13">
        <v>31700</v>
      </c>
      <c r="R138" t="s">
        <v>141</v>
      </c>
      <c r="S138" t="s">
        <v>76</v>
      </c>
      <c r="T138" s="5">
        <v>5960</v>
      </c>
      <c r="U138" s="6">
        <v>5</v>
      </c>
      <c r="V138" t="s">
        <v>64</v>
      </c>
      <c r="W138" s="4"/>
      <c r="X138" t="s">
        <v>65</v>
      </c>
      <c r="Y138" t="s">
        <v>64</v>
      </c>
      <c r="Z138" t="s">
        <v>96</v>
      </c>
      <c r="AA138" t="str">
        <f>VLOOKUP(H138,Departments!$A:$B,2,0)</f>
        <v>General Medicine</v>
      </c>
      <c r="AB138" t="str">
        <f>VLOOKUP(J138,Diagnosis_Guide!$A:$B,2,0)</f>
        <v>Diabetes Complication</v>
      </c>
      <c r="AC138" s="4" t="str">
        <f>VLOOKUP(J138,Diagnosis_Guide!$A:$C,3,0)</f>
        <v>Endocrine/General</v>
      </c>
      <c r="AD138" s="4" t="str">
        <f>VLOOKUP(R138,Insurance_Plans!$A:$C,3,0)</f>
        <v>Private</v>
      </c>
      <c r="AE138" s="13">
        <f t="shared" si="6"/>
        <v>1585</v>
      </c>
      <c r="AF138" s="13">
        <f t="shared" si="7"/>
        <v>33285</v>
      </c>
      <c r="AG138" s="4" t="str">
        <f t="shared" si="8"/>
        <v>High</v>
      </c>
    </row>
    <row r="139" spans="1:33">
      <c r="A139" t="s">
        <v>488</v>
      </c>
      <c r="B139" t="s">
        <v>489</v>
      </c>
      <c r="C139" s="11">
        <v>46064</v>
      </c>
      <c r="D139" t="s">
        <v>259</v>
      </c>
      <c r="E139" t="s">
        <v>70</v>
      </c>
      <c r="F139" s="4">
        <v>46064</v>
      </c>
      <c r="G139" s="4">
        <v>46064</v>
      </c>
      <c r="H139" t="s">
        <v>103</v>
      </c>
      <c r="I139" t="s">
        <v>207</v>
      </c>
      <c r="J139" t="s">
        <v>244</v>
      </c>
      <c r="K139" t="s">
        <v>60</v>
      </c>
      <c r="L139" t="s">
        <v>94</v>
      </c>
      <c r="M139" s="5">
        <v>82100</v>
      </c>
      <c r="N139" s="5">
        <v>7900</v>
      </c>
      <c r="O139" s="5">
        <v>10650</v>
      </c>
      <c r="P139" s="5">
        <v>0</v>
      </c>
      <c r="Q139" s="13">
        <v>102150</v>
      </c>
      <c r="R139" t="s">
        <v>141</v>
      </c>
      <c r="S139" t="s">
        <v>76</v>
      </c>
      <c r="T139" s="5">
        <v>16520</v>
      </c>
      <c r="U139" s="6">
        <v>4</v>
      </c>
      <c r="V139" t="s">
        <v>77</v>
      </c>
      <c r="W139" s="4">
        <v>46077</v>
      </c>
      <c r="X139" t="s">
        <v>77</v>
      </c>
      <c r="Y139" t="s">
        <v>64</v>
      </c>
      <c r="Z139" t="s">
        <v>107</v>
      </c>
      <c r="AA139" t="str">
        <f>VLOOKUP(H139,Departments!$A:$B,2,0)</f>
        <v>Nephrology</v>
      </c>
      <c r="AB139" t="str">
        <f>VLOOKUP(J139,Diagnosis_Guide!$A:$B,2,0)</f>
        <v>Chronic Kidney Disease</v>
      </c>
      <c r="AC139" s="4" t="str">
        <f>VLOOKUP(J139,Diagnosis_Guide!$A:$C,3,0)</f>
        <v>Renal</v>
      </c>
      <c r="AD139" s="4" t="str">
        <f>VLOOKUP(R139,Insurance_Plans!$A:$C,3,0)</f>
        <v>Private</v>
      </c>
      <c r="AE139" s="13">
        <f t="shared" si="6"/>
        <v>5107.5</v>
      </c>
      <c r="AF139" s="13">
        <f t="shared" si="7"/>
        <v>107257.5</v>
      </c>
      <c r="AG139" s="4" t="str">
        <f t="shared" si="8"/>
        <v>High</v>
      </c>
    </row>
    <row r="140" spans="1:33">
      <c r="A140" t="s">
        <v>490</v>
      </c>
      <c r="B140" t="s">
        <v>491</v>
      </c>
      <c r="C140" s="11">
        <v>46028</v>
      </c>
      <c r="D140" t="s">
        <v>298</v>
      </c>
      <c r="E140" t="s">
        <v>70</v>
      </c>
      <c r="F140" s="4">
        <v>46028</v>
      </c>
      <c r="G140" s="4">
        <v>46028</v>
      </c>
      <c r="H140" t="s">
        <v>121</v>
      </c>
      <c r="I140" t="s">
        <v>386</v>
      </c>
      <c r="J140" t="s">
        <v>256</v>
      </c>
      <c r="K140" t="s">
        <v>60</v>
      </c>
      <c r="L140" t="s">
        <v>94</v>
      </c>
      <c r="M140" s="5">
        <v>14700</v>
      </c>
      <c r="N140" s="5">
        <v>2600</v>
      </c>
      <c r="O140" s="5">
        <v>3100</v>
      </c>
      <c r="P140" s="5">
        <v>0</v>
      </c>
      <c r="Q140" s="13">
        <v>22900</v>
      </c>
      <c r="R140" t="s">
        <v>141</v>
      </c>
      <c r="S140" t="s">
        <v>76</v>
      </c>
      <c r="T140" s="5">
        <v>4640</v>
      </c>
      <c r="U140" s="6">
        <v>5</v>
      </c>
      <c r="V140" t="s">
        <v>64</v>
      </c>
      <c r="W140" s="4"/>
      <c r="X140" t="s">
        <v>65</v>
      </c>
      <c r="Y140" t="s">
        <v>64</v>
      </c>
      <c r="Z140" t="s">
        <v>78</v>
      </c>
      <c r="AA140" t="str">
        <f>VLOOKUP(H140,Departments!$A:$B,2,0)</f>
        <v>Neurology</v>
      </c>
      <c r="AB140" t="str">
        <f>VLOOKUP(J140,Diagnosis_Guide!$A:$B,2,0)</f>
        <v>Migraine Complication</v>
      </c>
      <c r="AC140" s="4" t="str">
        <f>VLOOKUP(J140,Diagnosis_Guide!$A:$C,3,0)</f>
        <v>Neurological</v>
      </c>
      <c r="AD140" s="4" t="str">
        <f>VLOOKUP(R140,Insurance_Plans!$A:$C,3,0)</f>
        <v>Private</v>
      </c>
      <c r="AE140" s="13">
        <f t="shared" si="6"/>
        <v>1145</v>
      </c>
      <c r="AF140" s="13">
        <f t="shared" si="7"/>
        <v>24045</v>
      </c>
      <c r="AG140" s="4" t="str">
        <f t="shared" si="8"/>
        <v>High</v>
      </c>
    </row>
    <row r="141" spans="1:33">
      <c r="A141" t="s">
        <v>492</v>
      </c>
      <c r="B141" t="s">
        <v>493</v>
      </c>
      <c r="C141" s="11">
        <v>46132</v>
      </c>
      <c r="D141" t="s">
        <v>363</v>
      </c>
      <c r="E141" t="s">
        <v>70</v>
      </c>
      <c r="F141" s="4">
        <v>46132</v>
      </c>
      <c r="G141" s="4">
        <v>46134</v>
      </c>
      <c r="H141" t="s">
        <v>201</v>
      </c>
      <c r="I141" t="s">
        <v>449</v>
      </c>
      <c r="J141" t="s">
        <v>281</v>
      </c>
      <c r="K141" t="s">
        <v>124</v>
      </c>
      <c r="L141" t="s">
        <v>74</v>
      </c>
      <c r="M141" s="5">
        <v>7200</v>
      </c>
      <c r="N141" s="5">
        <v>700</v>
      </c>
      <c r="O141" s="5">
        <v>850</v>
      </c>
      <c r="P141" s="5">
        <v>9000</v>
      </c>
      <c r="Q141" s="13">
        <v>18550</v>
      </c>
      <c r="R141" t="s">
        <v>75</v>
      </c>
      <c r="S141" t="s">
        <v>163</v>
      </c>
      <c r="T141" s="5">
        <v>8650</v>
      </c>
      <c r="U141" s="6">
        <v>5</v>
      </c>
      <c r="V141" t="s">
        <v>64</v>
      </c>
      <c r="W141" s="4"/>
      <c r="X141" t="s">
        <v>65</v>
      </c>
      <c r="Y141" t="s">
        <v>64</v>
      </c>
      <c r="Z141" t="s">
        <v>107</v>
      </c>
      <c r="AA141" t="str">
        <f>VLOOKUP(H141,Departments!$A:$B,2,0)</f>
        <v>Emergency</v>
      </c>
      <c r="AB141" t="str">
        <f>VLOOKUP(J141,Diagnosis_Guide!$A:$B,2,0)</f>
        <v>Food Poisoning</v>
      </c>
      <c r="AC141" s="4" t="str">
        <f>VLOOKUP(J141,Diagnosis_Guide!$A:$C,3,0)</f>
        <v>Emergency</v>
      </c>
      <c r="AD141" s="4" t="str">
        <f>VLOOKUP(R141,Insurance_Plans!$A:$C,3,0)</f>
        <v>Public</v>
      </c>
      <c r="AE141" s="13">
        <f t="shared" si="6"/>
        <v>927.5</v>
      </c>
      <c r="AF141" s="13">
        <f t="shared" si="7"/>
        <v>19477.5</v>
      </c>
      <c r="AG141" s="4" t="str">
        <f t="shared" si="8"/>
        <v>High</v>
      </c>
    </row>
    <row r="142" spans="1:33">
      <c r="A142" t="s">
        <v>494</v>
      </c>
      <c r="B142" t="s">
        <v>495</v>
      </c>
      <c r="C142" s="11">
        <v>46145</v>
      </c>
      <c r="D142" t="s">
        <v>234</v>
      </c>
      <c r="E142" t="s">
        <v>70</v>
      </c>
      <c r="F142" s="4">
        <v>46145</v>
      </c>
      <c r="G142" s="4">
        <v>46145</v>
      </c>
      <c r="H142" t="s">
        <v>90</v>
      </c>
      <c r="I142" t="s">
        <v>128</v>
      </c>
      <c r="J142" t="s">
        <v>92</v>
      </c>
      <c r="K142" t="s">
        <v>60</v>
      </c>
      <c r="L142" t="s">
        <v>61</v>
      </c>
      <c r="M142" s="5">
        <v>43700</v>
      </c>
      <c r="N142" s="5">
        <v>7400</v>
      </c>
      <c r="O142" s="5">
        <v>5550</v>
      </c>
      <c r="P142" s="5">
        <v>0</v>
      </c>
      <c r="Q142" s="13">
        <v>58650</v>
      </c>
      <c r="R142" t="s">
        <v>75</v>
      </c>
      <c r="S142" t="s">
        <v>76</v>
      </c>
      <c r="T142" s="5">
        <v>26690</v>
      </c>
      <c r="U142" s="6">
        <v>4</v>
      </c>
      <c r="V142" t="s">
        <v>77</v>
      </c>
      <c r="W142" s="4">
        <v>46156</v>
      </c>
      <c r="X142" t="s">
        <v>77</v>
      </c>
      <c r="Y142" t="s">
        <v>64</v>
      </c>
      <c r="Z142" t="s">
        <v>96</v>
      </c>
      <c r="AA142" t="str">
        <f>VLOOKUP(H142,Departments!$A:$B,2,0)</f>
        <v>Cardiology</v>
      </c>
      <c r="AB142" t="str">
        <f>VLOOKUP(J142,Diagnosis_Guide!$A:$B,2,0)</f>
        <v>Heart Failure</v>
      </c>
      <c r="AC142" s="4" t="str">
        <f>VLOOKUP(J142,Diagnosis_Guide!$A:$C,3,0)</f>
        <v>Cardiovascular</v>
      </c>
      <c r="AD142" s="4" t="str">
        <f>VLOOKUP(R142,Insurance_Plans!$A:$C,3,0)</f>
        <v>Public</v>
      </c>
      <c r="AE142" s="13">
        <f t="shared" si="6"/>
        <v>2932.5</v>
      </c>
      <c r="AF142" s="13">
        <f t="shared" si="7"/>
        <v>61582.5</v>
      </c>
      <c r="AG142" s="4" t="str">
        <f t="shared" si="8"/>
        <v>High</v>
      </c>
    </row>
    <row r="143" spans="1:33">
      <c r="A143" t="s">
        <v>496</v>
      </c>
      <c r="B143" t="s">
        <v>497</v>
      </c>
      <c r="C143" s="11">
        <v>46107</v>
      </c>
      <c r="D143" t="s">
        <v>149</v>
      </c>
      <c r="E143" t="s">
        <v>70</v>
      </c>
      <c r="F143" s="4">
        <v>46107</v>
      </c>
      <c r="G143" s="4">
        <v>46112</v>
      </c>
      <c r="H143" t="s">
        <v>57</v>
      </c>
      <c r="I143" t="s">
        <v>71</v>
      </c>
      <c r="J143" t="s">
        <v>170</v>
      </c>
      <c r="K143" t="s">
        <v>73</v>
      </c>
      <c r="L143" t="s">
        <v>94</v>
      </c>
      <c r="M143" s="5">
        <v>63200</v>
      </c>
      <c r="N143" s="5">
        <v>5900</v>
      </c>
      <c r="O143" s="5">
        <v>13350</v>
      </c>
      <c r="P143" s="5">
        <v>12500</v>
      </c>
      <c r="Q143" s="13">
        <v>96750</v>
      </c>
      <c r="R143" t="s">
        <v>75</v>
      </c>
      <c r="S143" t="s">
        <v>163</v>
      </c>
      <c r="T143" s="5">
        <v>43840</v>
      </c>
      <c r="U143" s="6">
        <v>4</v>
      </c>
      <c r="V143" t="s">
        <v>64</v>
      </c>
      <c r="W143" s="4"/>
      <c r="X143" t="s">
        <v>65</v>
      </c>
      <c r="Y143" t="s">
        <v>64</v>
      </c>
      <c r="Z143" t="s">
        <v>96</v>
      </c>
      <c r="AA143" t="str">
        <f>VLOOKUP(H143,Departments!$A:$B,2,0)</f>
        <v>Pulmonology</v>
      </c>
      <c r="AB143" t="str">
        <f>VLOOKUP(J143,Diagnosis_Guide!$A:$B,2,0)</f>
        <v>COPD Exacerbation</v>
      </c>
      <c r="AC143" s="4" t="str">
        <f>VLOOKUP(J143,Diagnosis_Guide!$A:$C,3,0)</f>
        <v>Respiratory</v>
      </c>
      <c r="AD143" s="4" t="str">
        <f>VLOOKUP(R143,Insurance_Plans!$A:$C,3,0)</f>
        <v>Public</v>
      </c>
      <c r="AE143" s="13">
        <f t="shared" si="6"/>
        <v>4837.5</v>
      </c>
      <c r="AF143" s="13">
        <f t="shared" si="7"/>
        <v>101587.5</v>
      </c>
      <c r="AG143" s="4" t="str">
        <f t="shared" si="8"/>
        <v>High</v>
      </c>
    </row>
    <row r="144" spans="1:33">
      <c r="A144" t="s">
        <v>498</v>
      </c>
      <c r="B144" t="s">
        <v>499</v>
      </c>
      <c r="C144" s="11">
        <v>46034</v>
      </c>
      <c r="D144" t="s">
        <v>298</v>
      </c>
      <c r="E144" t="s">
        <v>70</v>
      </c>
      <c r="F144" s="4">
        <v>46034</v>
      </c>
      <c r="G144" s="4">
        <v>46035</v>
      </c>
      <c r="H144" t="s">
        <v>178</v>
      </c>
      <c r="I144" t="s">
        <v>462</v>
      </c>
      <c r="J144" t="s">
        <v>358</v>
      </c>
      <c r="K144" t="s">
        <v>60</v>
      </c>
      <c r="L144" t="s">
        <v>94</v>
      </c>
      <c r="M144" s="5">
        <v>53000</v>
      </c>
      <c r="N144" s="5">
        <v>8050</v>
      </c>
      <c r="O144" s="5">
        <v>12550</v>
      </c>
      <c r="P144" s="5">
        <v>2500</v>
      </c>
      <c r="Q144" s="13">
        <v>78600</v>
      </c>
      <c r="R144" t="s">
        <v>141</v>
      </c>
      <c r="S144" t="s">
        <v>76</v>
      </c>
      <c r="T144" s="5">
        <v>12990</v>
      </c>
      <c r="U144" s="6">
        <v>5</v>
      </c>
      <c r="V144" t="s">
        <v>64</v>
      </c>
      <c r="W144" s="4"/>
      <c r="X144" t="s">
        <v>65</v>
      </c>
      <c r="Y144" t="s">
        <v>64</v>
      </c>
      <c r="Z144" t="s">
        <v>78</v>
      </c>
      <c r="AA144" t="str">
        <f>VLOOKUP(H144,Departments!$A:$B,2,0)</f>
        <v>Surgery</v>
      </c>
      <c r="AB144" t="str">
        <f>VLOOKUP(J144,Diagnosis_Guide!$A:$B,2,0)</f>
        <v>Gallbladder Surgery</v>
      </c>
      <c r="AC144" s="4" t="str">
        <f>VLOOKUP(J144,Diagnosis_Guide!$A:$C,3,0)</f>
        <v>Surgical</v>
      </c>
      <c r="AD144" s="4" t="str">
        <f>VLOOKUP(R144,Insurance_Plans!$A:$C,3,0)</f>
        <v>Private</v>
      </c>
      <c r="AE144" s="13">
        <f t="shared" si="6"/>
        <v>3930</v>
      </c>
      <c r="AF144" s="13">
        <f t="shared" si="7"/>
        <v>82530</v>
      </c>
      <c r="AG144" s="4" t="str">
        <f t="shared" si="8"/>
        <v>High</v>
      </c>
    </row>
    <row r="145" spans="1:33">
      <c r="A145" t="s">
        <v>500</v>
      </c>
      <c r="B145" t="s">
        <v>501</v>
      </c>
      <c r="C145" s="11">
        <v>46149</v>
      </c>
      <c r="D145" t="s">
        <v>419</v>
      </c>
      <c r="E145" t="s">
        <v>70</v>
      </c>
      <c r="F145" s="4">
        <v>46150</v>
      </c>
      <c r="G145" s="4">
        <v>46150</v>
      </c>
      <c r="H145" t="s">
        <v>57</v>
      </c>
      <c r="I145" t="s">
        <v>58</v>
      </c>
      <c r="J145" t="s">
        <v>72</v>
      </c>
      <c r="K145" t="s">
        <v>124</v>
      </c>
      <c r="L145" t="s">
        <v>74</v>
      </c>
      <c r="M145" s="5">
        <v>6400</v>
      </c>
      <c r="N145" s="5">
        <v>600</v>
      </c>
      <c r="O145" s="5">
        <v>850</v>
      </c>
      <c r="P145" s="5">
        <v>0</v>
      </c>
      <c r="Q145" s="13">
        <v>10350</v>
      </c>
      <c r="R145" t="s">
        <v>95</v>
      </c>
      <c r="S145" t="s">
        <v>63</v>
      </c>
      <c r="T145" s="5">
        <v>10350</v>
      </c>
      <c r="U145" s="6">
        <v>5</v>
      </c>
      <c r="V145" t="s">
        <v>64</v>
      </c>
      <c r="W145" s="4"/>
      <c r="X145" t="s">
        <v>65</v>
      </c>
      <c r="Y145" t="s">
        <v>64</v>
      </c>
      <c r="Z145" t="s">
        <v>78</v>
      </c>
      <c r="AA145" t="str">
        <f>VLOOKUP(H145,Departments!$A:$B,2,0)</f>
        <v>Pulmonology</v>
      </c>
      <c r="AB145" t="str">
        <f>VLOOKUP(J145,Diagnosis_Guide!$A:$B,2,0)</f>
        <v>Acute Bronchitis</v>
      </c>
      <c r="AC145" s="4" t="str">
        <f>VLOOKUP(J145,Diagnosis_Guide!$A:$C,3,0)</f>
        <v>Respiratory</v>
      </c>
      <c r="AD145" s="4" t="str">
        <f>VLOOKUP(R145,Insurance_Plans!$A:$C,3,0)</f>
        <v>Self-Pay</v>
      </c>
      <c r="AE145" s="13">
        <f t="shared" si="6"/>
        <v>517.5</v>
      </c>
      <c r="AF145" s="13">
        <f t="shared" si="7"/>
        <v>10867.5</v>
      </c>
      <c r="AG145" s="4" t="str">
        <f t="shared" si="8"/>
        <v>High</v>
      </c>
    </row>
    <row r="146" spans="1:33">
      <c r="A146" t="s">
        <v>502</v>
      </c>
      <c r="B146" t="s">
        <v>309</v>
      </c>
      <c r="C146" s="11">
        <v>46080</v>
      </c>
      <c r="D146" t="s">
        <v>99</v>
      </c>
      <c r="E146" t="s">
        <v>70</v>
      </c>
      <c r="F146" s="4">
        <v>46080</v>
      </c>
      <c r="G146" s="4">
        <v>46080</v>
      </c>
      <c r="H146" t="s">
        <v>178</v>
      </c>
      <c r="I146" t="s">
        <v>462</v>
      </c>
      <c r="J146" t="s">
        <v>180</v>
      </c>
      <c r="K146" t="s">
        <v>60</v>
      </c>
      <c r="L146" t="s">
        <v>61</v>
      </c>
      <c r="M146" s="5">
        <v>65200</v>
      </c>
      <c r="N146" s="5">
        <v>10600</v>
      </c>
      <c r="O146" s="5">
        <v>11750</v>
      </c>
      <c r="P146" s="5">
        <v>0</v>
      </c>
      <c r="Q146" s="13">
        <v>90050</v>
      </c>
      <c r="R146" t="s">
        <v>75</v>
      </c>
      <c r="S146" t="s">
        <v>76</v>
      </c>
      <c r="T146" s="5">
        <v>40820</v>
      </c>
      <c r="U146" s="6">
        <v>5</v>
      </c>
      <c r="V146" t="s">
        <v>77</v>
      </c>
      <c r="W146" s="4">
        <v>46092</v>
      </c>
      <c r="X146" t="s">
        <v>77</v>
      </c>
      <c r="Y146" t="s">
        <v>64</v>
      </c>
      <c r="Z146" t="s">
        <v>96</v>
      </c>
      <c r="AA146" t="str">
        <f>VLOOKUP(H146,Departments!$A:$B,2,0)</f>
        <v>Surgery</v>
      </c>
      <c r="AB146" t="str">
        <f>VLOOKUP(J146,Diagnosis_Guide!$A:$B,2,0)</f>
        <v>Appendicitis Surgery</v>
      </c>
      <c r="AC146" s="4" t="str">
        <f>VLOOKUP(J146,Diagnosis_Guide!$A:$C,3,0)</f>
        <v>Surgical</v>
      </c>
      <c r="AD146" s="4" t="str">
        <f>VLOOKUP(R146,Insurance_Plans!$A:$C,3,0)</f>
        <v>Public</v>
      </c>
      <c r="AE146" s="13">
        <f t="shared" si="6"/>
        <v>4502.5</v>
      </c>
      <c r="AF146" s="13">
        <f t="shared" si="7"/>
        <v>94552.5</v>
      </c>
      <c r="AG146" s="4" t="str">
        <f t="shared" si="8"/>
        <v>High</v>
      </c>
    </row>
    <row r="147" spans="1:33">
      <c r="A147" t="s">
        <v>503</v>
      </c>
      <c r="B147" t="s">
        <v>504</v>
      </c>
      <c r="C147" s="11">
        <v>46094</v>
      </c>
      <c r="D147" t="s">
        <v>259</v>
      </c>
      <c r="E147" t="s">
        <v>177</v>
      </c>
      <c r="F147" s="4"/>
      <c r="G147" s="4"/>
      <c r="H147" t="s">
        <v>150</v>
      </c>
      <c r="I147" t="s">
        <v>151</v>
      </c>
      <c r="J147" t="s">
        <v>229</v>
      </c>
      <c r="K147" t="s">
        <v>73</v>
      </c>
      <c r="L147" t="s">
        <v>146</v>
      </c>
      <c r="M147" s="5"/>
      <c r="N147" s="5"/>
      <c r="O147" s="5"/>
      <c r="P147" s="5"/>
      <c r="R147" t="s">
        <v>134</v>
      </c>
      <c r="S147" t="s">
        <v>63</v>
      </c>
      <c r="T147" s="5"/>
      <c r="U147" s="6"/>
      <c r="V147" t="s">
        <v>64</v>
      </c>
      <c r="W147" s="4"/>
      <c r="X147" t="s">
        <v>65</v>
      </c>
      <c r="Z147" t="s">
        <v>66</v>
      </c>
      <c r="AA147" t="str">
        <f>VLOOKUP(H147,Departments!$A:$B,2,0)</f>
        <v>Obstetrics</v>
      </c>
      <c r="AB147" t="str">
        <f>VLOOKUP(J147,Diagnosis_Guide!$A:$B,2,0)</f>
        <v>Delivery Care</v>
      </c>
      <c r="AC147" s="4" t="str">
        <f>VLOOKUP(J147,Diagnosis_Guide!$A:$C,3,0)</f>
        <v>Maternal Health</v>
      </c>
      <c r="AD147" s="4" t="str">
        <f>VLOOKUP(R147,Insurance_Plans!$A:$C,3,0)</f>
        <v>Community</v>
      </c>
      <c r="AE147" s="13" t="str">
        <f t="shared" si="6"/>
        <v/>
      </c>
      <c r="AF147" s="13" t="str">
        <f t="shared" si="7"/>
        <v/>
      </c>
      <c r="AG147" s="4" t="str">
        <f t="shared" si="8"/>
        <v>Not Available</v>
      </c>
    </row>
    <row r="148" spans="1:33">
      <c r="A148" t="s">
        <v>505</v>
      </c>
      <c r="B148" t="s">
        <v>506</v>
      </c>
      <c r="C148" s="11">
        <v>46120</v>
      </c>
      <c r="D148" t="s">
        <v>161</v>
      </c>
      <c r="E148" t="s">
        <v>255</v>
      </c>
      <c r="F148" s="4"/>
      <c r="G148" s="4"/>
      <c r="H148" t="s">
        <v>121</v>
      </c>
      <c r="I148" t="s">
        <v>122</v>
      </c>
      <c r="J148" t="s">
        <v>256</v>
      </c>
      <c r="K148" t="s">
        <v>60</v>
      </c>
      <c r="L148" t="s">
        <v>94</v>
      </c>
      <c r="M148" s="5"/>
      <c r="N148" s="5"/>
      <c r="O148" s="5"/>
      <c r="P148" s="5"/>
      <c r="R148" t="s">
        <v>134</v>
      </c>
      <c r="S148" t="s">
        <v>63</v>
      </c>
      <c r="T148" s="5"/>
      <c r="U148" s="6"/>
      <c r="V148" t="s">
        <v>64</v>
      </c>
      <c r="W148" s="4"/>
      <c r="X148" t="s">
        <v>65</v>
      </c>
      <c r="Z148" t="s">
        <v>66</v>
      </c>
      <c r="AA148" t="str">
        <f>VLOOKUP(H148,Departments!$A:$B,2,0)</f>
        <v>Neurology</v>
      </c>
      <c r="AB148" t="str">
        <f>VLOOKUP(J148,Diagnosis_Guide!$A:$B,2,0)</f>
        <v>Migraine Complication</v>
      </c>
      <c r="AC148" s="4" t="str">
        <f>VLOOKUP(J148,Diagnosis_Guide!$A:$C,3,0)</f>
        <v>Neurological</v>
      </c>
      <c r="AD148" s="4" t="str">
        <f>VLOOKUP(R148,Insurance_Plans!$A:$C,3,0)</f>
        <v>Community</v>
      </c>
      <c r="AE148" s="13" t="str">
        <f t="shared" si="6"/>
        <v/>
      </c>
      <c r="AF148" s="13" t="str">
        <f t="shared" si="7"/>
        <v/>
      </c>
      <c r="AG148" s="4" t="str">
        <f t="shared" si="8"/>
        <v>Not Available</v>
      </c>
    </row>
    <row r="149" spans="1:33">
      <c r="A149" t="s">
        <v>507</v>
      </c>
      <c r="B149" t="s">
        <v>216</v>
      </c>
      <c r="C149" s="11">
        <v>46134</v>
      </c>
      <c r="D149" t="s">
        <v>302</v>
      </c>
      <c r="E149" t="s">
        <v>338</v>
      </c>
      <c r="F149" s="4"/>
      <c r="G149" s="4"/>
      <c r="H149" t="s">
        <v>121</v>
      </c>
      <c r="I149" t="s">
        <v>334</v>
      </c>
      <c r="J149" t="s">
        <v>123</v>
      </c>
      <c r="K149" t="s">
        <v>60</v>
      </c>
      <c r="L149" t="s">
        <v>61</v>
      </c>
      <c r="M149" s="5"/>
      <c r="N149" s="5"/>
      <c r="O149" s="5"/>
      <c r="P149" s="5"/>
      <c r="R149" t="s">
        <v>134</v>
      </c>
      <c r="S149" t="s">
        <v>63</v>
      </c>
      <c r="T149" s="5"/>
      <c r="U149" s="6"/>
      <c r="V149" t="s">
        <v>64</v>
      </c>
      <c r="W149" s="4"/>
      <c r="X149" t="s">
        <v>65</v>
      </c>
      <c r="Z149" t="s">
        <v>66</v>
      </c>
      <c r="AA149" t="str">
        <f>VLOOKUP(H149,Departments!$A:$B,2,0)</f>
        <v>Neurology</v>
      </c>
      <c r="AB149" t="str">
        <f>VLOOKUP(J149,Diagnosis_Guide!$A:$B,2,0)</f>
        <v>Seizure Episode</v>
      </c>
      <c r="AC149" s="4" t="str">
        <f>VLOOKUP(J149,Diagnosis_Guide!$A:$C,3,0)</f>
        <v>Neurological</v>
      </c>
      <c r="AD149" s="4" t="str">
        <f>VLOOKUP(R149,Insurance_Plans!$A:$C,3,0)</f>
        <v>Community</v>
      </c>
      <c r="AE149" s="13" t="str">
        <f t="shared" si="6"/>
        <v/>
      </c>
      <c r="AF149" s="13" t="str">
        <f t="shared" si="7"/>
        <v/>
      </c>
      <c r="AG149" s="4" t="str">
        <f t="shared" si="8"/>
        <v>Not Available</v>
      </c>
    </row>
    <row r="150" spans="1:33">
      <c r="A150" t="s">
        <v>508</v>
      </c>
      <c r="B150" t="s">
        <v>54</v>
      </c>
      <c r="C150" s="11">
        <v>46069</v>
      </c>
      <c r="D150" t="s">
        <v>206</v>
      </c>
      <c r="E150" t="s">
        <v>70</v>
      </c>
      <c r="F150" s="4">
        <v>46069</v>
      </c>
      <c r="G150" s="4">
        <v>46080</v>
      </c>
      <c r="H150" t="s">
        <v>82</v>
      </c>
      <c r="I150" t="s">
        <v>155</v>
      </c>
      <c r="J150" t="s">
        <v>156</v>
      </c>
      <c r="K150" t="s">
        <v>124</v>
      </c>
      <c r="L150" t="s">
        <v>94</v>
      </c>
      <c r="M150" s="5">
        <v>96600</v>
      </c>
      <c r="N150" s="5">
        <v>8700</v>
      </c>
      <c r="O150" s="5">
        <v>17300</v>
      </c>
      <c r="P150" s="5">
        <v>27500</v>
      </c>
      <c r="Q150" s="13">
        <v>152600</v>
      </c>
      <c r="R150" t="s">
        <v>85</v>
      </c>
      <c r="S150" t="s">
        <v>76</v>
      </c>
      <c r="T150" s="5">
        <v>39050</v>
      </c>
      <c r="U150" s="6">
        <v>2</v>
      </c>
      <c r="V150" t="s">
        <v>77</v>
      </c>
      <c r="W150" s="4">
        <v>46100</v>
      </c>
      <c r="X150" t="s">
        <v>77</v>
      </c>
      <c r="Y150" t="s">
        <v>64</v>
      </c>
      <c r="Z150" t="s">
        <v>107</v>
      </c>
      <c r="AA150" t="str">
        <f>VLOOKUP(H150,Departments!$A:$B,2,0)</f>
        <v>Orthopedics</v>
      </c>
      <c r="AB150" t="str">
        <f>VLOOKUP(J150,Diagnosis_Guide!$A:$B,2,0)</f>
        <v>Spinal Injury</v>
      </c>
      <c r="AC150" s="4" t="str">
        <f>VLOOKUP(J150,Diagnosis_Guide!$A:$C,3,0)</f>
        <v>Musculoskeletal</v>
      </c>
      <c r="AD150" s="4" t="str">
        <f>VLOOKUP(R150,Insurance_Plans!$A:$C,3,0)</f>
        <v>Employer</v>
      </c>
      <c r="AE150" s="13">
        <f t="shared" si="6"/>
        <v>7630</v>
      </c>
      <c r="AF150" s="13">
        <f t="shared" si="7"/>
        <v>160230</v>
      </c>
      <c r="AG150" s="4" t="str">
        <f t="shared" si="8"/>
        <v>Low</v>
      </c>
    </row>
    <row r="151" spans="1:33">
      <c r="A151" t="s">
        <v>509</v>
      </c>
      <c r="B151" t="s">
        <v>510</v>
      </c>
      <c r="C151" s="11">
        <v>46161</v>
      </c>
      <c r="D151" t="s">
        <v>168</v>
      </c>
      <c r="E151" t="s">
        <v>70</v>
      </c>
      <c r="F151" s="4">
        <v>46161</v>
      </c>
      <c r="G151" s="4">
        <v>46163</v>
      </c>
      <c r="H151" t="s">
        <v>201</v>
      </c>
      <c r="I151" t="s">
        <v>421</v>
      </c>
      <c r="J151" t="s">
        <v>281</v>
      </c>
      <c r="K151" t="s">
        <v>124</v>
      </c>
      <c r="L151" t="s">
        <v>74</v>
      </c>
      <c r="M151" s="5">
        <v>6900</v>
      </c>
      <c r="N151" s="5">
        <v>900</v>
      </c>
      <c r="O151" s="5">
        <v>950</v>
      </c>
      <c r="P151" s="5">
        <v>12000</v>
      </c>
      <c r="Q151" s="13">
        <v>21750</v>
      </c>
      <c r="R151" t="s">
        <v>95</v>
      </c>
      <c r="S151" t="s">
        <v>63</v>
      </c>
      <c r="T151" s="5">
        <v>21750</v>
      </c>
      <c r="U151" s="6">
        <v>3</v>
      </c>
      <c r="V151" t="s">
        <v>64</v>
      </c>
      <c r="W151" s="4"/>
      <c r="X151" t="s">
        <v>65</v>
      </c>
      <c r="Y151" t="s">
        <v>64</v>
      </c>
      <c r="Z151" t="s">
        <v>96</v>
      </c>
      <c r="AA151" t="str">
        <f>VLOOKUP(H151,Departments!$A:$B,2,0)</f>
        <v>Emergency</v>
      </c>
      <c r="AB151" t="str">
        <f>VLOOKUP(J151,Diagnosis_Guide!$A:$B,2,0)</f>
        <v>Food Poisoning</v>
      </c>
      <c r="AC151" s="4" t="str">
        <f>VLOOKUP(J151,Diagnosis_Guide!$A:$C,3,0)</f>
        <v>Emergency</v>
      </c>
      <c r="AD151" s="4" t="str">
        <f>VLOOKUP(R151,Insurance_Plans!$A:$C,3,0)</f>
        <v>Self-Pay</v>
      </c>
      <c r="AE151" s="13">
        <f t="shared" si="6"/>
        <v>1087.5</v>
      </c>
      <c r="AF151" s="13">
        <f t="shared" si="7"/>
        <v>22837.5</v>
      </c>
      <c r="AG151" s="4" t="str">
        <f t="shared" si="8"/>
        <v>Medium</v>
      </c>
    </row>
    <row r="152" spans="1:33">
      <c r="A152" t="s">
        <v>511</v>
      </c>
      <c r="B152" t="s">
        <v>512</v>
      </c>
      <c r="C152" s="11">
        <v>46121</v>
      </c>
      <c r="D152" t="s">
        <v>259</v>
      </c>
      <c r="E152" t="s">
        <v>70</v>
      </c>
      <c r="F152" s="4">
        <v>46122</v>
      </c>
      <c r="G152" s="4">
        <v>46123</v>
      </c>
      <c r="H152" t="s">
        <v>90</v>
      </c>
      <c r="I152" t="s">
        <v>128</v>
      </c>
      <c r="J152" t="s">
        <v>197</v>
      </c>
      <c r="K152" t="s">
        <v>60</v>
      </c>
      <c r="L152" t="s">
        <v>94</v>
      </c>
      <c r="M152" s="5">
        <v>23000</v>
      </c>
      <c r="N152" s="5">
        <v>4100</v>
      </c>
      <c r="O152" s="5">
        <v>3050</v>
      </c>
      <c r="P152" s="5">
        <v>3500</v>
      </c>
      <c r="Q152" s="13">
        <v>35650</v>
      </c>
      <c r="R152" t="s">
        <v>106</v>
      </c>
      <c r="S152" t="s">
        <v>76</v>
      </c>
      <c r="T152" s="5">
        <v>13180</v>
      </c>
      <c r="U152" s="6">
        <v>1</v>
      </c>
      <c r="V152" t="s">
        <v>77</v>
      </c>
      <c r="W152" s="4">
        <v>46144</v>
      </c>
      <c r="X152" t="s">
        <v>64</v>
      </c>
      <c r="Y152" t="s">
        <v>77</v>
      </c>
      <c r="Z152" t="s">
        <v>96</v>
      </c>
      <c r="AA152" t="str">
        <f>VLOOKUP(H152,Departments!$A:$B,2,0)</f>
        <v>Cardiology</v>
      </c>
      <c r="AB152" t="str">
        <f>VLOOKUP(J152,Diagnosis_Guide!$A:$B,2,0)</f>
        <v>Chest Pain</v>
      </c>
      <c r="AC152" s="4" t="str">
        <f>VLOOKUP(J152,Diagnosis_Guide!$A:$C,3,0)</f>
        <v>Cardiovascular</v>
      </c>
      <c r="AD152" s="4" t="str">
        <f>VLOOKUP(R152,Insurance_Plans!$A:$C,3,0)</f>
        <v>Private</v>
      </c>
      <c r="AE152" s="13">
        <f t="shared" si="6"/>
        <v>1782.5</v>
      </c>
      <c r="AF152" s="13">
        <f t="shared" si="7"/>
        <v>37432.5</v>
      </c>
      <c r="AG152" s="4" t="str">
        <f t="shared" si="8"/>
        <v>Low</v>
      </c>
    </row>
    <row r="153" spans="1:33">
      <c r="A153" t="s">
        <v>513</v>
      </c>
      <c r="B153" t="s">
        <v>514</v>
      </c>
      <c r="C153" s="11">
        <v>46100</v>
      </c>
      <c r="D153" t="s">
        <v>144</v>
      </c>
      <c r="E153" t="s">
        <v>70</v>
      </c>
      <c r="F153" s="4">
        <v>46100</v>
      </c>
      <c r="G153" s="4">
        <v>46101</v>
      </c>
      <c r="H153" t="s">
        <v>201</v>
      </c>
      <c r="I153" t="s">
        <v>515</v>
      </c>
      <c r="J153" t="s">
        <v>295</v>
      </c>
      <c r="K153" t="s">
        <v>73</v>
      </c>
      <c r="L153" t="s">
        <v>94</v>
      </c>
      <c r="M153" s="5">
        <v>47800</v>
      </c>
      <c r="N153" s="5">
        <v>4200</v>
      </c>
      <c r="O153" s="5">
        <v>4800</v>
      </c>
      <c r="P153" s="5">
        <v>3000</v>
      </c>
      <c r="Q153" s="13">
        <v>61000</v>
      </c>
      <c r="R153" t="s">
        <v>95</v>
      </c>
      <c r="S153" t="s">
        <v>63</v>
      </c>
      <c r="T153" s="5">
        <v>61000</v>
      </c>
      <c r="U153" s="6">
        <v>5</v>
      </c>
      <c r="V153" t="s">
        <v>77</v>
      </c>
      <c r="W153" s="4">
        <v>46110</v>
      </c>
      <c r="X153" t="s">
        <v>77</v>
      </c>
      <c r="Y153" t="s">
        <v>64</v>
      </c>
      <c r="Z153" t="s">
        <v>96</v>
      </c>
      <c r="AA153" t="str">
        <f>VLOOKUP(H153,Departments!$A:$B,2,0)</f>
        <v>Emergency</v>
      </c>
      <c r="AB153" t="str">
        <f>VLOOKUP(J153,Diagnosis_Guide!$A:$B,2,0)</f>
        <v>Accident Injury</v>
      </c>
      <c r="AC153" s="4" t="str">
        <f>VLOOKUP(J153,Diagnosis_Guide!$A:$C,3,0)</f>
        <v>Emergency</v>
      </c>
      <c r="AD153" s="4" t="str">
        <f>VLOOKUP(R153,Insurance_Plans!$A:$C,3,0)</f>
        <v>Self-Pay</v>
      </c>
      <c r="AE153" s="13">
        <f t="shared" si="6"/>
        <v>3050</v>
      </c>
      <c r="AF153" s="13">
        <f t="shared" si="7"/>
        <v>64050</v>
      </c>
      <c r="AG153" s="4" t="str">
        <f t="shared" si="8"/>
        <v>High</v>
      </c>
    </row>
    <row r="154" spans="1:33">
      <c r="A154" t="s">
        <v>516</v>
      </c>
      <c r="B154" t="s">
        <v>517</v>
      </c>
      <c r="C154" s="11">
        <v>46121</v>
      </c>
      <c r="D154" t="s">
        <v>149</v>
      </c>
      <c r="E154" t="s">
        <v>70</v>
      </c>
      <c r="F154" s="4">
        <v>46121</v>
      </c>
      <c r="G154" s="4">
        <v>46122</v>
      </c>
      <c r="H154" t="s">
        <v>201</v>
      </c>
      <c r="I154" t="s">
        <v>449</v>
      </c>
      <c r="J154" t="s">
        <v>281</v>
      </c>
      <c r="K154" t="s">
        <v>60</v>
      </c>
      <c r="L154" t="s">
        <v>94</v>
      </c>
      <c r="M154" s="5">
        <v>6400</v>
      </c>
      <c r="N154" s="5">
        <v>850</v>
      </c>
      <c r="O154" s="5">
        <v>1150</v>
      </c>
      <c r="P154" s="5">
        <v>4500</v>
      </c>
      <c r="Q154" s="13">
        <v>13700</v>
      </c>
      <c r="R154" t="s">
        <v>141</v>
      </c>
      <c r="S154" t="s">
        <v>86</v>
      </c>
      <c r="T154" s="5">
        <v>3260</v>
      </c>
      <c r="U154" s="6">
        <v>5</v>
      </c>
      <c r="V154" t="s">
        <v>64</v>
      </c>
      <c r="W154" s="4"/>
      <c r="X154" t="s">
        <v>65</v>
      </c>
      <c r="Y154" t="s">
        <v>64</v>
      </c>
      <c r="Z154" t="s">
        <v>107</v>
      </c>
      <c r="AA154" t="str">
        <f>VLOOKUP(H154,Departments!$A:$B,2,0)</f>
        <v>Emergency</v>
      </c>
      <c r="AB154" t="str">
        <f>VLOOKUP(J154,Diagnosis_Guide!$A:$B,2,0)</f>
        <v>Food Poisoning</v>
      </c>
      <c r="AC154" s="4" t="str">
        <f>VLOOKUP(J154,Diagnosis_Guide!$A:$C,3,0)</f>
        <v>Emergency</v>
      </c>
      <c r="AD154" s="4" t="str">
        <f>VLOOKUP(R154,Insurance_Plans!$A:$C,3,0)</f>
        <v>Private</v>
      </c>
      <c r="AE154" s="13">
        <f t="shared" si="6"/>
        <v>685</v>
      </c>
      <c r="AF154" s="13">
        <f t="shared" si="7"/>
        <v>14385</v>
      </c>
      <c r="AG154" s="4" t="str">
        <f t="shared" si="8"/>
        <v>High</v>
      </c>
    </row>
    <row r="155" spans="1:33">
      <c r="A155" t="s">
        <v>518</v>
      </c>
      <c r="B155" t="s">
        <v>317</v>
      </c>
      <c r="C155" s="11">
        <v>46115</v>
      </c>
      <c r="D155" t="s">
        <v>284</v>
      </c>
      <c r="E155" t="s">
        <v>177</v>
      </c>
      <c r="F155" s="4"/>
      <c r="G155" s="4"/>
      <c r="H155" t="s">
        <v>90</v>
      </c>
      <c r="I155" t="s">
        <v>388</v>
      </c>
      <c r="J155" t="s">
        <v>197</v>
      </c>
      <c r="K155" t="s">
        <v>93</v>
      </c>
      <c r="L155" t="s">
        <v>61</v>
      </c>
      <c r="M155" s="5"/>
      <c r="N155" s="5"/>
      <c r="O155" s="5"/>
      <c r="P155" s="5"/>
      <c r="R155" t="s">
        <v>141</v>
      </c>
      <c r="S155" t="s">
        <v>63</v>
      </c>
      <c r="T155" s="5"/>
      <c r="U155" s="6"/>
      <c r="V155" t="s">
        <v>64</v>
      </c>
      <c r="W155" s="4"/>
      <c r="X155" t="s">
        <v>65</v>
      </c>
      <c r="Z155" t="s">
        <v>66</v>
      </c>
      <c r="AA155" t="str">
        <f>VLOOKUP(H155,Departments!$A:$B,2,0)</f>
        <v>Cardiology</v>
      </c>
      <c r="AB155" t="str">
        <f>VLOOKUP(J155,Diagnosis_Guide!$A:$B,2,0)</f>
        <v>Chest Pain</v>
      </c>
      <c r="AC155" s="4" t="str">
        <f>VLOOKUP(J155,Diagnosis_Guide!$A:$C,3,0)</f>
        <v>Cardiovascular</v>
      </c>
      <c r="AD155" s="4" t="str">
        <f>VLOOKUP(R155,Insurance_Plans!$A:$C,3,0)</f>
        <v>Private</v>
      </c>
      <c r="AE155" s="13" t="str">
        <f t="shared" si="6"/>
        <v/>
      </c>
      <c r="AF155" s="13" t="str">
        <f t="shared" si="7"/>
        <v/>
      </c>
      <c r="AG155" s="4" t="str">
        <f t="shared" si="8"/>
        <v>Not Available</v>
      </c>
    </row>
    <row r="156" spans="1:33">
      <c r="A156" t="s">
        <v>519</v>
      </c>
      <c r="B156" t="s">
        <v>520</v>
      </c>
      <c r="C156" s="11">
        <v>46098</v>
      </c>
      <c r="D156" t="s">
        <v>307</v>
      </c>
      <c r="E156" t="s">
        <v>314</v>
      </c>
      <c r="F156" s="4"/>
      <c r="G156" s="4"/>
      <c r="H156" t="s">
        <v>150</v>
      </c>
      <c r="I156" t="s">
        <v>151</v>
      </c>
      <c r="J156" t="s">
        <v>188</v>
      </c>
      <c r="K156" t="s">
        <v>93</v>
      </c>
      <c r="L156" t="s">
        <v>74</v>
      </c>
      <c r="M156" s="5"/>
      <c r="N156" s="5"/>
      <c r="O156" s="5"/>
      <c r="P156" s="5"/>
      <c r="R156" t="s">
        <v>106</v>
      </c>
      <c r="S156" t="s">
        <v>63</v>
      </c>
      <c r="T156" s="5"/>
      <c r="U156" s="6"/>
      <c r="V156" t="s">
        <v>64</v>
      </c>
      <c r="W156" s="4"/>
      <c r="X156" t="s">
        <v>65</v>
      </c>
      <c r="Z156" t="s">
        <v>66</v>
      </c>
      <c r="AA156" t="str">
        <f>VLOOKUP(H156,Departments!$A:$B,2,0)</f>
        <v>Obstetrics</v>
      </c>
      <c r="AB156" t="str">
        <f>VLOOKUP(J156,Diagnosis_Guide!$A:$B,2,0)</f>
        <v>Emergency C-Section</v>
      </c>
      <c r="AC156" s="4" t="str">
        <f>VLOOKUP(J156,Diagnosis_Guide!$A:$C,3,0)</f>
        <v>Maternal Health</v>
      </c>
      <c r="AD156" s="4" t="str">
        <f>VLOOKUP(R156,Insurance_Plans!$A:$C,3,0)</f>
        <v>Private</v>
      </c>
      <c r="AE156" s="13" t="str">
        <f t="shared" si="6"/>
        <v/>
      </c>
      <c r="AF156" s="13" t="str">
        <f t="shared" si="7"/>
        <v/>
      </c>
      <c r="AG156" s="4" t="str">
        <f t="shared" si="8"/>
        <v>Not Available</v>
      </c>
    </row>
    <row r="157" spans="1:33">
      <c r="A157" t="s">
        <v>521</v>
      </c>
      <c r="B157" t="s">
        <v>512</v>
      </c>
      <c r="C157" s="11">
        <v>46053</v>
      </c>
      <c r="D157" t="s">
        <v>110</v>
      </c>
      <c r="E157" t="s">
        <v>70</v>
      </c>
      <c r="F157" s="4">
        <v>46053</v>
      </c>
      <c r="G157" s="4">
        <v>46061</v>
      </c>
      <c r="H157" t="s">
        <v>90</v>
      </c>
      <c r="I157" t="s">
        <v>91</v>
      </c>
      <c r="J157" t="s">
        <v>92</v>
      </c>
      <c r="K157" t="s">
        <v>124</v>
      </c>
      <c r="L157" t="s">
        <v>74</v>
      </c>
      <c r="M157" s="5">
        <v>70000</v>
      </c>
      <c r="N157" s="5">
        <v>6100</v>
      </c>
      <c r="O157" s="5">
        <v>15800</v>
      </c>
      <c r="P157" s="5">
        <v>24000</v>
      </c>
      <c r="Q157" s="13">
        <v>117100</v>
      </c>
      <c r="R157" t="s">
        <v>75</v>
      </c>
      <c r="S157" t="s">
        <v>76</v>
      </c>
      <c r="T157" s="5">
        <v>52990</v>
      </c>
      <c r="U157" s="6">
        <v>3</v>
      </c>
      <c r="V157" t="s">
        <v>77</v>
      </c>
      <c r="W157" s="4">
        <v>46069</v>
      </c>
      <c r="X157" t="s">
        <v>77</v>
      </c>
      <c r="Y157" t="s">
        <v>64</v>
      </c>
      <c r="Z157" t="s">
        <v>96</v>
      </c>
      <c r="AA157" t="str">
        <f>VLOOKUP(H157,Departments!$A:$B,2,0)</f>
        <v>Cardiology</v>
      </c>
      <c r="AB157" t="str">
        <f>VLOOKUP(J157,Diagnosis_Guide!$A:$B,2,0)</f>
        <v>Heart Failure</v>
      </c>
      <c r="AC157" s="4" t="str">
        <f>VLOOKUP(J157,Diagnosis_Guide!$A:$C,3,0)</f>
        <v>Cardiovascular</v>
      </c>
      <c r="AD157" s="4" t="str">
        <f>VLOOKUP(R157,Insurance_Plans!$A:$C,3,0)</f>
        <v>Public</v>
      </c>
      <c r="AE157" s="13">
        <f t="shared" si="6"/>
        <v>5855</v>
      </c>
      <c r="AF157" s="13">
        <f t="shared" si="7"/>
        <v>122955</v>
      </c>
      <c r="AG157" s="4" t="str">
        <f t="shared" si="8"/>
        <v>Medium</v>
      </c>
    </row>
    <row r="158" spans="1:33">
      <c r="A158" t="s">
        <v>522</v>
      </c>
      <c r="B158" t="s">
        <v>405</v>
      </c>
      <c r="C158" s="11">
        <v>46109</v>
      </c>
      <c r="D158" t="s">
        <v>132</v>
      </c>
      <c r="E158" t="s">
        <v>70</v>
      </c>
      <c r="F158" s="4">
        <v>46109</v>
      </c>
      <c r="G158" s="4">
        <v>46109</v>
      </c>
      <c r="H158" t="s">
        <v>138</v>
      </c>
      <c r="I158" t="s">
        <v>139</v>
      </c>
      <c r="J158" t="s">
        <v>140</v>
      </c>
      <c r="K158" t="s">
        <v>60</v>
      </c>
      <c r="L158" t="s">
        <v>94</v>
      </c>
      <c r="M158" s="5">
        <v>14200</v>
      </c>
      <c r="N158" s="5">
        <v>1750</v>
      </c>
      <c r="O158" s="5">
        <v>3450</v>
      </c>
      <c r="P158" s="5">
        <v>0</v>
      </c>
      <c r="Q158" s="13">
        <v>21400</v>
      </c>
      <c r="R158" t="s">
        <v>141</v>
      </c>
      <c r="S158" t="s">
        <v>76</v>
      </c>
      <c r="T158" s="5">
        <v>4410</v>
      </c>
      <c r="U158" s="6">
        <v>5</v>
      </c>
      <c r="V158" t="s">
        <v>77</v>
      </c>
      <c r="W158" s="4">
        <v>46125</v>
      </c>
      <c r="X158" t="s">
        <v>77</v>
      </c>
      <c r="Y158" t="s">
        <v>64</v>
      </c>
      <c r="Z158" t="s">
        <v>96</v>
      </c>
      <c r="AA158" t="str">
        <f>VLOOKUP(H158,Departments!$A:$B,2,0)</f>
        <v>Pediatrics</v>
      </c>
      <c r="AB158" t="str">
        <f>VLOOKUP(J158,Diagnosis_Guide!$A:$B,2,0)</f>
        <v>Pediatric Asthma</v>
      </c>
      <c r="AC158" s="4" t="str">
        <f>VLOOKUP(J158,Diagnosis_Guide!$A:$C,3,0)</f>
        <v>Pediatric</v>
      </c>
      <c r="AD158" s="4" t="str">
        <f>VLOOKUP(R158,Insurance_Plans!$A:$C,3,0)</f>
        <v>Private</v>
      </c>
      <c r="AE158" s="13">
        <f t="shared" si="6"/>
        <v>1070</v>
      </c>
      <c r="AF158" s="13">
        <f t="shared" si="7"/>
        <v>22470</v>
      </c>
      <c r="AG158" s="4" t="str">
        <f t="shared" si="8"/>
        <v>High</v>
      </c>
    </row>
    <row r="159" spans="1:33">
      <c r="A159" t="s">
        <v>523</v>
      </c>
      <c r="B159" t="s">
        <v>524</v>
      </c>
      <c r="C159" s="11">
        <v>46079</v>
      </c>
      <c r="D159" t="s">
        <v>432</v>
      </c>
      <c r="E159" t="s">
        <v>314</v>
      </c>
      <c r="F159" s="4"/>
      <c r="G159" s="4"/>
      <c r="H159" t="s">
        <v>178</v>
      </c>
      <c r="I159" t="s">
        <v>339</v>
      </c>
      <c r="J159" t="s">
        <v>340</v>
      </c>
      <c r="K159" t="s">
        <v>93</v>
      </c>
      <c r="L159" t="s">
        <v>94</v>
      </c>
      <c r="M159" s="5"/>
      <c r="N159" s="5"/>
      <c r="O159" s="5"/>
      <c r="P159" s="5"/>
      <c r="R159" t="s">
        <v>85</v>
      </c>
      <c r="S159" t="s">
        <v>63</v>
      </c>
      <c r="T159" s="5"/>
      <c r="U159" s="6"/>
      <c r="V159" t="s">
        <v>64</v>
      </c>
      <c r="W159" s="4"/>
      <c r="X159" t="s">
        <v>65</v>
      </c>
      <c r="Z159" t="s">
        <v>66</v>
      </c>
      <c r="AA159" t="str">
        <f>VLOOKUP(H159,Departments!$A:$B,2,0)</f>
        <v>Surgery</v>
      </c>
      <c r="AB159" t="str">
        <f>VLOOKUP(J159,Diagnosis_Guide!$A:$B,2,0)</f>
        <v>Post-Operative Infection</v>
      </c>
      <c r="AC159" s="4" t="str">
        <f>VLOOKUP(J159,Diagnosis_Guide!$A:$C,3,0)</f>
        <v>Surgical</v>
      </c>
      <c r="AD159" s="4" t="str">
        <f>VLOOKUP(R159,Insurance_Plans!$A:$C,3,0)</f>
        <v>Employer</v>
      </c>
      <c r="AE159" s="13" t="str">
        <f t="shared" si="6"/>
        <v/>
      </c>
      <c r="AF159" s="13" t="str">
        <f t="shared" si="7"/>
        <v/>
      </c>
      <c r="AG159" s="4" t="str">
        <f t="shared" si="8"/>
        <v>Not Available</v>
      </c>
    </row>
    <row r="160" spans="1:33">
      <c r="A160" t="s">
        <v>525</v>
      </c>
      <c r="B160" t="s">
        <v>526</v>
      </c>
      <c r="C160" s="11">
        <v>46120</v>
      </c>
      <c r="D160" t="s">
        <v>217</v>
      </c>
      <c r="E160" t="s">
        <v>314</v>
      </c>
      <c r="F160" s="4"/>
      <c r="G160" s="4"/>
      <c r="H160" t="s">
        <v>103</v>
      </c>
      <c r="I160" t="s">
        <v>207</v>
      </c>
      <c r="J160" t="s">
        <v>105</v>
      </c>
      <c r="K160" t="s">
        <v>60</v>
      </c>
      <c r="L160" t="s">
        <v>61</v>
      </c>
      <c r="M160" s="5"/>
      <c r="N160" s="5"/>
      <c r="O160" s="5"/>
      <c r="P160" s="5"/>
      <c r="R160" t="s">
        <v>75</v>
      </c>
      <c r="S160" t="s">
        <v>63</v>
      </c>
      <c r="T160" s="5"/>
      <c r="U160" s="6"/>
      <c r="V160" t="s">
        <v>64</v>
      </c>
      <c r="W160" s="4"/>
      <c r="X160" t="s">
        <v>65</v>
      </c>
      <c r="Z160" t="s">
        <v>66</v>
      </c>
      <c r="AA160" t="str">
        <f>VLOOKUP(H160,Departments!$A:$B,2,0)</f>
        <v>Nephrology</v>
      </c>
      <c r="AB160" t="str">
        <f>VLOOKUP(J160,Diagnosis_Guide!$A:$B,2,0)</f>
        <v>Dialysis Complication</v>
      </c>
      <c r="AC160" s="4" t="str">
        <f>VLOOKUP(J160,Diagnosis_Guide!$A:$C,3,0)</f>
        <v>Renal</v>
      </c>
      <c r="AD160" s="4" t="str">
        <f>VLOOKUP(R160,Insurance_Plans!$A:$C,3,0)</f>
        <v>Public</v>
      </c>
      <c r="AE160" s="13" t="str">
        <f t="shared" si="6"/>
        <v/>
      </c>
      <c r="AF160" s="13" t="str">
        <f t="shared" si="7"/>
        <v/>
      </c>
      <c r="AG160" s="4" t="str">
        <f t="shared" si="8"/>
        <v>Not Available</v>
      </c>
    </row>
    <row r="161" spans="1:33">
      <c r="A161" t="s">
        <v>527</v>
      </c>
      <c r="B161" t="s">
        <v>528</v>
      </c>
      <c r="C161" s="11">
        <v>46030</v>
      </c>
      <c r="D161" t="s">
        <v>210</v>
      </c>
      <c r="E161" t="s">
        <v>70</v>
      </c>
      <c r="F161" s="4">
        <v>46030</v>
      </c>
      <c r="G161" s="4">
        <v>46030</v>
      </c>
      <c r="H161" t="s">
        <v>103</v>
      </c>
      <c r="I161" t="s">
        <v>364</v>
      </c>
      <c r="J161" t="s">
        <v>145</v>
      </c>
      <c r="K161" t="s">
        <v>60</v>
      </c>
      <c r="L161" t="s">
        <v>61</v>
      </c>
      <c r="M161" s="5">
        <v>26600</v>
      </c>
      <c r="N161" s="5">
        <v>3600</v>
      </c>
      <c r="O161" s="5">
        <v>5200</v>
      </c>
      <c r="P161" s="5">
        <v>0</v>
      </c>
      <c r="Q161" s="13">
        <v>36200</v>
      </c>
      <c r="R161" t="s">
        <v>75</v>
      </c>
      <c r="S161" t="s">
        <v>76</v>
      </c>
      <c r="T161" s="5">
        <v>16590</v>
      </c>
      <c r="U161" s="6">
        <v>5</v>
      </c>
      <c r="V161" t="s">
        <v>64</v>
      </c>
      <c r="W161" s="4"/>
      <c r="X161" t="s">
        <v>65</v>
      </c>
      <c r="Y161" t="s">
        <v>64</v>
      </c>
      <c r="Z161" t="s">
        <v>78</v>
      </c>
      <c r="AA161" t="str">
        <f>VLOOKUP(H161,Departments!$A:$B,2,0)</f>
        <v>Nephrology</v>
      </c>
      <c r="AB161" t="str">
        <f>VLOOKUP(J161,Diagnosis_Guide!$A:$B,2,0)</f>
        <v>Kidney Stone</v>
      </c>
      <c r="AC161" s="4" t="str">
        <f>VLOOKUP(J161,Diagnosis_Guide!$A:$C,3,0)</f>
        <v>Renal</v>
      </c>
      <c r="AD161" s="4" t="str">
        <f>VLOOKUP(R161,Insurance_Plans!$A:$C,3,0)</f>
        <v>Public</v>
      </c>
      <c r="AE161" s="13">
        <f t="shared" si="6"/>
        <v>1810</v>
      </c>
      <c r="AF161" s="13">
        <f t="shared" si="7"/>
        <v>38010</v>
      </c>
      <c r="AG161" s="4" t="str">
        <f t="shared" si="8"/>
        <v>High</v>
      </c>
    </row>
    <row r="162" spans="1:33">
      <c r="A162" t="s">
        <v>529</v>
      </c>
      <c r="B162" t="s">
        <v>530</v>
      </c>
      <c r="C162" s="11">
        <v>46151</v>
      </c>
      <c r="D162" t="s">
        <v>210</v>
      </c>
      <c r="E162" t="s">
        <v>70</v>
      </c>
      <c r="F162" s="4">
        <v>46151</v>
      </c>
      <c r="G162" s="4">
        <v>46152</v>
      </c>
      <c r="H162" t="s">
        <v>150</v>
      </c>
      <c r="I162" t="s">
        <v>228</v>
      </c>
      <c r="J162" t="s">
        <v>152</v>
      </c>
      <c r="K162" t="s">
        <v>124</v>
      </c>
      <c r="L162" t="s">
        <v>146</v>
      </c>
      <c r="M162" s="5">
        <v>24000</v>
      </c>
      <c r="N162" s="5">
        <v>3150</v>
      </c>
      <c r="O162" s="5">
        <v>5200</v>
      </c>
      <c r="P162" s="5">
        <v>2500</v>
      </c>
      <c r="Q162" s="13">
        <v>36350</v>
      </c>
      <c r="R162" t="s">
        <v>85</v>
      </c>
      <c r="S162" t="s">
        <v>76</v>
      </c>
      <c r="T162" s="5">
        <v>9990</v>
      </c>
      <c r="U162" s="6">
        <v>5</v>
      </c>
      <c r="V162" t="s">
        <v>64</v>
      </c>
      <c r="W162" s="4"/>
      <c r="X162" t="s">
        <v>65</v>
      </c>
      <c r="Y162" t="s">
        <v>64</v>
      </c>
      <c r="Z162" t="s">
        <v>78</v>
      </c>
      <c r="AA162" t="str">
        <f>VLOOKUP(H162,Departments!$A:$B,2,0)</f>
        <v>Obstetrics</v>
      </c>
      <c r="AB162" t="str">
        <f>VLOOKUP(J162,Diagnosis_Guide!$A:$B,2,0)</f>
        <v>Antenatal Complication</v>
      </c>
      <c r="AC162" s="4" t="str">
        <f>VLOOKUP(J162,Diagnosis_Guide!$A:$C,3,0)</f>
        <v>Maternal Health</v>
      </c>
      <c r="AD162" s="4" t="str">
        <f>VLOOKUP(R162,Insurance_Plans!$A:$C,3,0)</f>
        <v>Employer</v>
      </c>
      <c r="AE162" s="13">
        <f t="shared" si="6"/>
        <v>1817.5</v>
      </c>
      <c r="AF162" s="13">
        <f t="shared" si="7"/>
        <v>38167.5</v>
      </c>
      <c r="AG162" s="4" t="str">
        <f t="shared" si="8"/>
        <v>High</v>
      </c>
    </row>
    <row r="163" spans="1:33">
      <c r="A163" t="s">
        <v>531</v>
      </c>
      <c r="B163" t="s">
        <v>532</v>
      </c>
      <c r="C163" s="11">
        <v>46059</v>
      </c>
      <c r="D163" t="s">
        <v>259</v>
      </c>
      <c r="E163" t="s">
        <v>70</v>
      </c>
      <c r="F163" s="4">
        <v>46060</v>
      </c>
      <c r="G163" s="4">
        <v>46060</v>
      </c>
      <c r="H163" t="s">
        <v>150</v>
      </c>
      <c r="I163" t="s">
        <v>247</v>
      </c>
      <c r="J163" t="s">
        <v>152</v>
      </c>
      <c r="K163" t="s">
        <v>60</v>
      </c>
      <c r="L163" t="s">
        <v>74</v>
      </c>
      <c r="M163" s="5">
        <v>34100</v>
      </c>
      <c r="N163" s="5">
        <v>5050</v>
      </c>
      <c r="O163" s="5">
        <v>4650</v>
      </c>
      <c r="P163" s="5">
        <v>0</v>
      </c>
      <c r="Q163" s="13">
        <v>44800</v>
      </c>
      <c r="R163" t="s">
        <v>134</v>
      </c>
      <c r="S163" t="s">
        <v>76</v>
      </c>
      <c r="T163" s="5">
        <v>24840</v>
      </c>
      <c r="U163" s="6">
        <v>3</v>
      </c>
      <c r="V163" t="s">
        <v>64</v>
      </c>
      <c r="W163" s="4"/>
      <c r="X163" t="s">
        <v>65</v>
      </c>
      <c r="Y163" t="s">
        <v>64</v>
      </c>
      <c r="Z163" t="s">
        <v>96</v>
      </c>
      <c r="AA163" t="str">
        <f>VLOOKUP(H163,Departments!$A:$B,2,0)</f>
        <v>Obstetrics</v>
      </c>
      <c r="AB163" t="str">
        <f>VLOOKUP(J163,Diagnosis_Guide!$A:$B,2,0)</f>
        <v>Antenatal Complication</v>
      </c>
      <c r="AC163" s="4" t="str">
        <f>VLOOKUP(J163,Diagnosis_Guide!$A:$C,3,0)</f>
        <v>Maternal Health</v>
      </c>
      <c r="AD163" s="4" t="str">
        <f>VLOOKUP(R163,Insurance_Plans!$A:$C,3,0)</f>
        <v>Community</v>
      </c>
      <c r="AE163" s="13">
        <f t="shared" si="6"/>
        <v>2240</v>
      </c>
      <c r="AF163" s="13">
        <f t="shared" si="7"/>
        <v>47040</v>
      </c>
      <c r="AG163" s="4" t="str">
        <f t="shared" si="8"/>
        <v>Medium</v>
      </c>
    </row>
    <row r="164" spans="1:33">
      <c r="A164" t="s">
        <v>533</v>
      </c>
      <c r="B164" t="s">
        <v>479</v>
      </c>
      <c r="C164" s="11">
        <v>46103</v>
      </c>
      <c r="D164" t="s">
        <v>259</v>
      </c>
      <c r="E164" t="s">
        <v>70</v>
      </c>
      <c r="F164" s="4">
        <v>46103</v>
      </c>
      <c r="G164" s="4">
        <v>46103</v>
      </c>
      <c r="H164" t="s">
        <v>138</v>
      </c>
      <c r="I164" t="s">
        <v>235</v>
      </c>
      <c r="J164" t="s">
        <v>261</v>
      </c>
      <c r="K164" t="s">
        <v>60</v>
      </c>
      <c r="L164" t="s">
        <v>74</v>
      </c>
      <c r="M164" s="5">
        <v>6900</v>
      </c>
      <c r="N164" s="5">
        <v>1250</v>
      </c>
      <c r="O164" s="5">
        <v>1500</v>
      </c>
      <c r="P164" s="5">
        <v>0</v>
      </c>
      <c r="Q164" s="13">
        <v>10650</v>
      </c>
      <c r="R164" t="s">
        <v>141</v>
      </c>
      <c r="S164" t="s">
        <v>86</v>
      </c>
      <c r="T164" s="5">
        <v>2800</v>
      </c>
      <c r="U164" s="6">
        <v>5</v>
      </c>
      <c r="V164" t="s">
        <v>64</v>
      </c>
      <c r="W164" s="4"/>
      <c r="X164" t="s">
        <v>65</v>
      </c>
      <c r="Y164" t="s">
        <v>64</v>
      </c>
      <c r="Z164" t="s">
        <v>107</v>
      </c>
      <c r="AA164" t="str">
        <f>VLOOKUP(H164,Departments!$A:$B,2,0)</f>
        <v>Pediatrics</v>
      </c>
      <c r="AB164" t="str">
        <f>VLOOKUP(J164,Diagnosis_Guide!$A:$B,2,0)</f>
        <v>Child Fever</v>
      </c>
      <c r="AC164" s="4" t="str">
        <f>VLOOKUP(J164,Diagnosis_Guide!$A:$C,3,0)</f>
        <v>Pediatric</v>
      </c>
      <c r="AD164" s="4" t="str">
        <f>VLOOKUP(R164,Insurance_Plans!$A:$C,3,0)</f>
        <v>Private</v>
      </c>
      <c r="AE164" s="13">
        <f t="shared" si="6"/>
        <v>532.5</v>
      </c>
      <c r="AF164" s="13">
        <f t="shared" si="7"/>
        <v>11182.5</v>
      </c>
      <c r="AG164" s="4" t="str">
        <f t="shared" si="8"/>
        <v>High</v>
      </c>
    </row>
    <row r="165" spans="1:33">
      <c r="A165" t="s">
        <v>534</v>
      </c>
      <c r="B165" t="s">
        <v>535</v>
      </c>
      <c r="C165" s="11">
        <v>46103</v>
      </c>
      <c r="D165" t="s">
        <v>168</v>
      </c>
      <c r="E165" t="s">
        <v>70</v>
      </c>
      <c r="F165" s="4">
        <v>46103</v>
      </c>
      <c r="G165" s="4">
        <v>46110</v>
      </c>
      <c r="H165" t="s">
        <v>178</v>
      </c>
      <c r="I165" t="s">
        <v>218</v>
      </c>
      <c r="J165" t="s">
        <v>340</v>
      </c>
      <c r="K165" t="s">
        <v>93</v>
      </c>
      <c r="L165" t="s">
        <v>94</v>
      </c>
      <c r="M165" s="5">
        <v>77100</v>
      </c>
      <c r="N165" s="5">
        <v>11900</v>
      </c>
      <c r="O165" s="5">
        <v>10550</v>
      </c>
      <c r="P165" s="5">
        <v>42000</v>
      </c>
      <c r="Q165" s="13">
        <v>143050</v>
      </c>
      <c r="R165" t="s">
        <v>75</v>
      </c>
      <c r="S165" t="s">
        <v>86</v>
      </c>
      <c r="T165" s="5">
        <v>64670</v>
      </c>
      <c r="U165" s="6">
        <v>4</v>
      </c>
      <c r="V165" t="s">
        <v>77</v>
      </c>
      <c r="W165" s="4">
        <v>46119</v>
      </c>
      <c r="X165" t="s">
        <v>77</v>
      </c>
      <c r="Y165" t="s">
        <v>64</v>
      </c>
      <c r="Z165" t="s">
        <v>78</v>
      </c>
      <c r="AA165" t="str">
        <f>VLOOKUP(H165,Departments!$A:$B,2,0)</f>
        <v>Surgery</v>
      </c>
      <c r="AB165" t="str">
        <f>VLOOKUP(J165,Diagnosis_Guide!$A:$B,2,0)</f>
        <v>Post-Operative Infection</v>
      </c>
      <c r="AC165" s="4" t="str">
        <f>VLOOKUP(J165,Diagnosis_Guide!$A:$C,3,0)</f>
        <v>Surgical</v>
      </c>
      <c r="AD165" s="4" t="str">
        <f>VLOOKUP(R165,Insurance_Plans!$A:$C,3,0)</f>
        <v>Public</v>
      </c>
      <c r="AE165" s="13">
        <f t="shared" si="6"/>
        <v>7152.5</v>
      </c>
      <c r="AF165" s="13">
        <f t="shared" si="7"/>
        <v>150202.5</v>
      </c>
      <c r="AG165" s="4" t="str">
        <f t="shared" si="8"/>
        <v>High</v>
      </c>
    </row>
    <row r="166" spans="1:33">
      <c r="A166" t="s">
        <v>536</v>
      </c>
      <c r="B166" t="s">
        <v>537</v>
      </c>
      <c r="C166" s="11">
        <v>46050</v>
      </c>
      <c r="D166" t="s">
        <v>183</v>
      </c>
      <c r="E166" t="s">
        <v>70</v>
      </c>
      <c r="F166" s="4">
        <v>46051</v>
      </c>
      <c r="G166" s="4">
        <v>46051</v>
      </c>
      <c r="H166" t="s">
        <v>121</v>
      </c>
      <c r="I166" t="s">
        <v>334</v>
      </c>
      <c r="J166" t="s">
        <v>256</v>
      </c>
      <c r="K166" t="s">
        <v>60</v>
      </c>
      <c r="L166" t="s">
        <v>74</v>
      </c>
      <c r="M166" s="5">
        <v>15600</v>
      </c>
      <c r="N166" s="5">
        <v>2100</v>
      </c>
      <c r="O166" s="5">
        <v>3800</v>
      </c>
      <c r="P166" s="5">
        <v>0</v>
      </c>
      <c r="Q166" s="13">
        <v>22500</v>
      </c>
      <c r="R166" t="s">
        <v>75</v>
      </c>
      <c r="S166" t="s">
        <v>76</v>
      </c>
      <c r="T166" s="5">
        <v>10420</v>
      </c>
      <c r="U166" s="6">
        <v>5</v>
      </c>
      <c r="V166" t="s">
        <v>64</v>
      </c>
      <c r="W166" s="4"/>
      <c r="X166" t="s">
        <v>65</v>
      </c>
      <c r="Y166" t="s">
        <v>64</v>
      </c>
      <c r="Z166" t="s">
        <v>107</v>
      </c>
      <c r="AA166" t="str">
        <f>VLOOKUP(H166,Departments!$A:$B,2,0)</f>
        <v>Neurology</v>
      </c>
      <c r="AB166" t="str">
        <f>VLOOKUP(J166,Diagnosis_Guide!$A:$B,2,0)</f>
        <v>Migraine Complication</v>
      </c>
      <c r="AC166" s="4" t="str">
        <f>VLOOKUP(J166,Diagnosis_Guide!$A:$C,3,0)</f>
        <v>Neurological</v>
      </c>
      <c r="AD166" s="4" t="str">
        <f>VLOOKUP(R166,Insurance_Plans!$A:$C,3,0)</f>
        <v>Public</v>
      </c>
      <c r="AE166" s="13">
        <f t="shared" si="6"/>
        <v>1125</v>
      </c>
      <c r="AF166" s="13">
        <f t="shared" si="7"/>
        <v>23625</v>
      </c>
      <c r="AG166" s="4" t="str">
        <f t="shared" si="8"/>
        <v>High</v>
      </c>
    </row>
    <row r="167" spans="1:33">
      <c r="A167" t="s">
        <v>538</v>
      </c>
      <c r="B167" t="s">
        <v>524</v>
      </c>
      <c r="C167" s="11">
        <v>46131</v>
      </c>
      <c r="D167" t="s">
        <v>200</v>
      </c>
      <c r="E167" t="s">
        <v>70</v>
      </c>
      <c r="F167" s="4">
        <v>46132</v>
      </c>
      <c r="G167" s="4">
        <v>46132</v>
      </c>
      <c r="H167" t="s">
        <v>57</v>
      </c>
      <c r="I167" t="s">
        <v>169</v>
      </c>
      <c r="J167" t="s">
        <v>72</v>
      </c>
      <c r="K167" t="s">
        <v>60</v>
      </c>
      <c r="L167" t="s">
        <v>61</v>
      </c>
      <c r="M167" s="5">
        <v>10300</v>
      </c>
      <c r="N167" s="5">
        <v>1300</v>
      </c>
      <c r="O167" s="5">
        <v>1700</v>
      </c>
      <c r="P167" s="5">
        <v>0</v>
      </c>
      <c r="Q167" s="13">
        <v>14100</v>
      </c>
      <c r="R167" t="s">
        <v>75</v>
      </c>
      <c r="S167" t="s">
        <v>86</v>
      </c>
      <c r="T167" s="5">
        <v>6640</v>
      </c>
      <c r="U167" s="6">
        <v>5</v>
      </c>
      <c r="V167" t="s">
        <v>77</v>
      </c>
      <c r="W167" s="4">
        <v>46139</v>
      </c>
      <c r="X167" t="s">
        <v>77</v>
      </c>
      <c r="Y167" t="s">
        <v>64</v>
      </c>
      <c r="Z167" t="s">
        <v>96</v>
      </c>
      <c r="AA167" t="str">
        <f>VLOOKUP(H167,Departments!$A:$B,2,0)</f>
        <v>Pulmonology</v>
      </c>
      <c r="AB167" t="str">
        <f>VLOOKUP(J167,Diagnosis_Guide!$A:$B,2,0)</f>
        <v>Acute Bronchitis</v>
      </c>
      <c r="AC167" s="4" t="str">
        <f>VLOOKUP(J167,Diagnosis_Guide!$A:$C,3,0)</f>
        <v>Respiratory</v>
      </c>
      <c r="AD167" s="4" t="str">
        <f>VLOOKUP(R167,Insurance_Plans!$A:$C,3,0)</f>
        <v>Public</v>
      </c>
      <c r="AE167" s="13">
        <f t="shared" si="6"/>
        <v>705</v>
      </c>
      <c r="AF167" s="13">
        <f t="shared" si="7"/>
        <v>14805</v>
      </c>
      <c r="AG167" s="4" t="str">
        <f t="shared" si="8"/>
        <v>High</v>
      </c>
    </row>
    <row r="168" spans="1:33">
      <c r="A168" t="s">
        <v>539</v>
      </c>
      <c r="B168" t="s">
        <v>540</v>
      </c>
      <c r="C168" s="11">
        <v>46134</v>
      </c>
      <c r="D168" t="s">
        <v>89</v>
      </c>
      <c r="E168" t="s">
        <v>314</v>
      </c>
      <c r="F168" s="4"/>
      <c r="G168" s="4"/>
      <c r="H168" t="s">
        <v>57</v>
      </c>
      <c r="I168" t="s">
        <v>71</v>
      </c>
      <c r="J168" t="s">
        <v>170</v>
      </c>
      <c r="K168" t="s">
        <v>124</v>
      </c>
      <c r="L168" t="s">
        <v>61</v>
      </c>
      <c r="M168" s="5"/>
      <c r="N168" s="5"/>
      <c r="O168" s="5"/>
      <c r="P168" s="5"/>
      <c r="R168" t="s">
        <v>62</v>
      </c>
      <c r="S168" t="s">
        <v>63</v>
      </c>
      <c r="T168" s="5"/>
      <c r="U168" s="6"/>
      <c r="V168" t="s">
        <v>64</v>
      </c>
      <c r="W168" s="4"/>
      <c r="X168" t="s">
        <v>65</v>
      </c>
      <c r="Z168" t="s">
        <v>66</v>
      </c>
      <c r="AA168" t="str">
        <f>VLOOKUP(H168,Departments!$A:$B,2,0)</f>
        <v>Pulmonology</v>
      </c>
      <c r="AB168" t="str">
        <f>VLOOKUP(J168,Diagnosis_Guide!$A:$B,2,0)</f>
        <v>COPD Exacerbation</v>
      </c>
      <c r="AC168" s="4" t="str">
        <f>VLOOKUP(J168,Diagnosis_Guide!$A:$C,3,0)</f>
        <v>Respiratory</v>
      </c>
      <c r="AD168" s="4" t="str">
        <f>VLOOKUP(R168,Insurance_Plans!$A:$C,3,0)</f>
        <v>Public</v>
      </c>
      <c r="AE168" s="13" t="str">
        <f t="shared" si="6"/>
        <v/>
      </c>
      <c r="AF168" s="13" t="str">
        <f t="shared" si="7"/>
        <v/>
      </c>
      <c r="AG168" s="4" t="str">
        <f t="shared" si="8"/>
        <v>Not Available</v>
      </c>
    </row>
    <row r="169" spans="1:33">
      <c r="A169" t="s">
        <v>541</v>
      </c>
      <c r="B169" t="s">
        <v>209</v>
      </c>
      <c r="C169" s="11">
        <v>46104</v>
      </c>
      <c r="D169" t="s">
        <v>99</v>
      </c>
      <c r="E169" t="s">
        <v>56</v>
      </c>
      <c r="F169" s="4"/>
      <c r="G169" s="4"/>
      <c r="H169" t="s">
        <v>103</v>
      </c>
      <c r="I169" t="s">
        <v>364</v>
      </c>
      <c r="J169" t="s">
        <v>145</v>
      </c>
      <c r="K169" t="s">
        <v>73</v>
      </c>
      <c r="L169" t="s">
        <v>74</v>
      </c>
      <c r="M169" s="5"/>
      <c r="N169" s="5"/>
      <c r="O169" s="5"/>
      <c r="P169" s="5"/>
      <c r="R169" t="s">
        <v>134</v>
      </c>
      <c r="S169" t="s">
        <v>63</v>
      </c>
      <c r="T169" s="5"/>
      <c r="U169" s="6"/>
      <c r="V169" t="s">
        <v>64</v>
      </c>
      <c r="W169" s="4"/>
      <c r="X169" t="s">
        <v>65</v>
      </c>
      <c r="Z169" t="s">
        <v>66</v>
      </c>
      <c r="AA169" t="str">
        <f>VLOOKUP(H169,Departments!$A:$B,2,0)</f>
        <v>Nephrology</v>
      </c>
      <c r="AB169" t="str">
        <f>VLOOKUP(J169,Diagnosis_Guide!$A:$B,2,0)</f>
        <v>Kidney Stone</v>
      </c>
      <c r="AC169" s="4" t="str">
        <f>VLOOKUP(J169,Diagnosis_Guide!$A:$C,3,0)</f>
        <v>Renal</v>
      </c>
      <c r="AD169" s="4" t="str">
        <f>VLOOKUP(R169,Insurance_Plans!$A:$C,3,0)</f>
        <v>Community</v>
      </c>
      <c r="AE169" s="13" t="str">
        <f t="shared" si="6"/>
        <v/>
      </c>
      <c r="AF169" s="13" t="str">
        <f t="shared" si="7"/>
        <v/>
      </c>
      <c r="AG169" s="4" t="str">
        <f t="shared" si="8"/>
        <v>Not Available</v>
      </c>
    </row>
    <row r="170" spans="1:33">
      <c r="A170" t="s">
        <v>542</v>
      </c>
      <c r="B170" t="s">
        <v>543</v>
      </c>
      <c r="C170" s="11">
        <v>46023</v>
      </c>
      <c r="D170" t="s">
        <v>307</v>
      </c>
      <c r="E170" t="s">
        <v>70</v>
      </c>
      <c r="F170" s="4">
        <v>46023</v>
      </c>
      <c r="G170" s="4">
        <v>46031</v>
      </c>
      <c r="H170" t="s">
        <v>82</v>
      </c>
      <c r="I170" t="s">
        <v>272</v>
      </c>
      <c r="J170" t="s">
        <v>156</v>
      </c>
      <c r="K170" t="s">
        <v>73</v>
      </c>
      <c r="L170" t="s">
        <v>94</v>
      </c>
      <c r="M170" s="5">
        <v>79600</v>
      </c>
      <c r="N170" s="5">
        <v>7700</v>
      </c>
      <c r="O170" s="5">
        <v>12450</v>
      </c>
      <c r="P170" s="5">
        <v>28000</v>
      </c>
      <c r="Q170" s="13">
        <v>129550</v>
      </c>
      <c r="R170" t="s">
        <v>75</v>
      </c>
      <c r="S170" t="s">
        <v>76</v>
      </c>
      <c r="T170" s="5">
        <v>58600</v>
      </c>
      <c r="U170" s="6">
        <v>4</v>
      </c>
      <c r="V170" t="s">
        <v>77</v>
      </c>
      <c r="W170" s="4">
        <v>46038</v>
      </c>
      <c r="X170" t="s">
        <v>77</v>
      </c>
      <c r="Y170" t="s">
        <v>64</v>
      </c>
      <c r="Z170" t="s">
        <v>78</v>
      </c>
      <c r="AA170" t="str">
        <f>VLOOKUP(H170,Departments!$A:$B,2,0)</f>
        <v>Orthopedics</v>
      </c>
      <c r="AB170" t="str">
        <f>VLOOKUP(J170,Diagnosis_Guide!$A:$B,2,0)</f>
        <v>Spinal Injury</v>
      </c>
      <c r="AC170" s="4" t="str">
        <f>VLOOKUP(J170,Diagnosis_Guide!$A:$C,3,0)</f>
        <v>Musculoskeletal</v>
      </c>
      <c r="AD170" s="4" t="str">
        <f>VLOOKUP(R170,Insurance_Plans!$A:$C,3,0)</f>
        <v>Public</v>
      </c>
      <c r="AE170" s="13">
        <f t="shared" si="6"/>
        <v>6477.5</v>
      </c>
      <c r="AF170" s="13">
        <f t="shared" si="7"/>
        <v>136027.5</v>
      </c>
      <c r="AG170" s="4" t="str">
        <f t="shared" si="8"/>
        <v>High</v>
      </c>
    </row>
    <row r="171" spans="1:33">
      <c r="A171" t="s">
        <v>544</v>
      </c>
      <c r="B171" t="s">
        <v>545</v>
      </c>
      <c r="C171" s="11">
        <v>46113</v>
      </c>
      <c r="D171" t="s">
        <v>284</v>
      </c>
      <c r="E171" t="s">
        <v>70</v>
      </c>
      <c r="F171" s="4">
        <v>46114</v>
      </c>
      <c r="G171" s="4">
        <v>46124</v>
      </c>
      <c r="H171" t="s">
        <v>178</v>
      </c>
      <c r="I171" t="s">
        <v>179</v>
      </c>
      <c r="J171" t="s">
        <v>340</v>
      </c>
      <c r="K171" t="s">
        <v>93</v>
      </c>
      <c r="L171" t="s">
        <v>61</v>
      </c>
      <c r="M171" s="5">
        <v>73800</v>
      </c>
      <c r="N171" s="5">
        <v>7100</v>
      </c>
      <c r="O171" s="5">
        <v>12200</v>
      </c>
      <c r="P171" s="5">
        <v>35000</v>
      </c>
      <c r="Q171" s="13">
        <v>129100</v>
      </c>
      <c r="R171" t="s">
        <v>95</v>
      </c>
      <c r="S171" t="s">
        <v>63</v>
      </c>
      <c r="T171" s="5">
        <v>129100</v>
      </c>
      <c r="U171" s="6">
        <v>2</v>
      </c>
      <c r="V171" t="s">
        <v>77</v>
      </c>
      <c r="W171" s="4">
        <v>46137</v>
      </c>
      <c r="X171" t="s">
        <v>77</v>
      </c>
      <c r="Y171" t="s">
        <v>64</v>
      </c>
      <c r="Z171" t="s">
        <v>107</v>
      </c>
      <c r="AA171" t="str">
        <f>VLOOKUP(H171,Departments!$A:$B,2,0)</f>
        <v>Surgery</v>
      </c>
      <c r="AB171" t="str">
        <f>VLOOKUP(J171,Diagnosis_Guide!$A:$B,2,0)</f>
        <v>Post-Operative Infection</v>
      </c>
      <c r="AC171" s="4" t="str">
        <f>VLOOKUP(J171,Diagnosis_Guide!$A:$C,3,0)</f>
        <v>Surgical</v>
      </c>
      <c r="AD171" s="4" t="str">
        <f>VLOOKUP(R171,Insurance_Plans!$A:$C,3,0)</f>
        <v>Self-Pay</v>
      </c>
      <c r="AE171" s="13">
        <f t="shared" si="6"/>
        <v>6455</v>
      </c>
      <c r="AF171" s="13">
        <f t="shared" si="7"/>
        <v>135555</v>
      </c>
      <c r="AG171" s="4" t="str">
        <f t="shared" si="8"/>
        <v>Low</v>
      </c>
    </row>
    <row r="172" spans="1:33">
      <c r="A172" t="s">
        <v>546</v>
      </c>
      <c r="B172" t="s">
        <v>547</v>
      </c>
      <c r="C172" s="11">
        <v>46162</v>
      </c>
      <c r="D172" t="s">
        <v>137</v>
      </c>
      <c r="E172" t="s">
        <v>70</v>
      </c>
      <c r="F172" s="4">
        <v>46163</v>
      </c>
      <c r="G172" s="4">
        <v>46170</v>
      </c>
      <c r="H172" t="s">
        <v>121</v>
      </c>
      <c r="I172" t="s">
        <v>122</v>
      </c>
      <c r="J172" t="s">
        <v>252</v>
      </c>
      <c r="K172" t="s">
        <v>124</v>
      </c>
      <c r="L172" t="s">
        <v>94</v>
      </c>
      <c r="M172" s="5">
        <v>49900</v>
      </c>
      <c r="N172" s="5">
        <v>8250</v>
      </c>
      <c r="O172" s="5">
        <v>12100</v>
      </c>
      <c r="P172" s="5">
        <v>24500</v>
      </c>
      <c r="Q172" s="13">
        <v>95750</v>
      </c>
      <c r="R172" t="s">
        <v>134</v>
      </c>
      <c r="S172" t="s">
        <v>86</v>
      </c>
      <c r="T172" s="5">
        <v>52860</v>
      </c>
      <c r="U172" s="6"/>
      <c r="V172" t="s">
        <v>77</v>
      </c>
      <c r="W172" s="4">
        <v>46190</v>
      </c>
      <c r="X172" t="s">
        <v>77</v>
      </c>
      <c r="Y172" t="s">
        <v>64</v>
      </c>
      <c r="Z172" t="s">
        <v>96</v>
      </c>
      <c r="AA172" t="str">
        <f>VLOOKUP(H172,Departments!$A:$B,2,0)</f>
        <v>Neurology</v>
      </c>
      <c r="AB172" t="str">
        <f>VLOOKUP(J172,Diagnosis_Guide!$A:$B,2,0)</f>
        <v>Stroke Assessment</v>
      </c>
      <c r="AC172" s="4" t="str">
        <f>VLOOKUP(J172,Diagnosis_Guide!$A:$C,3,0)</f>
        <v>Neurological</v>
      </c>
      <c r="AD172" s="4" t="str">
        <f>VLOOKUP(R172,Insurance_Plans!$A:$C,3,0)</f>
        <v>Community</v>
      </c>
      <c r="AE172" s="13">
        <f t="shared" si="6"/>
        <v>4787.5</v>
      </c>
      <c r="AF172" s="13">
        <f t="shared" si="7"/>
        <v>100537.5</v>
      </c>
      <c r="AG172" s="4" t="str">
        <f t="shared" si="8"/>
        <v>Not Available</v>
      </c>
    </row>
    <row r="173" spans="1:33">
      <c r="A173" t="s">
        <v>548</v>
      </c>
      <c r="B173" t="s">
        <v>549</v>
      </c>
      <c r="C173" s="11">
        <v>46084</v>
      </c>
      <c r="D173" t="s">
        <v>234</v>
      </c>
      <c r="E173" t="s">
        <v>70</v>
      </c>
      <c r="F173" s="4">
        <v>46084</v>
      </c>
      <c r="G173" s="4">
        <v>46084</v>
      </c>
      <c r="H173" t="s">
        <v>111</v>
      </c>
      <c r="I173" t="s">
        <v>222</v>
      </c>
      <c r="J173" t="s">
        <v>117</v>
      </c>
      <c r="K173" t="s">
        <v>60</v>
      </c>
      <c r="L173" t="s">
        <v>94</v>
      </c>
      <c r="M173" s="5">
        <v>7300</v>
      </c>
      <c r="N173" s="5">
        <v>1300</v>
      </c>
      <c r="O173" s="5">
        <v>1000</v>
      </c>
      <c r="P173" s="5">
        <v>0</v>
      </c>
      <c r="Q173" s="13">
        <v>10600</v>
      </c>
      <c r="R173" t="s">
        <v>134</v>
      </c>
      <c r="S173" t="s">
        <v>76</v>
      </c>
      <c r="T173" s="5">
        <v>6030</v>
      </c>
      <c r="U173" s="6">
        <v>5</v>
      </c>
      <c r="V173" t="s">
        <v>64</v>
      </c>
      <c r="W173" s="4"/>
      <c r="X173" t="s">
        <v>65</v>
      </c>
      <c r="Y173" t="s">
        <v>64</v>
      </c>
      <c r="Z173" t="s">
        <v>436</v>
      </c>
      <c r="AA173" t="str">
        <f>VLOOKUP(H173,Departments!$A:$B,2,0)</f>
        <v>General Medicine</v>
      </c>
      <c r="AB173" t="str">
        <f>VLOOKUP(J173,Diagnosis_Guide!$A:$B,2,0)</f>
        <v>Fever Investigation</v>
      </c>
      <c r="AC173" s="4" t="str">
        <f>VLOOKUP(J173,Diagnosis_Guide!$A:$C,3,0)</f>
        <v>Infectious/General</v>
      </c>
      <c r="AD173" s="4" t="str">
        <f>VLOOKUP(R173,Insurance_Plans!$A:$C,3,0)</f>
        <v>Community</v>
      </c>
      <c r="AE173" s="13">
        <f t="shared" si="6"/>
        <v>530</v>
      </c>
      <c r="AF173" s="13">
        <f t="shared" si="7"/>
        <v>11130</v>
      </c>
      <c r="AG173" s="4" t="str">
        <f t="shared" si="8"/>
        <v>High</v>
      </c>
    </row>
    <row r="174" spans="1:33">
      <c r="A174" t="s">
        <v>550</v>
      </c>
      <c r="B174" t="s">
        <v>551</v>
      </c>
      <c r="C174" s="11">
        <v>46082</v>
      </c>
      <c r="D174" t="s">
        <v>330</v>
      </c>
      <c r="E174" t="s">
        <v>70</v>
      </c>
      <c r="F174" s="4">
        <v>46082</v>
      </c>
      <c r="G174" s="4">
        <v>46084</v>
      </c>
      <c r="H174" t="s">
        <v>138</v>
      </c>
      <c r="I174" t="s">
        <v>235</v>
      </c>
      <c r="J174" t="s">
        <v>261</v>
      </c>
      <c r="K174" t="s">
        <v>73</v>
      </c>
      <c r="L174" t="s">
        <v>94</v>
      </c>
      <c r="M174" s="5">
        <v>5000</v>
      </c>
      <c r="N174" s="5">
        <v>450</v>
      </c>
      <c r="O174" s="5">
        <v>500</v>
      </c>
      <c r="P174" s="5">
        <v>5000</v>
      </c>
      <c r="Q174" s="13">
        <v>11950</v>
      </c>
      <c r="R174" t="s">
        <v>85</v>
      </c>
      <c r="S174" t="s">
        <v>76</v>
      </c>
      <c r="T174" s="5">
        <v>3890</v>
      </c>
      <c r="U174" s="6">
        <v>5</v>
      </c>
      <c r="V174" t="s">
        <v>77</v>
      </c>
      <c r="W174" s="4">
        <v>46102</v>
      </c>
      <c r="X174" t="s">
        <v>77</v>
      </c>
      <c r="Y174" t="s">
        <v>64</v>
      </c>
      <c r="Z174" t="s">
        <v>107</v>
      </c>
      <c r="AA174" t="str">
        <f>VLOOKUP(H174,Departments!$A:$B,2,0)</f>
        <v>Pediatrics</v>
      </c>
      <c r="AB174" t="str">
        <f>VLOOKUP(J174,Diagnosis_Guide!$A:$B,2,0)</f>
        <v>Child Fever</v>
      </c>
      <c r="AC174" s="4" t="str">
        <f>VLOOKUP(J174,Diagnosis_Guide!$A:$C,3,0)</f>
        <v>Pediatric</v>
      </c>
      <c r="AD174" s="4" t="str">
        <f>VLOOKUP(R174,Insurance_Plans!$A:$C,3,0)</f>
        <v>Employer</v>
      </c>
      <c r="AE174" s="13">
        <f t="shared" si="6"/>
        <v>597.5</v>
      </c>
      <c r="AF174" s="13">
        <f t="shared" si="7"/>
        <v>12547.5</v>
      </c>
      <c r="AG174" s="4" t="str">
        <f t="shared" si="8"/>
        <v>High</v>
      </c>
    </row>
    <row r="175" spans="1:33">
      <c r="A175" t="s">
        <v>552</v>
      </c>
      <c r="B175" t="s">
        <v>553</v>
      </c>
      <c r="C175" s="11">
        <v>46079</v>
      </c>
      <c r="D175" t="s">
        <v>161</v>
      </c>
      <c r="E175" t="s">
        <v>70</v>
      </c>
      <c r="F175" s="4">
        <v>46080</v>
      </c>
      <c r="G175" s="4">
        <v>46080</v>
      </c>
      <c r="H175" t="s">
        <v>90</v>
      </c>
      <c r="I175" t="s">
        <v>299</v>
      </c>
      <c r="J175" t="s">
        <v>129</v>
      </c>
      <c r="K175" t="s">
        <v>60</v>
      </c>
      <c r="L175" t="s">
        <v>94</v>
      </c>
      <c r="M175" s="5">
        <v>40800</v>
      </c>
      <c r="N175" s="5">
        <v>7100</v>
      </c>
      <c r="O175" s="5">
        <v>7900</v>
      </c>
      <c r="P175" s="5">
        <v>0</v>
      </c>
      <c r="Q175" s="13">
        <v>57300</v>
      </c>
      <c r="R175" t="s">
        <v>85</v>
      </c>
      <c r="S175" t="s">
        <v>76</v>
      </c>
      <c r="T175" s="5">
        <v>15220</v>
      </c>
      <c r="U175" s="6">
        <v>2</v>
      </c>
      <c r="V175" t="s">
        <v>77</v>
      </c>
      <c r="W175" s="4">
        <v>46094</v>
      </c>
      <c r="X175" t="s">
        <v>64</v>
      </c>
      <c r="Y175" t="s">
        <v>77</v>
      </c>
      <c r="Z175" t="s">
        <v>107</v>
      </c>
      <c r="AA175" t="str">
        <f>VLOOKUP(H175,Departments!$A:$B,2,0)</f>
        <v>Cardiology</v>
      </c>
      <c r="AB175" t="str">
        <f>VLOOKUP(J175,Diagnosis_Guide!$A:$B,2,0)</f>
        <v>Hypertension Crisis</v>
      </c>
      <c r="AC175" s="4" t="str">
        <f>VLOOKUP(J175,Diagnosis_Guide!$A:$C,3,0)</f>
        <v>Cardiovascular</v>
      </c>
      <c r="AD175" s="4" t="str">
        <f>VLOOKUP(R175,Insurance_Plans!$A:$C,3,0)</f>
        <v>Employer</v>
      </c>
      <c r="AE175" s="13">
        <f t="shared" si="6"/>
        <v>2865</v>
      </c>
      <c r="AF175" s="13">
        <f t="shared" si="7"/>
        <v>60165</v>
      </c>
      <c r="AG175" s="4" t="str">
        <f t="shared" si="8"/>
        <v>Low</v>
      </c>
    </row>
    <row r="176" spans="1:33">
      <c r="A176" t="s">
        <v>554</v>
      </c>
      <c r="B176" t="s">
        <v>555</v>
      </c>
      <c r="C176" s="11">
        <v>46028</v>
      </c>
      <c r="D176" t="s">
        <v>439</v>
      </c>
      <c r="E176" t="s">
        <v>70</v>
      </c>
      <c r="F176" s="4">
        <v>46029</v>
      </c>
      <c r="G176" s="4">
        <v>46031</v>
      </c>
      <c r="H176" t="s">
        <v>121</v>
      </c>
      <c r="I176" t="s">
        <v>174</v>
      </c>
      <c r="J176" t="s">
        <v>123</v>
      </c>
      <c r="K176" t="s">
        <v>73</v>
      </c>
      <c r="L176" t="s">
        <v>61</v>
      </c>
      <c r="M176" s="5">
        <v>48900</v>
      </c>
      <c r="N176" s="5">
        <v>4800</v>
      </c>
      <c r="O176" s="5">
        <v>4950</v>
      </c>
      <c r="P176" s="5">
        <v>6000</v>
      </c>
      <c r="Q176" s="13">
        <v>66450</v>
      </c>
      <c r="R176" t="s">
        <v>85</v>
      </c>
      <c r="S176" t="s">
        <v>76</v>
      </c>
      <c r="T176" s="5">
        <v>17510</v>
      </c>
      <c r="U176" s="6">
        <v>4</v>
      </c>
      <c r="V176" t="s">
        <v>77</v>
      </c>
      <c r="W176" s="4">
        <v>46043</v>
      </c>
      <c r="X176" t="s">
        <v>64</v>
      </c>
      <c r="Y176" t="s">
        <v>64</v>
      </c>
      <c r="Z176" t="s">
        <v>96</v>
      </c>
      <c r="AA176" t="str">
        <f>VLOOKUP(H176,Departments!$A:$B,2,0)</f>
        <v>Neurology</v>
      </c>
      <c r="AB176" t="str">
        <f>VLOOKUP(J176,Diagnosis_Guide!$A:$B,2,0)</f>
        <v>Seizure Episode</v>
      </c>
      <c r="AC176" s="4" t="str">
        <f>VLOOKUP(J176,Diagnosis_Guide!$A:$C,3,0)</f>
        <v>Neurological</v>
      </c>
      <c r="AD176" s="4" t="str">
        <f>VLOOKUP(R176,Insurance_Plans!$A:$C,3,0)</f>
        <v>Employer</v>
      </c>
      <c r="AE176" s="13">
        <f t="shared" si="6"/>
        <v>3322.5</v>
      </c>
      <c r="AF176" s="13">
        <f t="shared" si="7"/>
        <v>69772.5</v>
      </c>
      <c r="AG176" s="4" t="str">
        <f t="shared" si="8"/>
        <v>High</v>
      </c>
    </row>
    <row r="177" spans="1:33">
      <c r="A177" t="s">
        <v>556</v>
      </c>
      <c r="B177" t="s">
        <v>557</v>
      </c>
      <c r="C177" s="11">
        <v>46154</v>
      </c>
      <c r="D177" t="s">
        <v>298</v>
      </c>
      <c r="E177" t="s">
        <v>191</v>
      </c>
      <c r="F177" s="4"/>
      <c r="G177" s="4"/>
      <c r="H177" t="s">
        <v>138</v>
      </c>
      <c r="I177" t="s">
        <v>444</v>
      </c>
      <c r="J177" t="s">
        <v>236</v>
      </c>
      <c r="K177" t="s">
        <v>60</v>
      </c>
      <c r="L177" t="s">
        <v>61</v>
      </c>
      <c r="M177" s="5"/>
      <c r="N177" s="5"/>
      <c r="O177" s="5"/>
      <c r="P177" s="5"/>
      <c r="R177" t="s">
        <v>75</v>
      </c>
      <c r="S177" t="s">
        <v>63</v>
      </c>
      <c r="T177" s="5"/>
      <c r="U177" s="6"/>
      <c r="V177" t="s">
        <v>64</v>
      </c>
      <c r="W177" s="4"/>
      <c r="X177" t="s">
        <v>65</v>
      </c>
      <c r="Z177" t="s">
        <v>66</v>
      </c>
      <c r="AA177" t="str">
        <f>VLOOKUP(H177,Departments!$A:$B,2,0)</f>
        <v>Pediatrics</v>
      </c>
      <c r="AB177" t="str">
        <f>VLOOKUP(J177,Diagnosis_Guide!$A:$B,2,0)</f>
        <v>Neonatal Observation</v>
      </c>
      <c r="AC177" s="4" t="str">
        <f>VLOOKUP(J177,Diagnosis_Guide!$A:$C,3,0)</f>
        <v>Pediatric</v>
      </c>
      <c r="AD177" s="4" t="str">
        <f>VLOOKUP(R177,Insurance_Plans!$A:$C,3,0)</f>
        <v>Public</v>
      </c>
      <c r="AE177" s="13" t="str">
        <f t="shared" si="6"/>
        <v/>
      </c>
      <c r="AF177" s="13" t="str">
        <f t="shared" si="7"/>
        <v/>
      </c>
      <c r="AG177" s="4" t="str">
        <f t="shared" si="8"/>
        <v>Not Available</v>
      </c>
    </row>
    <row r="178" spans="1:33">
      <c r="A178" t="s">
        <v>558</v>
      </c>
      <c r="B178" t="s">
        <v>559</v>
      </c>
      <c r="C178" s="11">
        <v>46074</v>
      </c>
      <c r="D178" t="s">
        <v>294</v>
      </c>
      <c r="E178" t="s">
        <v>70</v>
      </c>
      <c r="F178" s="4">
        <v>46075</v>
      </c>
      <c r="G178" s="4">
        <v>46083</v>
      </c>
      <c r="H178" t="s">
        <v>82</v>
      </c>
      <c r="I178" t="s">
        <v>155</v>
      </c>
      <c r="J178" t="s">
        <v>156</v>
      </c>
      <c r="K178" t="s">
        <v>73</v>
      </c>
      <c r="L178" t="s">
        <v>74</v>
      </c>
      <c r="M178" s="5">
        <v>95700</v>
      </c>
      <c r="N178" s="5">
        <v>16500</v>
      </c>
      <c r="O178" s="5">
        <v>13150</v>
      </c>
      <c r="P178" s="5">
        <v>24000</v>
      </c>
      <c r="Q178" s="13">
        <v>151850</v>
      </c>
      <c r="R178" t="s">
        <v>95</v>
      </c>
      <c r="S178" t="s">
        <v>63</v>
      </c>
      <c r="T178" s="5">
        <v>151850</v>
      </c>
      <c r="U178" s="6">
        <v>5</v>
      </c>
      <c r="V178" t="s">
        <v>77</v>
      </c>
      <c r="W178" s="4">
        <v>46096</v>
      </c>
      <c r="X178" t="s">
        <v>77</v>
      </c>
      <c r="Y178" t="s">
        <v>64</v>
      </c>
      <c r="Z178" t="s">
        <v>107</v>
      </c>
      <c r="AA178" t="str">
        <f>VLOOKUP(H178,Departments!$A:$B,2,0)</f>
        <v>Orthopedics</v>
      </c>
      <c r="AB178" t="str">
        <f>VLOOKUP(J178,Diagnosis_Guide!$A:$B,2,0)</f>
        <v>Spinal Injury</v>
      </c>
      <c r="AC178" s="4" t="str">
        <f>VLOOKUP(J178,Diagnosis_Guide!$A:$C,3,0)</f>
        <v>Musculoskeletal</v>
      </c>
      <c r="AD178" s="4" t="str">
        <f>VLOOKUP(R178,Insurance_Plans!$A:$C,3,0)</f>
        <v>Self-Pay</v>
      </c>
      <c r="AE178" s="13">
        <f t="shared" si="6"/>
        <v>7592.5</v>
      </c>
      <c r="AF178" s="13">
        <f t="shared" si="7"/>
        <v>159442.5</v>
      </c>
      <c r="AG178" s="4" t="str">
        <f t="shared" si="8"/>
        <v>High</v>
      </c>
    </row>
    <row r="179" spans="1:33">
      <c r="A179" t="s">
        <v>560</v>
      </c>
      <c r="B179" t="s">
        <v>258</v>
      </c>
      <c r="C179" s="11">
        <v>46104</v>
      </c>
      <c r="D179" t="s">
        <v>173</v>
      </c>
      <c r="E179" t="s">
        <v>70</v>
      </c>
      <c r="F179" s="4">
        <v>46104</v>
      </c>
      <c r="G179" s="4">
        <v>46111</v>
      </c>
      <c r="H179" t="s">
        <v>103</v>
      </c>
      <c r="I179" t="s">
        <v>364</v>
      </c>
      <c r="J179" t="s">
        <v>105</v>
      </c>
      <c r="K179" t="s">
        <v>73</v>
      </c>
      <c r="L179" t="s">
        <v>94</v>
      </c>
      <c r="M179" s="5">
        <v>60300</v>
      </c>
      <c r="N179" s="5">
        <v>10600</v>
      </c>
      <c r="O179" s="5">
        <v>8300</v>
      </c>
      <c r="P179" s="5">
        <v>31500</v>
      </c>
      <c r="Q179" s="13">
        <v>111500</v>
      </c>
      <c r="R179" t="s">
        <v>106</v>
      </c>
      <c r="S179" t="s">
        <v>86</v>
      </c>
      <c r="T179" s="5">
        <v>39720</v>
      </c>
      <c r="U179" s="6">
        <v>2</v>
      </c>
      <c r="V179" t="s">
        <v>77</v>
      </c>
      <c r="W179" s="4">
        <v>46126</v>
      </c>
      <c r="X179" t="s">
        <v>77</v>
      </c>
      <c r="Y179" t="s">
        <v>77</v>
      </c>
      <c r="Z179" t="s">
        <v>78</v>
      </c>
      <c r="AA179" t="str">
        <f>VLOOKUP(H179,Departments!$A:$B,2,0)</f>
        <v>Nephrology</v>
      </c>
      <c r="AB179" t="str">
        <f>VLOOKUP(J179,Diagnosis_Guide!$A:$B,2,0)</f>
        <v>Dialysis Complication</v>
      </c>
      <c r="AC179" s="4" t="str">
        <f>VLOOKUP(J179,Diagnosis_Guide!$A:$C,3,0)</f>
        <v>Renal</v>
      </c>
      <c r="AD179" s="4" t="str">
        <f>VLOOKUP(R179,Insurance_Plans!$A:$C,3,0)</f>
        <v>Private</v>
      </c>
      <c r="AE179" s="13">
        <f t="shared" si="6"/>
        <v>5575</v>
      </c>
      <c r="AF179" s="13">
        <f t="shared" si="7"/>
        <v>117075</v>
      </c>
      <c r="AG179" s="4" t="str">
        <f t="shared" si="8"/>
        <v>Low</v>
      </c>
    </row>
    <row r="180" spans="1:33">
      <c r="A180" t="s">
        <v>561</v>
      </c>
      <c r="B180" t="s">
        <v>562</v>
      </c>
      <c r="C180" s="11">
        <v>46054</v>
      </c>
      <c r="D180" t="s">
        <v>120</v>
      </c>
      <c r="E180" t="s">
        <v>70</v>
      </c>
      <c r="F180" s="4">
        <v>46054</v>
      </c>
      <c r="G180" s="4">
        <v>46057</v>
      </c>
      <c r="H180" t="s">
        <v>178</v>
      </c>
      <c r="I180" t="s">
        <v>179</v>
      </c>
      <c r="J180" t="s">
        <v>180</v>
      </c>
      <c r="K180" t="s">
        <v>93</v>
      </c>
      <c r="L180" t="s">
        <v>94</v>
      </c>
      <c r="M180" s="5">
        <v>77200</v>
      </c>
      <c r="N180" s="5">
        <v>9150</v>
      </c>
      <c r="O180" s="5">
        <v>14700</v>
      </c>
      <c r="P180" s="5">
        <v>18000</v>
      </c>
      <c r="Q180" s="13">
        <v>120050</v>
      </c>
      <c r="R180" t="s">
        <v>75</v>
      </c>
      <c r="S180" t="s">
        <v>76</v>
      </c>
      <c r="T180" s="5">
        <v>54320</v>
      </c>
      <c r="U180" s="6">
        <v>4</v>
      </c>
      <c r="V180" t="s">
        <v>77</v>
      </c>
      <c r="W180" s="4">
        <v>46078</v>
      </c>
      <c r="X180" t="s">
        <v>64</v>
      </c>
      <c r="Y180" t="s">
        <v>64</v>
      </c>
      <c r="Z180" t="s">
        <v>78</v>
      </c>
      <c r="AA180" t="str">
        <f>VLOOKUP(H180,Departments!$A:$B,2,0)</f>
        <v>Surgery</v>
      </c>
      <c r="AB180" t="str">
        <f>VLOOKUP(J180,Diagnosis_Guide!$A:$B,2,0)</f>
        <v>Appendicitis Surgery</v>
      </c>
      <c r="AC180" s="4" t="str">
        <f>VLOOKUP(J180,Diagnosis_Guide!$A:$C,3,0)</f>
        <v>Surgical</v>
      </c>
      <c r="AD180" s="4" t="str">
        <f>VLOOKUP(R180,Insurance_Plans!$A:$C,3,0)</f>
        <v>Public</v>
      </c>
      <c r="AE180" s="13">
        <f t="shared" si="6"/>
        <v>6002.5</v>
      </c>
      <c r="AF180" s="13">
        <f t="shared" si="7"/>
        <v>126052.5</v>
      </c>
      <c r="AG180" s="4" t="str">
        <f t="shared" si="8"/>
        <v>High</v>
      </c>
    </row>
    <row r="181" spans="1:33">
      <c r="A181" t="s">
        <v>563</v>
      </c>
      <c r="B181" t="s">
        <v>401</v>
      </c>
      <c r="C181" s="11">
        <v>46150</v>
      </c>
      <c r="D181" t="s">
        <v>120</v>
      </c>
      <c r="E181" t="s">
        <v>70</v>
      </c>
      <c r="F181" s="4">
        <v>46150</v>
      </c>
      <c r="G181" s="4">
        <v>46150</v>
      </c>
      <c r="H181" t="s">
        <v>90</v>
      </c>
      <c r="I181" t="s">
        <v>128</v>
      </c>
      <c r="J181" t="s">
        <v>92</v>
      </c>
      <c r="K181" t="s">
        <v>60</v>
      </c>
      <c r="L181" t="s">
        <v>61</v>
      </c>
      <c r="M181" s="5">
        <v>67600</v>
      </c>
      <c r="N181" s="5">
        <v>12100</v>
      </c>
      <c r="O181" s="5">
        <v>16000</v>
      </c>
      <c r="P181" s="5">
        <v>0</v>
      </c>
      <c r="Q181" s="13">
        <v>97700</v>
      </c>
      <c r="R181" t="s">
        <v>106</v>
      </c>
      <c r="S181" t="s">
        <v>86</v>
      </c>
      <c r="T181" s="5">
        <v>34900</v>
      </c>
      <c r="U181" s="6">
        <v>4</v>
      </c>
      <c r="V181" t="s">
        <v>77</v>
      </c>
      <c r="W181" s="4">
        <v>46171</v>
      </c>
      <c r="X181" t="s">
        <v>77</v>
      </c>
      <c r="Y181" t="s">
        <v>64</v>
      </c>
      <c r="Z181" t="s">
        <v>96</v>
      </c>
      <c r="AA181" t="str">
        <f>VLOOKUP(H181,Departments!$A:$B,2,0)</f>
        <v>Cardiology</v>
      </c>
      <c r="AB181" t="str">
        <f>VLOOKUP(J181,Diagnosis_Guide!$A:$B,2,0)</f>
        <v>Heart Failure</v>
      </c>
      <c r="AC181" s="4" t="str">
        <f>VLOOKUP(J181,Diagnosis_Guide!$A:$C,3,0)</f>
        <v>Cardiovascular</v>
      </c>
      <c r="AD181" s="4" t="str">
        <f>VLOOKUP(R181,Insurance_Plans!$A:$C,3,0)</f>
        <v>Private</v>
      </c>
      <c r="AE181" s="13">
        <f t="shared" si="6"/>
        <v>4885</v>
      </c>
      <c r="AF181" s="13">
        <f t="shared" si="7"/>
        <v>102585</v>
      </c>
      <c r="AG181" s="4" t="str">
        <f t="shared" si="8"/>
        <v>High</v>
      </c>
    </row>
    <row r="182" spans="1:33">
      <c r="A182" t="s">
        <v>564</v>
      </c>
      <c r="B182" t="s">
        <v>565</v>
      </c>
      <c r="C182" s="11">
        <v>46125</v>
      </c>
      <c r="D182" t="s">
        <v>294</v>
      </c>
      <c r="E182" t="s">
        <v>70</v>
      </c>
      <c r="F182" s="4">
        <v>46126</v>
      </c>
      <c r="G182" s="4">
        <v>46126</v>
      </c>
      <c r="H182" t="s">
        <v>111</v>
      </c>
      <c r="I182" t="s">
        <v>355</v>
      </c>
      <c r="J182" t="s">
        <v>113</v>
      </c>
      <c r="K182" t="s">
        <v>60</v>
      </c>
      <c r="L182" t="s">
        <v>74</v>
      </c>
      <c r="M182" s="5">
        <v>23500</v>
      </c>
      <c r="N182" s="5">
        <v>4000</v>
      </c>
      <c r="O182" s="5">
        <v>5300</v>
      </c>
      <c r="P182" s="5">
        <v>0</v>
      </c>
      <c r="Q182" s="13">
        <v>34300</v>
      </c>
      <c r="R182" t="s">
        <v>62</v>
      </c>
      <c r="S182" t="s">
        <v>76</v>
      </c>
      <c r="T182" s="5">
        <v>10690</v>
      </c>
      <c r="U182" s="6">
        <v>5</v>
      </c>
      <c r="V182" t="s">
        <v>77</v>
      </c>
      <c r="W182" s="4">
        <v>46146</v>
      </c>
      <c r="X182" t="s">
        <v>77</v>
      </c>
      <c r="Y182" t="s">
        <v>64</v>
      </c>
      <c r="Z182" t="s">
        <v>78</v>
      </c>
      <c r="AA182" t="str">
        <f>VLOOKUP(H182,Departments!$A:$B,2,0)</f>
        <v>General Medicine</v>
      </c>
      <c r="AB182" t="str">
        <f>VLOOKUP(J182,Diagnosis_Guide!$A:$B,2,0)</f>
        <v>Diabetes Complication</v>
      </c>
      <c r="AC182" s="4" t="str">
        <f>VLOOKUP(J182,Diagnosis_Guide!$A:$C,3,0)</f>
        <v>Endocrine/General</v>
      </c>
      <c r="AD182" s="4" t="str">
        <f>VLOOKUP(R182,Insurance_Plans!$A:$C,3,0)</f>
        <v>Public</v>
      </c>
      <c r="AE182" s="13">
        <f t="shared" si="6"/>
        <v>1715</v>
      </c>
      <c r="AF182" s="13">
        <f t="shared" si="7"/>
        <v>36015</v>
      </c>
      <c r="AG182" s="4" t="str">
        <f t="shared" si="8"/>
        <v>High</v>
      </c>
    </row>
    <row r="183" spans="1:33">
      <c r="A183" t="s">
        <v>566</v>
      </c>
      <c r="B183" t="s">
        <v>567</v>
      </c>
      <c r="C183" s="11">
        <v>46024</v>
      </c>
      <c r="D183" t="s">
        <v>120</v>
      </c>
      <c r="E183" t="s">
        <v>338</v>
      </c>
      <c r="F183" s="4"/>
      <c r="G183" s="4"/>
      <c r="H183" t="s">
        <v>150</v>
      </c>
      <c r="I183" t="s">
        <v>239</v>
      </c>
      <c r="J183" t="s">
        <v>229</v>
      </c>
      <c r="K183" t="s">
        <v>60</v>
      </c>
      <c r="L183" t="s">
        <v>74</v>
      </c>
      <c r="M183" s="5"/>
      <c r="N183" s="5"/>
      <c r="O183" s="5"/>
      <c r="P183" s="5"/>
      <c r="R183" t="s">
        <v>141</v>
      </c>
      <c r="S183" t="s">
        <v>63</v>
      </c>
      <c r="T183" s="5"/>
      <c r="U183" s="6"/>
      <c r="V183" t="s">
        <v>64</v>
      </c>
      <c r="W183" s="4"/>
      <c r="X183" t="s">
        <v>65</v>
      </c>
      <c r="Z183" t="s">
        <v>66</v>
      </c>
      <c r="AA183" t="str">
        <f>VLOOKUP(H183,Departments!$A:$B,2,0)</f>
        <v>Obstetrics</v>
      </c>
      <c r="AB183" t="str">
        <f>VLOOKUP(J183,Diagnosis_Guide!$A:$B,2,0)</f>
        <v>Delivery Care</v>
      </c>
      <c r="AC183" s="4" t="str">
        <f>VLOOKUP(J183,Diagnosis_Guide!$A:$C,3,0)</f>
        <v>Maternal Health</v>
      </c>
      <c r="AD183" s="4" t="str">
        <f>VLOOKUP(R183,Insurance_Plans!$A:$C,3,0)</f>
        <v>Private</v>
      </c>
      <c r="AE183" s="13" t="str">
        <f t="shared" si="6"/>
        <v/>
      </c>
      <c r="AF183" s="13" t="str">
        <f t="shared" si="7"/>
        <v/>
      </c>
      <c r="AG183" s="4" t="str">
        <f t="shared" si="8"/>
        <v>Not Available</v>
      </c>
    </row>
    <row r="184" spans="1:33">
      <c r="A184" t="s">
        <v>568</v>
      </c>
      <c r="B184" t="s">
        <v>569</v>
      </c>
      <c r="C184" s="11">
        <v>46092</v>
      </c>
      <c r="D184" t="s">
        <v>298</v>
      </c>
      <c r="E184" t="s">
        <v>70</v>
      </c>
      <c r="F184" s="4">
        <v>46092</v>
      </c>
      <c r="G184" s="4">
        <v>46092</v>
      </c>
      <c r="H184" t="s">
        <v>103</v>
      </c>
      <c r="I184" t="s">
        <v>207</v>
      </c>
      <c r="J184" t="s">
        <v>105</v>
      </c>
      <c r="K184" t="s">
        <v>60</v>
      </c>
      <c r="L184" t="s">
        <v>74</v>
      </c>
      <c r="M184" s="5">
        <v>55600</v>
      </c>
      <c r="N184" s="5">
        <v>5150</v>
      </c>
      <c r="O184" s="5">
        <v>9950</v>
      </c>
      <c r="P184" s="5">
        <v>0</v>
      </c>
      <c r="Q184" s="13">
        <v>72200</v>
      </c>
      <c r="R184" t="s">
        <v>85</v>
      </c>
      <c r="S184" t="s">
        <v>76</v>
      </c>
      <c r="T184" s="5">
        <v>18950</v>
      </c>
      <c r="U184" s="6">
        <v>4</v>
      </c>
      <c r="V184" t="s">
        <v>77</v>
      </c>
      <c r="W184" s="4">
        <v>46110</v>
      </c>
      <c r="X184" t="s">
        <v>77</v>
      </c>
      <c r="Y184" t="s">
        <v>77</v>
      </c>
      <c r="Z184" t="s">
        <v>96</v>
      </c>
      <c r="AA184" t="str">
        <f>VLOOKUP(H184,Departments!$A:$B,2,0)</f>
        <v>Nephrology</v>
      </c>
      <c r="AB184" t="str">
        <f>VLOOKUP(J184,Diagnosis_Guide!$A:$B,2,0)</f>
        <v>Dialysis Complication</v>
      </c>
      <c r="AC184" s="4" t="str">
        <f>VLOOKUP(J184,Diagnosis_Guide!$A:$C,3,0)</f>
        <v>Renal</v>
      </c>
      <c r="AD184" s="4" t="str">
        <f>VLOOKUP(R184,Insurance_Plans!$A:$C,3,0)</f>
        <v>Employer</v>
      </c>
      <c r="AE184" s="13">
        <f t="shared" si="6"/>
        <v>3610</v>
      </c>
      <c r="AF184" s="13">
        <f t="shared" si="7"/>
        <v>75810</v>
      </c>
      <c r="AG184" s="4" t="str">
        <f t="shared" si="8"/>
        <v>High</v>
      </c>
    </row>
    <row r="185" spans="1:33">
      <c r="A185" t="s">
        <v>570</v>
      </c>
      <c r="B185" t="s">
        <v>571</v>
      </c>
      <c r="C185" s="11">
        <v>46149</v>
      </c>
      <c r="D185" t="s">
        <v>99</v>
      </c>
      <c r="E185" t="s">
        <v>70</v>
      </c>
      <c r="F185" s="4">
        <v>46149</v>
      </c>
      <c r="G185" s="4">
        <v>46149</v>
      </c>
      <c r="H185" t="s">
        <v>150</v>
      </c>
      <c r="I185" t="s">
        <v>304</v>
      </c>
      <c r="J185" t="s">
        <v>152</v>
      </c>
      <c r="K185" t="s">
        <v>60</v>
      </c>
      <c r="L185" t="s">
        <v>94</v>
      </c>
      <c r="M185" s="5">
        <v>22000</v>
      </c>
      <c r="N185" s="5">
        <v>3550</v>
      </c>
      <c r="O185" s="5">
        <v>4700</v>
      </c>
      <c r="P185" s="5">
        <v>0</v>
      </c>
      <c r="Q185" s="13">
        <v>31450</v>
      </c>
      <c r="R185" t="s">
        <v>141</v>
      </c>
      <c r="S185" t="s">
        <v>76</v>
      </c>
      <c r="T185" s="5">
        <v>5920</v>
      </c>
      <c r="U185" s="6">
        <v>5</v>
      </c>
      <c r="V185" t="s">
        <v>64</v>
      </c>
      <c r="W185" s="4"/>
      <c r="X185" t="s">
        <v>65</v>
      </c>
      <c r="Y185" t="s">
        <v>64</v>
      </c>
      <c r="Z185" t="s">
        <v>96</v>
      </c>
      <c r="AA185" t="str">
        <f>VLOOKUP(H185,Departments!$A:$B,2,0)</f>
        <v>Obstetrics</v>
      </c>
      <c r="AB185" t="str">
        <f>VLOOKUP(J185,Diagnosis_Guide!$A:$B,2,0)</f>
        <v>Antenatal Complication</v>
      </c>
      <c r="AC185" s="4" t="str">
        <f>VLOOKUP(J185,Diagnosis_Guide!$A:$C,3,0)</f>
        <v>Maternal Health</v>
      </c>
      <c r="AD185" s="4" t="str">
        <f>VLOOKUP(R185,Insurance_Plans!$A:$C,3,0)</f>
        <v>Private</v>
      </c>
      <c r="AE185" s="13">
        <f t="shared" si="6"/>
        <v>1572.5</v>
      </c>
      <c r="AF185" s="13">
        <f t="shared" si="7"/>
        <v>33022.5</v>
      </c>
      <c r="AG185" s="4" t="str">
        <f t="shared" si="8"/>
        <v>High</v>
      </c>
    </row>
    <row r="186" spans="1:33">
      <c r="A186" t="s">
        <v>572</v>
      </c>
      <c r="B186" t="s">
        <v>573</v>
      </c>
      <c r="C186" s="11">
        <v>46074</v>
      </c>
      <c r="D186" t="s">
        <v>432</v>
      </c>
      <c r="E186" t="s">
        <v>70</v>
      </c>
      <c r="F186" s="4">
        <v>46074</v>
      </c>
      <c r="G186" s="4">
        <v>46078</v>
      </c>
      <c r="H186" t="s">
        <v>201</v>
      </c>
      <c r="I186" t="s">
        <v>280</v>
      </c>
      <c r="J186" t="s">
        <v>203</v>
      </c>
      <c r="K186" t="s">
        <v>124</v>
      </c>
      <c r="L186" t="s">
        <v>146</v>
      </c>
      <c r="M186" s="5">
        <v>35400</v>
      </c>
      <c r="N186" s="5">
        <v>6000</v>
      </c>
      <c r="O186" s="5">
        <v>4550</v>
      </c>
      <c r="P186" s="5">
        <v>10000</v>
      </c>
      <c r="Q186" s="13">
        <v>56950</v>
      </c>
      <c r="R186" t="s">
        <v>141</v>
      </c>
      <c r="S186" t="s">
        <v>76</v>
      </c>
      <c r="T186" s="5">
        <v>9740</v>
      </c>
      <c r="U186" s="6">
        <v>2</v>
      </c>
      <c r="V186" t="s">
        <v>77</v>
      </c>
      <c r="W186" s="4">
        <v>46086</v>
      </c>
      <c r="X186" t="s">
        <v>64</v>
      </c>
      <c r="Y186" t="s">
        <v>77</v>
      </c>
      <c r="Z186" t="s">
        <v>96</v>
      </c>
      <c r="AA186" t="str">
        <f>VLOOKUP(H186,Departments!$A:$B,2,0)</f>
        <v>Emergency</v>
      </c>
      <c r="AB186" t="str">
        <f>VLOOKUP(J186,Diagnosis_Guide!$A:$B,2,0)</f>
        <v>Trauma Observation</v>
      </c>
      <c r="AC186" s="4" t="str">
        <f>VLOOKUP(J186,Diagnosis_Guide!$A:$C,3,0)</f>
        <v>Emergency</v>
      </c>
      <c r="AD186" s="4" t="str">
        <f>VLOOKUP(R186,Insurance_Plans!$A:$C,3,0)</f>
        <v>Private</v>
      </c>
      <c r="AE186" s="13">
        <f t="shared" si="6"/>
        <v>2847.5</v>
      </c>
      <c r="AF186" s="13">
        <f t="shared" si="7"/>
        <v>59797.5</v>
      </c>
      <c r="AG186" s="4" t="str">
        <f t="shared" si="8"/>
        <v>Low</v>
      </c>
    </row>
    <row r="187" spans="1:33">
      <c r="A187" t="s">
        <v>574</v>
      </c>
      <c r="B187" t="s">
        <v>165</v>
      </c>
      <c r="C187" s="11">
        <v>46120</v>
      </c>
      <c r="D187" t="s">
        <v>432</v>
      </c>
      <c r="E187" t="s">
        <v>70</v>
      </c>
      <c r="F187" s="4">
        <v>46121</v>
      </c>
      <c r="G187" s="4">
        <v>46121</v>
      </c>
      <c r="H187" t="s">
        <v>121</v>
      </c>
      <c r="I187" t="s">
        <v>122</v>
      </c>
      <c r="J187" t="s">
        <v>256</v>
      </c>
      <c r="K187" t="s">
        <v>60</v>
      </c>
      <c r="L187" t="s">
        <v>94</v>
      </c>
      <c r="M187" s="5">
        <v>14500</v>
      </c>
      <c r="N187" s="5">
        <v>1250</v>
      </c>
      <c r="O187" s="5">
        <v>2000</v>
      </c>
      <c r="P187" s="5">
        <v>0</v>
      </c>
      <c r="Q187" s="13">
        <v>18750</v>
      </c>
      <c r="R187" t="s">
        <v>75</v>
      </c>
      <c r="S187" t="s">
        <v>76</v>
      </c>
      <c r="T187" s="5">
        <v>8740</v>
      </c>
      <c r="U187" s="6">
        <v>5</v>
      </c>
      <c r="V187" t="s">
        <v>64</v>
      </c>
      <c r="W187" s="4"/>
      <c r="X187" t="s">
        <v>65</v>
      </c>
      <c r="Y187" t="s">
        <v>64</v>
      </c>
      <c r="Z187" t="s">
        <v>96</v>
      </c>
      <c r="AA187" t="str">
        <f>VLOOKUP(H187,Departments!$A:$B,2,0)</f>
        <v>Neurology</v>
      </c>
      <c r="AB187" t="str">
        <f>VLOOKUP(J187,Diagnosis_Guide!$A:$B,2,0)</f>
        <v>Migraine Complication</v>
      </c>
      <c r="AC187" s="4" t="str">
        <f>VLOOKUP(J187,Diagnosis_Guide!$A:$C,3,0)</f>
        <v>Neurological</v>
      </c>
      <c r="AD187" s="4" t="str">
        <f>VLOOKUP(R187,Insurance_Plans!$A:$C,3,0)</f>
        <v>Public</v>
      </c>
      <c r="AE187" s="13">
        <f t="shared" si="6"/>
        <v>937.5</v>
      </c>
      <c r="AF187" s="13">
        <f t="shared" si="7"/>
        <v>19687.5</v>
      </c>
      <c r="AG187" s="4" t="str">
        <f t="shared" si="8"/>
        <v>High</v>
      </c>
    </row>
    <row r="188" spans="1:33">
      <c r="A188" t="s">
        <v>575</v>
      </c>
      <c r="B188" t="s">
        <v>576</v>
      </c>
      <c r="C188" s="11">
        <v>46091</v>
      </c>
      <c r="D188" t="s">
        <v>307</v>
      </c>
      <c r="E188" t="s">
        <v>70</v>
      </c>
      <c r="F188" s="4">
        <v>46091</v>
      </c>
      <c r="G188" s="4">
        <v>46095</v>
      </c>
      <c r="H188" t="s">
        <v>178</v>
      </c>
      <c r="I188" t="s">
        <v>462</v>
      </c>
      <c r="J188" t="s">
        <v>180</v>
      </c>
      <c r="K188" t="s">
        <v>73</v>
      </c>
      <c r="L188" t="s">
        <v>94</v>
      </c>
      <c r="M188" s="5">
        <v>72600</v>
      </c>
      <c r="N188" s="5">
        <v>9250</v>
      </c>
      <c r="O188" s="5">
        <v>10600</v>
      </c>
      <c r="P188" s="5">
        <v>12000</v>
      </c>
      <c r="Q188" s="13">
        <v>106950</v>
      </c>
      <c r="R188" t="s">
        <v>75</v>
      </c>
      <c r="S188" t="s">
        <v>76</v>
      </c>
      <c r="T188" s="5">
        <v>48430</v>
      </c>
      <c r="U188" s="6">
        <v>1</v>
      </c>
      <c r="V188" t="s">
        <v>77</v>
      </c>
      <c r="W188" s="4">
        <v>46107</v>
      </c>
      <c r="X188" t="s">
        <v>64</v>
      </c>
      <c r="Y188" t="s">
        <v>77</v>
      </c>
      <c r="Z188" t="s">
        <v>78</v>
      </c>
      <c r="AA188" t="str">
        <f>VLOOKUP(H188,Departments!$A:$B,2,0)</f>
        <v>Surgery</v>
      </c>
      <c r="AB188" t="str">
        <f>VLOOKUP(J188,Diagnosis_Guide!$A:$B,2,0)</f>
        <v>Appendicitis Surgery</v>
      </c>
      <c r="AC188" s="4" t="str">
        <f>VLOOKUP(J188,Diagnosis_Guide!$A:$C,3,0)</f>
        <v>Surgical</v>
      </c>
      <c r="AD188" s="4" t="str">
        <f>VLOOKUP(R188,Insurance_Plans!$A:$C,3,0)</f>
        <v>Public</v>
      </c>
      <c r="AE188" s="13">
        <f t="shared" si="6"/>
        <v>5347.5</v>
      </c>
      <c r="AF188" s="13">
        <f t="shared" si="7"/>
        <v>112297.5</v>
      </c>
      <c r="AG188" s="4" t="str">
        <f t="shared" si="8"/>
        <v>Low</v>
      </c>
    </row>
    <row r="189" spans="1:33">
      <c r="A189" t="s">
        <v>577</v>
      </c>
      <c r="B189" t="s">
        <v>578</v>
      </c>
      <c r="C189" s="11">
        <v>46113</v>
      </c>
      <c r="D189" t="s">
        <v>132</v>
      </c>
      <c r="E189" t="s">
        <v>70</v>
      </c>
      <c r="F189" s="4">
        <v>46113</v>
      </c>
      <c r="G189" s="4">
        <v>46114</v>
      </c>
      <c r="H189" t="s">
        <v>103</v>
      </c>
      <c r="I189" t="s">
        <v>214</v>
      </c>
      <c r="J189" t="s">
        <v>244</v>
      </c>
      <c r="K189" t="s">
        <v>60</v>
      </c>
      <c r="L189" t="s">
        <v>61</v>
      </c>
      <c r="M189" s="5">
        <v>90100</v>
      </c>
      <c r="N189" s="5">
        <v>11950</v>
      </c>
      <c r="O189" s="5">
        <v>11250</v>
      </c>
      <c r="P189" s="5">
        <v>3000</v>
      </c>
      <c r="Q189" s="13">
        <v>117100</v>
      </c>
      <c r="R189" t="s">
        <v>95</v>
      </c>
      <c r="S189" t="s">
        <v>63</v>
      </c>
      <c r="T189" s="5">
        <v>117100</v>
      </c>
      <c r="U189" s="6">
        <v>3</v>
      </c>
      <c r="V189" t="s">
        <v>77</v>
      </c>
      <c r="W189" s="4">
        <v>46133</v>
      </c>
      <c r="X189" t="s">
        <v>64</v>
      </c>
      <c r="Y189" t="s">
        <v>64</v>
      </c>
      <c r="Z189" t="s">
        <v>96</v>
      </c>
      <c r="AA189" t="str">
        <f>VLOOKUP(H189,Departments!$A:$B,2,0)</f>
        <v>Nephrology</v>
      </c>
      <c r="AB189" t="str">
        <f>VLOOKUP(J189,Diagnosis_Guide!$A:$B,2,0)</f>
        <v>Chronic Kidney Disease</v>
      </c>
      <c r="AC189" s="4" t="str">
        <f>VLOOKUP(J189,Diagnosis_Guide!$A:$C,3,0)</f>
        <v>Renal</v>
      </c>
      <c r="AD189" s="4" t="str">
        <f>VLOOKUP(R189,Insurance_Plans!$A:$C,3,0)</f>
        <v>Self-Pay</v>
      </c>
      <c r="AE189" s="13">
        <f t="shared" si="6"/>
        <v>5855</v>
      </c>
      <c r="AF189" s="13">
        <f t="shared" si="7"/>
        <v>122955</v>
      </c>
      <c r="AG189" s="4" t="str">
        <f t="shared" si="8"/>
        <v>Medium</v>
      </c>
    </row>
    <row r="190" spans="1:33">
      <c r="A190" t="s">
        <v>579</v>
      </c>
      <c r="B190" t="s">
        <v>231</v>
      </c>
      <c r="C190" s="11">
        <v>46155</v>
      </c>
      <c r="D190" t="s">
        <v>242</v>
      </c>
      <c r="E190" t="s">
        <v>70</v>
      </c>
      <c r="F190" s="4">
        <v>46155</v>
      </c>
      <c r="G190" s="4">
        <v>46160</v>
      </c>
      <c r="H190" t="s">
        <v>90</v>
      </c>
      <c r="I190" t="s">
        <v>162</v>
      </c>
      <c r="J190" t="s">
        <v>129</v>
      </c>
      <c r="K190" t="s">
        <v>73</v>
      </c>
      <c r="L190" t="s">
        <v>94</v>
      </c>
      <c r="M190" s="5">
        <v>33300</v>
      </c>
      <c r="N190" s="5">
        <v>2750</v>
      </c>
      <c r="O190" s="5">
        <v>6200</v>
      </c>
      <c r="P190" s="5">
        <v>22500</v>
      </c>
      <c r="Q190" s="13">
        <v>65950</v>
      </c>
      <c r="R190" t="s">
        <v>106</v>
      </c>
      <c r="S190" t="s">
        <v>76</v>
      </c>
      <c r="T190" s="5">
        <v>23780</v>
      </c>
      <c r="U190" s="6">
        <v>5</v>
      </c>
      <c r="V190" t="s">
        <v>77</v>
      </c>
      <c r="W190" s="4">
        <v>46173</v>
      </c>
      <c r="X190" t="s">
        <v>77</v>
      </c>
      <c r="Y190" t="s">
        <v>64</v>
      </c>
      <c r="Z190" t="s">
        <v>78</v>
      </c>
      <c r="AA190" t="str">
        <f>VLOOKUP(H190,Departments!$A:$B,2,0)</f>
        <v>Cardiology</v>
      </c>
      <c r="AB190" t="str">
        <f>VLOOKUP(J190,Diagnosis_Guide!$A:$B,2,0)</f>
        <v>Hypertension Crisis</v>
      </c>
      <c r="AC190" s="4" t="str">
        <f>VLOOKUP(J190,Diagnosis_Guide!$A:$C,3,0)</f>
        <v>Cardiovascular</v>
      </c>
      <c r="AD190" s="4" t="str">
        <f>VLOOKUP(R190,Insurance_Plans!$A:$C,3,0)</f>
        <v>Private</v>
      </c>
      <c r="AE190" s="13">
        <f t="shared" si="6"/>
        <v>3297.5</v>
      </c>
      <c r="AF190" s="13">
        <f t="shared" si="7"/>
        <v>69247.5</v>
      </c>
      <c r="AG190" s="4" t="str">
        <f t="shared" si="8"/>
        <v>High</v>
      </c>
    </row>
    <row r="191" spans="1:33">
      <c r="A191" t="s">
        <v>580</v>
      </c>
      <c r="B191" t="s">
        <v>581</v>
      </c>
      <c r="C191" s="11">
        <v>46129</v>
      </c>
      <c r="D191" t="s">
        <v>200</v>
      </c>
      <c r="E191" t="s">
        <v>70</v>
      </c>
      <c r="F191" s="4">
        <v>46129</v>
      </c>
      <c r="G191" s="4">
        <v>46133</v>
      </c>
      <c r="H191" t="s">
        <v>201</v>
      </c>
      <c r="I191" t="s">
        <v>202</v>
      </c>
      <c r="J191" t="s">
        <v>203</v>
      </c>
      <c r="K191" t="s">
        <v>124</v>
      </c>
      <c r="L191" t="s">
        <v>94</v>
      </c>
      <c r="M191" s="5">
        <v>39900</v>
      </c>
      <c r="N191" s="5">
        <v>7050</v>
      </c>
      <c r="O191" s="5">
        <v>8750</v>
      </c>
      <c r="P191" s="5">
        <v>14000</v>
      </c>
      <c r="Q191" s="13">
        <v>72200</v>
      </c>
      <c r="R191" t="s">
        <v>75</v>
      </c>
      <c r="S191" t="s">
        <v>76</v>
      </c>
      <c r="T191" s="5">
        <v>32790</v>
      </c>
      <c r="U191" s="6">
        <v>5</v>
      </c>
      <c r="V191" t="s">
        <v>77</v>
      </c>
      <c r="W191" s="4">
        <v>46150</v>
      </c>
      <c r="X191" t="s">
        <v>77</v>
      </c>
      <c r="Y191" t="s">
        <v>64</v>
      </c>
      <c r="Z191" t="s">
        <v>96</v>
      </c>
      <c r="AA191" t="str">
        <f>VLOOKUP(H191,Departments!$A:$B,2,0)</f>
        <v>Emergency</v>
      </c>
      <c r="AB191" t="str">
        <f>VLOOKUP(J191,Diagnosis_Guide!$A:$B,2,0)</f>
        <v>Trauma Observation</v>
      </c>
      <c r="AC191" s="4" t="str">
        <f>VLOOKUP(J191,Diagnosis_Guide!$A:$C,3,0)</f>
        <v>Emergency</v>
      </c>
      <c r="AD191" s="4" t="str">
        <f>VLOOKUP(R191,Insurance_Plans!$A:$C,3,0)</f>
        <v>Public</v>
      </c>
      <c r="AE191" s="13">
        <f t="shared" si="6"/>
        <v>3610</v>
      </c>
      <c r="AF191" s="13">
        <f t="shared" si="7"/>
        <v>75810</v>
      </c>
      <c r="AG191" s="4" t="str">
        <f t="shared" si="8"/>
        <v>High</v>
      </c>
    </row>
    <row r="192" spans="1:33">
      <c r="A192" t="s">
        <v>582</v>
      </c>
      <c r="B192" t="s">
        <v>583</v>
      </c>
      <c r="C192" s="11">
        <v>46054</v>
      </c>
      <c r="D192" t="s">
        <v>234</v>
      </c>
      <c r="E192" t="s">
        <v>70</v>
      </c>
      <c r="F192" s="4">
        <v>46054</v>
      </c>
      <c r="G192" s="4">
        <v>46060</v>
      </c>
      <c r="H192" t="s">
        <v>90</v>
      </c>
      <c r="I192" t="s">
        <v>162</v>
      </c>
      <c r="J192" t="s">
        <v>92</v>
      </c>
      <c r="K192" t="s">
        <v>73</v>
      </c>
      <c r="L192" t="s">
        <v>94</v>
      </c>
      <c r="M192" s="5">
        <v>57600</v>
      </c>
      <c r="N192" s="5">
        <v>7500</v>
      </c>
      <c r="O192" s="5">
        <v>14050</v>
      </c>
      <c r="P192" s="5">
        <v>36000</v>
      </c>
      <c r="Q192" s="13">
        <v>116350</v>
      </c>
      <c r="R192" t="s">
        <v>75</v>
      </c>
      <c r="S192" t="s">
        <v>76</v>
      </c>
      <c r="T192" s="5">
        <v>52660</v>
      </c>
      <c r="U192" s="6">
        <v>3</v>
      </c>
      <c r="V192" t="s">
        <v>77</v>
      </c>
      <c r="W192" s="4">
        <v>46078</v>
      </c>
      <c r="X192" t="s">
        <v>77</v>
      </c>
      <c r="Y192" t="s">
        <v>64</v>
      </c>
      <c r="Z192" t="s">
        <v>96</v>
      </c>
      <c r="AA192" t="str">
        <f>VLOOKUP(H192,Departments!$A:$B,2,0)</f>
        <v>Cardiology</v>
      </c>
      <c r="AB192" t="str">
        <f>VLOOKUP(J192,Diagnosis_Guide!$A:$B,2,0)</f>
        <v>Heart Failure</v>
      </c>
      <c r="AC192" s="4" t="str">
        <f>VLOOKUP(J192,Diagnosis_Guide!$A:$C,3,0)</f>
        <v>Cardiovascular</v>
      </c>
      <c r="AD192" s="4" t="str">
        <f>VLOOKUP(R192,Insurance_Plans!$A:$C,3,0)</f>
        <v>Public</v>
      </c>
      <c r="AE192" s="13">
        <f t="shared" si="6"/>
        <v>5817.5</v>
      </c>
      <c r="AF192" s="13">
        <f t="shared" si="7"/>
        <v>122167.5</v>
      </c>
      <c r="AG192" s="4" t="str">
        <f t="shared" si="8"/>
        <v>Medium</v>
      </c>
    </row>
    <row r="193" spans="1:33">
      <c r="A193" t="s">
        <v>584</v>
      </c>
      <c r="B193" t="s">
        <v>176</v>
      </c>
      <c r="C193" s="11">
        <v>46089</v>
      </c>
      <c r="D193" t="s">
        <v>200</v>
      </c>
      <c r="E193" t="s">
        <v>70</v>
      </c>
      <c r="F193" s="4">
        <v>46089</v>
      </c>
      <c r="G193" s="4">
        <v>46089</v>
      </c>
      <c r="H193" t="s">
        <v>178</v>
      </c>
      <c r="I193" t="s">
        <v>339</v>
      </c>
      <c r="J193" t="s">
        <v>340</v>
      </c>
      <c r="K193" t="s">
        <v>60</v>
      </c>
      <c r="L193" t="s">
        <v>94</v>
      </c>
      <c r="M193" s="5">
        <v>58400</v>
      </c>
      <c r="N193" s="5">
        <v>7900</v>
      </c>
      <c r="O193" s="5">
        <v>8500</v>
      </c>
      <c r="P193" s="5">
        <v>0</v>
      </c>
      <c r="Q193" s="13">
        <v>75600</v>
      </c>
      <c r="R193" t="s">
        <v>75</v>
      </c>
      <c r="S193" t="s">
        <v>76</v>
      </c>
      <c r="T193" s="5">
        <v>34320</v>
      </c>
      <c r="U193" s="6">
        <v>5</v>
      </c>
      <c r="V193" t="s">
        <v>77</v>
      </c>
      <c r="W193" s="4">
        <v>46104</v>
      </c>
      <c r="X193" t="s">
        <v>77</v>
      </c>
      <c r="Y193" t="s">
        <v>64</v>
      </c>
      <c r="Z193" t="s">
        <v>78</v>
      </c>
      <c r="AA193" t="str">
        <f>VLOOKUP(H193,Departments!$A:$B,2,0)</f>
        <v>Surgery</v>
      </c>
      <c r="AB193" t="str">
        <f>VLOOKUP(J193,Diagnosis_Guide!$A:$B,2,0)</f>
        <v>Post-Operative Infection</v>
      </c>
      <c r="AC193" s="4" t="str">
        <f>VLOOKUP(J193,Diagnosis_Guide!$A:$C,3,0)</f>
        <v>Surgical</v>
      </c>
      <c r="AD193" s="4" t="str">
        <f>VLOOKUP(R193,Insurance_Plans!$A:$C,3,0)</f>
        <v>Public</v>
      </c>
      <c r="AE193" s="13">
        <f t="shared" si="6"/>
        <v>3780</v>
      </c>
      <c r="AF193" s="13">
        <f t="shared" si="7"/>
        <v>79380</v>
      </c>
      <c r="AG193" s="4" t="str">
        <f t="shared" si="8"/>
        <v>High</v>
      </c>
    </row>
    <row r="194" spans="1:33">
      <c r="A194" t="s">
        <v>585</v>
      </c>
      <c r="B194" t="s">
        <v>553</v>
      </c>
      <c r="C194" s="11">
        <v>46142</v>
      </c>
      <c r="D194" t="s">
        <v>183</v>
      </c>
      <c r="E194" t="s">
        <v>70</v>
      </c>
      <c r="F194" s="4">
        <v>46143</v>
      </c>
      <c r="G194" s="4">
        <v>46145</v>
      </c>
      <c r="H194" t="s">
        <v>111</v>
      </c>
      <c r="I194" t="s">
        <v>222</v>
      </c>
      <c r="J194" t="s">
        <v>117</v>
      </c>
      <c r="K194" t="s">
        <v>93</v>
      </c>
      <c r="L194" t="s">
        <v>61</v>
      </c>
      <c r="M194" s="5">
        <v>9200</v>
      </c>
      <c r="N194" s="5">
        <v>1450</v>
      </c>
      <c r="O194" s="5">
        <v>1700</v>
      </c>
      <c r="P194" s="5">
        <v>7000</v>
      </c>
      <c r="Q194" s="13">
        <v>20350</v>
      </c>
      <c r="R194" t="s">
        <v>75</v>
      </c>
      <c r="S194" t="s">
        <v>76</v>
      </c>
      <c r="T194" s="5">
        <v>9460</v>
      </c>
      <c r="U194" s="6">
        <v>4</v>
      </c>
      <c r="V194" t="s">
        <v>77</v>
      </c>
      <c r="W194" s="4">
        <v>46156</v>
      </c>
      <c r="X194" t="s">
        <v>77</v>
      </c>
      <c r="Y194" t="s">
        <v>64</v>
      </c>
      <c r="Z194" t="s">
        <v>96</v>
      </c>
      <c r="AA194" t="str">
        <f>VLOOKUP(H194,Departments!$A:$B,2,0)</f>
        <v>General Medicine</v>
      </c>
      <c r="AB194" t="str">
        <f>VLOOKUP(J194,Diagnosis_Guide!$A:$B,2,0)</f>
        <v>Fever Investigation</v>
      </c>
      <c r="AC194" s="4" t="str">
        <f>VLOOKUP(J194,Diagnosis_Guide!$A:$C,3,0)</f>
        <v>Infectious/General</v>
      </c>
      <c r="AD194" s="4" t="str">
        <f>VLOOKUP(R194,Insurance_Plans!$A:$C,3,0)</f>
        <v>Public</v>
      </c>
      <c r="AE194" s="13">
        <f t="shared" ref="AE194:AE257" si="9">IF(Q194="","",Q194*0.05)</f>
        <v>1017.5</v>
      </c>
      <c r="AF194" s="13">
        <f t="shared" ref="AF194:AF257" si="10">IF(Q194="","",Q194+AE194)</f>
        <v>21367.5</v>
      </c>
      <c r="AG194" s="4" t="str">
        <f t="shared" ref="AG194:AG257" si="11">IF(U194="","Not Available",IF(U194&gt;=4,"High",IF(U194=3,"Medium","Low")))</f>
        <v>High</v>
      </c>
    </row>
    <row r="195" spans="1:33">
      <c r="A195" t="s">
        <v>586</v>
      </c>
      <c r="B195" t="s">
        <v>587</v>
      </c>
      <c r="C195" s="11">
        <v>46050</v>
      </c>
      <c r="D195" t="s">
        <v>168</v>
      </c>
      <c r="E195" t="s">
        <v>314</v>
      </c>
      <c r="F195" s="4"/>
      <c r="G195" s="4"/>
      <c r="H195" t="s">
        <v>90</v>
      </c>
      <c r="I195" t="s">
        <v>162</v>
      </c>
      <c r="J195" t="s">
        <v>129</v>
      </c>
      <c r="K195" t="s">
        <v>124</v>
      </c>
      <c r="L195" t="s">
        <v>94</v>
      </c>
      <c r="M195" s="5"/>
      <c r="N195" s="5"/>
      <c r="O195" s="5"/>
      <c r="P195" s="5"/>
      <c r="R195" t="s">
        <v>75</v>
      </c>
      <c r="S195" t="s">
        <v>63</v>
      </c>
      <c r="T195" s="5"/>
      <c r="U195" s="6"/>
      <c r="V195" t="s">
        <v>64</v>
      </c>
      <c r="W195" s="4"/>
      <c r="X195" t="s">
        <v>65</v>
      </c>
      <c r="Z195" t="s">
        <v>66</v>
      </c>
      <c r="AA195" t="str">
        <f>VLOOKUP(H195,Departments!$A:$B,2,0)</f>
        <v>Cardiology</v>
      </c>
      <c r="AB195" t="str">
        <f>VLOOKUP(J195,Diagnosis_Guide!$A:$B,2,0)</f>
        <v>Hypertension Crisis</v>
      </c>
      <c r="AC195" s="4" t="str">
        <f>VLOOKUP(J195,Diagnosis_Guide!$A:$C,3,0)</f>
        <v>Cardiovascular</v>
      </c>
      <c r="AD195" s="4" t="str">
        <f>VLOOKUP(R195,Insurance_Plans!$A:$C,3,0)</f>
        <v>Public</v>
      </c>
      <c r="AE195" s="13" t="str">
        <f t="shared" si="9"/>
        <v/>
      </c>
      <c r="AF195" s="13" t="str">
        <f t="shared" si="10"/>
        <v/>
      </c>
      <c r="AG195" s="4" t="str">
        <f t="shared" si="11"/>
        <v>Not Available</v>
      </c>
    </row>
    <row r="196" spans="1:33">
      <c r="A196" t="s">
        <v>588</v>
      </c>
      <c r="B196" t="s">
        <v>589</v>
      </c>
      <c r="C196" s="11">
        <v>46036</v>
      </c>
      <c r="D196" t="s">
        <v>127</v>
      </c>
      <c r="E196" t="s">
        <v>70</v>
      </c>
      <c r="F196" s="4">
        <v>46036</v>
      </c>
      <c r="G196" s="4">
        <v>46043</v>
      </c>
      <c r="H196" t="s">
        <v>103</v>
      </c>
      <c r="I196" t="s">
        <v>412</v>
      </c>
      <c r="J196" t="s">
        <v>105</v>
      </c>
      <c r="K196" t="s">
        <v>93</v>
      </c>
      <c r="L196" t="s">
        <v>61</v>
      </c>
      <c r="M196" s="5">
        <v>63600</v>
      </c>
      <c r="N196" s="5">
        <v>11050</v>
      </c>
      <c r="O196" s="5">
        <v>14050</v>
      </c>
      <c r="P196" s="5">
        <v>42000</v>
      </c>
      <c r="Q196" s="13">
        <v>131900</v>
      </c>
      <c r="R196" t="s">
        <v>95</v>
      </c>
      <c r="S196" t="s">
        <v>63</v>
      </c>
      <c r="T196" s="5">
        <v>131900</v>
      </c>
      <c r="U196" s="6">
        <v>4</v>
      </c>
      <c r="V196" t="s">
        <v>77</v>
      </c>
      <c r="W196" s="4">
        <v>46050</v>
      </c>
      <c r="X196" t="s">
        <v>77</v>
      </c>
      <c r="Y196" t="s">
        <v>64</v>
      </c>
      <c r="Z196" t="s">
        <v>96</v>
      </c>
      <c r="AA196" t="str">
        <f>VLOOKUP(H196,Departments!$A:$B,2,0)</f>
        <v>Nephrology</v>
      </c>
      <c r="AB196" t="str">
        <f>VLOOKUP(J196,Diagnosis_Guide!$A:$B,2,0)</f>
        <v>Dialysis Complication</v>
      </c>
      <c r="AC196" s="4" t="str">
        <f>VLOOKUP(J196,Diagnosis_Guide!$A:$C,3,0)</f>
        <v>Renal</v>
      </c>
      <c r="AD196" s="4" t="str">
        <f>VLOOKUP(R196,Insurance_Plans!$A:$C,3,0)</f>
        <v>Self-Pay</v>
      </c>
      <c r="AE196" s="13">
        <f t="shared" si="9"/>
        <v>6595</v>
      </c>
      <c r="AF196" s="13">
        <f t="shared" si="10"/>
        <v>138495</v>
      </c>
      <c r="AG196" s="4" t="str">
        <f t="shared" si="11"/>
        <v>High</v>
      </c>
    </row>
    <row r="197" spans="1:33">
      <c r="A197" t="s">
        <v>590</v>
      </c>
      <c r="B197" t="s">
        <v>591</v>
      </c>
      <c r="C197" s="11">
        <v>46126</v>
      </c>
      <c r="D197" t="s">
        <v>307</v>
      </c>
      <c r="E197" t="s">
        <v>314</v>
      </c>
      <c r="F197" s="4"/>
      <c r="G197" s="4"/>
      <c r="H197" t="s">
        <v>201</v>
      </c>
      <c r="I197" t="s">
        <v>327</v>
      </c>
      <c r="J197" t="s">
        <v>203</v>
      </c>
      <c r="K197" t="s">
        <v>73</v>
      </c>
      <c r="L197" t="s">
        <v>94</v>
      </c>
      <c r="M197" s="5"/>
      <c r="N197" s="5"/>
      <c r="O197" s="5"/>
      <c r="P197" s="5"/>
      <c r="R197" t="s">
        <v>134</v>
      </c>
      <c r="S197" t="s">
        <v>63</v>
      </c>
      <c r="T197" s="5"/>
      <c r="U197" s="6"/>
      <c r="V197" t="s">
        <v>64</v>
      </c>
      <c r="W197" s="4"/>
      <c r="X197" t="s">
        <v>65</v>
      </c>
      <c r="Z197" t="s">
        <v>66</v>
      </c>
      <c r="AA197" t="str">
        <f>VLOOKUP(H197,Departments!$A:$B,2,0)</f>
        <v>Emergency</v>
      </c>
      <c r="AB197" t="str">
        <f>VLOOKUP(J197,Diagnosis_Guide!$A:$B,2,0)</f>
        <v>Trauma Observation</v>
      </c>
      <c r="AC197" s="4" t="str">
        <f>VLOOKUP(J197,Diagnosis_Guide!$A:$C,3,0)</f>
        <v>Emergency</v>
      </c>
      <c r="AD197" s="4" t="str">
        <f>VLOOKUP(R197,Insurance_Plans!$A:$C,3,0)</f>
        <v>Community</v>
      </c>
      <c r="AE197" s="13" t="str">
        <f t="shared" si="9"/>
        <v/>
      </c>
      <c r="AF197" s="13" t="str">
        <f t="shared" si="10"/>
        <v/>
      </c>
      <c r="AG197" s="4" t="str">
        <f t="shared" si="11"/>
        <v>Not Available</v>
      </c>
    </row>
    <row r="198" spans="1:33">
      <c r="A198" t="s">
        <v>592</v>
      </c>
      <c r="B198" t="s">
        <v>476</v>
      </c>
      <c r="C198" s="11">
        <v>46028</v>
      </c>
      <c r="D198" t="s">
        <v>298</v>
      </c>
      <c r="E198" t="s">
        <v>314</v>
      </c>
      <c r="F198" s="4"/>
      <c r="G198" s="4"/>
      <c r="H198" t="s">
        <v>178</v>
      </c>
      <c r="I198" t="s">
        <v>415</v>
      </c>
      <c r="J198" t="s">
        <v>180</v>
      </c>
      <c r="K198" t="s">
        <v>73</v>
      </c>
      <c r="L198" t="s">
        <v>74</v>
      </c>
      <c r="M198" s="5"/>
      <c r="N198" s="5"/>
      <c r="O198" s="5"/>
      <c r="P198" s="5"/>
      <c r="R198" t="s">
        <v>85</v>
      </c>
      <c r="S198" t="s">
        <v>63</v>
      </c>
      <c r="T198" s="5"/>
      <c r="U198" s="6"/>
      <c r="V198" t="s">
        <v>64</v>
      </c>
      <c r="W198" s="4"/>
      <c r="X198" t="s">
        <v>65</v>
      </c>
      <c r="Z198" t="s">
        <v>66</v>
      </c>
      <c r="AA198" t="str">
        <f>VLOOKUP(H198,Departments!$A:$B,2,0)</f>
        <v>Surgery</v>
      </c>
      <c r="AB198" t="str">
        <f>VLOOKUP(J198,Diagnosis_Guide!$A:$B,2,0)</f>
        <v>Appendicitis Surgery</v>
      </c>
      <c r="AC198" s="4" t="str">
        <f>VLOOKUP(J198,Diagnosis_Guide!$A:$C,3,0)</f>
        <v>Surgical</v>
      </c>
      <c r="AD198" s="4" t="str">
        <f>VLOOKUP(R198,Insurance_Plans!$A:$C,3,0)</f>
        <v>Employer</v>
      </c>
      <c r="AE198" s="13" t="str">
        <f t="shared" si="9"/>
        <v/>
      </c>
      <c r="AF198" s="13" t="str">
        <f t="shared" si="10"/>
        <v/>
      </c>
      <c r="AG198" s="4" t="str">
        <f t="shared" si="11"/>
        <v>Not Available</v>
      </c>
    </row>
    <row r="199" spans="1:33">
      <c r="A199" t="s">
        <v>593</v>
      </c>
      <c r="B199" t="s">
        <v>594</v>
      </c>
      <c r="C199" s="11">
        <v>46048</v>
      </c>
      <c r="D199" t="s">
        <v>242</v>
      </c>
      <c r="E199" t="s">
        <v>70</v>
      </c>
      <c r="F199" s="4">
        <v>46048</v>
      </c>
      <c r="G199" s="4">
        <v>46048</v>
      </c>
      <c r="H199" t="s">
        <v>111</v>
      </c>
      <c r="I199" t="s">
        <v>116</v>
      </c>
      <c r="J199" t="s">
        <v>113</v>
      </c>
      <c r="K199" t="s">
        <v>60</v>
      </c>
      <c r="L199" t="s">
        <v>74</v>
      </c>
      <c r="M199" s="5">
        <v>19500</v>
      </c>
      <c r="N199" s="5">
        <v>1800</v>
      </c>
      <c r="O199" s="5">
        <v>3100</v>
      </c>
      <c r="P199" s="5">
        <v>0</v>
      </c>
      <c r="Q199" s="13">
        <v>25200</v>
      </c>
      <c r="R199" t="s">
        <v>85</v>
      </c>
      <c r="S199" t="s">
        <v>76</v>
      </c>
      <c r="T199" s="5">
        <v>7200</v>
      </c>
      <c r="U199" s="6">
        <v>5</v>
      </c>
      <c r="V199" t="s">
        <v>64</v>
      </c>
      <c r="W199" s="4"/>
      <c r="X199" t="s">
        <v>65</v>
      </c>
      <c r="Y199" t="s">
        <v>64</v>
      </c>
      <c r="Z199" t="s">
        <v>107</v>
      </c>
      <c r="AA199" t="str">
        <f>VLOOKUP(H199,Departments!$A:$B,2,0)</f>
        <v>General Medicine</v>
      </c>
      <c r="AB199" t="str">
        <f>VLOOKUP(J199,Diagnosis_Guide!$A:$B,2,0)</f>
        <v>Diabetes Complication</v>
      </c>
      <c r="AC199" s="4" t="str">
        <f>VLOOKUP(J199,Diagnosis_Guide!$A:$C,3,0)</f>
        <v>Endocrine/General</v>
      </c>
      <c r="AD199" s="4" t="str">
        <f>VLOOKUP(R199,Insurance_Plans!$A:$C,3,0)</f>
        <v>Employer</v>
      </c>
      <c r="AE199" s="13">
        <f t="shared" si="9"/>
        <v>1260</v>
      </c>
      <c r="AF199" s="13">
        <f t="shared" si="10"/>
        <v>26460</v>
      </c>
      <c r="AG199" s="4" t="str">
        <f t="shared" si="11"/>
        <v>High</v>
      </c>
    </row>
    <row r="200" spans="1:33">
      <c r="A200" t="s">
        <v>595</v>
      </c>
      <c r="B200" t="s">
        <v>596</v>
      </c>
      <c r="C200" s="11">
        <v>46114</v>
      </c>
      <c r="D200" t="s">
        <v>469</v>
      </c>
      <c r="E200" t="s">
        <v>70</v>
      </c>
      <c r="F200" s="4">
        <v>46114</v>
      </c>
      <c r="G200" s="4">
        <v>46117</v>
      </c>
      <c r="H200" t="s">
        <v>90</v>
      </c>
      <c r="I200" t="s">
        <v>91</v>
      </c>
      <c r="J200" t="s">
        <v>197</v>
      </c>
      <c r="K200" t="s">
        <v>124</v>
      </c>
      <c r="L200" t="s">
        <v>74</v>
      </c>
      <c r="M200" s="5">
        <v>19200</v>
      </c>
      <c r="N200" s="5">
        <v>1850</v>
      </c>
      <c r="O200" s="5">
        <v>3800</v>
      </c>
      <c r="P200" s="5">
        <v>18000</v>
      </c>
      <c r="Q200" s="13">
        <v>44050</v>
      </c>
      <c r="R200" t="s">
        <v>106</v>
      </c>
      <c r="S200" t="s">
        <v>76</v>
      </c>
      <c r="T200" s="5">
        <v>16120</v>
      </c>
      <c r="U200" s="6">
        <v>3</v>
      </c>
      <c r="V200" t="s">
        <v>77</v>
      </c>
      <c r="W200" s="4">
        <v>46136</v>
      </c>
      <c r="X200" t="s">
        <v>77</v>
      </c>
      <c r="Y200" t="s">
        <v>64</v>
      </c>
      <c r="Z200" t="s">
        <v>78</v>
      </c>
      <c r="AA200" t="str">
        <f>VLOOKUP(H200,Departments!$A:$B,2,0)</f>
        <v>Cardiology</v>
      </c>
      <c r="AB200" t="str">
        <f>VLOOKUP(J200,Diagnosis_Guide!$A:$B,2,0)</f>
        <v>Chest Pain</v>
      </c>
      <c r="AC200" s="4" t="str">
        <f>VLOOKUP(J200,Diagnosis_Guide!$A:$C,3,0)</f>
        <v>Cardiovascular</v>
      </c>
      <c r="AD200" s="4" t="str">
        <f>VLOOKUP(R200,Insurance_Plans!$A:$C,3,0)</f>
        <v>Private</v>
      </c>
      <c r="AE200" s="13">
        <f t="shared" si="9"/>
        <v>2202.5</v>
      </c>
      <c r="AF200" s="13">
        <f t="shared" si="10"/>
        <v>46252.5</v>
      </c>
      <c r="AG200" s="4" t="str">
        <f t="shared" si="11"/>
        <v>Medium</v>
      </c>
    </row>
    <row r="201" spans="1:33">
      <c r="A201" t="s">
        <v>597</v>
      </c>
      <c r="B201" t="s">
        <v>598</v>
      </c>
      <c r="C201" s="11">
        <v>46157</v>
      </c>
      <c r="D201" t="s">
        <v>161</v>
      </c>
      <c r="E201" t="s">
        <v>70</v>
      </c>
      <c r="F201" s="4">
        <v>46158</v>
      </c>
      <c r="G201" s="4">
        <v>46163</v>
      </c>
      <c r="H201" t="s">
        <v>103</v>
      </c>
      <c r="I201" t="s">
        <v>243</v>
      </c>
      <c r="J201" t="s">
        <v>105</v>
      </c>
      <c r="K201" t="s">
        <v>73</v>
      </c>
      <c r="L201" t="s">
        <v>94</v>
      </c>
      <c r="M201" s="5">
        <v>55700</v>
      </c>
      <c r="N201" s="5">
        <v>8150</v>
      </c>
      <c r="O201" s="5">
        <v>9750</v>
      </c>
      <c r="P201" s="5">
        <v>22500</v>
      </c>
      <c r="Q201" s="13">
        <v>97900</v>
      </c>
      <c r="R201" t="s">
        <v>106</v>
      </c>
      <c r="S201" t="s">
        <v>76</v>
      </c>
      <c r="T201" s="5">
        <v>34960</v>
      </c>
      <c r="U201" s="6">
        <v>2</v>
      </c>
      <c r="V201" t="s">
        <v>77</v>
      </c>
      <c r="W201" s="4">
        <v>46184</v>
      </c>
      <c r="X201" t="s">
        <v>64</v>
      </c>
      <c r="Y201" t="s">
        <v>77</v>
      </c>
      <c r="Z201" t="s">
        <v>96</v>
      </c>
      <c r="AA201" t="str">
        <f>VLOOKUP(H201,Departments!$A:$B,2,0)</f>
        <v>Nephrology</v>
      </c>
      <c r="AB201" t="str">
        <f>VLOOKUP(J201,Diagnosis_Guide!$A:$B,2,0)</f>
        <v>Dialysis Complication</v>
      </c>
      <c r="AC201" s="4" t="str">
        <f>VLOOKUP(J201,Diagnosis_Guide!$A:$C,3,0)</f>
        <v>Renal</v>
      </c>
      <c r="AD201" s="4" t="str">
        <f>VLOOKUP(R201,Insurance_Plans!$A:$C,3,0)</f>
        <v>Private</v>
      </c>
      <c r="AE201" s="13">
        <f t="shared" si="9"/>
        <v>4895</v>
      </c>
      <c r="AF201" s="13">
        <f t="shared" si="10"/>
        <v>102795</v>
      </c>
      <c r="AG201" s="4" t="str">
        <f t="shared" si="11"/>
        <v>Low</v>
      </c>
    </row>
    <row r="202" spans="1:33">
      <c r="A202" t="s">
        <v>599</v>
      </c>
      <c r="B202" t="s">
        <v>600</v>
      </c>
      <c r="C202" s="11">
        <v>46041</v>
      </c>
      <c r="D202" t="s">
        <v>383</v>
      </c>
      <c r="E202" t="s">
        <v>70</v>
      </c>
      <c r="F202" s="4">
        <v>46041</v>
      </c>
      <c r="G202" s="4">
        <v>46048</v>
      </c>
      <c r="H202" t="s">
        <v>90</v>
      </c>
      <c r="I202" t="s">
        <v>299</v>
      </c>
      <c r="J202" t="s">
        <v>92</v>
      </c>
      <c r="K202" t="s">
        <v>124</v>
      </c>
      <c r="L202" t="s">
        <v>94</v>
      </c>
      <c r="M202" s="5">
        <v>60500</v>
      </c>
      <c r="N202" s="5">
        <v>10800</v>
      </c>
      <c r="O202" s="5">
        <v>11250</v>
      </c>
      <c r="P202" s="5">
        <v>21000</v>
      </c>
      <c r="Q202" s="13">
        <v>105050</v>
      </c>
      <c r="R202" t="s">
        <v>75</v>
      </c>
      <c r="S202" t="s">
        <v>76</v>
      </c>
      <c r="T202" s="5">
        <v>47570</v>
      </c>
      <c r="U202" s="6">
        <v>5</v>
      </c>
      <c r="V202" t="s">
        <v>77</v>
      </c>
      <c r="W202" s="4">
        <v>46058</v>
      </c>
      <c r="X202" t="s">
        <v>77</v>
      </c>
      <c r="Y202" t="s">
        <v>64</v>
      </c>
      <c r="Z202" t="s">
        <v>96</v>
      </c>
      <c r="AA202" t="str">
        <f>VLOOKUP(H202,Departments!$A:$B,2,0)</f>
        <v>Cardiology</v>
      </c>
      <c r="AB202" t="str">
        <f>VLOOKUP(J202,Diagnosis_Guide!$A:$B,2,0)</f>
        <v>Heart Failure</v>
      </c>
      <c r="AC202" s="4" t="str">
        <f>VLOOKUP(J202,Diagnosis_Guide!$A:$C,3,0)</f>
        <v>Cardiovascular</v>
      </c>
      <c r="AD202" s="4" t="str">
        <f>VLOOKUP(R202,Insurance_Plans!$A:$C,3,0)</f>
        <v>Public</v>
      </c>
      <c r="AE202" s="13">
        <f t="shared" si="9"/>
        <v>5252.5</v>
      </c>
      <c r="AF202" s="13">
        <f t="shared" si="10"/>
        <v>110302.5</v>
      </c>
      <c r="AG202" s="4" t="str">
        <f t="shared" si="11"/>
        <v>High</v>
      </c>
    </row>
    <row r="203" spans="1:33">
      <c r="A203" t="s">
        <v>601</v>
      </c>
      <c r="B203" t="s">
        <v>602</v>
      </c>
      <c r="C203" s="11">
        <v>46024</v>
      </c>
      <c r="D203" t="s">
        <v>89</v>
      </c>
      <c r="E203" t="s">
        <v>70</v>
      </c>
      <c r="F203" s="4">
        <v>46025</v>
      </c>
      <c r="G203" s="4">
        <v>46031</v>
      </c>
      <c r="H203" t="s">
        <v>90</v>
      </c>
      <c r="I203" t="s">
        <v>91</v>
      </c>
      <c r="J203" t="s">
        <v>92</v>
      </c>
      <c r="K203" t="s">
        <v>124</v>
      </c>
      <c r="L203" t="s">
        <v>74</v>
      </c>
      <c r="M203" s="5">
        <v>50300</v>
      </c>
      <c r="N203" s="5">
        <v>5800</v>
      </c>
      <c r="O203" s="5">
        <v>11800</v>
      </c>
      <c r="P203" s="5">
        <v>18000</v>
      </c>
      <c r="Q203" s="13">
        <v>87100</v>
      </c>
      <c r="R203" t="s">
        <v>95</v>
      </c>
      <c r="S203" t="s">
        <v>63</v>
      </c>
      <c r="T203" s="5">
        <v>87100</v>
      </c>
      <c r="U203" s="6">
        <v>2</v>
      </c>
      <c r="V203" t="s">
        <v>77</v>
      </c>
      <c r="W203" s="4">
        <v>46048</v>
      </c>
      <c r="X203" t="s">
        <v>77</v>
      </c>
      <c r="Y203" t="s">
        <v>77</v>
      </c>
      <c r="Z203" t="s">
        <v>78</v>
      </c>
      <c r="AA203" t="str">
        <f>VLOOKUP(H203,Departments!$A:$B,2,0)</f>
        <v>Cardiology</v>
      </c>
      <c r="AB203" t="str">
        <f>VLOOKUP(J203,Diagnosis_Guide!$A:$B,2,0)</f>
        <v>Heart Failure</v>
      </c>
      <c r="AC203" s="4" t="str">
        <f>VLOOKUP(J203,Diagnosis_Guide!$A:$C,3,0)</f>
        <v>Cardiovascular</v>
      </c>
      <c r="AD203" s="4" t="str">
        <f>VLOOKUP(R203,Insurance_Plans!$A:$C,3,0)</f>
        <v>Self-Pay</v>
      </c>
      <c r="AE203" s="13">
        <f t="shared" si="9"/>
        <v>4355</v>
      </c>
      <c r="AF203" s="13">
        <f t="shared" si="10"/>
        <v>91455</v>
      </c>
      <c r="AG203" s="4" t="str">
        <f t="shared" si="11"/>
        <v>Low</v>
      </c>
    </row>
    <row r="204" spans="1:33">
      <c r="A204" t="s">
        <v>603</v>
      </c>
      <c r="B204" t="s">
        <v>604</v>
      </c>
      <c r="C204" s="11">
        <v>46097</v>
      </c>
      <c r="D204" t="s">
        <v>55</v>
      </c>
      <c r="E204" t="s">
        <v>70</v>
      </c>
      <c r="F204" s="4">
        <v>46097</v>
      </c>
      <c r="G204" s="4">
        <v>46097</v>
      </c>
      <c r="H204" t="s">
        <v>111</v>
      </c>
      <c r="I204" t="s">
        <v>112</v>
      </c>
      <c r="J204" t="s">
        <v>113</v>
      </c>
      <c r="K204" t="s">
        <v>60</v>
      </c>
      <c r="L204" t="s">
        <v>94</v>
      </c>
      <c r="M204" s="5">
        <v>22800</v>
      </c>
      <c r="N204" s="5">
        <v>3750</v>
      </c>
      <c r="O204" s="5">
        <v>5450</v>
      </c>
      <c r="P204" s="5">
        <v>0</v>
      </c>
      <c r="Q204" s="13">
        <v>32800</v>
      </c>
      <c r="R204" t="s">
        <v>141</v>
      </c>
      <c r="S204" t="s">
        <v>76</v>
      </c>
      <c r="T204" s="5">
        <v>6120</v>
      </c>
      <c r="U204" s="6">
        <v>4</v>
      </c>
      <c r="V204" t="s">
        <v>77</v>
      </c>
      <c r="W204" s="4">
        <v>46115</v>
      </c>
      <c r="X204" t="s">
        <v>64</v>
      </c>
      <c r="Y204" t="s">
        <v>64</v>
      </c>
      <c r="Z204" t="s">
        <v>96</v>
      </c>
      <c r="AA204" t="str">
        <f>VLOOKUP(H204,Departments!$A:$B,2,0)</f>
        <v>General Medicine</v>
      </c>
      <c r="AB204" t="str">
        <f>VLOOKUP(J204,Diagnosis_Guide!$A:$B,2,0)</f>
        <v>Diabetes Complication</v>
      </c>
      <c r="AC204" s="4" t="str">
        <f>VLOOKUP(J204,Diagnosis_Guide!$A:$C,3,0)</f>
        <v>Endocrine/General</v>
      </c>
      <c r="AD204" s="4" t="str">
        <f>VLOOKUP(R204,Insurance_Plans!$A:$C,3,0)</f>
        <v>Private</v>
      </c>
      <c r="AE204" s="13">
        <f t="shared" si="9"/>
        <v>1640</v>
      </c>
      <c r="AF204" s="13">
        <f t="shared" si="10"/>
        <v>34440</v>
      </c>
      <c r="AG204" s="4" t="str">
        <f t="shared" si="11"/>
        <v>High</v>
      </c>
    </row>
    <row r="205" spans="1:33">
      <c r="A205" t="s">
        <v>605</v>
      </c>
      <c r="B205" t="s">
        <v>606</v>
      </c>
      <c r="C205" s="11">
        <v>46107</v>
      </c>
      <c r="D205" t="s">
        <v>99</v>
      </c>
      <c r="E205" t="s">
        <v>70</v>
      </c>
      <c r="F205" s="4">
        <v>46107</v>
      </c>
      <c r="G205" s="4">
        <v>46112</v>
      </c>
      <c r="H205" t="s">
        <v>90</v>
      </c>
      <c r="I205" t="s">
        <v>133</v>
      </c>
      <c r="J205" t="s">
        <v>92</v>
      </c>
      <c r="K205" t="s">
        <v>124</v>
      </c>
      <c r="L205" t="s">
        <v>94</v>
      </c>
      <c r="M205" s="5">
        <v>72500</v>
      </c>
      <c r="N205" s="5">
        <v>12550</v>
      </c>
      <c r="O205" s="5">
        <v>16900</v>
      </c>
      <c r="P205" s="5">
        <v>22500</v>
      </c>
      <c r="Q205" s="13">
        <v>126450</v>
      </c>
      <c r="R205" t="s">
        <v>62</v>
      </c>
      <c r="S205" t="s">
        <v>76</v>
      </c>
      <c r="T205" s="5">
        <v>38340</v>
      </c>
      <c r="U205" s="6">
        <v>4</v>
      </c>
      <c r="V205" t="s">
        <v>77</v>
      </c>
      <c r="W205" s="4">
        <v>46119</v>
      </c>
      <c r="X205" t="s">
        <v>77</v>
      </c>
      <c r="Y205" t="s">
        <v>64</v>
      </c>
      <c r="Z205" t="s">
        <v>96</v>
      </c>
      <c r="AA205" t="str">
        <f>VLOOKUP(H205,Departments!$A:$B,2,0)</f>
        <v>Cardiology</v>
      </c>
      <c r="AB205" t="str">
        <f>VLOOKUP(J205,Diagnosis_Guide!$A:$B,2,0)</f>
        <v>Heart Failure</v>
      </c>
      <c r="AC205" s="4" t="str">
        <f>VLOOKUP(J205,Diagnosis_Guide!$A:$C,3,0)</f>
        <v>Cardiovascular</v>
      </c>
      <c r="AD205" s="4" t="str">
        <f>VLOOKUP(R205,Insurance_Plans!$A:$C,3,0)</f>
        <v>Public</v>
      </c>
      <c r="AE205" s="13">
        <f t="shared" si="9"/>
        <v>6322.5</v>
      </c>
      <c r="AF205" s="13">
        <f t="shared" si="10"/>
        <v>132772.5</v>
      </c>
      <c r="AG205" s="4" t="str">
        <f t="shared" si="11"/>
        <v>High</v>
      </c>
    </row>
    <row r="206" spans="1:33">
      <c r="A206" t="s">
        <v>607</v>
      </c>
      <c r="B206" t="s">
        <v>591</v>
      </c>
      <c r="C206" s="11">
        <v>46159</v>
      </c>
      <c r="D206" t="s">
        <v>242</v>
      </c>
      <c r="E206" t="s">
        <v>70</v>
      </c>
      <c r="F206" s="4">
        <v>46159</v>
      </c>
      <c r="G206" s="4">
        <v>46165</v>
      </c>
      <c r="H206" t="s">
        <v>90</v>
      </c>
      <c r="I206" t="s">
        <v>91</v>
      </c>
      <c r="J206" t="s">
        <v>92</v>
      </c>
      <c r="K206" t="s">
        <v>124</v>
      </c>
      <c r="L206" t="s">
        <v>94</v>
      </c>
      <c r="M206" s="5">
        <v>53500</v>
      </c>
      <c r="N206" s="5">
        <v>4950</v>
      </c>
      <c r="O206" s="5">
        <v>11000</v>
      </c>
      <c r="P206" s="5">
        <v>36000</v>
      </c>
      <c r="Q206" s="13">
        <v>106650</v>
      </c>
      <c r="R206" t="s">
        <v>75</v>
      </c>
      <c r="S206" t="s">
        <v>76</v>
      </c>
      <c r="T206" s="5">
        <v>48290</v>
      </c>
      <c r="U206" s="6">
        <v>4</v>
      </c>
      <c r="V206" t="s">
        <v>64</v>
      </c>
      <c r="W206" s="4"/>
      <c r="X206" t="s">
        <v>65</v>
      </c>
      <c r="Y206" t="s">
        <v>64</v>
      </c>
      <c r="Z206" t="s">
        <v>107</v>
      </c>
      <c r="AA206" t="str">
        <f>VLOOKUP(H206,Departments!$A:$B,2,0)</f>
        <v>Cardiology</v>
      </c>
      <c r="AB206" t="str">
        <f>VLOOKUP(J206,Diagnosis_Guide!$A:$B,2,0)</f>
        <v>Heart Failure</v>
      </c>
      <c r="AC206" s="4" t="str">
        <f>VLOOKUP(J206,Diagnosis_Guide!$A:$C,3,0)</f>
        <v>Cardiovascular</v>
      </c>
      <c r="AD206" s="4" t="str">
        <f>VLOOKUP(R206,Insurance_Plans!$A:$C,3,0)</f>
        <v>Public</v>
      </c>
      <c r="AE206" s="13">
        <f t="shared" si="9"/>
        <v>5332.5</v>
      </c>
      <c r="AF206" s="13">
        <f t="shared" si="10"/>
        <v>111982.5</v>
      </c>
      <c r="AG206" s="4" t="str">
        <f t="shared" si="11"/>
        <v>High</v>
      </c>
    </row>
    <row r="207" spans="1:33">
      <c r="A207" t="s">
        <v>608</v>
      </c>
      <c r="B207" t="s">
        <v>609</v>
      </c>
      <c r="C207" s="11">
        <v>46168</v>
      </c>
      <c r="D207" t="s">
        <v>225</v>
      </c>
      <c r="E207" t="s">
        <v>56</v>
      </c>
      <c r="F207" s="4"/>
      <c r="G207" s="4"/>
      <c r="H207" t="s">
        <v>57</v>
      </c>
      <c r="I207" t="s">
        <v>211</v>
      </c>
      <c r="J207" t="s">
        <v>59</v>
      </c>
      <c r="K207" t="s">
        <v>60</v>
      </c>
      <c r="L207" t="s">
        <v>61</v>
      </c>
      <c r="M207" s="5"/>
      <c r="N207" s="5"/>
      <c r="O207" s="5"/>
      <c r="P207" s="5"/>
      <c r="R207" t="s">
        <v>85</v>
      </c>
      <c r="S207" t="s">
        <v>63</v>
      </c>
      <c r="T207" s="5"/>
      <c r="U207" s="6"/>
      <c r="V207" t="s">
        <v>64</v>
      </c>
      <c r="W207" s="4"/>
      <c r="X207" t="s">
        <v>65</v>
      </c>
      <c r="Z207" t="s">
        <v>66</v>
      </c>
      <c r="AA207" t="str">
        <f>VLOOKUP(H207,Departments!$A:$B,2,0)</f>
        <v>Pulmonology</v>
      </c>
      <c r="AB207" t="str">
        <f>VLOOKUP(J207,Diagnosis_Guide!$A:$B,2,0)</f>
        <v>Pneumonia</v>
      </c>
      <c r="AC207" s="4" t="str">
        <f>VLOOKUP(J207,Diagnosis_Guide!$A:$C,3,0)</f>
        <v>Respiratory</v>
      </c>
      <c r="AD207" s="4" t="str">
        <f>VLOOKUP(R207,Insurance_Plans!$A:$C,3,0)</f>
        <v>Employer</v>
      </c>
      <c r="AE207" s="13" t="str">
        <f t="shared" si="9"/>
        <v/>
      </c>
      <c r="AF207" s="13" t="str">
        <f t="shared" si="10"/>
        <v/>
      </c>
      <c r="AG207" s="4" t="str">
        <f t="shared" si="11"/>
        <v>Not Available</v>
      </c>
    </row>
    <row r="208" spans="1:33">
      <c r="A208" t="s">
        <v>610</v>
      </c>
      <c r="B208" t="s">
        <v>286</v>
      </c>
      <c r="C208" s="11">
        <v>46112</v>
      </c>
      <c r="D208" t="s">
        <v>279</v>
      </c>
      <c r="E208" t="s">
        <v>177</v>
      </c>
      <c r="F208" s="4"/>
      <c r="G208" s="4"/>
      <c r="H208" t="s">
        <v>111</v>
      </c>
      <c r="I208" t="s">
        <v>355</v>
      </c>
      <c r="J208" t="s">
        <v>113</v>
      </c>
      <c r="K208" t="s">
        <v>60</v>
      </c>
      <c r="L208" t="s">
        <v>74</v>
      </c>
      <c r="M208" s="5"/>
      <c r="N208" s="5"/>
      <c r="O208" s="5"/>
      <c r="P208" s="5"/>
      <c r="R208" t="s">
        <v>62</v>
      </c>
      <c r="S208" t="s">
        <v>63</v>
      </c>
      <c r="T208" s="5"/>
      <c r="U208" s="6"/>
      <c r="V208" t="s">
        <v>64</v>
      </c>
      <c r="W208" s="4"/>
      <c r="X208" t="s">
        <v>65</v>
      </c>
      <c r="Z208" t="s">
        <v>66</v>
      </c>
      <c r="AA208" t="str">
        <f>VLOOKUP(H208,Departments!$A:$B,2,0)</f>
        <v>General Medicine</v>
      </c>
      <c r="AB208" t="str">
        <f>VLOOKUP(J208,Diagnosis_Guide!$A:$B,2,0)</f>
        <v>Diabetes Complication</v>
      </c>
      <c r="AC208" s="4" t="str">
        <f>VLOOKUP(J208,Diagnosis_Guide!$A:$C,3,0)</f>
        <v>Endocrine/General</v>
      </c>
      <c r="AD208" s="4" t="str">
        <f>VLOOKUP(R208,Insurance_Plans!$A:$C,3,0)</f>
        <v>Public</v>
      </c>
      <c r="AE208" s="13" t="str">
        <f t="shared" si="9"/>
        <v/>
      </c>
      <c r="AF208" s="13" t="str">
        <f t="shared" si="10"/>
        <v/>
      </c>
      <c r="AG208" s="4" t="str">
        <f t="shared" si="11"/>
        <v>Not Available</v>
      </c>
    </row>
    <row r="209" spans="1:33">
      <c r="A209" t="s">
        <v>611</v>
      </c>
      <c r="B209" t="s">
        <v>221</v>
      </c>
      <c r="C209" s="11">
        <v>46087</v>
      </c>
      <c r="D209" t="s">
        <v>469</v>
      </c>
      <c r="E209" t="s">
        <v>70</v>
      </c>
      <c r="F209" s="4">
        <v>46087</v>
      </c>
      <c r="G209" s="4">
        <v>46091</v>
      </c>
      <c r="H209" t="s">
        <v>103</v>
      </c>
      <c r="I209" t="s">
        <v>214</v>
      </c>
      <c r="J209" t="s">
        <v>244</v>
      </c>
      <c r="K209" t="s">
        <v>124</v>
      </c>
      <c r="L209" t="s">
        <v>74</v>
      </c>
      <c r="M209" s="5">
        <v>69800</v>
      </c>
      <c r="N209" s="5">
        <v>11650</v>
      </c>
      <c r="O209" s="5">
        <v>9550</v>
      </c>
      <c r="P209" s="5">
        <v>14000</v>
      </c>
      <c r="Q209" s="13">
        <v>105800</v>
      </c>
      <c r="R209" t="s">
        <v>106</v>
      </c>
      <c r="S209" t="s">
        <v>76</v>
      </c>
      <c r="T209" s="5">
        <v>37730</v>
      </c>
      <c r="U209" s="6">
        <v>4</v>
      </c>
      <c r="V209" t="s">
        <v>77</v>
      </c>
      <c r="W209" s="4">
        <v>46103</v>
      </c>
      <c r="X209" t="s">
        <v>64</v>
      </c>
      <c r="Y209" t="s">
        <v>64</v>
      </c>
      <c r="Z209" t="s">
        <v>96</v>
      </c>
      <c r="AA209" t="str">
        <f>VLOOKUP(H209,Departments!$A:$B,2,0)</f>
        <v>Nephrology</v>
      </c>
      <c r="AB209" t="str">
        <f>VLOOKUP(J209,Diagnosis_Guide!$A:$B,2,0)</f>
        <v>Chronic Kidney Disease</v>
      </c>
      <c r="AC209" s="4" t="str">
        <f>VLOOKUP(J209,Diagnosis_Guide!$A:$C,3,0)</f>
        <v>Renal</v>
      </c>
      <c r="AD209" s="4" t="str">
        <f>VLOOKUP(R209,Insurance_Plans!$A:$C,3,0)</f>
        <v>Private</v>
      </c>
      <c r="AE209" s="13">
        <f t="shared" si="9"/>
        <v>5290</v>
      </c>
      <c r="AF209" s="13">
        <f t="shared" si="10"/>
        <v>111090</v>
      </c>
      <c r="AG209" s="4" t="str">
        <f t="shared" si="11"/>
        <v>High</v>
      </c>
    </row>
    <row r="210" spans="1:33">
      <c r="A210" t="s">
        <v>612</v>
      </c>
      <c r="B210" t="s">
        <v>613</v>
      </c>
      <c r="C210" s="11">
        <v>46054</v>
      </c>
      <c r="D210" t="s">
        <v>302</v>
      </c>
      <c r="E210" t="s">
        <v>70</v>
      </c>
      <c r="F210" s="4">
        <v>46055</v>
      </c>
      <c r="G210" s="4">
        <v>46055</v>
      </c>
      <c r="H210" t="s">
        <v>103</v>
      </c>
      <c r="I210" t="s">
        <v>104</v>
      </c>
      <c r="J210" t="s">
        <v>105</v>
      </c>
      <c r="K210" t="s">
        <v>60</v>
      </c>
      <c r="L210" t="s">
        <v>74</v>
      </c>
      <c r="M210" s="5">
        <v>75700</v>
      </c>
      <c r="N210" s="5">
        <v>8100</v>
      </c>
      <c r="O210" s="5">
        <v>14250</v>
      </c>
      <c r="P210" s="5">
        <v>0</v>
      </c>
      <c r="Q210" s="13">
        <v>99850</v>
      </c>
      <c r="R210" t="s">
        <v>106</v>
      </c>
      <c r="S210" t="s">
        <v>163</v>
      </c>
      <c r="T210" s="5">
        <v>35650</v>
      </c>
      <c r="U210" s="6">
        <v>4</v>
      </c>
      <c r="V210" t="s">
        <v>77</v>
      </c>
      <c r="W210" s="4">
        <v>46075</v>
      </c>
      <c r="X210" t="s">
        <v>77</v>
      </c>
      <c r="Y210" t="s">
        <v>64</v>
      </c>
      <c r="Z210" t="s">
        <v>96</v>
      </c>
      <c r="AA210" t="str">
        <f>VLOOKUP(H210,Departments!$A:$B,2,0)</f>
        <v>Nephrology</v>
      </c>
      <c r="AB210" t="str">
        <f>VLOOKUP(J210,Diagnosis_Guide!$A:$B,2,0)</f>
        <v>Dialysis Complication</v>
      </c>
      <c r="AC210" s="4" t="str">
        <f>VLOOKUP(J210,Diagnosis_Guide!$A:$C,3,0)</f>
        <v>Renal</v>
      </c>
      <c r="AD210" s="4" t="str">
        <f>VLOOKUP(R210,Insurance_Plans!$A:$C,3,0)</f>
        <v>Private</v>
      </c>
      <c r="AE210" s="13">
        <f t="shared" si="9"/>
        <v>4992.5</v>
      </c>
      <c r="AF210" s="13">
        <f t="shared" si="10"/>
        <v>104842.5</v>
      </c>
      <c r="AG210" s="4" t="str">
        <f t="shared" si="11"/>
        <v>High</v>
      </c>
    </row>
    <row r="211" spans="1:33">
      <c r="A211" t="s">
        <v>614</v>
      </c>
      <c r="B211" t="s">
        <v>615</v>
      </c>
      <c r="C211" s="11">
        <v>46161</v>
      </c>
      <c r="D211" t="s">
        <v>168</v>
      </c>
      <c r="E211" t="s">
        <v>56</v>
      </c>
      <c r="F211" s="4"/>
      <c r="G211" s="4"/>
      <c r="H211" t="s">
        <v>57</v>
      </c>
      <c r="I211" t="s">
        <v>100</v>
      </c>
      <c r="J211" t="s">
        <v>59</v>
      </c>
      <c r="K211" t="s">
        <v>60</v>
      </c>
      <c r="L211" t="s">
        <v>94</v>
      </c>
      <c r="M211" s="5"/>
      <c r="N211" s="5"/>
      <c r="O211" s="5"/>
      <c r="P211" s="5"/>
      <c r="R211" t="s">
        <v>141</v>
      </c>
      <c r="S211" t="s">
        <v>63</v>
      </c>
      <c r="T211" s="5"/>
      <c r="U211" s="6"/>
      <c r="V211" t="s">
        <v>64</v>
      </c>
      <c r="W211" s="4"/>
      <c r="X211" t="s">
        <v>65</v>
      </c>
      <c r="Z211" t="s">
        <v>66</v>
      </c>
      <c r="AA211" t="str">
        <f>VLOOKUP(H211,Departments!$A:$B,2,0)</f>
        <v>Pulmonology</v>
      </c>
      <c r="AB211" t="str">
        <f>VLOOKUP(J211,Diagnosis_Guide!$A:$B,2,0)</f>
        <v>Pneumonia</v>
      </c>
      <c r="AC211" s="4" t="str">
        <f>VLOOKUP(J211,Diagnosis_Guide!$A:$C,3,0)</f>
        <v>Respiratory</v>
      </c>
      <c r="AD211" s="4" t="str">
        <f>VLOOKUP(R211,Insurance_Plans!$A:$C,3,0)</f>
        <v>Private</v>
      </c>
      <c r="AE211" s="13" t="str">
        <f t="shared" si="9"/>
        <v/>
      </c>
      <c r="AF211" s="13" t="str">
        <f t="shared" si="10"/>
        <v/>
      </c>
      <c r="AG211" s="4" t="str">
        <f t="shared" si="11"/>
        <v>Not Available</v>
      </c>
    </row>
    <row r="212" spans="1:33">
      <c r="A212" t="s">
        <v>616</v>
      </c>
      <c r="B212" t="s">
        <v>617</v>
      </c>
      <c r="C212" s="11">
        <v>46134</v>
      </c>
      <c r="D212" t="s">
        <v>439</v>
      </c>
      <c r="E212" t="s">
        <v>314</v>
      </c>
      <c r="F212" s="4"/>
      <c r="G212" s="4"/>
      <c r="H212" t="s">
        <v>57</v>
      </c>
      <c r="I212" t="s">
        <v>184</v>
      </c>
      <c r="J212" t="s">
        <v>59</v>
      </c>
      <c r="K212" t="s">
        <v>93</v>
      </c>
      <c r="L212" t="s">
        <v>146</v>
      </c>
      <c r="M212" s="5"/>
      <c r="N212" s="5"/>
      <c r="O212" s="5"/>
      <c r="P212" s="5"/>
      <c r="R212" t="s">
        <v>141</v>
      </c>
      <c r="S212" t="s">
        <v>63</v>
      </c>
      <c r="T212" s="5"/>
      <c r="U212" s="6"/>
      <c r="V212" t="s">
        <v>64</v>
      </c>
      <c r="W212" s="4"/>
      <c r="X212" t="s">
        <v>65</v>
      </c>
      <c r="Z212" t="s">
        <v>66</v>
      </c>
      <c r="AA212" t="str">
        <f>VLOOKUP(H212,Departments!$A:$B,2,0)</f>
        <v>Pulmonology</v>
      </c>
      <c r="AB212" t="str">
        <f>VLOOKUP(J212,Diagnosis_Guide!$A:$B,2,0)</f>
        <v>Pneumonia</v>
      </c>
      <c r="AC212" s="4" t="str">
        <f>VLOOKUP(J212,Diagnosis_Guide!$A:$C,3,0)</f>
        <v>Respiratory</v>
      </c>
      <c r="AD212" s="4" t="str">
        <f>VLOOKUP(R212,Insurance_Plans!$A:$C,3,0)</f>
        <v>Private</v>
      </c>
      <c r="AE212" s="13" t="str">
        <f t="shared" si="9"/>
        <v/>
      </c>
      <c r="AF212" s="13" t="str">
        <f t="shared" si="10"/>
        <v/>
      </c>
      <c r="AG212" s="4" t="str">
        <f t="shared" si="11"/>
        <v>Not Available</v>
      </c>
    </row>
    <row r="213" spans="1:33">
      <c r="A213" t="s">
        <v>618</v>
      </c>
      <c r="B213" t="s">
        <v>619</v>
      </c>
      <c r="C213" s="11">
        <v>46168</v>
      </c>
      <c r="D213" t="s">
        <v>337</v>
      </c>
      <c r="E213" t="s">
        <v>70</v>
      </c>
      <c r="F213" s="4">
        <v>46168</v>
      </c>
      <c r="G213" s="4">
        <v>46169</v>
      </c>
      <c r="H213" t="s">
        <v>111</v>
      </c>
      <c r="I213" t="s">
        <v>397</v>
      </c>
      <c r="J213" t="s">
        <v>113</v>
      </c>
      <c r="K213" t="s">
        <v>60</v>
      </c>
      <c r="L213" t="s">
        <v>94</v>
      </c>
      <c r="M213" s="5">
        <v>30700</v>
      </c>
      <c r="N213" s="5">
        <v>2700</v>
      </c>
      <c r="O213" s="5">
        <v>4200</v>
      </c>
      <c r="P213" s="5">
        <v>6000</v>
      </c>
      <c r="Q213" s="13">
        <v>45600</v>
      </c>
      <c r="R213" t="s">
        <v>106</v>
      </c>
      <c r="S213" t="s">
        <v>76</v>
      </c>
      <c r="T213" s="5">
        <v>16660</v>
      </c>
      <c r="U213" s="6"/>
      <c r="V213" t="s">
        <v>77</v>
      </c>
      <c r="W213" s="4">
        <v>46180</v>
      </c>
      <c r="X213" t="s">
        <v>77</v>
      </c>
      <c r="Y213" t="s">
        <v>64</v>
      </c>
      <c r="Z213" t="s">
        <v>96</v>
      </c>
      <c r="AA213" t="str">
        <f>VLOOKUP(H213,Departments!$A:$B,2,0)</f>
        <v>General Medicine</v>
      </c>
      <c r="AB213" t="str">
        <f>VLOOKUP(J213,Diagnosis_Guide!$A:$B,2,0)</f>
        <v>Diabetes Complication</v>
      </c>
      <c r="AC213" s="4" t="str">
        <f>VLOOKUP(J213,Diagnosis_Guide!$A:$C,3,0)</f>
        <v>Endocrine/General</v>
      </c>
      <c r="AD213" s="4" t="str">
        <f>VLOOKUP(R213,Insurance_Plans!$A:$C,3,0)</f>
        <v>Private</v>
      </c>
      <c r="AE213" s="13">
        <f t="shared" si="9"/>
        <v>2280</v>
      </c>
      <c r="AF213" s="13">
        <f t="shared" si="10"/>
        <v>47880</v>
      </c>
      <c r="AG213" s="4" t="str">
        <f t="shared" si="11"/>
        <v>Not Available</v>
      </c>
    </row>
    <row r="214" spans="1:33">
      <c r="A214" t="s">
        <v>620</v>
      </c>
      <c r="B214" t="s">
        <v>621</v>
      </c>
      <c r="C214" s="11">
        <v>46025</v>
      </c>
      <c r="D214" t="s">
        <v>132</v>
      </c>
      <c r="E214" t="s">
        <v>177</v>
      </c>
      <c r="F214" s="4"/>
      <c r="G214" s="4"/>
      <c r="H214" t="s">
        <v>178</v>
      </c>
      <c r="I214" t="s">
        <v>622</v>
      </c>
      <c r="J214" t="s">
        <v>358</v>
      </c>
      <c r="K214" t="s">
        <v>73</v>
      </c>
      <c r="L214" t="s">
        <v>61</v>
      </c>
      <c r="M214" s="5"/>
      <c r="N214" s="5"/>
      <c r="O214" s="5"/>
      <c r="P214" s="5"/>
      <c r="R214" t="s">
        <v>75</v>
      </c>
      <c r="S214" t="s">
        <v>63</v>
      </c>
      <c r="T214" s="5"/>
      <c r="U214" s="6"/>
      <c r="V214" t="s">
        <v>64</v>
      </c>
      <c r="W214" s="4"/>
      <c r="X214" t="s">
        <v>65</v>
      </c>
      <c r="Z214" t="s">
        <v>66</v>
      </c>
      <c r="AA214" t="str">
        <f>VLOOKUP(H214,Departments!$A:$B,2,0)</f>
        <v>Surgery</v>
      </c>
      <c r="AB214" t="str">
        <f>VLOOKUP(J214,Diagnosis_Guide!$A:$B,2,0)</f>
        <v>Gallbladder Surgery</v>
      </c>
      <c r="AC214" s="4" t="str">
        <f>VLOOKUP(J214,Diagnosis_Guide!$A:$C,3,0)</f>
        <v>Surgical</v>
      </c>
      <c r="AD214" s="4" t="str">
        <f>VLOOKUP(R214,Insurance_Plans!$A:$C,3,0)</f>
        <v>Public</v>
      </c>
      <c r="AE214" s="13" t="str">
        <f t="shared" si="9"/>
        <v/>
      </c>
      <c r="AF214" s="13" t="str">
        <f t="shared" si="10"/>
        <v/>
      </c>
      <c r="AG214" s="4" t="str">
        <f t="shared" si="11"/>
        <v>Not Available</v>
      </c>
    </row>
    <row r="215" spans="1:33">
      <c r="A215" t="s">
        <v>623</v>
      </c>
      <c r="B215" t="s">
        <v>624</v>
      </c>
      <c r="C215" s="11">
        <v>46164</v>
      </c>
      <c r="D215" t="s">
        <v>168</v>
      </c>
      <c r="E215" t="s">
        <v>70</v>
      </c>
      <c r="F215" s="4">
        <v>46165</v>
      </c>
      <c r="G215" s="4">
        <v>46171</v>
      </c>
      <c r="H215" t="s">
        <v>201</v>
      </c>
      <c r="I215" t="s">
        <v>327</v>
      </c>
      <c r="J215" t="s">
        <v>295</v>
      </c>
      <c r="K215" t="s">
        <v>73</v>
      </c>
      <c r="L215" t="s">
        <v>61</v>
      </c>
      <c r="M215" s="5">
        <v>35900</v>
      </c>
      <c r="N215" s="5">
        <v>6000</v>
      </c>
      <c r="O215" s="5">
        <v>7100</v>
      </c>
      <c r="P215" s="5">
        <v>18000</v>
      </c>
      <c r="Q215" s="13">
        <v>68000</v>
      </c>
      <c r="R215" t="s">
        <v>75</v>
      </c>
      <c r="S215" t="s">
        <v>76</v>
      </c>
      <c r="T215" s="5">
        <v>30900</v>
      </c>
      <c r="U215" s="6">
        <v>4</v>
      </c>
      <c r="V215" t="s">
        <v>77</v>
      </c>
      <c r="W215" s="4">
        <v>46191</v>
      </c>
      <c r="X215" t="s">
        <v>77</v>
      </c>
      <c r="Y215" t="s">
        <v>64</v>
      </c>
      <c r="Z215" t="s">
        <v>96</v>
      </c>
      <c r="AA215" t="str">
        <f>VLOOKUP(H215,Departments!$A:$B,2,0)</f>
        <v>Emergency</v>
      </c>
      <c r="AB215" t="str">
        <f>VLOOKUP(J215,Diagnosis_Guide!$A:$B,2,0)</f>
        <v>Accident Injury</v>
      </c>
      <c r="AC215" s="4" t="str">
        <f>VLOOKUP(J215,Diagnosis_Guide!$A:$C,3,0)</f>
        <v>Emergency</v>
      </c>
      <c r="AD215" s="4" t="str">
        <f>VLOOKUP(R215,Insurance_Plans!$A:$C,3,0)</f>
        <v>Public</v>
      </c>
      <c r="AE215" s="13">
        <f t="shared" si="9"/>
        <v>3400</v>
      </c>
      <c r="AF215" s="13">
        <f t="shared" si="10"/>
        <v>71400</v>
      </c>
      <c r="AG215" s="4" t="str">
        <f t="shared" si="11"/>
        <v>High</v>
      </c>
    </row>
    <row r="216" spans="1:33">
      <c r="A216" t="s">
        <v>625</v>
      </c>
      <c r="B216" t="s">
        <v>231</v>
      </c>
      <c r="C216" s="11">
        <v>46083</v>
      </c>
      <c r="D216" t="s">
        <v>168</v>
      </c>
      <c r="E216" t="s">
        <v>70</v>
      </c>
      <c r="F216" s="4">
        <v>46083</v>
      </c>
      <c r="G216" s="4">
        <v>46089</v>
      </c>
      <c r="H216" t="s">
        <v>111</v>
      </c>
      <c r="I216" t="s">
        <v>267</v>
      </c>
      <c r="J216" t="s">
        <v>384</v>
      </c>
      <c r="K216" t="s">
        <v>73</v>
      </c>
      <c r="L216" t="s">
        <v>74</v>
      </c>
      <c r="M216" s="5">
        <v>58900</v>
      </c>
      <c r="N216" s="5">
        <v>5150</v>
      </c>
      <c r="O216" s="5">
        <v>9650</v>
      </c>
      <c r="P216" s="5">
        <v>21000</v>
      </c>
      <c r="Q216" s="13">
        <v>95900</v>
      </c>
      <c r="R216" t="s">
        <v>75</v>
      </c>
      <c r="S216" t="s">
        <v>76</v>
      </c>
      <c r="T216" s="5">
        <v>43450</v>
      </c>
      <c r="U216" s="6">
        <v>3</v>
      </c>
      <c r="V216" t="s">
        <v>77</v>
      </c>
      <c r="W216" s="4">
        <v>46102</v>
      </c>
      <c r="X216" t="s">
        <v>64</v>
      </c>
      <c r="Y216" t="s">
        <v>64</v>
      </c>
      <c r="Z216" t="s">
        <v>96</v>
      </c>
      <c r="AA216" t="str">
        <f>VLOOKUP(H216,Departments!$A:$B,2,0)</f>
        <v>General Medicine</v>
      </c>
      <c r="AB216" t="str">
        <f>VLOOKUP(J216,Diagnosis_Guide!$A:$B,2,0)</f>
        <v>Severe Infection</v>
      </c>
      <c r="AC216" s="4" t="str">
        <f>VLOOKUP(J216,Diagnosis_Guide!$A:$C,3,0)</f>
        <v>Infectious/General</v>
      </c>
      <c r="AD216" s="4" t="str">
        <f>VLOOKUP(R216,Insurance_Plans!$A:$C,3,0)</f>
        <v>Public</v>
      </c>
      <c r="AE216" s="13">
        <f t="shared" si="9"/>
        <v>4795</v>
      </c>
      <c r="AF216" s="13">
        <f t="shared" si="10"/>
        <v>100695</v>
      </c>
      <c r="AG216" s="4" t="str">
        <f t="shared" si="11"/>
        <v>Medium</v>
      </c>
    </row>
    <row r="217" spans="1:33">
      <c r="A217" t="s">
        <v>626</v>
      </c>
      <c r="B217" t="s">
        <v>627</v>
      </c>
      <c r="C217" s="11">
        <v>46103</v>
      </c>
      <c r="D217" t="s">
        <v>337</v>
      </c>
      <c r="E217" t="s">
        <v>56</v>
      </c>
      <c r="F217" s="4"/>
      <c r="G217" s="4"/>
      <c r="H217" t="s">
        <v>121</v>
      </c>
      <c r="I217" t="s">
        <v>334</v>
      </c>
      <c r="J217" t="s">
        <v>256</v>
      </c>
      <c r="K217" t="s">
        <v>73</v>
      </c>
      <c r="L217" t="s">
        <v>94</v>
      </c>
      <c r="M217" s="5"/>
      <c r="N217" s="5"/>
      <c r="O217" s="5"/>
      <c r="P217" s="5"/>
      <c r="R217" t="s">
        <v>106</v>
      </c>
      <c r="S217" t="s">
        <v>63</v>
      </c>
      <c r="T217" s="5"/>
      <c r="U217" s="6"/>
      <c r="V217" t="s">
        <v>64</v>
      </c>
      <c r="W217" s="4"/>
      <c r="X217" t="s">
        <v>65</v>
      </c>
      <c r="Z217" t="s">
        <v>66</v>
      </c>
      <c r="AA217" t="str">
        <f>VLOOKUP(H217,Departments!$A:$B,2,0)</f>
        <v>Neurology</v>
      </c>
      <c r="AB217" t="str">
        <f>VLOOKUP(J217,Diagnosis_Guide!$A:$B,2,0)</f>
        <v>Migraine Complication</v>
      </c>
      <c r="AC217" s="4" t="str">
        <f>VLOOKUP(J217,Diagnosis_Guide!$A:$C,3,0)</f>
        <v>Neurological</v>
      </c>
      <c r="AD217" s="4" t="str">
        <f>VLOOKUP(R217,Insurance_Plans!$A:$C,3,0)</f>
        <v>Private</v>
      </c>
      <c r="AE217" s="13" t="str">
        <f t="shared" si="9"/>
        <v/>
      </c>
      <c r="AF217" s="13" t="str">
        <f t="shared" si="10"/>
        <v/>
      </c>
      <c r="AG217" s="4" t="str">
        <f t="shared" si="11"/>
        <v>Not Available</v>
      </c>
    </row>
    <row r="218" spans="1:33">
      <c r="A218" t="s">
        <v>628</v>
      </c>
      <c r="B218" t="s">
        <v>629</v>
      </c>
      <c r="C218" s="11">
        <v>46043</v>
      </c>
      <c r="D218" t="s">
        <v>330</v>
      </c>
      <c r="E218" t="s">
        <v>70</v>
      </c>
      <c r="F218" s="4">
        <v>46044</v>
      </c>
      <c r="G218" s="4">
        <v>46050</v>
      </c>
      <c r="H218" t="s">
        <v>57</v>
      </c>
      <c r="I218" t="s">
        <v>169</v>
      </c>
      <c r="J218" t="s">
        <v>59</v>
      </c>
      <c r="K218" t="s">
        <v>93</v>
      </c>
      <c r="L218" t="s">
        <v>94</v>
      </c>
      <c r="M218" s="5">
        <v>47000</v>
      </c>
      <c r="N218" s="5">
        <v>7900</v>
      </c>
      <c r="O218" s="5">
        <v>10350</v>
      </c>
      <c r="P218" s="5">
        <v>36000</v>
      </c>
      <c r="Q218" s="13">
        <v>102050</v>
      </c>
      <c r="R218" t="s">
        <v>141</v>
      </c>
      <c r="S218" t="s">
        <v>76</v>
      </c>
      <c r="T218" s="5">
        <v>16510</v>
      </c>
      <c r="U218" s="6">
        <v>4</v>
      </c>
      <c r="V218" t="s">
        <v>77</v>
      </c>
      <c r="W218" s="4">
        <v>46061</v>
      </c>
      <c r="X218" t="s">
        <v>77</v>
      </c>
      <c r="Y218" t="s">
        <v>64</v>
      </c>
      <c r="Z218" t="s">
        <v>107</v>
      </c>
      <c r="AA218" t="str">
        <f>VLOOKUP(H218,Departments!$A:$B,2,0)</f>
        <v>Pulmonology</v>
      </c>
      <c r="AB218" t="str">
        <f>VLOOKUP(J218,Diagnosis_Guide!$A:$B,2,0)</f>
        <v>Pneumonia</v>
      </c>
      <c r="AC218" s="4" t="str">
        <f>VLOOKUP(J218,Diagnosis_Guide!$A:$C,3,0)</f>
        <v>Respiratory</v>
      </c>
      <c r="AD218" s="4" t="str">
        <f>VLOOKUP(R218,Insurance_Plans!$A:$C,3,0)</f>
        <v>Private</v>
      </c>
      <c r="AE218" s="13">
        <f t="shared" si="9"/>
        <v>5102.5</v>
      </c>
      <c r="AF218" s="13">
        <f t="shared" si="10"/>
        <v>107152.5</v>
      </c>
      <c r="AG218" s="4" t="str">
        <f t="shared" si="11"/>
        <v>High</v>
      </c>
    </row>
    <row r="219" spans="1:33">
      <c r="A219" t="s">
        <v>630</v>
      </c>
      <c r="B219" t="s">
        <v>631</v>
      </c>
      <c r="C219" s="11">
        <v>46127</v>
      </c>
      <c r="D219" t="s">
        <v>168</v>
      </c>
      <c r="E219" t="s">
        <v>70</v>
      </c>
      <c r="F219" s="4">
        <v>46128</v>
      </c>
      <c r="G219" s="4">
        <v>46132</v>
      </c>
      <c r="H219" t="s">
        <v>103</v>
      </c>
      <c r="I219" t="s">
        <v>207</v>
      </c>
      <c r="J219" t="s">
        <v>244</v>
      </c>
      <c r="K219" t="s">
        <v>73</v>
      </c>
      <c r="L219" t="s">
        <v>94</v>
      </c>
      <c r="M219" s="5">
        <v>70500</v>
      </c>
      <c r="N219" s="5">
        <v>11450</v>
      </c>
      <c r="O219" s="5">
        <v>8350</v>
      </c>
      <c r="P219" s="5">
        <v>24000</v>
      </c>
      <c r="Q219" s="13">
        <v>115800</v>
      </c>
      <c r="R219" t="s">
        <v>106</v>
      </c>
      <c r="S219" t="s">
        <v>86</v>
      </c>
      <c r="T219" s="5">
        <v>41230</v>
      </c>
      <c r="U219" s="6">
        <v>4</v>
      </c>
      <c r="V219" t="s">
        <v>77</v>
      </c>
      <c r="W219" s="4">
        <v>46149</v>
      </c>
      <c r="X219" t="s">
        <v>77</v>
      </c>
      <c r="Y219" t="s">
        <v>64</v>
      </c>
      <c r="Z219" t="s">
        <v>96</v>
      </c>
      <c r="AA219" t="str">
        <f>VLOOKUP(H219,Departments!$A:$B,2,0)</f>
        <v>Nephrology</v>
      </c>
      <c r="AB219" t="str">
        <f>VLOOKUP(J219,Diagnosis_Guide!$A:$B,2,0)</f>
        <v>Chronic Kidney Disease</v>
      </c>
      <c r="AC219" s="4" t="str">
        <f>VLOOKUP(J219,Diagnosis_Guide!$A:$C,3,0)</f>
        <v>Renal</v>
      </c>
      <c r="AD219" s="4" t="str">
        <f>VLOOKUP(R219,Insurance_Plans!$A:$C,3,0)</f>
        <v>Private</v>
      </c>
      <c r="AE219" s="13">
        <f t="shared" si="9"/>
        <v>5790</v>
      </c>
      <c r="AF219" s="13">
        <f t="shared" si="10"/>
        <v>121590</v>
      </c>
      <c r="AG219" s="4" t="str">
        <f t="shared" si="11"/>
        <v>High</v>
      </c>
    </row>
    <row r="220" spans="1:33">
      <c r="A220" t="s">
        <v>632</v>
      </c>
      <c r="B220" t="s">
        <v>633</v>
      </c>
      <c r="C220" s="11">
        <v>46069</v>
      </c>
      <c r="D220" t="s">
        <v>132</v>
      </c>
      <c r="E220" t="s">
        <v>70</v>
      </c>
      <c r="F220" s="4">
        <v>46070</v>
      </c>
      <c r="G220" s="4">
        <v>46070</v>
      </c>
      <c r="H220" t="s">
        <v>103</v>
      </c>
      <c r="I220" t="s">
        <v>104</v>
      </c>
      <c r="J220" t="s">
        <v>145</v>
      </c>
      <c r="K220" t="s">
        <v>60</v>
      </c>
      <c r="L220" t="s">
        <v>94</v>
      </c>
      <c r="M220" s="5">
        <v>26900</v>
      </c>
      <c r="N220" s="5">
        <v>2250</v>
      </c>
      <c r="O220" s="5">
        <v>4450</v>
      </c>
      <c r="P220" s="5">
        <v>0</v>
      </c>
      <c r="Q220" s="13">
        <v>35400</v>
      </c>
      <c r="R220" t="s">
        <v>95</v>
      </c>
      <c r="S220" t="s">
        <v>63</v>
      </c>
      <c r="T220" s="5">
        <v>35400</v>
      </c>
      <c r="U220" s="6">
        <v>5</v>
      </c>
      <c r="V220" t="s">
        <v>77</v>
      </c>
      <c r="W220" s="4">
        <v>46090</v>
      </c>
      <c r="X220" t="s">
        <v>77</v>
      </c>
      <c r="Y220" t="s">
        <v>64</v>
      </c>
      <c r="Z220" t="s">
        <v>96</v>
      </c>
      <c r="AA220" t="str">
        <f>VLOOKUP(H220,Departments!$A:$B,2,0)</f>
        <v>Nephrology</v>
      </c>
      <c r="AB220" t="str">
        <f>VLOOKUP(J220,Diagnosis_Guide!$A:$B,2,0)</f>
        <v>Kidney Stone</v>
      </c>
      <c r="AC220" s="4" t="str">
        <f>VLOOKUP(J220,Diagnosis_Guide!$A:$C,3,0)</f>
        <v>Renal</v>
      </c>
      <c r="AD220" s="4" t="str">
        <f>VLOOKUP(R220,Insurance_Plans!$A:$C,3,0)</f>
        <v>Self-Pay</v>
      </c>
      <c r="AE220" s="13">
        <f t="shared" si="9"/>
        <v>1770</v>
      </c>
      <c r="AF220" s="13">
        <f t="shared" si="10"/>
        <v>37170</v>
      </c>
      <c r="AG220" s="4" t="str">
        <f t="shared" si="11"/>
        <v>High</v>
      </c>
    </row>
    <row r="221" spans="1:33">
      <c r="A221" t="s">
        <v>634</v>
      </c>
      <c r="B221" t="s">
        <v>635</v>
      </c>
      <c r="C221" s="11">
        <v>46050</v>
      </c>
      <c r="D221" t="s">
        <v>225</v>
      </c>
      <c r="E221" t="s">
        <v>70</v>
      </c>
      <c r="F221" s="4">
        <v>46051</v>
      </c>
      <c r="G221" s="4">
        <v>46051</v>
      </c>
      <c r="H221" t="s">
        <v>138</v>
      </c>
      <c r="I221" t="s">
        <v>444</v>
      </c>
      <c r="J221" t="s">
        <v>236</v>
      </c>
      <c r="K221" t="s">
        <v>60</v>
      </c>
      <c r="L221" t="s">
        <v>74</v>
      </c>
      <c r="M221" s="5">
        <v>37000</v>
      </c>
      <c r="N221" s="5">
        <v>5650</v>
      </c>
      <c r="O221" s="5">
        <v>7700</v>
      </c>
      <c r="P221" s="5">
        <v>0</v>
      </c>
      <c r="Q221" s="13">
        <v>51850</v>
      </c>
      <c r="R221" t="s">
        <v>85</v>
      </c>
      <c r="S221" t="s">
        <v>86</v>
      </c>
      <c r="T221" s="5">
        <v>13860</v>
      </c>
      <c r="U221" s="6">
        <v>3</v>
      </c>
      <c r="V221" t="s">
        <v>77</v>
      </c>
      <c r="W221" s="4">
        <v>46060</v>
      </c>
      <c r="X221" t="s">
        <v>64</v>
      </c>
      <c r="Y221" t="s">
        <v>64</v>
      </c>
      <c r="Z221" t="s">
        <v>78</v>
      </c>
      <c r="AA221" t="str">
        <f>VLOOKUP(H221,Departments!$A:$B,2,0)</f>
        <v>Pediatrics</v>
      </c>
      <c r="AB221" t="str">
        <f>VLOOKUP(J221,Diagnosis_Guide!$A:$B,2,0)</f>
        <v>Neonatal Observation</v>
      </c>
      <c r="AC221" s="4" t="str">
        <f>VLOOKUP(J221,Diagnosis_Guide!$A:$C,3,0)</f>
        <v>Pediatric</v>
      </c>
      <c r="AD221" s="4" t="str">
        <f>VLOOKUP(R221,Insurance_Plans!$A:$C,3,0)</f>
        <v>Employer</v>
      </c>
      <c r="AE221" s="13">
        <f t="shared" si="9"/>
        <v>2592.5</v>
      </c>
      <c r="AF221" s="13">
        <f t="shared" si="10"/>
        <v>54442.5</v>
      </c>
      <c r="AG221" s="4" t="str">
        <f t="shared" si="11"/>
        <v>Medium</v>
      </c>
    </row>
    <row r="222" spans="1:33">
      <c r="A222" t="s">
        <v>636</v>
      </c>
      <c r="B222" t="s">
        <v>448</v>
      </c>
      <c r="C222" s="11">
        <v>46082</v>
      </c>
      <c r="D222" t="s">
        <v>55</v>
      </c>
      <c r="E222" t="s">
        <v>70</v>
      </c>
      <c r="F222" s="4">
        <v>46083</v>
      </c>
      <c r="G222" s="4">
        <v>46083</v>
      </c>
      <c r="H222" t="s">
        <v>201</v>
      </c>
      <c r="I222" t="s">
        <v>421</v>
      </c>
      <c r="J222" t="s">
        <v>281</v>
      </c>
      <c r="K222" t="s">
        <v>73</v>
      </c>
      <c r="L222" t="s">
        <v>94</v>
      </c>
      <c r="M222" s="5">
        <v>6000</v>
      </c>
      <c r="N222" s="5">
        <v>700</v>
      </c>
      <c r="O222" s="5">
        <v>1300</v>
      </c>
      <c r="P222" s="5">
        <v>0</v>
      </c>
      <c r="Q222" s="13">
        <v>9000</v>
      </c>
      <c r="R222" t="s">
        <v>134</v>
      </c>
      <c r="S222" t="s">
        <v>76</v>
      </c>
      <c r="T222" s="5">
        <v>5150</v>
      </c>
      <c r="U222" s="6">
        <v>5</v>
      </c>
      <c r="V222" t="s">
        <v>64</v>
      </c>
      <c r="W222" s="4"/>
      <c r="X222" t="s">
        <v>65</v>
      </c>
      <c r="Y222" t="s">
        <v>64</v>
      </c>
      <c r="Z222" t="s">
        <v>96</v>
      </c>
      <c r="AA222" t="str">
        <f>VLOOKUP(H222,Departments!$A:$B,2,0)</f>
        <v>Emergency</v>
      </c>
      <c r="AB222" t="str">
        <f>VLOOKUP(J222,Diagnosis_Guide!$A:$B,2,0)</f>
        <v>Food Poisoning</v>
      </c>
      <c r="AC222" s="4" t="str">
        <f>VLOOKUP(J222,Diagnosis_Guide!$A:$C,3,0)</f>
        <v>Emergency</v>
      </c>
      <c r="AD222" s="4" t="str">
        <f>VLOOKUP(R222,Insurance_Plans!$A:$C,3,0)</f>
        <v>Community</v>
      </c>
      <c r="AE222" s="13">
        <f t="shared" si="9"/>
        <v>450</v>
      </c>
      <c r="AF222" s="13">
        <f t="shared" si="10"/>
        <v>9450</v>
      </c>
      <c r="AG222" s="4" t="str">
        <f t="shared" si="11"/>
        <v>High</v>
      </c>
    </row>
    <row r="223" spans="1:33">
      <c r="A223" t="s">
        <v>637</v>
      </c>
      <c r="B223" t="s">
        <v>638</v>
      </c>
      <c r="C223" s="11">
        <v>46147</v>
      </c>
      <c r="D223" t="s">
        <v>307</v>
      </c>
      <c r="E223" t="s">
        <v>56</v>
      </c>
      <c r="F223" s="4"/>
      <c r="G223" s="4"/>
      <c r="H223" t="s">
        <v>90</v>
      </c>
      <c r="I223" t="s">
        <v>162</v>
      </c>
      <c r="J223" t="s">
        <v>92</v>
      </c>
      <c r="K223" t="s">
        <v>93</v>
      </c>
      <c r="L223" t="s">
        <v>146</v>
      </c>
      <c r="M223" s="5"/>
      <c r="N223" s="5"/>
      <c r="O223" s="5"/>
      <c r="P223" s="5"/>
      <c r="R223" t="s">
        <v>134</v>
      </c>
      <c r="S223" t="s">
        <v>63</v>
      </c>
      <c r="T223" s="5"/>
      <c r="U223" s="6"/>
      <c r="V223" t="s">
        <v>64</v>
      </c>
      <c r="W223" s="4"/>
      <c r="X223" t="s">
        <v>65</v>
      </c>
      <c r="Z223" t="s">
        <v>66</v>
      </c>
      <c r="AA223" t="str">
        <f>VLOOKUP(H223,Departments!$A:$B,2,0)</f>
        <v>Cardiology</v>
      </c>
      <c r="AB223" t="str">
        <f>VLOOKUP(J223,Diagnosis_Guide!$A:$B,2,0)</f>
        <v>Heart Failure</v>
      </c>
      <c r="AC223" s="4" t="str">
        <f>VLOOKUP(J223,Diagnosis_Guide!$A:$C,3,0)</f>
        <v>Cardiovascular</v>
      </c>
      <c r="AD223" s="4" t="str">
        <f>VLOOKUP(R223,Insurance_Plans!$A:$C,3,0)</f>
        <v>Community</v>
      </c>
      <c r="AE223" s="13" t="str">
        <f t="shared" si="9"/>
        <v/>
      </c>
      <c r="AF223" s="13" t="str">
        <f t="shared" si="10"/>
        <v/>
      </c>
      <c r="AG223" s="4" t="str">
        <f t="shared" si="11"/>
        <v>Not Available</v>
      </c>
    </row>
    <row r="224" spans="1:33">
      <c r="A224" t="s">
        <v>639</v>
      </c>
      <c r="B224" t="s">
        <v>640</v>
      </c>
      <c r="C224" s="11">
        <v>46094</v>
      </c>
      <c r="D224" t="s">
        <v>217</v>
      </c>
      <c r="E224" t="s">
        <v>70</v>
      </c>
      <c r="F224" s="4">
        <v>46094</v>
      </c>
      <c r="G224" s="4">
        <v>46099</v>
      </c>
      <c r="H224" t="s">
        <v>201</v>
      </c>
      <c r="I224" t="s">
        <v>515</v>
      </c>
      <c r="J224" t="s">
        <v>295</v>
      </c>
      <c r="K224" t="s">
        <v>73</v>
      </c>
      <c r="L224" t="s">
        <v>61</v>
      </c>
      <c r="M224" s="5">
        <v>32200</v>
      </c>
      <c r="N224" s="5">
        <v>5250</v>
      </c>
      <c r="O224" s="5">
        <v>3350</v>
      </c>
      <c r="P224" s="5">
        <v>15000</v>
      </c>
      <c r="Q224" s="13">
        <v>57000</v>
      </c>
      <c r="R224" t="s">
        <v>106</v>
      </c>
      <c r="S224" t="s">
        <v>163</v>
      </c>
      <c r="T224" s="5">
        <v>20650</v>
      </c>
      <c r="U224" s="6">
        <v>5</v>
      </c>
      <c r="V224" t="s">
        <v>77</v>
      </c>
      <c r="W224" s="4">
        <v>46113</v>
      </c>
      <c r="X224" t="s">
        <v>77</v>
      </c>
      <c r="Y224" t="s">
        <v>64</v>
      </c>
      <c r="Z224" t="s">
        <v>78</v>
      </c>
      <c r="AA224" t="str">
        <f>VLOOKUP(H224,Departments!$A:$B,2,0)</f>
        <v>Emergency</v>
      </c>
      <c r="AB224" t="str">
        <f>VLOOKUP(J224,Diagnosis_Guide!$A:$B,2,0)</f>
        <v>Accident Injury</v>
      </c>
      <c r="AC224" s="4" t="str">
        <f>VLOOKUP(J224,Diagnosis_Guide!$A:$C,3,0)</f>
        <v>Emergency</v>
      </c>
      <c r="AD224" s="4" t="str">
        <f>VLOOKUP(R224,Insurance_Plans!$A:$C,3,0)</f>
        <v>Private</v>
      </c>
      <c r="AE224" s="13">
        <f t="shared" si="9"/>
        <v>2850</v>
      </c>
      <c r="AF224" s="13">
        <f t="shared" si="10"/>
        <v>59850</v>
      </c>
      <c r="AG224" s="4" t="str">
        <f t="shared" si="11"/>
        <v>High</v>
      </c>
    </row>
    <row r="225" spans="1:33">
      <c r="A225" t="s">
        <v>641</v>
      </c>
      <c r="B225" t="s">
        <v>642</v>
      </c>
      <c r="C225" s="11">
        <v>46094</v>
      </c>
      <c r="D225" t="s">
        <v>294</v>
      </c>
      <c r="E225" t="s">
        <v>314</v>
      </c>
      <c r="F225" s="4"/>
      <c r="G225" s="4"/>
      <c r="H225" t="s">
        <v>111</v>
      </c>
      <c r="I225" t="s">
        <v>112</v>
      </c>
      <c r="J225" t="s">
        <v>117</v>
      </c>
      <c r="K225" t="s">
        <v>60</v>
      </c>
      <c r="L225" t="s">
        <v>61</v>
      </c>
      <c r="M225" s="5"/>
      <c r="N225" s="5"/>
      <c r="O225" s="5"/>
      <c r="P225" s="5"/>
      <c r="R225" t="s">
        <v>106</v>
      </c>
      <c r="S225" t="s">
        <v>63</v>
      </c>
      <c r="T225" s="5"/>
      <c r="U225" s="6"/>
      <c r="V225" t="s">
        <v>64</v>
      </c>
      <c r="W225" s="4"/>
      <c r="X225" t="s">
        <v>65</v>
      </c>
      <c r="Z225" t="s">
        <v>66</v>
      </c>
      <c r="AA225" t="str">
        <f>VLOOKUP(H225,Departments!$A:$B,2,0)</f>
        <v>General Medicine</v>
      </c>
      <c r="AB225" t="str">
        <f>VLOOKUP(J225,Diagnosis_Guide!$A:$B,2,0)</f>
        <v>Fever Investigation</v>
      </c>
      <c r="AC225" s="4" t="str">
        <f>VLOOKUP(J225,Diagnosis_Guide!$A:$C,3,0)</f>
        <v>Infectious/General</v>
      </c>
      <c r="AD225" s="4" t="str">
        <f>VLOOKUP(R225,Insurance_Plans!$A:$C,3,0)</f>
        <v>Private</v>
      </c>
      <c r="AE225" s="13" t="str">
        <f t="shared" si="9"/>
        <v/>
      </c>
      <c r="AF225" s="13" t="str">
        <f t="shared" si="10"/>
        <v/>
      </c>
      <c r="AG225" s="4" t="str">
        <f t="shared" si="11"/>
        <v>Not Available</v>
      </c>
    </row>
    <row r="226" spans="1:33">
      <c r="A226" t="s">
        <v>643</v>
      </c>
      <c r="B226" t="s">
        <v>644</v>
      </c>
      <c r="C226" s="11">
        <v>46154</v>
      </c>
      <c r="D226" t="s">
        <v>294</v>
      </c>
      <c r="E226" t="s">
        <v>338</v>
      </c>
      <c r="F226" s="4"/>
      <c r="G226" s="4"/>
      <c r="H226" t="s">
        <v>82</v>
      </c>
      <c r="I226" t="s">
        <v>155</v>
      </c>
      <c r="J226" t="s">
        <v>156</v>
      </c>
      <c r="K226" t="s">
        <v>60</v>
      </c>
      <c r="L226" t="s">
        <v>94</v>
      </c>
      <c r="M226" s="5"/>
      <c r="N226" s="5"/>
      <c r="O226" s="5"/>
      <c r="P226" s="5"/>
      <c r="R226" t="s">
        <v>95</v>
      </c>
      <c r="S226" t="s">
        <v>63</v>
      </c>
      <c r="T226" s="5"/>
      <c r="U226" s="6"/>
      <c r="V226" t="s">
        <v>64</v>
      </c>
      <c r="W226" s="4"/>
      <c r="X226" t="s">
        <v>65</v>
      </c>
      <c r="Z226" t="s">
        <v>66</v>
      </c>
      <c r="AA226" t="str">
        <f>VLOOKUP(H226,Departments!$A:$B,2,0)</f>
        <v>Orthopedics</v>
      </c>
      <c r="AB226" t="str">
        <f>VLOOKUP(J226,Diagnosis_Guide!$A:$B,2,0)</f>
        <v>Spinal Injury</v>
      </c>
      <c r="AC226" s="4" t="str">
        <f>VLOOKUP(J226,Diagnosis_Guide!$A:$C,3,0)</f>
        <v>Musculoskeletal</v>
      </c>
      <c r="AD226" s="4" t="str">
        <f>VLOOKUP(R226,Insurance_Plans!$A:$C,3,0)</f>
        <v>Self-Pay</v>
      </c>
      <c r="AE226" s="13" t="str">
        <f t="shared" si="9"/>
        <v/>
      </c>
      <c r="AF226" s="13" t="str">
        <f t="shared" si="10"/>
        <v/>
      </c>
      <c r="AG226" s="4" t="str">
        <f t="shared" si="11"/>
        <v>Not Available</v>
      </c>
    </row>
    <row r="227" spans="1:33">
      <c r="A227" t="s">
        <v>645</v>
      </c>
      <c r="B227" t="s">
        <v>551</v>
      </c>
      <c r="C227" s="11">
        <v>46032</v>
      </c>
      <c r="D227" t="s">
        <v>99</v>
      </c>
      <c r="E227" t="s">
        <v>70</v>
      </c>
      <c r="F227" s="4">
        <v>46032</v>
      </c>
      <c r="G227" s="4">
        <v>46032</v>
      </c>
      <c r="H227" t="s">
        <v>82</v>
      </c>
      <c r="I227" t="s">
        <v>83</v>
      </c>
      <c r="J227" t="s">
        <v>291</v>
      </c>
      <c r="K227" t="s">
        <v>60</v>
      </c>
      <c r="L227" t="s">
        <v>146</v>
      </c>
      <c r="M227" s="5">
        <v>28700</v>
      </c>
      <c r="N227" s="5">
        <v>4650</v>
      </c>
      <c r="O227" s="5">
        <v>6050</v>
      </c>
      <c r="P227" s="5">
        <v>0</v>
      </c>
      <c r="Q227" s="13">
        <v>41200</v>
      </c>
      <c r="R227" t="s">
        <v>106</v>
      </c>
      <c r="S227" t="s">
        <v>76</v>
      </c>
      <c r="T227" s="5">
        <v>15120</v>
      </c>
      <c r="U227" s="6"/>
      <c r="V227" t="s">
        <v>64</v>
      </c>
      <c r="W227" s="4"/>
      <c r="X227" t="s">
        <v>65</v>
      </c>
      <c r="Y227" t="s">
        <v>64</v>
      </c>
      <c r="Z227" t="s">
        <v>96</v>
      </c>
      <c r="AA227" t="str">
        <f>VLOOKUP(H227,Departments!$A:$B,2,0)</f>
        <v>Orthopedics</v>
      </c>
      <c r="AB227" t="str">
        <f>VLOOKUP(J227,Diagnosis_Guide!$A:$B,2,0)</f>
        <v>Fracture Repair</v>
      </c>
      <c r="AC227" s="4" t="str">
        <f>VLOOKUP(J227,Diagnosis_Guide!$A:$C,3,0)</f>
        <v>Musculoskeletal</v>
      </c>
      <c r="AD227" s="4" t="str">
        <f>VLOOKUP(R227,Insurance_Plans!$A:$C,3,0)</f>
        <v>Private</v>
      </c>
      <c r="AE227" s="13">
        <f t="shared" si="9"/>
        <v>2060</v>
      </c>
      <c r="AF227" s="13">
        <f t="shared" si="10"/>
        <v>43260</v>
      </c>
      <c r="AG227" s="4" t="str">
        <f t="shared" si="11"/>
        <v>Not Available</v>
      </c>
    </row>
    <row r="228" spans="1:33">
      <c r="A228" t="s">
        <v>646</v>
      </c>
      <c r="B228" t="s">
        <v>647</v>
      </c>
      <c r="C228" s="11">
        <v>46120</v>
      </c>
      <c r="D228" t="s">
        <v>279</v>
      </c>
      <c r="E228" t="s">
        <v>70</v>
      </c>
      <c r="F228" s="4">
        <v>46120</v>
      </c>
      <c r="G228" s="4">
        <v>46127</v>
      </c>
      <c r="H228" t="s">
        <v>57</v>
      </c>
      <c r="I228" t="s">
        <v>211</v>
      </c>
      <c r="J228" t="s">
        <v>170</v>
      </c>
      <c r="K228" t="s">
        <v>73</v>
      </c>
      <c r="L228" t="s">
        <v>94</v>
      </c>
      <c r="M228" s="5">
        <v>57200</v>
      </c>
      <c r="N228" s="5">
        <v>7400</v>
      </c>
      <c r="O228" s="5">
        <v>11150</v>
      </c>
      <c r="P228" s="5">
        <v>42000</v>
      </c>
      <c r="Q228" s="13">
        <v>119750</v>
      </c>
      <c r="R228" t="s">
        <v>106</v>
      </c>
      <c r="S228" t="s">
        <v>76</v>
      </c>
      <c r="T228" s="5">
        <v>42610</v>
      </c>
      <c r="U228" s="6">
        <v>3</v>
      </c>
      <c r="V228" t="s">
        <v>77</v>
      </c>
      <c r="W228" s="4">
        <v>46135</v>
      </c>
      <c r="X228" t="s">
        <v>64</v>
      </c>
      <c r="Y228" t="s">
        <v>64</v>
      </c>
      <c r="Z228" t="s">
        <v>78</v>
      </c>
      <c r="AA228" t="str">
        <f>VLOOKUP(H228,Departments!$A:$B,2,0)</f>
        <v>Pulmonology</v>
      </c>
      <c r="AB228" t="str">
        <f>VLOOKUP(J228,Diagnosis_Guide!$A:$B,2,0)</f>
        <v>COPD Exacerbation</v>
      </c>
      <c r="AC228" s="4" t="str">
        <f>VLOOKUP(J228,Diagnosis_Guide!$A:$C,3,0)</f>
        <v>Respiratory</v>
      </c>
      <c r="AD228" s="4" t="str">
        <f>VLOOKUP(R228,Insurance_Plans!$A:$C,3,0)</f>
        <v>Private</v>
      </c>
      <c r="AE228" s="13">
        <f t="shared" si="9"/>
        <v>5987.5</v>
      </c>
      <c r="AF228" s="13">
        <f t="shared" si="10"/>
        <v>125737.5</v>
      </c>
      <c r="AG228" s="4" t="str">
        <f t="shared" si="11"/>
        <v>Medium</v>
      </c>
    </row>
    <row r="229" spans="1:33">
      <c r="A229" t="s">
        <v>648</v>
      </c>
      <c r="B229" t="s">
        <v>649</v>
      </c>
      <c r="C229" s="11">
        <v>46124</v>
      </c>
      <c r="D229" t="s">
        <v>110</v>
      </c>
      <c r="E229" t="s">
        <v>314</v>
      </c>
      <c r="F229" s="4"/>
      <c r="G229" s="4"/>
      <c r="H229" t="s">
        <v>103</v>
      </c>
      <c r="I229" t="s">
        <v>364</v>
      </c>
      <c r="J229" t="s">
        <v>105</v>
      </c>
      <c r="K229" t="s">
        <v>73</v>
      </c>
      <c r="L229" t="s">
        <v>94</v>
      </c>
      <c r="M229" s="5"/>
      <c r="N229" s="5"/>
      <c r="O229" s="5"/>
      <c r="P229" s="5"/>
      <c r="R229" t="s">
        <v>75</v>
      </c>
      <c r="S229" t="s">
        <v>63</v>
      </c>
      <c r="T229" s="5"/>
      <c r="U229" s="6"/>
      <c r="V229" t="s">
        <v>64</v>
      </c>
      <c r="W229" s="4"/>
      <c r="X229" t="s">
        <v>65</v>
      </c>
      <c r="Z229" t="s">
        <v>66</v>
      </c>
      <c r="AA229" t="str">
        <f>VLOOKUP(H229,Departments!$A:$B,2,0)</f>
        <v>Nephrology</v>
      </c>
      <c r="AB229" t="str">
        <f>VLOOKUP(J229,Diagnosis_Guide!$A:$B,2,0)</f>
        <v>Dialysis Complication</v>
      </c>
      <c r="AC229" s="4" t="str">
        <f>VLOOKUP(J229,Diagnosis_Guide!$A:$C,3,0)</f>
        <v>Renal</v>
      </c>
      <c r="AD229" s="4" t="str">
        <f>VLOOKUP(R229,Insurance_Plans!$A:$C,3,0)</f>
        <v>Public</v>
      </c>
      <c r="AE229" s="13" t="str">
        <f t="shared" si="9"/>
        <v/>
      </c>
      <c r="AF229" s="13" t="str">
        <f t="shared" si="10"/>
        <v/>
      </c>
      <c r="AG229" s="4" t="str">
        <f t="shared" si="11"/>
        <v>Not Available</v>
      </c>
    </row>
    <row r="230" spans="1:33">
      <c r="A230" t="s">
        <v>650</v>
      </c>
      <c r="B230" t="s">
        <v>651</v>
      </c>
      <c r="C230" s="11">
        <v>46127</v>
      </c>
      <c r="D230" t="s">
        <v>120</v>
      </c>
      <c r="E230" t="s">
        <v>70</v>
      </c>
      <c r="F230" s="4">
        <v>46128</v>
      </c>
      <c r="G230" s="4">
        <v>46128</v>
      </c>
      <c r="H230" t="s">
        <v>82</v>
      </c>
      <c r="I230" t="s">
        <v>369</v>
      </c>
      <c r="J230" t="s">
        <v>156</v>
      </c>
      <c r="K230" t="s">
        <v>60</v>
      </c>
      <c r="L230" t="s">
        <v>74</v>
      </c>
      <c r="M230" s="5">
        <v>60000</v>
      </c>
      <c r="N230" s="5">
        <v>7700</v>
      </c>
      <c r="O230" s="5">
        <v>7950</v>
      </c>
      <c r="P230" s="5">
        <v>0</v>
      </c>
      <c r="Q230" s="13">
        <v>76450</v>
      </c>
      <c r="R230" t="s">
        <v>85</v>
      </c>
      <c r="S230" t="s">
        <v>76</v>
      </c>
      <c r="T230" s="5">
        <v>20010</v>
      </c>
      <c r="U230" s="6">
        <v>5</v>
      </c>
      <c r="V230" t="s">
        <v>77</v>
      </c>
      <c r="W230" s="4">
        <v>46138</v>
      </c>
      <c r="X230" t="s">
        <v>77</v>
      </c>
      <c r="Y230" t="s">
        <v>64</v>
      </c>
      <c r="Z230" t="s">
        <v>96</v>
      </c>
      <c r="AA230" t="str">
        <f>VLOOKUP(H230,Departments!$A:$B,2,0)</f>
        <v>Orthopedics</v>
      </c>
      <c r="AB230" t="str">
        <f>VLOOKUP(J230,Diagnosis_Guide!$A:$B,2,0)</f>
        <v>Spinal Injury</v>
      </c>
      <c r="AC230" s="4" t="str">
        <f>VLOOKUP(J230,Diagnosis_Guide!$A:$C,3,0)</f>
        <v>Musculoskeletal</v>
      </c>
      <c r="AD230" s="4" t="str">
        <f>VLOOKUP(R230,Insurance_Plans!$A:$C,3,0)</f>
        <v>Employer</v>
      </c>
      <c r="AE230" s="13">
        <f t="shared" si="9"/>
        <v>3822.5</v>
      </c>
      <c r="AF230" s="13">
        <f t="shared" si="10"/>
        <v>80272.5</v>
      </c>
      <c r="AG230" s="4" t="str">
        <f t="shared" si="11"/>
        <v>High</v>
      </c>
    </row>
    <row r="231" spans="1:33">
      <c r="A231" t="s">
        <v>652</v>
      </c>
      <c r="B231" t="s">
        <v>653</v>
      </c>
      <c r="C231" s="11">
        <v>46028</v>
      </c>
      <c r="D231" t="s">
        <v>439</v>
      </c>
      <c r="E231" t="s">
        <v>314</v>
      </c>
      <c r="F231" s="4"/>
      <c r="G231" s="4"/>
      <c r="H231" t="s">
        <v>90</v>
      </c>
      <c r="I231" t="s">
        <v>299</v>
      </c>
      <c r="J231" t="s">
        <v>197</v>
      </c>
      <c r="K231" t="s">
        <v>60</v>
      </c>
      <c r="L231" t="s">
        <v>94</v>
      </c>
      <c r="M231" s="5"/>
      <c r="N231" s="5"/>
      <c r="O231" s="5"/>
      <c r="P231" s="5"/>
      <c r="R231" t="s">
        <v>75</v>
      </c>
      <c r="S231" t="s">
        <v>63</v>
      </c>
      <c r="T231" s="5"/>
      <c r="U231" s="6"/>
      <c r="V231" t="s">
        <v>64</v>
      </c>
      <c r="W231" s="4"/>
      <c r="X231" t="s">
        <v>65</v>
      </c>
      <c r="Z231" t="s">
        <v>66</v>
      </c>
      <c r="AA231" t="str">
        <f>VLOOKUP(H231,Departments!$A:$B,2,0)</f>
        <v>Cardiology</v>
      </c>
      <c r="AB231" t="str">
        <f>VLOOKUP(J231,Diagnosis_Guide!$A:$B,2,0)</f>
        <v>Chest Pain</v>
      </c>
      <c r="AC231" s="4" t="str">
        <f>VLOOKUP(J231,Diagnosis_Guide!$A:$C,3,0)</f>
        <v>Cardiovascular</v>
      </c>
      <c r="AD231" s="4" t="str">
        <f>VLOOKUP(R231,Insurance_Plans!$A:$C,3,0)</f>
        <v>Public</v>
      </c>
      <c r="AE231" s="13" t="str">
        <f t="shared" si="9"/>
        <v/>
      </c>
      <c r="AF231" s="13" t="str">
        <f t="shared" si="10"/>
        <v/>
      </c>
      <c r="AG231" s="4" t="str">
        <f t="shared" si="11"/>
        <v>Not Available</v>
      </c>
    </row>
    <row r="232" spans="1:33">
      <c r="A232" t="s">
        <v>654</v>
      </c>
      <c r="B232" t="s">
        <v>655</v>
      </c>
      <c r="C232" s="11">
        <v>46160</v>
      </c>
      <c r="D232" t="s">
        <v>127</v>
      </c>
      <c r="E232" t="s">
        <v>314</v>
      </c>
      <c r="F232" s="4"/>
      <c r="G232" s="4"/>
      <c r="H232" t="s">
        <v>138</v>
      </c>
      <c r="I232" t="s">
        <v>352</v>
      </c>
      <c r="J232" t="s">
        <v>236</v>
      </c>
      <c r="K232" t="s">
        <v>124</v>
      </c>
      <c r="L232" t="s">
        <v>74</v>
      </c>
      <c r="M232" s="5"/>
      <c r="N232" s="5"/>
      <c r="O232" s="5"/>
      <c r="P232" s="5"/>
      <c r="R232" t="s">
        <v>106</v>
      </c>
      <c r="S232" t="s">
        <v>63</v>
      </c>
      <c r="T232" s="5"/>
      <c r="U232" s="6"/>
      <c r="V232" t="s">
        <v>64</v>
      </c>
      <c r="W232" s="4"/>
      <c r="X232" t="s">
        <v>65</v>
      </c>
      <c r="Z232" t="s">
        <v>66</v>
      </c>
      <c r="AA232" t="str">
        <f>VLOOKUP(H232,Departments!$A:$B,2,0)</f>
        <v>Pediatrics</v>
      </c>
      <c r="AB232" t="str">
        <f>VLOOKUP(J232,Diagnosis_Guide!$A:$B,2,0)</f>
        <v>Neonatal Observation</v>
      </c>
      <c r="AC232" s="4" t="str">
        <f>VLOOKUP(J232,Diagnosis_Guide!$A:$C,3,0)</f>
        <v>Pediatric</v>
      </c>
      <c r="AD232" s="4" t="str">
        <f>VLOOKUP(R232,Insurance_Plans!$A:$C,3,0)</f>
        <v>Private</v>
      </c>
      <c r="AE232" s="13" t="str">
        <f t="shared" si="9"/>
        <v/>
      </c>
      <c r="AF232" s="13" t="str">
        <f t="shared" si="10"/>
        <v/>
      </c>
      <c r="AG232" s="4" t="str">
        <f t="shared" si="11"/>
        <v>Not Available</v>
      </c>
    </row>
    <row r="233" spans="1:33">
      <c r="A233" t="s">
        <v>656</v>
      </c>
      <c r="B233" t="s">
        <v>657</v>
      </c>
      <c r="C233" s="11">
        <v>46164</v>
      </c>
      <c r="D233" t="s">
        <v>69</v>
      </c>
      <c r="E233" t="s">
        <v>70</v>
      </c>
      <c r="F233" s="4">
        <v>46164</v>
      </c>
      <c r="G233" s="4">
        <v>46164</v>
      </c>
      <c r="H233" t="s">
        <v>121</v>
      </c>
      <c r="I233" t="s">
        <v>334</v>
      </c>
      <c r="J233" t="s">
        <v>123</v>
      </c>
      <c r="K233" t="s">
        <v>60</v>
      </c>
      <c r="L233" t="s">
        <v>146</v>
      </c>
      <c r="M233" s="5">
        <v>36300</v>
      </c>
      <c r="N233" s="5">
        <v>5700</v>
      </c>
      <c r="O233" s="5">
        <v>5000</v>
      </c>
      <c r="P233" s="5">
        <v>0</v>
      </c>
      <c r="Q233" s="13">
        <v>48000</v>
      </c>
      <c r="R233" t="s">
        <v>106</v>
      </c>
      <c r="S233" t="s">
        <v>76</v>
      </c>
      <c r="T233" s="5">
        <v>17500</v>
      </c>
      <c r="U233" s="6">
        <v>5</v>
      </c>
      <c r="V233" t="s">
        <v>64</v>
      </c>
      <c r="W233" s="4"/>
      <c r="X233" t="s">
        <v>65</v>
      </c>
      <c r="Y233" t="s">
        <v>64</v>
      </c>
      <c r="Z233" t="s">
        <v>96</v>
      </c>
      <c r="AA233" t="str">
        <f>VLOOKUP(H233,Departments!$A:$B,2,0)</f>
        <v>Neurology</v>
      </c>
      <c r="AB233" t="str">
        <f>VLOOKUP(J233,Diagnosis_Guide!$A:$B,2,0)</f>
        <v>Seizure Episode</v>
      </c>
      <c r="AC233" s="4" t="str">
        <f>VLOOKUP(J233,Diagnosis_Guide!$A:$C,3,0)</f>
        <v>Neurological</v>
      </c>
      <c r="AD233" s="4" t="str">
        <f>VLOOKUP(R233,Insurance_Plans!$A:$C,3,0)</f>
        <v>Private</v>
      </c>
      <c r="AE233" s="13">
        <f t="shared" si="9"/>
        <v>2400</v>
      </c>
      <c r="AF233" s="13">
        <f t="shared" si="10"/>
        <v>50400</v>
      </c>
      <c r="AG233" s="4" t="str">
        <f t="shared" si="11"/>
        <v>High</v>
      </c>
    </row>
    <row r="234" spans="1:33">
      <c r="A234" t="s">
        <v>658</v>
      </c>
      <c r="B234" t="s">
        <v>659</v>
      </c>
      <c r="C234" s="11">
        <v>46061</v>
      </c>
      <c r="D234" t="s">
        <v>137</v>
      </c>
      <c r="E234" t="s">
        <v>70</v>
      </c>
      <c r="F234" s="4">
        <v>46061</v>
      </c>
      <c r="G234" s="4">
        <v>46063</v>
      </c>
      <c r="H234" t="s">
        <v>90</v>
      </c>
      <c r="I234" t="s">
        <v>133</v>
      </c>
      <c r="J234" t="s">
        <v>197</v>
      </c>
      <c r="K234" t="s">
        <v>73</v>
      </c>
      <c r="L234" t="s">
        <v>74</v>
      </c>
      <c r="M234" s="5">
        <v>17300</v>
      </c>
      <c r="N234" s="5">
        <v>2650</v>
      </c>
      <c r="O234" s="5">
        <v>2500</v>
      </c>
      <c r="P234" s="5">
        <v>9000</v>
      </c>
      <c r="Q234" s="13">
        <v>33450</v>
      </c>
      <c r="R234" t="s">
        <v>75</v>
      </c>
      <c r="S234" t="s">
        <v>76</v>
      </c>
      <c r="T234" s="5">
        <v>15350</v>
      </c>
      <c r="U234" s="6">
        <v>4</v>
      </c>
      <c r="V234" t="s">
        <v>64</v>
      </c>
      <c r="W234" s="4"/>
      <c r="X234" t="s">
        <v>65</v>
      </c>
      <c r="Y234" t="s">
        <v>64</v>
      </c>
      <c r="Z234" t="s">
        <v>96</v>
      </c>
      <c r="AA234" t="str">
        <f>VLOOKUP(H234,Departments!$A:$B,2,0)</f>
        <v>Cardiology</v>
      </c>
      <c r="AB234" t="str">
        <f>VLOOKUP(J234,Diagnosis_Guide!$A:$B,2,0)</f>
        <v>Chest Pain</v>
      </c>
      <c r="AC234" s="4" t="str">
        <f>VLOOKUP(J234,Diagnosis_Guide!$A:$C,3,0)</f>
        <v>Cardiovascular</v>
      </c>
      <c r="AD234" s="4" t="str">
        <f>VLOOKUP(R234,Insurance_Plans!$A:$C,3,0)</f>
        <v>Public</v>
      </c>
      <c r="AE234" s="13">
        <f t="shared" si="9"/>
        <v>1672.5</v>
      </c>
      <c r="AF234" s="13">
        <f t="shared" si="10"/>
        <v>35122.5</v>
      </c>
      <c r="AG234" s="4" t="str">
        <f t="shared" si="11"/>
        <v>High</v>
      </c>
    </row>
    <row r="235" spans="1:33">
      <c r="A235" t="s">
        <v>660</v>
      </c>
      <c r="B235" t="s">
        <v>661</v>
      </c>
      <c r="C235" s="11">
        <v>46027</v>
      </c>
      <c r="D235" t="s">
        <v>266</v>
      </c>
      <c r="E235" t="s">
        <v>177</v>
      </c>
      <c r="F235" s="4"/>
      <c r="G235" s="4"/>
      <c r="H235" t="s">
        <v>138</v>
      </c>
      <c r="I235" t="s">
        <v>235</v>
      </c>
      <c r="J235" t="s">
        <v>236</v>
      </c>
      <c r="K235" t="s">
        <v>124</v>
      </c>
      <c r="L235" t="s">
        <v>94</v>
      </c>
      <c r="M235" s="5"/>
      <c r="N235" s="5"/>
      <c r="O235" s="5"/>
      <c r="P235" s="5"/>
      <c r="R235" t="s">
        <v>85</v>
      </c>
      <c r="S235" t="s">
        <v>63</v>
      </c>
      <c r="T235" s="5"/>
      <c r="U235" s="6"/>
      <c r="V235" t="s">
        <v>64</v>
      </c>
      <c r="W235" s="4"/>
      <c r="X235" t="s">
        <v>65</v>
      </c>
      <c r="Z235" t="s">
        <v>66</v>
      </c>
      <c r="AA235" t="str">
        <f>VLOOKUP(H235,Departments!$A:$B,2,0)</f>
        <v>Pediatrics</v>
      </c>
      <c r="AB235" t="str">
        <f>VLOOKUP(J235,Diagnosis_Guide!$A:$B,2,0)</f>
        <v>Neonatal Observation</v>
      </c>
      <c r="AC235" s="4" t="str">
        <f>VLOOKUP(J235,Diagnosis_Guide!$A:$C,3,0)</f>
        <v>Pediatric</v>
      </c>
      <c r="AD235" s="4" t="str">
        <f>VLOOKUP(R235,Insurance_Plans!$A:$C,3,0)</f>
        <v>Employer</v>
      </c>
      <c r="AE235" s="13" t="str">
        <f t="shared" si="9"/>
        <v/>
      </c>
      <c r="AF235" s="13" t="str">
        <f t="shared" si="10"/>
        <v/>
      </c>
      <c r="AG235" s="4" t="str">
        <f t="shared" si="11"/>
        <v>Not Available</v>
      </c>
    </row>
    <row r="236" spans="1:33">
      <c r="A236" t="s">
        <v>662</v>
      </c>
      <c r="B236" t="s">
        <v>512</v>
      </c>
      <c r="C236" s="11">
        <v>46124</v>
      </c>
      <c r="D236" t="s">
        <v>363</v>
      </c>
      <c r="E236" t="s">
        <v>70</v>
      </c>
      <c r="F236" s="4">
        <v>46124</v>
      </c>
      <c r="G236" s="4">
        <v>46134</v>
      </c>
      <c r="H236" t="s">
        <v>103</v>
      </c>
      <c r="I236" t="s">
        <v>214</v>
      </c>
      <c r="J236" t="s">
        <v>244</v>
      </c>
      <c r="K236" t="s">
        <v>73</v>
      </c>
      <c r="L236" t="s">
        <v>94</v>
      </c>
      <c r="M236" s="5">
        <v>63800</v>
      </c>
      <c r="N236" s="5">
        <v>10600</v>
      </c>
      <c r="O236" s="5">
        <v>11050</v>
      </c>
      <c r="P236" s="5">
        <v>30000</v>
      </c>
      <c r="Q236" s="13">
        <v>116250</v>
      </c>
      <c r="R236" t="s">
        <v>75</v>
      </c>
      <c r="S236" t="s">
        <v>76</v>
      </c>
      <c r="T236" s="5">
        <v>52610</v>
      </c>
      <c r="U236" s="6">
        <v>3</v>
      </c>
      <c r="V236" t="s">
        <v>64</v>
      </c>
      <c r="W236" s="4"/>
      <c r="X236" t="s">
        <v>65</v>
      </c>
      <c r="Y236" t="s">
        <v>64</v>
      </c>
      <c r="Z236" t="s">
        <v>78</v>
      </c>
      <c r="AA236" t="str">
        <f>VLOOKUP(H236,Departments!$A:$B,2,0)</f>
        <v>Nephrology</v>
      </c>
      <c r="AB236" t="str">
        <f>VLOOKUP(J236,Diagnosis_Guide!$A:$B,2,0)</f>
        <v>Chronic Kidney Disease</v>
      </c>
      <c r="AC236" s="4" t="str">
        <f>VLOOKUP(J236,Diagnosis_Guide!$A:$C,3,0)</f>
        <v>Renal</v>
      </c>
      <c r="AD236" s="4" t="str">
        <f>VLOOKUP(R236,Insurance_Plans!$A:$C,3,0)</f>
        <v>Public</v>
      </c>
      <c r="AE236" s="13">
        <f t="shared" si="9"/>
        <v>5812.5</v>
      </c>
      <c r="AF236" s="13">
        <f t="shared" si="10"/>
        <v>122062.5</v>
      </c>
      <c r="AG236" s="4" t="str">
        <f t="shared" si="11"/>
        <v>Medium</v>
      </c>
    </row>
    <row r="237" spans="1:33">
      <c r="A237" t="s">
        <v>663</v>
      </c>
      <c r="B237" t="s">
        <v>664</v>
      </c>
      <c r="C237" s="11">
        <v>46127</v>
      </c>
      <c r="D237" t="s">
        <v>120</v>
      </c>
      <c r="E237" t="s">
        <v>70</v>
      </c>
      <c r="F237" s="4">
        <v>46128</v>
      </c>
      <c r="G237" s="4">
        <v>46136</v>
      </c>
      <c r="H237" t="s">
        <v>121</v>
      </c>
      <c r="I237" t="s">
        <v>665</v>
      </c>
      <c r="J237" t="s">
        <v>123</v>
      </c>
      <c r="K237" t="s">
        <v>124</v>
      </c>
      <c r="L237" t="s">
        <v>94</v>
      </c>
      <c r="M237" s="5">
        <v>32100</v>
      </c>
      <c r="N237" s="5">
        <v>4050</v>
      </c>
      <c r="O237" s="5">
        <v>5550</v>
      </c>
      <c r="P237" s="5">
        <v>48000</v>
      </c>
      <c r="Q237" s="13">
        <v>90700</v>
      </c>
      <c r="R237" t="s">
        <v>95</v>
      </c>
      <c r="S237" t="s">
        <v>63</v>
      </c>
      <c r="T237" s="5">
        <v>90700</v>
      </c>
      <c r="U237" s="6">
        <v>2</v>
      </c>
      <c r="V237" t="s">
        <v>77</v>
      </c>
      <c r="W237" s="4">
        <v>46144</v>
      </c>
      <c r="X237" t="s">
        <v>77</v>
      </c>
      <c r="Y237" t="s">
        <v>77</v>
      </c>
      <c r="Z237" t="s">
        <v>96</v>
      </c>
      <c r="AA237" t="str">
        <f>VLOOKUP(H237,Departments!$A:$B,2,0)</f>
        <v>Neurology</v>
      </c>
      <c r="AB237" t="str">
        <f>VLOOKUP(J237,Diagnosis_Guide!$A:$B,2,0)</f>
        <v>Seizure Episode</v>
      </c>
      <c r="AC237" s="4" t="str">
        <f>VLOOKUP(J237,Diagnosis_Guide!$A:$C,3,0)</f>
        <v>Neurological</v>
      </c>
      <c r="AD237" s="4" t="str">
        <f>VLOOKUP(R237,Insurance_Plans!$A:$C,3,0)</f>
        <v>Self-Pay</v>
      </c>
      <c r="AE237" s="13">
        <f t="shared" si="9"/>
        <v>4535</v>
      </c>
      <c r="AF237" s="13">
        <f t="shared" si="10"/>
        <v>95235</v>
      </c>
      <c r="AG237" s="4" t="str">
        <f t="shared" si="11"/>
        <v>Low</v>
      </c>
    </row>
    <row r="238" spans="1:33">
      <c r="A238" t="s">
        <v>666</v>
      </c>
      <c r="B238" t="s">
        <v>667</v>
      </c>
      <c r="C238" s="11">
        <v>46149</v>
      </c>
      <c r="D238" t="s">
        <v>110</v>
      </c>
      <c r="E238" t="s">
        <v>70</v>
      </c>
      <c r="F238" s="4">
        <v>46149</v>
      </c>
      <c r="G238" s="4">
        <v>46151</v>
      </c>
      <c r="H238" t="s">
        <v>90</v>
      </c>
      <c r="I238" t="s">
        <v>128</v>
      </c>
      <c r="J238" t="s">
        <v>197</v>
      </c>
      <c r="K238" t="s">
        <v>124</v>
      </c>
      <c r="L238" t="s">
        <v>74</v>
      </c>
      <c r="M238" s="5">
        <v>18300</v>
      </c>
      <c r="N238" s="5">
        <v>3150</v>
      </c>
      <c r="O238" s="5">
        <v>3700</v>
      </c>
      <c r="P238" s="5">
        <v>12000</v>
      </c>
      <c r="Q238" s="13">
        <v>39150</v>
      </c>
      <c r="R238" t="s">
        <v>106</v>
      </c>
      <c r="S238" t="s">
        <v>86</v>
      </c>
      <c r="T238" s="5">
        <v>14400</v>
      </c>
      <c r="U238" s="6">
        <v>4</v>
      </c>
      <c r="V238" t="s">
        <v>64</v>
      </c>
      <c r="W238" s="4"/>
      <c r="X238" t="s">
        <v>65</v>
      </c>
      <c r="Y238" t="s">
        <v>64</v>
      </c>
      <c r="Z238" t="s">
        <v>96</v>
      </c>
      <c r="AA238" t="str">
        <f>VLOOKUP(H238,Departments!$A:$B,2,0)</f>
        <v>Cardiology</v>
      </c>
      <c r="AB238" t="str">
        <f>VLOOKUP(J238,Diagnosis_Guide!$A:$B,2,0)</f>
        <v>Chest Pain</v>
      </c>
      <c r="AC238" s="4" t="str">
        <f>VLOOKUP(J238,Diagnosis_Guide!$A:$C,3,0)</f>
        <v>Cardiovascular</v>
      </c>
      <c r="AD238" s="4" t="str">
        <f>VLOOKUP(R238,Insurance_Plans!$A:$C,3,0)</f>
        <v>Private</v>
      </c>
      <c r="AE238" s="13">
        <f t="shared" si="9"/>
        <v>1957.5</v>
      </c>
      <c r="AF238" s="13">
        <f t="shared" si="10"/>
        <v>41107.5</v>
      </c>
      <c r="AG238" s="4" t="str">
        <f t="shared" si="11"/>
        <v>High</v>
      </c>
    </row>
    <row r="239" spans="1:33">
      <c r="A239" t="s">
        <v>668</v>
      </c>
      <c r="B239" t="s">
        <v>669</v>
      </c>
      <c r="C239" s="11">
        <v>46107</v>
      </c>
      <c r="D239" t="s">
        <v>298</v>
      </c>
      <c r="E239" t="s">
        <v>70</v>
      </c>
      <c r="F239" s="4">
        <v>46108</v>
      </c>
      <c r="G239" s="4">
        <v>46112</v>
      </c>
      <c r="H239" t="s">
        <v>138</v>
      </c>
      <c r="I239" t="s">
        <v>260</v>
      </c>
      <c r="J239" t="s">
        <v>140</v>
      </c>
      <c r="K239" t="s">
        <v>124</v>
      </c>
      <c r="L239" t="s">
        <v>61</v>
      </c>
      <c r="M239" s="5">
        <v>12500</v>
      </c>
      <c r="N239" s="5">
        <v>1600</v>
      </c>
      <c r="O239" s="5">
        <v>3100</v>
      </c>
      <c r="P239" s="5">
        <v>10000</v>
      </c>
      <c r="Q239" s="13">
        <v>29700</v>
      </c>
      <c r="R239" t="s">
        <v>106</v>
      </c>
      <c r="S239" t="s">
        <v>76</v>
      </c>
      <c r="T239" s="5">
        <v>11100</v>
      </c>
      <c r="U239" s="6">
        <v>5</v>
      </c>
      <c r="V239" t="s">
        <v>77</v>
      </c>
      <c r="W239" s="4">
        <v>46127</v>
      </c>
      <c r="X239" t="s">
        <v>77</v>
      </c>
      <c r="Y239" t="s">
        <v>64</v>
      </c>
      <c r="Z239" t="s">
        <v>96</v>
      </c>
      <c r="AA239" t="str">
        <f>VLOOKUP(H239,Departments!$A:$B,2,0)</f>
        <v>Pediatrics</v>
      </c>
      <c r="AB239" t="str">
        <f>VLOOKUP(J239,Diagnosis_Guide!$A:$B,2,0)</f>
        <v>Pediatric Asthma</v>
      </c>
      <c r="AC239" s="4" t="str">
        <f>VLOOKUP(J239,Diagnosis_Guide!$A:$C,3,0)</f>
        <v>Pediatric</v>
      </c>
      <c r="AD239" s="4" t="str">
        <f>VLOOKUP(R239,Insurance_Plans!$A:$C,3,0)</f>
        <v>Private</v>
      </c>
      <c r="AE239" s="13">
        <f t="shared" si="9"/>
        <v>1485</v>
      </c>
      <c r="AF239" s="13">
        <f t="shared" si="10"/>
        <v>31185</v>
      </c>
      <c r="AG239" s="4" t="str">
        <f t="shared" si="11"/>
        <v>High</v>
      </c>
    </row>
    <row r="240" spans="1:33">
      <c r="A240" t="s">
        <v>670</v>
      </c>
      <c r="B240" t="s">
        <v>671</v>
      </c>
      <c r="C240" s="11">
        <v>46095</v>
      </c>
      <c r="D240" t="s">
        <v>250</v>
      </c>
      <c r="E240" t="s">
        <v>70</v>
      </c>
      <c r="F240" s="4">
        <v>46095</v>
      </c>
      <c r="G240" s="4">
        <v>46095</v>
      </c>
      <c r="H240" t="s">
        <v>201</v>
      </c>
      <c r="I240" t="s">
        <v>327</v>
      </c>
      <c r="J240" t="s">
        <v>295</v>
      </c>
      <c r="K240" t="s">
        <v>60</v>
      </c>
      <c r="L240" t="s">
        <v>94</v>
      </c>
      <c r="M240" s="5">
        <v>37800</v>
      </c>
      <c r="N240" s="5">
        <v>3400</v>
      </c>
      <c r="O240" s="5">
        <v>8300</v>
      </c>
      <c r="P240" s="5">
        <v>0</v>
      </c>
      <c r="Q240" s="13">
        <v>50500</v>
      </c>
      <c r="R240" t="s">
        <v>85</v>
      </c>
      <c r="S240" t="s">
        <v>76</v>
      </c>
      <c r="T240" s="5">
        <v>13520</v>
      </c>
      <c r="U240" s="6">
        <v>5</v>
      </c>
      <c r="V240" t="s">
        <v>77</v>
      </c>
      <c r="W240" s="4">
        <v>46114</v>
      </c>
      <c r="X240" t="s">
        <v>64</v>
      </c>
      <c r="Y240" t="s">
        <v>64</v>
      </c>
      <c r="Z240" t="s">
        <v>78</v>
      </c>
      <c r="AA240" t="str">
        <f>VLOOKUP(H240,Departments!$A:$B,2,0)</f>
        <v>Emergency</v>
      </c>
      <c r="AB240" t="str">
        <f>VLOOKUP(J240,Diagnosis_Guide!$A:$B,2,0)</f>
        <v>Accident Injury</v>
      </c>
      <c r="AC240" s="4" t="str">
        <f>VLOOKUP(J240,Diagnosis_Guide!$A:$C,3,0)</f>
        <v>Emergency</v>
      </c>
      <c r="AD240" s="4" t="str">
        <f>VLOOKUP(R240,Insurance_Plans!$A:$C,3,0)</f>
        <v>Employer</v>
      </c>
      <c r="AE240" s="13">
        <f t="shared" si="9"/>
        <v>2525</v>
      </c>
      <c r="AF240" s="13">
        <f t="shared" si="10"/>
        <v>53025</v>
      </c>
      <c r="AG240" s="4" t="str">
        <f t="shared" si="11"/>
        <v>High</v>
      </c>
    </row>
    <row r="241" spans="1:33">
      <c r="A241" t="s">
        <v>672</v>
      </c>
      <c r="B241" t="s">
        <v>673</v>
      </c>
      <c r="C241" s="11">
        <v>46060</v>
      </c>
      <c r="D241" t="s">
        <v>298</v>
      </c>
      <c r="E241" t="s">
        <v>70</v>
      </c>
      <c r="F241" s="4">
        <v>46060</v>
      </c>
      <c r="G241" s="4">
        <v>46064</v>
      </c>
      <c r="H241" t="s">
        <v>201</v>
      </c>
      <c r="I241" t="s">
        <v>280</v>
      </c>
      <c r="J241" t="s">
        <v>295</v>
      </c>
      <c r="K241" t="s">
        <v>124</v>
      </c>
      <c r="L241" t="s">
        <v>146</v>
      </c>
      <c r="M241" s="5">
        <v>47500</v>
      </c>
      <c r="N241" s="5">
        <v>6950</v>
      </c>
      <c r="O241" s="5">
        <v>7100</v>
      </c>
      <c r="P241" s="5">
        <v>24000</v>
      </c>
      <c r="Q241" s="13">
        <v>86550</v>
      </c>
      <c r="R241" t="s">
        <v>95</v>
      </c>
      <c r="S241" t="s">
        <v>63</v>
      </c>
      <c r="T241" s="5">
        <v>86550</v>
      </c>
      <c r="U241" s="6">
        <v>4</v>
      </c>
      <c r="V241" t="s">
        <v>77</v>
      </c>
      <c r="W241" s="4">
        <v>46077</v>
      </c>
      <c r="X241" t="s">
        <v>77</v>
      </c>
      <c r="Y241" t="s">
        <v>64</v>
      </c>
      <c r="Z241" t="s">
        <v>107</v>
      </c>
      <c r="AA241" t="str">
        <f>VLOOKUP(H241,Departments!$A:$B,2,0)</f>
        <v>Emergency</v>
      </c>
      <c r="AB241" t="str">
        <f>VLOOKUP(J241,Diagnosis_Guide!$A:$B,2,0)</f>
        <v>Accident Injury</v>
      </c>
      <c r="AC241" s="4" t="str">
        <f>VLOOKUP(J241,Diagnosis_Guide!$A:$C,3,0)</f>
        <v>Emergency</v>
      </c>
      <c r="AD241" s="4" t="str">
        <f>VLOOKUP(R241,Insurance_Plans!$A:$C,3,0)</f>
        <v>Self-Pay</v>
      </c>
      <c r="AE241" s="13">
        <f t="shared" si="9"/>
        <v>4327.5</v>
      </c>
      <c r="AF241" s="13">
        <f t="shared" si="10"/>
        <v>90877.5</v>
      </c>
      <c r="AG241" s="4" t="str">
        <f t="shared" si="11"/>
        <v>High</v>
      </c>
    </row>
    <row r="242" spans="1:33">
      <c r="A242" t="s">
        <v>674</v>
      </c>
      <c r="B242" t="s">
        <v>675</v>
      </c>
      <c r="C242" s="11">
        <v>46094</v>
      </c>
      <c r="D242" t="s">
        <v>110</v>
      </c>
      <c r="E242" t="s">
        <v>70</v>
      </c>
      <c r="F242" s="4">
        <v>46095</v>
      </c>
      <c r="G242" s="4">
        <v>46098</v>
      </c>
      <c r="H242" t="s">
        <v>201</v>
      </c>
      <c r="I242" t="s">
        <v>515</v>
      </c>
      <c r="J242" t="s">
        <v>295</v>
      </c>
      <c r="K242" t="s">
        <v>73</v>
      </c>
      <c r="L242" t="s">
        <v>94</v>
      </c>
      <c r="M242" s="5">
        <v>51000</v>
      </c>
      <c r="N242" s="5">
        <v>8000</v>
      </c>
      <c r="O242" s="5">
        <v>7750</v>
      </c>
      <c r="P242" s="5">
        <v>13500</v>
      </c>
      <c r="Q242" s="13">
        <v>81450</v>
      </c>
      <c r="R242" t="s">
        <v>75</v>
      </c>
      <c r="S242" t="s">
        <v>76</v>
      </c>
      <c r="T242" s="5">
        <v>36950</v>
      </c>
      <c r="U242" s="6">
        <v>4</v>
      </c>
      <c r="V242" t="s">
        <v>64</v>
      </c>
      <c r="W242" s="4"/>
      <c r="X242" t="s">
        <v>65</v>
      </c>
      <c r="Y242" t="s">
        <v>64</v>
      </c>
      <c r="Z242" t="s">
        <v>219</v>
      </c>
      <c r="AA242" t="str">
        <f>VLOOKUP(H242,Departments!$A:$B,2,0)</f>
        <v>Emergency</v>
      </c>
      <c r="AB242" t="str">
        <f>VLOOKUP(J242,Diagnosis_Guide!$A:$B,2,0)</f>
        <v>Accident Injury</v>
      </c>
      <c r="AC242" s="4" t="str">
        <f>VLOOKUP(J242,Diagnosis_Guide!$A:$C,3,0)</f>
        <v>Emergency</v>
      </c>
      <c r="AD242" s="4" t="str">
        <f>VLOOKUP(R242,Insurance_Plans!$A:$C,3,0)</f>
        <v>Public</v>
      </c>
      <c r="AE242" s="13">
        <f t="shared" si="9"/>
        <v>4072.5</v>
      </c>
      <c r="AF242" s="13">
        <f t="shared" si="10"/>
        <v>85522.5</v>
      </c>
      <c r="AG242" s="4" t="str">
        <f t="shared" si="11"/>
        <v>High</v>
      </c>
    </row>
    <row r="243" spans="1:33">
      <c r="A243" t="s">
        <v>676</v>
      </c>
      <c r="B243" t="s">
        <v>409</v>
      </c>
      <c r="C243" s="11">
        <v>46087</v>
      </c>
      <c r="D243" t="s">
        <v>419</v>
      </c>
      <c r="E243" t="s">
        <v>70</v>
      </c>
      <c r="F243" s="4">
        <v>46088</v>
      </c>
      <c r="G243" s="4">
        <v>46089</v>
      </c>
      <c r="H243" t="s">
        <v>121</v>
      </c>
      <c r="I243" t="s">
        <v>251</v>
      </c>
      <c r="J243" t="s">
        <v>123</v>
      </c>
      <c r="K243" t="s">
        <v>60</v>
      </c>
      <c r="L243" t="s">
        <v>61</v>
      </c>
      <c r="M243" s="5">
        <v>46600</v>
      </c>
      <c r="N243" s="5">
        <v>5000</v>
      </c>
      <c r="O243" s="5">
        <v>5050</v>
      </c>
      <c r="P243" s="5">
        <v>6000</v>
      </c>
      <c r="Q243" s="13">
        <v>64650</v>
      </c>
      <c r="R243" t="s">
        <v>95</v>
      </c>
      <c r="S243" t="s">
        <v>63</v>
      </c>
      <c r="T243" s="5">
        <v>64650</v>
      </c>
      <c r="U243" s="6">
        <v>4</v>
      </c>
      <c r="V243" t="s">
        <v>64</v>
      </c>
      <c r="W243" s="4"/>
      <c r="X243" t="s">
        <v>65</v>
      </c>
      <c r="Y243" t="s">
        <v>64</v>
      </c>
      <c r="Z243" t="s">
        <v>78</v>
      </c>
      <c r="AA243" t="str">
        <f>VLOOKUP(H243,Departments!$A:$B,2,0)</f>
        <v>Neurology</v>
      </c>
      <c r="AB243" t="str">
        <f>VLOOKUP(J243,Diagnosis_Guide!$A:$B,2,0)</f>
        <v>Seizure Episode</v>
      </c>
      <c r="AC243" s="4" t="str">
        <f>VLOOKUP(J243,Diagnosis_Guide!$A:$C,3,0)</f>
        <v>Neurological</v>
      </c>
      <c r="AD243" s="4" t="str">
        <f>VLOOKUP(R243,Insurance_Plans!$A:$C,3,0)</f>
        <v>Self-Pay</v>
      </c>
      <c r="AE243" s="13">
        <f t="shared" si="9"/>
        <v>3232.5</v>
      </c>
      <c r="AF243" s="13">
        <f t="shared" si="10"/>
        <v>67882.5</v>
      </c>
      <c r="AG243" s="4" t="str">
        <f t="shared" si="11"/>
        <v>High</v>
      </c>
    </row>
    <row r="244" spans="1:33">
      <c r="A244" t="s">
        <v>677</v>
      </c>
      <c r="B244" t="s">
        <v>678</v>
      </c>
      <c r="C244" s="11">
        <v>46062</v>
      </c>
      <c r="D244" t="s">
        <v>298</v>
      </c>
      <c r="E244" t="s">
        <v>70</v>
      </c>
      <c r="F244" s="4">
        <v>46063</v>
      </c>
      <c r="G244" s="4">
        <v>46071</v>
      </c>
      <c r="H244" t="s">
        <v>111</v>
      </c>
      <c r="J244" t="s">
        <v>384</v>
      </c>
      <c r="K244" t="s">
        <v>124</v>
      </c>
      <c r="L244" t="s">
        <v>61</v>
      </c>
      <c r="M244" s="5">
        <v>54200</v>
      </c>
      <c r="N244" s="5">
        <v>8950</v>
      </c>
      <c r="O244" s="5">
        <v>10750</v>
      </c>
      <c r="P244" s="5">
        <v>20000</v>
      </c>
      <c r="Q244" s="13">
        <v>95900</v>
      </c>
      <c r="R244" t="s">
        <v>106</v>
      </c>
      <c r="S244" t="s">
        <v>76</v>
      </c>
      <c r="T244" s="5">
        <v>34260</v>
      </c>
      <c r="U244" s="6">
        <v>4</v>
      </c>
      <c r="V244" t="s">
        <v>64</v>
      </c>
      <c r="W244" s="4"/>
      <c r="X244" t="s">
        <v>65</v>
      </c>
      <c r="Y244" t="s">
        <v>64</v>
      </c>
      <c r="Z244" t="s">
        <v>96</v>
      </c>
      <c r="AA244" t="str">
        <f>VLOOKUP(H244,Departments!$A:$B,2,0)</f>
        <v>General Medicine</v>
      </c>
      <c r="AB244" t="str">
        <f>VLOOKUP(J244,Diagnosis_Guide!$A:$B,2,0)</f>
        <v>Severe Infection</v>
      </c>
      <c r="AC244" s="4" t="str">
        <f>VLOOKUP(J244,Diagnosis_Guide!$A:$C,3,0)</f>
        <v>Infectious/General</v>
      </c>
      <c r="AD244" s="4" t="str">
        <f>VLOOKUP(R244,Insurance_Plans!$A:$C,3,0)</f>
        <v>Private</v>
      </c>
      <c r="AE244" s="13">
        <f t="shared" si="9"/>
        <v>4795</v>
      </c>
      <c r="AF244" s="13">
        <f t="shared" si="10"/>
        <v>100695</v>
      </c>
      <c r="AG244" s="4" t="str">
        <f t="shared" si="11"/>
        <v>High</v>
      </c>
    </row>
    <row r="245" spans="1:33">
      <c r="A245" t="s">
        <v>679</v>
      </c>
      <c r="B245" t="s">
        <v>680</v>
      </c>
      <c r="C245" s="11">
        <v>46060</v>
      </c>
      <c r="D245" t="s">
        <v>206</v>
      </c>
      <c r="E245" t="s">
        <v>70</v>
      </c>
      <c r="F245" s="4">
        <v>46061</v>
      </c>
      <c r="G245" s="4">
        <v>46062</v>
      </c>
      <c r="H245" t="s">
        <v>90</v>
      </c>
      <c r="I245" t="s">
        <v>133</v>
      </c>
      <c r="J245" t="s">
        <v>129</v>
      </c>
      <c r="K245" t="s">
        <v>60</v>
      </c>
      <c r="L245" t="s">
        <v>94</v>
      </c>
      <c r="M245" s="5">
        <v>50100</v>
      </c>
      <c r="N245" s="5">
        <v>5550</v>
      </c>
      <c r="O245" s="5">
        <v>9200</v>
      </c>
      <c r="P245" s="5">
        <v>2500</v>
      </c>
      <c r="Q245" s="13">
        <v>69350</v>
      </c>
      <c r="R245" t="s">
        <v>106</v>
      </c>
      <c r="S245" t="s">
        <v>76</v>
      </c>
      <c r="T245" s="5">
        <v>24970</v>
      </c>
      <c r="U245" s="6">
        <v>1</v>
      </c>
      <c r="V245" t="s">
        <v>77</v>
      </c>
      <c r="W245" s="4">
        <v>46078</v>
      </c>
      <c r="X245" t="s">
        <v>64</v>
      </c>
      <c r="Y245" t="s">
        <v>77</v>
      </c>
      <c r="Z245" t="s">
        <v>96</v>
      </c>
      <c r="AA245" t="str">
        <f>VLOOKUP(H245,Departments!$A:$B,2,0)</f>
        <v>Cardiology</v>
      </c>
      <c r="AB245" t="str">
        <f>VLOOKUP(J245,Diagnosis_Guide!$A:$B,2,0)</f>
        <v>Hypertension Crisis</v>
      </c>
      <c r="AC245" s="4" t="str">
        <f>VLOOKUP(J245,Diagnosis_Guide!$A:$C,3,0)</f>
        <v>Cardiovascular</v>
      </c>
      <c r="AD245" s="4" t="str">
        <f>VLOOKUP(R245,Insurance_Plans!$A:$C,3,0)</f>
        <v>Private</v>
      </c>
      <c r="AE245" s="13">
        <f t="shared" si="9"/>
        <v>3467.5</v>
      </c>
      <c r="AF245" s="13">
        <f t="shared" si="10"/>
        <v>72817.5</v>
      </c>
      <c r="AG245" s="4" t="str">
        <f t="shared" si="11"/>
        <v>Low</v>
      </c>
    </row>
    <row r="246" spans="1:33">
      <c r="A246" t="s">
        <v>681</v>
      </c>
      <c r="B246" t="s">
        <v>682</v>
      </c>
      <c r="C246" s="11">
        <v>46118</v>
      </c>
      <c r="D246" t="s">
        <v>132</v>
      </c>
      <c r="E246" t="s">
        <v>56</v>
      </c>
      <c r="F246" s="4"/>
      <c r="G246" s="4"/>
      <c r="H246" t="s">
        <v>57</v>
      </c>
      <c r="I246" t="s">
        <v>71</v>
      </c>
      <c r="J246" t="s">
        <v>170</v>
      </c>
      <c r="K246" t="s">
        <v>60</v>
      </c>
      <c r="L246" t="s">
        <v>94</v>
      </c>
      <c r="M246" s="5"/>
      <c r="N246" s="5"/>
      <c r="O246" s="5"/>
      <c r="P246" s="5"/>
      <c r="R246" t="s">
        <v>134</v>
      </c>
      <c r="S246" t="s">
        <v>63</v>
      </c>
      <c r="T246" s="5"/>
      <c r="U246" s="6"/>
      <c r="V246" t="s">
        <v>64</v>
      </c>
      <c r="W246" s="4"/>
      <c r="X246" t="s">
        <v>65</v>
      </c>
      <c r="Z246" t="s">
        <v>66</v>
      </c>
      <c r="AA246" t="str">
        <f>VLOOKUP(H246,Departments!$A:$B,2,0)</f>
        <v>Pulmonology</v>
      </c>
      <c r="AB246" t="str">
        <f>VLOOKUP(J246,Diagnosis_Guide!$A:$B,2,0)</f>
        <v>COPD Exacerbation</v>
      </c>
      <c r="AC246" s="4" t="str">
        <f>VLOOKUP(J246,Diagnosis_Guide!$A:$C,3,0)</f>
        <v>Respiratory</v>
      </c>
      <c r="AD246" s="4" t="str">
        <f>VLOOKUP(R246,Insurance_Plans!$A:$C,3,0)</f>
        <v>Community</v>
      </c>
      <c r="AE246" s="13" t="str">
        <f t="shared" si="9"/>
        <v/>
      </c>
      <c r="AF246" s="13" t="str">
        <f t="shared" si="10"/>
        <v/>
      </c>
      <c r="AG246" s="4" t="str">
        <f t="shared" si="11"/>
        <v>Not Available</v>
      </c>
    </row>
    <row r="247" spans="1:33">
      <c r="A247" t="s">
        <v>683</v>
      </c>
      <c r="B247" t="s">
        <v>684</v>
      </c>
      <c r="C247" s="11">
        <v>46056</v>
      </c>
      <c r="D247" t="s">
        <v>206</v>
      </c>
      <c r="E247" t="s">
        <v>70</v>
      </c>
      <c r="F247" s="4">
        <v>46056</v>
      </c>
      <c r="G247" s="4">
        <v>46056</v>
      </c>
      <c r="H247" t="s">
        <v>150</v>
      </c>
      <c r="I247" t="s">
        <v>247</v>
      </c>
      <c r="J247" t="s">
        <v>152</v>
      </c>
      <c r="K247" t="s">
        <v>60</v>
      </c>
      <c r="L247" t="s">
        <v>61</v>
      </c>
      <c r="M247" s="5">
        <v>23000</v>
      </c>
      <c r="N247" s="5">
        <v>4100</v>
      </c>
      <c r="O247" s="5">
        <v>3200</v>
      </c>
      <c r="P247" s="5">
        <v>0</v>
      </c>
      <c r="Q247" s="13">
        <v>31300</v>
      </c>
      <c r="R247" t="s">
        <v>141</v>
      </c>
      <c r="S247" t="s">
        <v>76</v>
      </c>
      <c r="T247" s="5">
        <v>5900</v>
      </c>
      <c r="U247" s="6">
        <v>5</v>
      </c>
      <c r="V247" t="s">
        <v>64</v>
      </c>
      <c r="W247" s="4"/>
      <c r="X247" t="s">
        <v>65</v>
      </c>
      <c r="Y247" t="s">
        <v>64</v>
      </c>
      <c r="Z247" t="s">
        <v>78</v>
      </c>
      <c r="AA247" t="str">
        <f>VLOOKUP(H247,Departments!$A:$B,2,0)</f>
        <v>Obstetrics</v>
      </c>
      <c r="AB247" t="str">
        <f>VLOOKUP(J247,Diagnosis_Guide!$A:$B,2,0)</f>
        <v>Antenatal Complication</v>
      </c>
      <c r="AC247" s="4" t="str">
        <f>VLOOKUP(J247,Diagnosis_Guide!$A:$C,3,0)</f>
        <v>Maternal Health</v>
      </c>
      <c r="AD247" s="4" t="str">
        <f>VLOOKUP(R247,Insurance_Plans!$A:$C,3,0)</f>
        <v>Private</v>
      </c>
      <c r="AE247" s="13">
        <f t="shared" si="9"/>
        <v>1565</v>
      </c>
      <c r="AF247" s="13">
        <f t="shared" si="10"/>
        <v>32865</v>
      </c>
      <c r="AG247" s="4" t="str">
        <f t="shared" si="11"/>
        <v>High</v>
      </c>
    </row>
    <row r="248" spans="1:33">
      <c r="A248" t="s">
        <v>685</v>
      </c>
      <c r="B248" t="s">
        <v>686</v>
      </c>
      <c r="C248" s="11">
        <v>46076</v>
      </c>
      <c r="D248" t="s">
        <v>250</v>
      </c>
      <c r="E248" t="s">
        <v>70</v>
      </c>
      <c r="F248" s="4">
        <v>46076</v>
      </c>
      <c r="G248" s="4">
        <v>46084</v>
      </c>
      <c r="H248" t="s">
        <v>121</v>
      </c>
      <c r="I248" t="s">
        <v>665</v>
      </c>
      <c r="J248" t="s">
        <v>252</v>
      </c>
      <c r="K248" t="s">
        <v>73</v>
      </c>
      <c r="L248" t="s">
        <v>74</v>
      </c>
      <c r="M248" s="5">
        <v>80100</v>
      </c>
      <c r="N248" s="5">
        <v>13050</v>
      </c>
      <c r="O248" s="5">
        <v>17550</v>
      </c>
      <c r="P248" s="5">
        <v>20000</v>
      </c>
      <c r="Q248" s="13">
        <v>131700</v>
      </c>
      <c r="R248" t="s">
        <v>141</v>
      </c>
      <c r="S248" t="s">
        <v>76</v>
      </c>
      <c r="T248" s="5">
        <v>20960</v>
      </c>
      <c r="U248" s="6">
        <v>3</v>
      </c>
      <c r="V248" t="s">
        <v>77</v>
      </c>
      <c r="W248" s="4">
        <v>46095</v>
      </c>
      <c r="X248" t="s">
        <v>77</v>
      </c>
      <c r="Y248" t="s">
        <v>77</v>
      </c>
      <c r="Z248" t="s">
        <v>78</v>
      </c>
      <c r="AA248" t="str">
        <f>VLOOKUP(H248,Departments!$A:$B,2,0)</f>
        <v>Neurology</v>
      </c>
      <c r="AB248" t="str">
        <f>VLOOKUP(J248,Diagnosis_Guide!$A:$B,2,0)</f>
        <v>Stroke Assessment</v>
      </c>
      <c r="AC248" s="4" t="str">
        <f>VLOOKUP(J248,Diagnosis_Guide!$A:$C,3,0)</f>
        <v>Neurological</v>
      </c>
      <c r="AD248" s="4" t="str">
        <f>VLOOKUP(R248,Insurance_Plans!$A:$C,3,0)</f>
        <v>Private</v>
      </c>
      <c r="AE248" s="13">
        <f t="shared" si="9"/>
        <v>6585</v>
      </c>
      <c r="AF248" s="13">
        <f t="shared" si="10"/>
        <v>138285</v>
      </c>
      <c r="AG248" s="4" t="str">
        <f t="shared" si="11"/>
        <v>Medium</v>
      </c>
    </row>
    <row r="249" spans="1:33">
      <c r="A249" t="s">
        <v>687</v>
      </c>
      <c r="B249" t="s">
        <v>265</v>
      </c>
      <c r="C249" s="11">
        <v>46114</v>
      </c>
      <c r="D249" t="s">
        <v>99</v>
      </c>
      <c r="E249" t="s">
        <v>70</v>
      </c>
      <c r="F249" s="4">
        <v>46114</v>
      </c>
      <c r="G249" s="4">
        <v>46114</v>
      </c>
      <c r="H249" t="s">
        <v>111</v>
      </c>
      <c r="I249" t="s">
        <v>267</v>
      </c>
      <c r="J249" t="s">
        <v>384</v>
      </c>
      <c r="K249" t="s">
        <v>60</v>
      </c>
      <c r="L249" t="s">
        <v>94</v>
      </c>
      <c r="M249" s="5">
        <v>40600</v>
      </c>
      <c r="N249" s="5">
        <v>6550</v>
      </c>
      <c r="O249" s="5">
        <v>6850</v>
      </c>
      <c r="P249" s="5">
        <v>0</v>
      </c>
      <c r="Q249" s="13">
        <v>55200</v>
      </c>
      <c r="R249" t="s">
        <v>85</v>
      </c>
      <c r="S249" t="s">
        <v>76</v>
      </c>
      <c r="T249" s="5">
        <v>14700</v>
      </c>
      <c r="U249" s="6">
        <v>5</v>
      </c>
      <c r="V249" t="s">
        <v>77</v>
      </c>
      <c r="W249" s="4">
        <v>46134</v>
      </c>
      <c r="X249" t="s">
        <v>77</v>
      </c>
      <c r="Y249" t="s">
        <v>64</v>
      </c>
      <c r="Z249" t="s">
        <v>78</v>
      </c>
      <c r="AA249" t="str">
        <f>VLOOKUP(H249,Departments!$A:$B,2,0)</f>
        <v>General Medicine</v>
      </c>
      <c r="AB249" t="str">
        <f>VLOOKUP(J249,Diagnosis_Guide!$A:$B,2,0)</f>
        <v>Severe Infection</v>
      </c>
      <c r="AC249" s="4" t="str">
        <f>VLOOKUP(J249,Diagnosis_Guide!$A:$C,3,0)</f>
        <v>Infectious/General</v>
      </c>
      <c r="AD249" s="4" t="str">
        <f>VLOOKUP(R249,Insurance_Plans!$A:$C,3,0)</f>
        <v>Employer</v>
      </c>
      <c r="AE249" s="13">
        <f t="shared" si="9"/>
        <v>2760</v>
      </c>
      <c r="AF249" s="13">
        <f t="shared" si="10"/>
        <v>57960</v>
      </c>
      <c r="AG249" s="4" t="str">
        <f t="shared" si="11"/>
        <v>High</v>
      </c>
    </row>
    <row r="250" spans="1:33">
      <c r="A250" t="s">
        <v>688</v>
      </c>
      <c r="B250" t="s">
        <v>644</v>
      </c>
      <c r="C250" s="11">
        <v>46091</v>
      </c>
      <c r="D250" t="s">
        <v>242</v>
      </c>
      <c r="E250" t="s">
        <v>70</v>
      </c>
      <c r="F250" s="4">
        <v>46091</v>
      </c>
      <c r="G250" s="4">
        <v>46092</v>
      </c>
      <c r="H250" t="s">
        <v>90</v>
      </c>
      <c r="I250" t="s">
        <v>128</v>
      </c>
      <c r="J250" t="s">
        <v>129</v>
      </c>
      <c r="K250" t="s">
        <v>60</v>
      </c>
      <c r="L250" t="s">
        <v>61</v>
      </c>
      <c r="M250" s="5"/>
      <c r="N250" s="5">
        <v>5650</v>
      </c>
      <c r="O250" s="5">
        <v>13900</v>
      </c>
      <c r="P250" s="5">
        <v>3000</v>
      </c>
      <c r="Q250" s="13">
        <v>81150</v>
      </c>
      <c r="R250" t="s">
        <v>75</v>
      </c>
      <c r="S250" t="s">
        <v>76</v>
      </c>
      <c r="T250" s="5">
        <v>36820</v>
      </c>
      <c r="U250" s="6">
        <v>4</v>
      </c>
      <c r="V250" t="s">
        <v>64</v>
      </c>
      <c r="W250" s="4"/>
      <c r="X250" t="s">
        <v>65</v>
      </c>
      <c r="Y250" t="s">
        <v>64</v>
      </c>
      <c r="Z250" t="s">
        <v>78</v>
      </c>
      <c r="AA250" t="str">
        <f>VLOOKUP(H250,Departments!$A:$B,2,0)</f>
        <v>Cardiology</v>
      </c>
      <c r="AB250" t="str">
        <f>VLOOKUP(J250,Diagnosis_Guide!$A:$B,2,0)</f>
        <v>Hypertension Crisis</v>
      </c>
      <c r="AC250" s="4" t="str">
        <f>VLOOKUP(J250,Diagnosis_Guide!$A:$C,3,0)</f>
        <v>Cardiovascular</v>
      </c>
      <c r="AD250" s="4" t="str">
        <f>VLOOKUP(R250,Insurance_Plans!$A:$C,3,0)</f>
        <v>Public</v>
      </c>
      <c r="AE250" s="13">
        <f t="shared" si="9"/>
        <v>4057.5</v>
      </c>
      <c r="AF250" s="13">
        <f t="shared" si="10"/>
        <v>85207.5</v>
      </c>
      <c r="AG250" s="4" t="str">
        <f t="shared" si="11"/>
        <v>High</v>
      </c>
    </row>
    <row r="251" spans="1:33">
      <c r="A251" t="s">
        <v>689</v>
      </c>
      <c r="B251" t="s">
        <v>690</v>
      </c>
      <c r="C251" s="11">
        <v>46070</v>
      </c>
      <c r="D251" t="s">
        <v>127</v>
      </c>
      <c r="E251" t="s">
        <v>70</v>
      </c>
      <c r="F251" s="4">
        <v>46070</v>
      </c>
      <c r="G251" s="4">
        <v>46073</v>
      </c>
      <c r="H251" t="s">
        <v>138</v>
      </c>
      <c r="I251" t="s">
        <v>343</v>
      </c>
      <c r="J251" t="s">
        <v>140</v>
      </c>
      <c r="K251" t="s">
        <v>124</v>
      </c>
      <c r="L251" t="s">
        <v>61</v>
      </c>
      <c r="M251" s="5">
        <v>11900</v>
      </c>
      <c r="N251" s="5">
        <v>1600</v>
      </c>
      <c r="O251" s="5">
        <v>1900</v>
      </c>
      <c r="P251" s="5">
        <v>9000</v>
      </c>
      <c r="Q251" s="13">
        <v>26200</v>
      </c>
      <c r="R251" t="s">
        <v>62</v>
      </c>
      <c r="S251" t="s">
        <v>76</v>
      </c>
      <c r="T251" s="5">
        <v>8260</v>
      </c>
      <c r="U251" s="6">
        <v>4</v>
      </c>
      <c r="V251" t="s">
        <v>64</v>
      </c>
      <c r="W251" s="4"/>
      <c r="X251" t="s">
        <v>65</v>
      </c>
      <c r="Y251" t="s">
        <v>64</v>
      </c>
      <c r="Z251" t="s">
        <v>96</v>
      </c>
      <c r="AA251" t="str">
        <f>VLOOKUP(H251,Departments!$A:$B,2,0)</f>
        <v>Pediatrics</v>
      </c>
      <c r="AB251" t="str">
        <f>VLOOKUP(J251,Diagnosis_Guide!$A:$B,2,0)</f>
        <v>Pediatric Asthma</v>
      </c>
      <c r="AC251" s="4" t="str">
        <f>VLOOKUP(J251,Diagnosis_Guide!$A:$C,3,0)</f>
        <v>Pediatric</v>
      </c>
      <c r="AD251" s="4" t="str">
        <f>VLOOKUP(R251,Insurance_Plans!$A:$C,3,0)</f>
        <v>Public</v>
      </c>
      <c r="AE251" s="13">
        <f t="shared" si="9"/>
        <v>1310</v>
      </c>
      <c r="AF251" s="13">
        <f t="shared" si="10"/>
        <v>27510</v>
      </c>
      <c r="AG251" s="4" t="str">
        <f t="shared" si="11"/>
        <v>High</v>
      </c>
    </row>
    <row r="252" spans="1:33">
      <c r="A252" t="s">
        <v>691</v>
      </c>
      <c r="B252" t="s">
        <v>692</v>
      </c>
      <c r="C252" s="11">
        <v>46131</v>
      </c>
      <c r="D252" t="s">
        <v>242</v>
      </c>
      <c r="E252" t="s">
        <v>70</v>
      </c>
      <c r="F252" s="4">
        <v>46131</v>
      </c>
      <c r="G252" s="4">
        <v>46131</v>
      </c>
      <c r="H252" t="s">
        <v>57</v>
      </c>
      <c r="I252" t="s">
        <v>169</v>
      </c>
      <c r="J252" t="s">
        <v>170</v>
      </c>
      <c r="K252" t="s">
        <v>60</v>
      </c>
      <c r="L252" t="s">
        <v>94</v>
      </c>
      <c r="M252" s="5">
        <v>51700</v>
      </c>
      <c r="N252" s="5">
        <v>6000</v>
      </c>
      <c r="O252" s="5">
        <v>9050</v>
      </c>
      <c r="P252" s="5">
        <v>0</v>
      </c>
      <c r="Q252" s="13">
        <v>67550</v>
      </c>
      <c r="R252" t="s">
        <v>75</v>
      </c>
      <c r="S252" t="s">
        <v>76</v>
      </c>
      <c r="T252" s="5">
        <v>30700</v>
      </c>
      <c r="U252" s="6">
        <v>5</v>
      </c>
      <c r="V252" t="s">
        <v>77</v>
      </c>
      <c r="W252" s="4">
        <v>46139</v>
      </c>
      <c r="X252" t="s">
        <v>77</v>
      </c>
      <c r="Y252" t="s">
        <v>64</v>
      </c>
      <c r="Z252" t="s">
        <v>96</v>
      </c>
      <c r="AA252" t="str">
        <f>VLOOKUP(H252,Departments!$A:$B,2,0)</f>
        <v>Pulmonology</v>
      </c>
      <c r="AB252" t="str">
        <f>VLOOKUP(J252,Diagnosis_Guide!$A:$B,2,0)</f>
        <v>COPD Exacerbation</v>
      </c>
      <c r="AC252" s="4" t="str">
        <f>VLOOKUP(J252,Diagnosis_Guide!$A:$C,3,0)</f>
        <v>Respiratory</v>
      </c>
      <c r="AD252" s="4" t="str">
        <f>VLOOKUP(R252,Insurance_Plans!$A:$C,3,0)</f>
        <v>Public</v>
      </c>
      <c r="AE252" s="13">
        <f t="shared" si="9"/>
        <v>3377.5</v>
      </c>
      <c r="AF252" s="13">
        <f t="shared" si="10"/>
        <v>70927.5</v>
      </c>
      <c r="AG252" s="4" t="str">
        <f t="shared" si="11"/>
        <v>High</v>
      </c>
    </row>
    <row r="253" spans="1:33">
      <c r="A253" t="s">
        <v>693</v>
      </c>
      <c r="B253" t="s">
        <v>694</v>
      </c>
      <c r="C253" s="11">
        <v>46146</v>
      </c>
      <c r="D253" t="s">
        <v>120</v>
      </c>
      <c r="E253" t="s">
        <v>177</v>
      </c>
      <c r="F253" s="4"/>
      <c r="G253" s="4"/>
      <c r="H253" t="s">
        <v>111</v>
      </c>
      <c r="I253" t="s">
        <v>222</v>
      </c>
      <c r="J253" t="s">
        <v>117</v>
      </c>
      <c r="K253" t="s">
        <v>73</v>
      </c>
      <c r="L253" t="s">
        <v>61</v>
      </c>
      <c r="M253" s="5"/>
      <c r="N253" s="5"/>
      <c r="O253" s="5"/>
      <c r="P253" s="5"/>
      <c r="R253" t="s">
        <v>62</v>
      </c>
      <c r="S253" t="s">
        <v>63</v>
      </c>
      <c r="T253" s="5"/>
      <c r="U253" s="6"/>
      <c r="V253" t="s">
        <v>64</v>
      </c>
      <c r="W253" s="4"/>
      <c r="X253" t="s">
        <v>65</v>
      </c>
      <c r="Z253" t="s">
        <v>66</v>
      </c>
      <c r="AA253" t="str">
        <f>VLOOKUP(H253,Departments!$A:$B,2,0)</f>
        <v>General Medicine</v>
      </c>
      <c r="AB253" t="str">
        <f>VLOOKUP(J253,Diagnosis_Guide!$A:$B,2,0)</f>
        <v>Fever Investigation</v>
      </c>
      <c r="AC253" s="4" t="str">
        <f>VLOOKUP(J253,Diagnosis_Guide!$A:$C,3,0)</f>
        <v>Infectious/General</v>
      </c>
      <c r="AD253" s="4" t="str">
        <f>VLOOKUP(R253,Insurance_Plans!$A:$C,3,0)</f>
        <v>Public</v>
      </c>
      <c r="AE253" s="13" t="str">
        <f t="shared" si="9"/>
        <v/>
      </c>
      <c r="AF253" s="13" t="str">
        <f t="shared" si="10"/>
        <v/>
      </c>
      <c r="AG253" s="4" t="str">
        <f t="shared" si="11"/>
        <v>Not Available</v>
      </c>
    </row>
    <row r="254" spans="1:33">
      <c r="A254" t="s">
        <v>695</v>
      </c>
      <c r="B254" t="s">
        <v>696</v>
      </c>
      <c r="C254" s="11">
        <v>46044</v>
      </c>
      <c r="D254" t="s">
        <v>168</v>
      </c>
      <c r="E254" t="s">
        <v>70</v>
      </c>
      <c r="F254" s="4">
        <v>46044</v>
      </c>
      <c r="G254" s="4">
        <v>46044</v>
      </c>
      <c r="H254" t="s">
        <v>150</v>
      </c>
      <c r="I254" t="s">
        <v>228</v>
      </c>
      <c r="J254" t="s">
        <v>229</v>
      </c>
      <c r="K254" t="s">
        <v>60</v>
      </c>
      <c r="L254" t="s">
        <v>94</v>
      </c>
      <c r="M254" s="5">
        <v>37000</v>
      </c>
      <c r="N254" s="5">
        <v>4750</v>
      </c>
      <c r="O254" s="5">
        <v>9050</v>
      </c>
      <c r="P254" s="5">
        <v>0</v>
      </c>
      <c r="Q254" s="13">
        <v>52300</v>
      </c>
      <c r="R254" t="s">
        <v>141</v>
      </c>
      <c r="S254" t="s">
        <v>76</v>
      </c>
      <c r="T254" s="5">
        <v>9040</v>
      </c>
      <c r="U254" s="6">
        <v>3</v>
      </c>
      <c r="V254" t="s">
        <v>77</v>
      </c>
      <c r="W254" s="4">
        <v>46055</v>
      </c>
      <c r="X254" t="s">
        <v>64</v>
      </c>
      <c r="Y254" t="s">
        <v>77</v>
      </c>
      <c r="Z254" t="s">
        <v>107</v>
      </c>
      <c r="AA254" t="str">
        <f>VLOOKUP(H254,Departments!$A:$B,2,0)</f>
        <v>Obstetrics</v>
      </c>
      <c r="AB254" t="str">
        <f>VLOOKUP(J254,Diagnosis_Guide!$A:$B,2,0)</f>
        <v>Delivery Care</v>
      </c>
      <c r="AC254" s="4" t="str">
        <f>VLOOKUP(J254,Diagnosis_Guide!$A:$C,3,0)</f>
        <v>Maternal Health</v>
      </c>
      <c r="AD254" s="4" t="str">
        <f>VLOOKUP(R254,Insurance_Plans!$A:$C,3,0)</f>
        <v>Private</v>
      </c>
      <c r="AE254" s="13">
        <f t="shared" si="9"/>
        <v>2615</v>
      </c>
      <c r="AF254" s="13">
        <f t="shared" si="10"/>
        <v>54915</v>
      </c>
      <c r="AG254" s="4" t="str">
        <f t="shared" si="11"/>
        <v>Medium</v>
      </c>
    </row>
    <row r="255" spans="1:33">
      <c r="A255" t="s">
        <v>697</v>
      </c>
      <c r="B255" t="s">
        <v>158</v>
      </c>
      <c r="C255" s="11">
        <v>46159</v>
      </c>
      <c r="D255" t="s">
        <v>439</v>
      </c>
      <c r="E255" t="s">
        <v>70</v>
      </c>
      <c r="F255" s="4">
        <v>46159</v>
      </c>
      <c r="G255" s="4">
        <v>46159</v>
      </c>
      <c r="H255" t="s">
        <v>150</v>
      </c>
      <c r="I255" t="s">
        <v>228</v>
      </c>
      <c r="J255" t="s">
        <v>152</v>
      </c>
      <c r="K255" t="s">
        <v>60</v>
      </c>
      <c r="L255" t="s">
        <v>146</v>
      </c>
      <c r="M255" s="5">
        <v>31600</v>
      </c>
      <c r="N255" s="5">
        <v>4850</v>
      </c>
      <c r="O255" s="5">
        <v>5300</v>
      </c>
      <c r="P255" s="5">
        <v>0</v>
      </c>
      <c r="Q255" s="13">
        <v>43250</v>
      </c>
      <c r="R255" t="s">
        <v>75</v>
      </c>
      <c r="S255" t="s">
        <v>76</v>
      </c>
      <c r="T255" s="5">
        <v>19760</v>
      </c>
      <c r="U255" s="6">
        <v>5</v>
      </c>
      <c r="V255" t="s">
        <v>77</v>
      </c>
      <c r="W255" s="4">
        <v>46173</v>
      </c>
      <c r="X255" t="s">
        <v>77</v>
      </c>
      <c r="Y255" t="s">
        <v>64</v>
      </c>
      <c r="Z255" t="s">
        <v>96</v>
      </c>
      <c r="AA255" t="str">
        <f>VLOOKUP(H255,Departments!$A:$B,2,0)</f>
        <v>Obstetrics</v>
      </c>
      <c r="AB255" t="str">
        <f>VLOOKUP(J255,Diagnosis_Guide!$A:$B,2,0)</f>
        <v>Antenatal Complication</v>
      </c>
      <c r="AC255" s="4" t="str">
        <f>VLOOKUP(J255,Diagnosis_Guide!$A:$C,3,0)</f>
        <v>Maternal Health</v>
      </c>
      <c r="AD255" s="4" t="str">
        <f>VLOOKUP(R255,Insurance_Plans!$A:$C,3,0)</f>
        <v>Public</v>
      </c>
      <c r="AE255" s="13">
        <f t="shared" si="9"/>
        <v>2162.5</v>
      </c>
      <c r="AF255" s="13">
        <f t="shared" si="10"/>
        <v>45412.5</v>
      </c>
      <c r="AG255" s="4" t="str">
        <f t="shared" si="11"/>
        <v>High</v>
      </c>
    </row>
    <row r="256" spans="1:33">
      <c r="A256" t="s">
        <v>698</v>
      </c>
      <c r="B256" t="s">
        <v>143</v>
      </c>
      <c r="C256" s="11">
        <v>46114</v>
      </c>
      <c r="D256" t="s">
        <v>439</v>
      </c>
      <c r="E256" t="s">
        <v>70</v>
      </c>
      <c r="F256" s="4">
        <v>46114</v>
      </c>
      <c r="G256" s="4">
        <v>46114</v>
      </c>
      <c r="H256" t="s">
        <v>82</v>
      </c>
      <c r="I256" t="s">
        <v>331</v>
      </c>
      <c r="J256" t="s">
        <v>156</v>
      </c>
      <c r="K256" t="s">
        <v>60</v>
      </c>
      <c r="L256" t="s">
        <v>61</v>
      </c>
      <c r="M256" s="5">
        <v>61200</v>
      </c>
      <c r="N256" s="5">
        <v>5450</v>
      </c>
      <c r="O256" s="5">
        <v>12800</v>
      </c>
      <c r="P256" s="5">
        <v>0</v>
      </c>
      <c r="Q256" s="13">
        <v>80950</v>
      </c>
      <c r="R256" t="s">
        <v>85</v>
      </c>
      <c r="S256" t="s">
        <v>76</v>
      </c>
      <c r="T256" s="5">
        <v>21140</v>
      </c>
      <c r="U256" s="6">
        <v>5</v>
      </c>
      <c r="V256" t="s">
        <v>77</v>
      </c>
      <c r="W256" s="4">
        <v>46128</v>
      </c>
      <c r="X256" t="s">
        <v>77</v>
      </c>
      <c r="Y256" t="s">
        <v>64</v>
      </c>
      <c r="Z256" t="s">
        <v>96</v>
      </c>
      <c r="AA256" t="str">
        <f>VLOOKUP(H256,Departments!$A:$B,2,0)</f>
        <v>Orthopedics</v>
      </c>
      <c r="AB256" t="str">
        <f>VLOOKUP(J256,Diagnosis_Guide!$A:$B,2,0)</f>
        <v>Spinal Injury</v>
      </c>
      <c r="AC256" s="4" t="str">
        <f>VLOOKUP(J256,Diagnosis_Guide!$A:$C,3,0)</f>
        <v>Musculoskeletal</v>
      </c>
      <c r="AD256" s="4" t="str">
        <f>VLOOKUP(R256,Insurance_Plans!$A:$C,3,0)</f>
        <v>Employer</v>
      </c>
      <c r="AE256" s="13">
        <f t="shared" si="9"/>
        <v>4047.5</v>
      </c>
      <c r="AF256" s="13">
        <f t="shared" si="10"/>
        <v>84997.5</v>
      </c>
      <c r="AG256" s="4" t="str">
        <f t="shared" si="11"/>
        <v>High</v>
      </c>
    </row>
    <row r="257" spans="1:33">
      <c r="A257" t="s">
        <v>699</v>
      </c>
      <c r="B257" t="s">
        <v>700</v>
      </c>
      <c r="C257" s="11">
        <v>46043</v>
      </c>
      <c r="D257" t="s">
        <v>149</v>
      </c>
      <c r="E257" t="s">
        <v>70</v>
      </c>
      <c r="F257" s="4">
        <v>46043</v>
      </c>
      <c r="G257" s="4">
        <v>46043</v>
      </c>
      <c r="H257" t="s">
        <v>178</v>
      </c>
      <c r="I257" t="s">
        <v>415</v>
      </c>
      <c r="J257" t="s">
        <v>180</v>
      </c>
      <c r="K257" t="s">
        <v>60</v>
      </c>
      <c r="L257" t="s">
        <v>61</v>
      </c>
      <c r="M257" s="5">
        <v>52800</v>
      </c>
      <c r="N257" s="5">
        <v>5250</v>
      </c>
      <c r="O257" s="5">
        <v>7350</v>
      </c>
      <c r="P257" s="5">
        <v>0</v>
      </c>
      <c r="Q257" s="13">
        <v>66200</v>
      </c>
      <c r="R257" t="s">
        <v>106</v>
      </c>
      <c r="S257" t="s">
        <v>76</v>
      </c>
      <c r="T257" s="5">
        <v>23870</v>
      </c>
      <c r="U257" s="6">
        <v>5</v>
      </c>
      <c r="V257" t="s">
        <v>77</v>
      </c>
      <c r="W257" s="4">
        <v>46062</v>
      </c>
      <c r="X257" t="s">
        <v>77</v>
      </c>
      <c r="Y257" t="s">
        <v>64</v>
      </c>
      <c r="Z257" t="s">
        <v>78</v>
      </c>
      <c r="AA257" t="str">
        <f>VLOOKUP(H257,Departments!$A:$B,2,0)</f>
        <v>Surgery</v>
      </c>
      <c r="AB257" t="str">
        <f>VLOOKUP(J257,Diagnosis_Guide!$A:$B,2,0)</f>
        <v>Appendicitis Surgery</v>
      </c>
      <c r="AC257" s="4" t="str">
        <f>VLOOKUP(J257,Diagnosis_Guide!$A:$C,3,0)</f>
        <v>Surgical</v>
      </c>
      <c r="AD257" s="4" t="str">
        <f>VLOOKUP(R257,Insurance_Plans!$A:$C,3,0)</f>
        <v>Private</v>
      </c>
      <c r="AE257" s="13">
        <f t="shared" si="9"/>
        <v>3310</v>
      </c>
      <c r="AF257" s="13">
        <f t="shared" si="10"/>
        <v>69510</v>
      </c>
      <c r="AG257" s="4" t="str">
        <f t="shared" si="11"/>
        <v>High</v>
      </c>
    </row>
    <row r="258" spans="1:33">
      <c r="A258" t="s">
        <v>701</v>
      </c>
      <c r="B258" t="s">
        <v>702</v>
      </c>
      <c r="C258" s="11">
        <v>46095</v>
      </c>
      <c r="D258" t="s">
        <v>206</v>
      </c>
      <c r="E258" t="s">
        <v>70</v>
      </c>
      <c r="F258" s="4">
        <v>46095</v>
      </c>
      <c r="G258" s="4">
        <v>46095</v>
      </c>
      <c r="H258" t="s">
        <v>103</v>
      </c>
      <c r="I258" t="s">
        <v>104</v>
      </c>
      <c r="J258" t="s">
        <v>244</v>
      </c>
      <c r="K258" t="s">
        <v>60</v>
      </c>
      <c r="L258" t="s">
        <v>74</v>
      </c>
      <c r="M258" s="5">
        <v>47500</v>
      </c>
      <c r="N258" s="5">
        <v>4850</v>
      </c>
      <c r="O258" s="5">
        <v>9800</v>
      </c>
      <c r="P258" s="5">
        <v>0</v>
      </c>
      <c r="Q258" s="13">
        <v>63950</v>
      </c>
      <c r="R258" t="s">
        <v>75</v>
      </c>
      <c r="S258" t="s">
        <v>76</v>
      </c>
      <c r="T258" s="5">
        <v>29080</v>
      </c>
      <c r="U258" s="6">
        <v>5</v>
      </c>
      <c r="V258" t="s">
        <v>77</v>
      </c>
      <c r="W258" s="4">
        <v>46111</v>
      </c>
      <c r="X258" t="s">
        <v>64</v>
      </c>
      <c r="Y258" t="s">
        <v>64</v>
      </c>
      <c r="Z258" t="s">
        <v>96</v>
      </c>
      <c r="AA258" t="str">
        <f>VLOOKUP(H258,Departments!$A:$B,2,0)</f>
        <v>Nephrology</v>
      </c>
      <c r="AB258" t="str">
        <f>VLOOKUP(J258,Diagnosis_Guide!$A:$B,2,0)</f>
        <v>Chronic Kidney Disease</v>
      </c>
      <c r="AC258" s="4" t="str">
        <f>VLOOKUP(J258,Diagnosis_Guide!$A:$C,3,0)</f>
        <v>Renal</v>
      </c>
      <c r="AD258" s="4" t="str">
        <f>VLOOKUP(R258,Insurance_Plans!$A:$C,3,0)</f>
        <v>Public</v>
      </c>
      <c r="AE258" s="13">
        <f t="shared" ref="AE258:AE321" si="12">IF(Q258="","",Q258*0.05)</f>
        <v>3197.5</v>
      </c>
      <c r="AF258" s="13">
        <f t="shared" ref="AF258:AF321" si="13">IF(Q258="","",Q258+AE258)</f>
        <v>67147.5</v>
      </c>
      <c r="AG258" s="4" t="str">
        <f t="shared" ref="AG258:AG321" si="14">IF(U258="","Not Available",IF(U258&gt;=4,"High",IF(U258=3,"Medium","Low")))</f>
        <v>High</v>
      </c>
    </row>
    <row r="259" spans="1:33">
      <c r="A259" t="s">
        <v>703</v>
      </c>
      <c r="B259" t="s">
        <v>704</v>
      </c>
      <c r="C259" s="11">
        <v>46141</v>
      </c>
      <c r="D259" t="s">
        <v>307</v>
      </c>
      <c r="E259" t="s">
        <v>70</v>
      </c>
      <c r="F259" s="4">
        <v>46142</v>
      </c>
      <c r="G259" s="4">
        <v>46143</v>
      </c>
      <c r="H259" t="s">
        <v>150</v>
      </c>
      <c r="I259" t="s">
        <v>151</v>
      </c>
      <c r="J259" t="s">
        <v>188</v>
      </c>
      <c r="K259" t="s">
        <v>60</v>
      </c>
      <c r="L259" t="s">
        <v>74</v>
      </c>
      <c r="M259" s="5">
        <v>89500</v>
      </c>
      <c r="N259" s="5">
        <v>12200</v>
      </c>
      <c r="O259" s="5">
        <v>13600</v>
      </c>
      <c r="P259" s="5">
        <v>3000</v>
      </c>
      <c r="Q259" s="13">
        <v>120800</v>
      </c>
      <c r="R259" t="s">
        <v>95</v>
      </c>
      <c r="S259" t="s">
        <v>63</v>
      </c>
      <c r="T259" s="5">
        <v>120800</v>
      </c>
      <c r="U259" s="6"/>
      <c r="V259" t="s">
        <v>77</v>
      </c>
      <c r="W259" s="4">
        <v>46154</v>
      </c>
      <c r="X259" t="s">
        <v>77</v>
      </c>
      <c r="Y259" t="s">
        <v>64</v>
      </c>
      <c r="Z259" t="s">
        <v>78</v>
      </c>
      <c r="AA259" t="str">
        <f>VLOOKUP(H259,Departments!$A:$B,2,0)</f>
        <v>Obstetrics</v>
      </c>
      <c r="AB259" t="str">
        <f>VLOOKUP(J259,Diagnosis_Guide!$A:$B,2,0)</f>
        <v>Emergency C-Section</v>
      </c>
      <c r="AC259" s="4" t="str">
        <f>VLOOKUP(J259,Diagnosis_Guide!$A:$C,3,0)</f>
        <v>Maternal Health</v>
      </c>
      <c r="AD259" s="4" t="str">
        <f>VLOOKUP(R259,Insurance_Plans!$A:$C,3,0)</f>
        <v>Self-Pay</v>
      </c>
      <c r="AE259" s="13">
        <f t="shared" si="12"/>
        <v>6040</v>
      </c>
      <c r="AF259" s="13">
        <f t="shared" si="13"/>
        <v>126840</v>
      </c>
      <c r="AG259" s="4" t="str">
        <f t="shared" si="14"/>
        <v>Not Available</v>
      </c>
    </row>
    <row r="260" spans="1:33">
      <c r="A260" t="s">
        <v>705</v>
      </c>
      <c r="B260" t="s">
        <v>706</v>
      </c>
      <c r="C260" s="11">
        <v>46165</v>
      </c>
      <c r="D260" t="s">
        <v>307</v>
      </c>
      <c r="E260" t="s">
        <v>70</v>
      </c>
      <c r="F260" s="4">
        <v>46165</v>
      </c>
      <c r="G260" s="4">
        <v>46168</v>
      </c>
      <c r="H260" t="s">
        <v>150</v>
      </c>
      <c r="I260" t="s">
        <v>187</v>
      </c>
      <c r="J260" t="s">
        <v>152</v>
      </c>
      <c r="K260" t="s">
        <v>73</v>
      </c>
      <c r="L260" t="s">
        <v>74</v>
      </c>
      <c r="M260" s="5">
        <v>30000</v>
      </c>
      <c r="N260" s="5">
        <v>4100</v>
      </c>
      <c r="O260" s="5">
        <v>3800</v>
      </c>
      <c r="P260" s="5">
        <v>9000</v>
      </c>
      <c r="Q260" s="13">
        <v>49400</v>
      </c>
      <c r="R260" t="s">
        <v>95</v>
      </c>
      <c r="S260" t="s">
        <v>63</v>
      </c>
      <c r="T260" s="5">
        <v>49400</v>
      </c>
      <c r="U260" s="6">
        <v>5</v>
      </c>
      <c r="V260" t="s">
        <v>64</v>
      </c>
      <c r="W260" s="4"/>
      <c r="X260" t="s">
        <v>65</v>
      </c>
      <c r="Y260" t="s">
        <v>64</v>
      </c>
      <c r="Z260" t="s">
        <v>107</v>
      </c>
      <c r="AA260" t="str">
        <f>VLOOKUP(H260,Departments!$A:$B,2,0)</f>
        <v>Obstetrics</v>
      </c>
      <c r="AB260" t="str">
        <f>VLOOKUP(J260,Diagnosis_Guide!$A:$B,2,0)</f>
        <v>Antenatal Complication</v>
      </c>
      <c r="AC260" s="4" t="str">
        <f>VLOOKUP(J260,Diagnosis_Guide!$A:$C,3,0)</f>
        <v>Maternal Health</v>
      </c>
      <c r="AD260" s="4" t="str">
        <f>VLOOKUP(R260,Insurance_Plans!$A:$C,3,0)</f>
        <v>Self-Pay</v>
      </c>
      <c r="AE260" s="13">
        <f t="shared" si="12"/>
        <v>2470</v>
      </c>
      <c r="AF260" s="13">
        <f t="shared" si="13"/>
        <v>51870</v>
      </c>
      <c r="AG260" s="4" t="str">
        <f t="shared" si="14"/>
        <v>High</v>
      </c>
    </row>
    <row r="261" spans="1:33">
      <c r="A261" t="s">
        <v>707</v>
      </c>
      <c r="B261" t="s">
        <v>528</v>
      </c>
      <c r="C261" s="11">
        <v>46104</v>
      </c>
      <c r="D261" t="s">
        <v>284</v>
      </c>
      <c r="E261" t="s">
        <v>70</v>
      </c>
      <c r="F261" s="4">
        <v>46104</v>
      </c>
      <c r="G261" s="4">
        <v>46104</v>
      </c>
      <c r="H261" t="s">
        <v>103</v>
      </c>
      <c r="I261" t="s">
        <v>412</v>
      </c>
      <c r="J261" t="s">
        <v>244</v>
      </c>
      <c r="K261" t="s">
        <v>60</v>
      </c>
      <c r="L261" t="s">
        <v>94</v>
      </c>
      <c r="M261" s="5">
        <v>82900</v>
      </c>
      <c r="N261" s="5">
        <v>8100</v>
      </c>
      <c r="O261" s="5">
        <v>11900</v>
      </c>
      <c r="P261" s="5">
        <v>0</v>
      </c>
      <c r="Q261" s="13">
        <v>104100</v>
      </c>
      <c r="R261" t="s">
        <v>141</v>
      </c>
      <c r="S261" t="s">
        <v>76</v>
      </c>
      <c r="T261" s="5">
        <v>16820</v>
      </c>
      <c r="U261" s="6">
        <v>4</v>
      </c>
      <c r="V261" t="s">
        <v>77</v>
      </c>
      <c r="W261" s="4">
        <v>46113</v>
      </c>
      <c r="X261" t="s">
        <v>77</v>
      </c>
      <c r="Y261" t="s">
        <v>77</v>
      </c>
      <c r="Z261" t="s">
        <v>219</v>
      </c>
      <c r="AA261" t="str">
        <f>VLOOKUP(H261,Departments!$A:$B,2,0)</f>
        <v>Nephrology</v>
      </c>
      <c r="AB261" t="str">
        <f>VLOOKUP(J261,Diagnosis_Guide!$A:$B,2,0)</f>
        <v>Chronic Kidney Disease</v>
      </c>
      <c r="AC261" s="4" t="str">
        <f>VLOOKUP(J261,Diagnosis_Guide!$A:$C,3,0)</f>
        <v>Renal</v>
      </c>
      <c r="AD261" s="4" t="str">
        <f>VLOOKUP(R261,Insurance_Plans!$A:$C,3,0)</f>
        <v>Private</v>
      </c>
      <c r="AE261" s="13">
        <f t="shared" si="12"/>
        <v>5205</v>
      </c>
      <c r="AF261" s="13">
        <f t="shared" si="13"/>
        <v>109305</v>
      </c>
      <c r="AG261" s="4" t="str">
        <f t="shared" si="14"/>
        <v>High</v>
      </c>
    </row>
    <row r="262" spans="1:33">
      <c r="A262" t="s">
        <v>708</v>
      </c>
      <c r="B262" t="s">
        <v>709</v>
      </c>
      <c r="C262" s="11">
        <v>46043</v>
      </c>
      <c r="D262" t="s">
        <v>242</v>
      </c>
      <c r="E262" t="s">
        <v>177</v>
      </c>
      <c r="F262" s="4"/>
      <c r="G262" s="4"/>
      <c r="H262" t="s">
        <v>103</v>
      </c>
      <c r="I262" t="s">
        <v>243</v>
      </c>
      <c r="J262" t="s">
        <v>244</v>
      </c>
      <c r="K262" t="s">
        <v>60</v>
      </c>
      <c r="L262" t="s">
        <v>61</v>
      </c>
      <c r="M262" s="5"/>
      <c r="N262" s="5"/>
      <c r="O262" s="5"/>
      <c r="P262" s="5"/>
      <c r="R262" t="s">
        <v>95</v>
      </c>
      <c r="S262" t="s">
        <v>63</v>
      </c>
      <c r="T262" s="5"/>
      <c r="U262" s="6"/>
      <c r="V262" t="s">
        <v>64</v>
      </c>
      <c r="W262" s="4"/>
      <c r="X262" t="s">
        <v>65</v>
      </c>
      <c r="Z262" t="s">
        <v>66</v>
      </c>
      <c r="AA262" t="str">
        <f>VLOOKUP(H262,Departments!$A:$B,2,0)</f>
        <v>Nephrology</v>
      </c>
      <c r="AB262" t="str">
        <f>VLOOKUP(J262,Diagnosis_Guide!$A:$B,2,0)</f>
        <v>Chronic Kidney Disease</v>
      </c>
      <c r="AC262" s="4" t="str">
        <f>VLOOKUP(J262,Diagnosis_Guide!$A:$C,3,0)</f>
        <v>Renal</v>
      </c>
      <c r="AD262" s="4" t="str">
        <f>VLOOKUP(R262,Insurance_Plans!$A:$C,3,0)</f>
        <v>Self-Pay</v>
      </c>
      <c r="AE262" s="13" t="str">
        <f t="shared" si="12"/>
        <v/>
      </c>
      <c r="AF262" s="13" t="str">
        <f t="shared" si="13"/>
        <v/>
      </c>
      <c r="AG262" s="4" t="str">
        <f t="shared" si="14"/>
        <v>Not Available</v>
      </c>
    </row>
    <row r="263" spans="1:33">
      <c r="A263" t="s">
        <v>710</v>
      </c>
      <c r="B263" t="s">
        <v>711</v>
      </c>
      <c r="C263" s="11">
        <v>46028</v>
      </c>
      <c r="D263" t="s">
        <v>242</v>
      </c>
      <c r="E263" t="s">
        <v>70</v>
      </c>
      <c r="F263" s="4">
        <v>46028</v>
      </c>
      <c r="G263" s="4">
        <v>46033</v>
      </c>
      <c r="H263" t="s">
        <v>57</v>
      </c>
      <c r="I263" t="s">
        <v>184</v>
      </c>
      <c r="J263" t="s">
        <v>170</v>
      </c>
      <c r="K263" t="s">
        <v>124</v>
      </c>
      <c r="L263" t="s">
        <v>94</v>
      </c>
      <c r="M263" s="5">
        <v>64500</v>
      </c>
      <c r="N263" s="5">
        <v>11100</v>
      </c>
      <c r="O263" s="5">
        <v>9550</v>
      </c>
      <c r="P263" s="5">
        <v>17500</v>
      </c>
      <c r="Q263" s="13">
        <v>103850</v>
      </c>
      <c r="R263" t="s">
        <v>75</v>
      </c>
      <c r="S263" t="s">
        <v>76</v>
      </c>
      <c r="T263" s="5">
        <v>47030</v>
      </c>
      <c r="U263" s="6">
        <v>4</v>
      </c>
      <c r="V263" t="s">
        <v>77</v>
      </c>
      <c r="W263" s="4">
        <v>46047</v>
      </c>
      <c r="X263" t="s">
        <v>77</v>
      </c>
      <c r="Y263" t="s">
        <v>64</v>
      </c>
      <c r="Z263" t="s">
        <v>219</v>
      </c>
      <c r="AA263" t="str">
        <f>VLOOKUP(H263,Departments!$A:$B,2,0)</f>
        <v>Pulmonology</v>
      </c>
      <c r="AB263" t="str">
        <f>VLOOKUP(J263,Diagnosis_Guide!$A:$B,2,0)</f>
        <v>COPD Exacerbation</v>
      </c>
      <c r="AC263" s="4" t="str">
        <f>VLOOKUP(J263,Diagnosis_Guide!$A:$C,3,0)</f>
        <v>Respiratory</v>
      </c>
      <c r="AD263" s="4" t="str">
        <f>VLOOKUP(R263,Insurance_Plans!$A:$C,3,0)</f>
        <v>Public</v>
      </c>
      <c r="AE263" s="13">
        <f t="shared" si="12"/>
        <v>5192.5</v>
      </c>
      <c r="AF263" s="13">
        <f t="shared" si="13"/>
        <v>109042.5</v>
      </c>
      <c r="AG263" s="4" t="str">
        <f t="shared" si="14"/>
        <v>High</v>
      </c>
    </row>
    <row r="264" spans="1:33">
      <c r="A264" t="s">
        <v>712</v>
      </c>
      <c r="B264" t="s">
        <v>713</v>
      </c>
      <c r="C264" s="11">
        <v>46085</v>
      </c>
      <c r="D264" t="s">
        <v>132</v>
      </c>
      <c r="E264" t="s">
        <v>70</v>
      </c>
      <c r="F264" s="4">
        <v>46086</v>
      </c>
      <c r="G264" s="4">
        <v>46086</v>
      </c>
      <c r="H264" t="s">
        <v>150</v>
      </c>
      <c r="I264" t="s">
        <v>151</v>
      </c>
      <c r="J264" t="s">
        <v>188</v>
      </c>
      <c r="K264" t="s">
        <v>60</v>
      </c>
      <c r="L264" t="s">
        <v>94</v>
      </c>
      <c r="M264" s="5">
        <v>80200</v>
      </c>
      <c r="N264" s="5">
        <v>8500</v>
      </c>
      <c r="O264" s="5">
        <v>16650</v>
      </c>
      <c r="P264" s="5">
        <v>0</v>
      </c>
      <c r="Q264" s="13">
        <v>107850</v>
      </c>
      <c r="R264" t="s">
        <v>75</v>
      </c>
      <c r="S264" t="s">
        <v>76</v>
      </c>
      <c r="T264" s="5">
        <v>48830</v>
      </c>
      <c r="U264" s="6">
        <v>3</v>
      </c>
      <c r="V264" t="s">
        <v>77</v>
      </c>
      <c r="W264" s="4">
        <v>46101</v>
      </c>
      <c r="X264" t="s">
        <v>64</v>
      </c>
      <c r="Y264" t="s">
        <v>64</v>
      </c>
      <c r="Z264" t="s">
        <v>96</v>
      </c>
      <c r="AA264" t="str">
        <f>VLOOKUP(H264,Departments!$A:$B,2,0)</f>
        <v>Obstetrics</v>
      </c>
      <c r="AB264" t="str">
        <f>VLOOKUP(J264,Diagnosis_Guide!$A:$B,2,0)</f>
        <v>Emergency C-Section</v>
      </c>
      <c r="AC264" s="4" t="str">
        <f>VLOOKUP(J264,Diagnosis_Guide!$A:$C,3,0)</f>
        <v>Maternal Health</v>
      </c>
      <c r="AD264" s="4" t="str">
        <f>VLOOKUP(R264,Insurance_Plans!$A:$C,3,0)</f>
        <v>Public</v>
      </c>
      <c r="AE264" s="13">
        <f t="shared" si="12"/>
        <v>5392.5</v>
      </c>
      <c r="AF264" s="13">
        <f t="shared" si="13"/>
        <v>113242.5</v>
      </c>
      <c r="AG264" s="4" t="str">
        <f t="shared" si="14"/>
        <v>Medium</v>
      </c>
    </row>
    <row r="265" spans="1:33">
      <c r="A265" t="s">
        <v>714</v>
      </c>
      <c r="B265" t="s">
        <v>715</v>
      </c>
      <c r="C265" s="11">
        <v>46132</v>
      </c>
      <c r="D265" t="s">
        <v>81</v>
      </c>
      <c r="E265" t="s">
        <v>70</v>
      </c>
      <c r="F265" s="4">
        <v>46132</v>
      </c>
      <c r="G265" s="4">
        <v>46132</v>
      </c>
      <c r="H265" t="s">
        <v>57</v>
      </c>
      <c r="I265" t="s">
        <v>58</v>
      </c>
      <c r="J265" t="s">
        <v>59</v>
      </c>
      <c r="K265" t="s">
        <v>60</v>
      </c>
      <c r="L265" t="s">
        <v>94</v>
      </c>
      <c r="M265" s="5">
        <v>39500</v>
      </c>
      <c r="N265" s="5">
        <v>5050</v>
      </c>
      <c r="O265" s="5">
        <v>5500</v>
      </c>
      <c r="P265" s="5">
        <v>0</v>
      </c>
      <c r="Q265" s="13">
        <v>52550</v>
      </c>
      <c r="R265" t="s">
        <v>106</v>
      </c>
      <c r="S265" t="s">
        <v>76</v>
      </c>
      <c r="T265" s="5">
        <v>19090</v>
      </c>
      <c r="U265" s="6">
        <v>5</v>
      </c>
      <c r="V265" t="s">
        <v>77</v>
      </c>
      <c r="W265" s="4">
        <v>46150</v>
      </c>
      <c r="X265" t="s">
        <v>77</v>
      </c>
      <c r="Y265" t="s">
        <v>64</v>
      </c>
      <c r="Z265" t="s">
        <v>78</v>
      </c>
      <c r="AA265" t="str">
        <f>VLOOKUP(H265,Departments!$A:$B,2,0)</f>
        <v>Pulmonology</v>
      </c>
      <c r="AB265" t="str">
        <f>VLOOKUP(J265,Diagnosis_Guide!$A:$B,2,0)</f>
        <v>Pneumonia</v>
      </c>
      <c r="AC265" s="4" t="str">
        <f>VLOOKUP(J265,Diagnosis_Guide!$A:$C,3,0)</f>
        <v>Respiratory</v>
      </c>
      <c r="AD265" s="4" t="str">
        <f>VLOOKUP(R265,Insurance_Plans!$A:$C,3,0)</f>
        <v>Private</v>
      </c>
      <c r="AE265" s="13">
        <f t="shared" si="12"/>
        <v>2627.5</v>
      </c>
      <c r="AF265" s="13">
        <f t="shared" si="13"/>
        <v>55177.5</v>
      </c>
      <c r="AG265" s="4" t="str">
        <f t="shared" si="14"/>
        <v>High</v>
      </c>
    </row>
    <row r="266" spans="1:33">
      <c r="A266" t="s">
        <v>716</v>
      </c>
      <c r="B266" t="s">
        <v>565</v>
      </c>
      <c r="C266" s="11">
        <v>46060</v>
      </c>
      <c r="D266" t="s">
        <v>337</v>
      </c>
      <c r="E266" t="s">
        <v>70</v>
      </c>
      <c r="F266" s="4">
        <v>46060</v>
      </c>
      <c r="G266" s="4">
        <v>46067</v>
      </c>
      <c r="H266" t="s">
        <v>103</v>
      </c>
      <c r="I266" t="s">
        <v>104</v>
      </c>
      <c r="J266" t="s">
        <v>244</v>
      </c>
      <c r="K266" t="s">
        <v>124</v>
      </c>
      <c r="L266" t="s">
        <v>94</v>
      </c>
      <c r="M266" s="5">
        <v>49300</v>
      </c>
      <c r="N266" s="5">
        <v>7050</v>
      </c>
      <c r="O266" s="5">
        <v>8450</v>
      </c>
      <c r="P266" s="5">
        <v>31500</v>
      </c>
      <c r="Q266" s="13">
        <v>98100</v>
      </c>
      <c r="R266" t="s">
        <v>85</v>
      </c>
      <c r="S266" t="s">
        <v>76</v>
      </c>
      <c r="T266" s="5">
        <v>25420</v>
      </c>
      <c r="U266" s="6"/>
      <c r="V266" t="s">
        <v>77</v>
      </c>
      <c r="W266" s="4">
        <v>46083</v>
      </c>
      <c r="X266" t="s">
        <v>77</v>
      </c>
      <c r="Y266" t="s">
        <v>64</v>
      </c>
      <c r="Z266" t="s">
        <v>96</v>
      </c>
      <c r="AA266" t="str">
        <f>VLOOKUP(H266,Departments!$A:$B,2,0)</f>
        <v>Nephrology</v>
      </c>
      <c r="AB266" t="str">
        <f>VLOOKUP(J266,Diagnosis_Guide!$A:$B,2,0)</f>
        <v>Chronic Kidney Disease</v>
      </c>
      <c r="AC266" s="4" t="str">
        <f>VLOOKUP(J266,Diagnosis_Guide!$A:$C,3,0)</f>
        <v>Renal</v>
      </c>
      <c r="AD266" s="4" t="str">
        <f>VLOOKUP(R266,Insurance_Plans!$A:$C,3,0)</f>
        <v>Employer</v>
      </c>
      <c r="AE266" s="13">
        <f t="shared" si="12"/>
        <v>4905</v>
      </c>
      <c r="AF266" s="13">
        <f t="shared" si="13"/>
        <v>103005</v>
      </c>
      <c r="AG266" s="4" t="str">
        <f t="shared" si="14"/>
        <v>Not Available</v>
      </c>
    </row>
    <row r="267" spans="1:33">
      <c r="A267" t="s">
        <v>717</v>
      </c>
      <c r="B267" t="s">
        <v>394</v>
      </c>
      <c r="C267" s="11">
        <v>46126</v>
      </c>
      <c r="D267" t="s">
        <v>307</v>
      </c>
      <c r="E267" t="s">
        <v>177</v>
      </c>
      <c r="F267" s="4"/>
      <c r="G267" s="4"/>
      <c r="H267" t="s">
        <v>57</v>
      </c>
      <c r="I267" t="s">
        <v>211</v>
      </c>
      <c r="J267" t="s">
        <v>59</v>
      </c>
      <c r="K267" t="s">
        <v>73</v>
      </c>
      <c r="L267" t="s">
        <v>94</v>
      </c>
      <c r="M267" s="5"/>
      <c r="N267" s="5"/>
      <c r="O267" s="5"/>
      <c r="P267" s="5"/>
      <c r="R267" t="s">
        <v>95</v>
      </c>
      <c r="S267" t="s">
        <v>63</v>
      </c>
      <c r="T267" s="5"/>
      <c r="U267" s="6"/>
      <c r="V267" t="s">
        <v>64</v>
      </c>
      <c r="W267" s="4"/>
      <c r="X267" t="s">
        <v>65</v>
      </c>
      <c r="Z267" t="s">
        <v>66</v>
      </c>
      <c r="AA267" t="str">
        <f>VLOOKUP(H267,Departments!$A:$B,2,0)</f>
        <v>Pulmonology</v>
      </c>
      <c r="AB267" t="str">
        <f>VLOOKUP(J267,Diagnosis_Guide!$A:$B,2,0)</f>
        <v>Pneumonia</v>
      </c>
      <c r="AC267" s="4" t="str">
        <f>VLOOKUP(J267,Diagnosis_Guide!$A:$C,3,0)</f>
        <v>Respiratory</v>
      </c>
      <c r="AD267" s="4" t="str">
        <f>VLOOKUP(R267,Insurance_Plans!$A:$C,3,0)</f>
        <v>Self-Pay</v>
      </c>
      <c r="AE267" s="13" t="str">
        <f t="shared" si="12"/>
        <v/>
      </c>
      <c r="AF267" s="13" t="str">
        <f t="shared" si="13"/>
        <v/>
      </c>
      <c r="AG267" s="4" t="str">
        <f t="shared" si="14"/>
        <v>Not Available</v>
      </c>
    </row>
    <row r="268" spans="1:33">
      <c r="A268" t="s">
        <v>718</v>
      </c>
      <c r="B268" t="s">
        <v>719</v>
      </c>
      <c r="C268" s="11">
        <v>46147</v>
      </c>
      <c r="D268" t="s">
        <v>110</v>
      </c>
      <c r="E268" t="s">
        <v>70</v>
      </c>
      <c r="F268" s="4">
        <v>46147</v>
      </c>
      <c r="G268" s="4">
        <v>46148</v>
      </c>
      <c r="H268" t="s">
        <v>138</v>
      </c>
      <c r="I268" t="s">
        <v>235</v>
      </c>
      <c r="J268" t="s">
        <v>261</v>
      </c>
      <c r="K268" t="s">
        <v>124</v>
      </c>
      <c r="L268" t="s">
        <v>61</v>
      </c>
      <c r="M268" s="5">
        <v>5400</v>
      </c>
      <c r="N268" s="5">
        <v>600</v>
      </c>
      <c r="O268" s="5">
        <v>1150</v>
      </c>
      <c r="P268" s="5">
        <v>2500</v>
      </c>
      <c r="Q268" s="13">
        <v>10650</v>
      </c>
      <c r="R268" t="s">
        <v>85</v>
      </c>
      <c r="S268" t="s">
        <v>76</v>
      </c>
      <c r="T268" s="5">
        <v>3560</v>
      </c>
      <c r="U268" s="6">
        <v>4</v>
      </c>
      <c r="V268" t="s">
        <v>64</v>
      </c>
      <c r="W268" s="4"/>
      <c r="X268" t="s">
        <v>65</v>
      </c>
      <c r="Y268" t="s">
        <v>64</v>
      </c>
      <c r="Z268" t="s">
        <v>107</v>
      </c>
      <c r="AA268" t="str">
        <f>VLOOKUP(H268,Departments!$A:$B,2,0)</f>
        <v>Pediatrics</v>
      </c>
      <c r="AB268" t="str">
        <f>VLOOKUP(J268,Diagnosis_Guide!$A:$B,2,0)</f>
        <v>Child Fever</v>
      </c>
      <c r="AC268" s="4" t="str">
        <f>VLOOKUP(J268,Diagnosis_Guide!$A:$C,3,0)</f>
        <v>Pediatric</v>
      </c>
      <c r="AD268" s="4" t="str">
        <f>VLOOKUP(R268,Insurance_Plans!$A:$C,3,0)</f>
        <v>Employer</v>
      </c>
      <c r="AE268" s="13">
        <f t="shared" si="12"/>
        <v>532.5</v>
      </c>
      <c r="AF268" s="13">
        <f t="shared" si="13"/>
        <v>11182.5</v>
      </c>
      <c r="AG268" s="4" t="str">
        <f t="shared" si="14"/>
        <v>High</v>
      </c>
    </row>
    <row r="269" spans="1:33">
      <c r="A269" t="s">
        <v>720</v>
      </c>
      <c r="B269" t="s">
        <v>721</v>
      </c>
      <c r="C269" s="11">
        <v>46125</v>
      </c>
      <c r="D269" t="s">
        <v>294</v>
      </c>
      <c r="E269" t="s">
        <v>70</v>
      </c>
      <c r="F269" s="4">
        <v>46125</v>
      </c>
      <c r="G269" s="4">
        <v>46126</v>
      </c>
      <c r="H269" t="s">
        <v>82</v>
      </c>
      <c r="I269" t="s">
        <v>194</v>
      </c>
      <c r="J269" t="s">
        <v>291</v>
      </c>
      <c r="K269" t="s">
        <v>60</v>
      </c>
      <c r="L269" t="s">
        <v>146</v>
      </c>
      <c r="M269" s="5">
        <v>30600</v>
      </c>
      <c r="N269" s="5">
        <v>4200</v>
      </c>
      <c r="O269" s="5">
        <v>4200</v>
      </c>
      <c r="P269" s="5">
        <v>3500</v>
      </c>
      <c r="Q269" s="13">
        <v>44300</v>
      </c>
      <c r="R269" t="s">
        <v>95</v>
      </c>
      <c r="S269" t="s">
        <v>63</v>
      </c>
      <c r="T269" s="5">
        <v>44300</v>
      </c>
      <c r="U269" s="6">
        <v>5</v>
      </c>
      <c r="V269" t="s">
        <v>77</v>
      </c>
      <c r="W269" s="4">
        <v>46147</v>
      </c>
      <c r="X269" t="s">
        <v>77</v>
      </c>
      <c r="Y269" t="s">
        <v>64</v>
      </c>
      <c r="Z269" t="s">
        <v>219</v>
      </c>
      <c r="AA269" t="str">
        <f>VLOOKUP(H269,Departments!$A:$B,2,0)</f>
        <v>Orthopedics</v>
      </c>
      <c r="AB269" t="str">
        <f>VLOOKUP(J269,Diagnosis_Guide!$A:$B,2,0)</f>
        <v>Fracture Repair</v>
      </c>
      <c r="AC269" s="4" t="str">
        <f>VLOOKUP(J269,Diagnosis_Guide!$A:$C,3,0)</f>
        <v>Musculoskeletal</v>
      </c>
      <c r="AD269" s="4" t="str">
        <f>VLOOKUP(R269,Insurance_Plans!$A:$C,3,0)</f>
        <v>Self-Pay</v>
      </c>
      <c r="AE269" s="13">
        <f t="shared" si="12"/>
        <v>2215</v>
      </c>
      <c r="AF269" s="13">
        <f t="shared" si="13"/>
        <v>46515</v>
      </c>
      <c r="AG269" s="4" t="str">
        <f t="shared" si="14"/>
        <v>High</v>
      </c>
    </row>
    <row r="270" spans="1:33">
      <c r="A270" t="s">
        <v>722</v>
      </c>
      <c r="B270" t="s">
        <v>723</v>
      </c>
      <c r="C270" s="11">
        <v>46156</v>
      </c>
      <c r="D270" t="s">
        <v>206</v>
      </c>
      <c r="E270" t="s">
        <v>70</v>
      </c>
      <c r="F270" s="4">
        <v>46156</v>
      </c>
      <c r="G270" s="4">
        <v>46160</v>
      </c>
      <c r="H270" t="s">
        <v>201</v>
      </c>
      <c r="I270" t="s">
        <v>449</v>
      </c>
      <c r="J270" t="s">
        <v>295</v>
      </c>
      <c r="K270" t="s">
        <v>73</v>
      </c>
      <c r="L270" t="s">
        <v>74</v>
      </c>
      <c r="M270" s="5">
        <v>33600</v>
      </c>
      <c r="N270" s="5">
        <v>4300</v>
      </c>
      <c r="O270" s="5">
        <v>5600</v>
      </c>
      <c r="P270" s="5">
        <v>18000</v>
      </c>
      <c r="Q270" s="13">
        <v>62300</v>
      </c>
      <c r="R270" t="s">
        <v>75</v>
      </c>
      <c r="S270" t="s">
        <v>76</v>
      </c>
      <c r="T270" s="5">
        <v>28330</v>
      </c>
      <c r="U270" s="6">
        <v>4</v>
      </c>
      <c r="V270" t="s">
        <v>77</v>
      </c>
      <c r="W270" s="4">
        <v>46174</v>
      </c>
      <c r="X270" t="s">
        <v>77</v>
      </c>
      <c r="Y270" t="s">
        <v>77</v>
      </c>
      <c r="Z270" t="s">
        <v>96</v>
      </c>
      <c r="AA270" t="str">
        <f>VLOOKUP(H270,Departments!$A:$B,2,0)</f>
        <v>Emergency</v>
      </c>
      <c r="AB270" t="str">
        <f>VLOOKUP(J270,Diagnosis_Guide!$A:$B,2,0)</f>
        <v>Accident Injury</v>
      </c>
      <c r="AC270" s="4" t="str">
        <f>VLOOKUP(J270,Diagnosis_Guide!$A:$C,3,0)</f>
        <v>Emergency</v>
      </c>
      <c r="AD270" s="4" t="str">
        <f>VLOOKUP(R270,Insurance_Plans!$A:$C,3,0)</f>
        <v>Public</v>
      </c>
      <c r="AE270" s="13">
        <f t="shared" si="12"/>
        <v>3115</v>
      </c>
      <c r="AF270" s="13">
        <f t="shared" si="13"/>
        <v>65415</v>
      </c>
      <c r="AG270" s="4" t="str">
        <f t="shared" si="14"/>
        <v>High</v>
      </c>
    </row>
    <row r="271" spans="1:33">
      <c r="A271" t="s">
        <v>724</v>
      </c>
      <c r="B271" t="s">
        <v>725</v>
      </c>
      <c r="C271" s="11">
        <v>46127</v>
      </c>
      <c r="D271" t="s">
        <v>144</v>
      </c>
      <c r="E271" t="s">
        <v>70</v>
      </c>
      <c r="F271" s="4">
        <v>46127</v>
      </c>
      <c r="G271" s="4">
        <v>46128</v>
      </c>
      <c r="H271" t="s">
        <v>201</v>
      </c>
      <c r="I271" t="s">
        <v>327</v>
      </c>
      <c r="J271" t="s">
        <v>281</v>
      </c>
      <c r="K271" t="s">
        <v>124</v>
      </c>
      <c r="L271" t="s">
        <v>74</v>
      </c>
      <c r="M271" s="5">
        <v>6000</v>
      </c>
      <c r="N271" s="5">
        <v>800</v>
      </c>
      <c r="O271" s="5">
        <v>900</v>
      </c>
      <c r="P271" s="5">
        <v>6000</v>
      </c>
      <c r="Q271" s="13">
        <v>14700</v>
      </c>
      <c r="R271" t="s">
        <v>141</v>
      </c>
      <c r="S271" t="s">
        <v>76</v>
      </c>
      <c r="T271" s="5">
        <v>3410</v>
      </c>
      <c r="U271" s="6">
        <v>3</v>
      </c>
      <c r="V271" t="s">
        <v>77</v>
      </c>
      <c r="W271" s="4">
        <v>46147</v>
      </c>
      <c r="X271" t="s">
        <v>64</v>
      </c>
      <c r="Y271" t="s">
        <v>64</v>
      </c>
      <c r="Z271" t="s">
        <v>78</v>
      </c>
      <c r="AA271" t="str">
        <f>VLOOKUP(H271,Departments!$A:$B,2,0)</f>
        <v>Emergency</v>
      </c>
      <c r="AB271" t="str">
        <f>VLOOKUP(J271,Diagnosis_Guide!$A:$B,2,0)</f>
        <v>Food Poisoning</v>
      </c>
      <c r="AC271" s="4" t="str">
        <f>VLOOKUP(J271,Diagnosis_Guide!$A:$C,3,0)</f>
        <v>Emergency</v>
      </c>
      <c r="AD271" s="4" t="str">
        <f>VLOOKUP(R271,Insurance_Plans!$A:$C,3,0)</f>
        <v>Private</v>
      </c>
      <c r="AE271" s="13">
        <f t="shared" si="12"/>
        <v>735</v>
      </c>
      <c r="AF271" s="13">
        <f t="shared" si="13"/>
        <v>15435</v>
      </c>
      <c r="AG271" s="4" t="str">
        <f t="shared" si="14"/>
        <v>Medium</v>
      </c>
    </row>
    <row r="272" spans="1:33">
      <c r="A272" t="s">
        <v>726</v>
      </c>
      <c r="B272" t="s">
        <v>727</v>
      </c>
      <c r="C272" s="11">
        <v>46110</v>
      </c>
      <c r="D272" t="s">
        <v>469</v>
      </c>
      <c r="E272" t="s">
        <v>70</v>
      </c>
      <c r="F272" s="4">
        <v>46110</v>
      </c>
      <c r="G272" s="4">
        <v>46110</v>
      </c>
      <c r="H272" t="s">
        <v>90</v>
      </c>
      <c r="I272" t="s">
        <v>128</v>
      </c>
      <c r="J272" t="s">
        <v>129</v>
      </c>
      <c r="K272" t="s">
        <v>60</v>
      </c>
      <c r="L272" t="s">
        <v>61</v>
      </c>
      <c r="M272" s="5">
        <v>36600</v>
      </c>
      <c r="N272" s="5">
        <v>5150</v>
      </c>
      <c r="O272" s="5">
        <v>6800</v>
      </c>
      <c r="P272" s="5">
        <v>0</v>
      </c>
      <c r="Q272" s="13">
        <v>50550</v>
      </c>
      <c r="R272" t="s">
        <v>75</v>
      </c>
      <c r="S272" t="s">
        <v>76</v>
      </c>
      <c r="T272" s="5">
        <v>23050</v>
      </c>
      <c r="U272" s="6">
        <v>5</v>
      </c>
      <c r="V272" t="s">
        <v>77</v>
      </c>
      <c r="W272" s="4">
        <v>46129</v>
      </c>
      <c r="X272" t="s">
        <v>77</v>
      </c>
      <c r="Y272" t="s">
        <v>64</v>
      </c>
      <c r="Z272" t="s">
        <v>78</v>
      </c>
      <c r="AA272" t="str">
        <f>VLOOKUP(H272,Departments!$A:$B,2,0)</f>
        <v>Cardiology</v>
      </c>
      <c r="AB272" t="str">
        <f>VLOOKUP(J272,Diagnosis_Guide!$A:$B,2,0)</f>
        <v>Hypertension Crisis</v>
      </c>
      <c r="AC272" s="4" t="str">
        <f>VLOOKUP(J272,Diagnosis_Guide!$A:$C,3,0)</f>
        <v>Cardiovascular</v>
      </c>
      <c r="AD272" s="4" t="str">
        <f>VLOOKUP(R272,Insurance_Plans!$A:$C,3,0)</f>
        <v>Public</v>
      </c>
      <c r="AE272" s="13">
        <f t="shared" si="12"/>
        <v>2527.5</v>
      </c>
      <c r="AF272" s="13">
        <f t="shared" si="13"/>
        <v>53077.5</v>
      </c>
      <c r="AG272" s="4" t="str">
        <f t="shared" si="14"/>
        <v>High</v>
      </c>
    </row>
    <row r="273" spans="1:33">
      <c r="A273" t="s">
        <v>728</v>
      </c>
      <c r="B273" t="s">
        <v>288</v>
      </c>
      <c r="C273" s="11">
        <v>46143</v>
      </c>
      <c r="D273" t="s">
        <v>200</v>
      </c>
      <c r="E273" t="s">
        <v>70</v>
      </c>
      <c r="F273" s="4">
        <v>46143</v>
      </c>
      <c r="G273" s="4">
        <v>46143</v>
      </c>
      <c r="H273" t="s">
        <v>82</v>
      </c>
      <c r="I273" t="s">
        <v>331</v>
      </c>
      <c r="J273" t="s">
        <v>84</v>
      </c>
      <c r="K273" t="s">
        <v>60</v>
      </c>
      <c r="L273" t="s">
        <v>74</v>
      </c>
      <c r="M273" s="5">
        <v>6900</v>
      </c>
      <c r="N273" s="5">
        <v>800</v>
      </c>
      <c r="O273" s="5">
        <v>1100</v>
      </c>
      <c r="P273" s="5">
        <v>0</v>
      </c>
      <c r="Q273" s="13">
        <v>10300</v>
      </c>
      <c r="R273" t="s">
        <v>95</v>
      </c>
      <c r="S273" t="s">
        <v>63</v>
      </c>
      <c r="T273" s="5">
        <v>10300</v>
      </c>
      <c r="U273" s="6">
        <v>5</v>
      </c>
      <c r="V273" t="s">
        <v>64</v>
      </c>
      <c r="W273" s="4"/>
      <c r="X273" t="s">
        <v>65</v>
      </c>
      <c r="Y273" t="s">
        <v>64</v>
      </c>
      <c r="Z273" t="s">
        <v>96</v>
      </c>
      <c r="AA273" t="str">
        <f>VLOOKUP(H273,Departments!$A:$B,2,0)</f>
        <v>Orthopedics</v>
      </c>
      <c r="AB273" t="str">
        <f>VLOOKUP(J273,Diagnosis_Guide!$A:$B,2,0)</f>
        <v>Joint Pain</v>
      </c>
      <c r="AC273" s="4" t="str">
        <f>VLOOKUP(J273,Diagnosis_Guide!$A:$C,3,0)</f>
        <v>Musculoskeletal</v>
      </c>
      <c r="AD273" s="4" t="str">
        <f>VLOOKUP(R273,Insurance_Plans!$A:$C,3,0)</f>
        <v>Self-Pay</v>
      </c>
      <c r="AE273" s="13">
        <f t="shared" si="12"/>
        <v>515</v>
      </c>
      <c r="AF273" s="13">
        <f t="shared" si="13"/>
        <v>10815</v>
      </c>
      <c r="AG273" s="4" t="str">
        <f t="shared" si="14"/>
        <v>High</v>
      </c>
    </row>
    <row r="274" spans="1:33">
      <c r="A274" t="s">
        <v>729</v>
      </c>
      <c r="B274" t="s">
        <v>721</v>
      </c>
      <c r="C274" s="11">
        <v>46088</v>
      </c>
      <c r="D274" t="s">
        <v>200</v>
      </c>
      <c r="E274" t="s">
        <v>70</v>
      </c>
      <c r="F274" s="4">
        <v>46088</v>
      </c>
      <c r="G274" s="4">
        <v>46092</v>
      </c>
      <c r="H274" t="s">
        <v>90</v>
      </c>
      <c r="I274" t="s">
        <v>299</v>
      </c>
      <c r="J274" t="s">
        <v>129</v>
      </c>
      <c r="K274" t="s">
        <v>73</v>
      </c>
      <c r="L274" t="s">
        <v>74</v>
      </c>
      <c r="M274" s="5">
        <v>36100</v>
      </c>
      <c r="N274" s="5">
        <v>3150</v>
      </c>
      <c r="O274" s="5">
        <v>4500</v>
      </c>
      <c r="P274" s="5">
        <v>18000</v>
      </c>
      <c r="Q274" s="13">
        <v>63250</v>
      </c>
      <c r="R274" t="s">
        <v>62</v>
      </c>
      <c r="S274" t="s">
        <v>76</v>
      </c>
      <c r="T274" s="5">
        <v>19380</v>
      </c>
      <c r="U274" s="6">
        <v>4</v>
      </c>
      <c r="V274" t="s">
        <v>64</v>
      </c>
      <c r="W274" s="4"/>
      <c r="X274" t="s">
        <v>65</v>
      </c>
      <c r="Y274" t="s">
        <v>64</v>
      </c>
      <c r="Z274" t="s">
        <v>107</v>
      </c>
      <c r="AA274" t="str">
        <f>VLOOKUP(H274,Departments!$A:$B,2,0)</f>
        <v>Cardiology</v>
      </c>
      <c r="AB274" t="str">
        <f>VLOOKUP(J274,Diagnosis_Guide!$A:$B,2,0)</f>
        <v>Hypertension Crisis</v>
      </c>
      <c r="AC274" s="4" t="str">
        <f>VLOOKUP(J274,Diagnosis_Guide!$A:$C,3,0)</f>
        <v>Cardiovascular</v>
      </c>
      <c r="AD274" s="4" t="str">
        <f>VLOOKUP(R274,Insurance_Plans!$A:$C,3,0)</f>
        <v>Public</v>
      </c>
      <c r="AE274" s="13">
        <f t="shared" si="12"/>
        <v>3162.5</v>
      </c>
      <c r="AF274" s="13">
        <f t="shared" si="13"/>
        <v>66412.5</v>
      </c>
      <c r="AG274" s="4" t="str">
        <f t="shared" si="14"/>
        <v>High</v>
      </c>
    </row>
    <row r="275" spans="1:33">
      <c r="A275" t="s">
        <v>730</v>
      </c>
      <c r="B275" t="s">
        <v>434</v>
      </c>
      <c r="C275" s="11">
        <v>46110</v>
      </c>
      <c r="D275" t="s">
        <v>200</v>
      </c>
      <c r="E275" t="s">
        <v>70</v>
      </c>
      <c r="F275" s="4">
        <v>46110</v>
      </c>
      <c r="G275" s="4">
        <v>46110</v>
      </c>
      <c r="H275" t="s">
        <v>90</v>
      </c>
      <c r="I275" t="s">
        <v>388</v>
      </c>
      <c r="J275" t="s">
        <v>92</v>
      </c>
      <c r="K275" t="s">
        <v>60</v>
      </c>
      <c r="L275" t="s">
        <v>74</v>
      </c>
      <c r="M275" s="5">
        <v>41300</v>
      </c>
      <c r="N275" s="5">
        <v>3950</v>
      </c>
      <c r="O275" s="5">
        <v>6000</v>
      </c>
      <c r="P275" s="5">
        <v>0</v>
      </c>
      <c r="Q275" s="13">
        <v>52750</v>
      </c>
      <c r="R275" t="s">
        <v>75</v>
      </c>
      <c r="S275" t="s">
        <v>76</v>
      </c>
      <c r="T275" s="5">
        <v>24040</v>
      </c>
      <c r="U275" s="6">
        <v>5</v>
      </c>
      <c r="V275" t="s">
        <v>77</v>
      </c>
      <c r="W275" s="4">
        <v>46126</v>
      </c>
      <c r="X275" t="s">
        <v>77</v>
      </c>
      <c r="Y275" t="s">
        <v>64</v>
      </c>
      <c r="Z275" t="s">
        <v>96</v>
      </c>
      <c r="AA275" t="str">
        <f>VLOOKUP(H275,Departments!$A:$B,2,0)</f>
        <v>Cardiology</v>
      </c>
      <c r="AB275" t="str">
        <f>VLOOKUP(J275,Diagnosis_Guide!$A:$B,2,0)</f>
        <v>Heart Failure</v>
      </c>
      <c r="AC275" s="4" t="str">
        <f>VLOOKUP(J275,Diagnosis_Guide!$A:$C,3,0)</f>
        <v>Cardiovascular</v>
      </c>
      <c r="AD275" s="4" t="str">
        <f>VLOOKUP(R275,Insurance_Plans!$A:$C,3,0)</f>
        <v>Public</v>
      </c>
      <c r="AE275" s="13">
        <f t="shared" si="12"/>
        <v>2637.5</v>
      </c>
      <c r="AF275" s="13">
        <f t="shared" si="13"/>
        <v>55387.5</v>
      </c>
      <c r="AG275" s="4" t="str">
        <f t="shared" si="14"/>
        <v>High</v>
      </c>
    </row>
    <row r="276" spans="1:33">
      <c r="A276" t="s">
        <v>731</v>
      </c>
      <c r="B276" t="s">
        <v>719</v>
      </c>
      <c r="C276" s="11">
        <v>46137</v>
      </c>
      <c r="D276" t="s">
        <v>127</v>
      </c>
      <c r="E276" t="s">
        <v>70</v>
      </c>
      <c r="F276" s="4">
        <v>46137</v>
      </c>
      <c r="G276" s="4">
        <v>46138</v>
      </c>
      <c r="H276" t="s">
        <v>201</v>
      </c>
      <c r="I276" t="s">
        <v>327</v>
      </c>
      <c r="J276" t="s">
        <v>281</v>
      </c>
      <c r="K276" t="s">
        <v>124</v>
      </c>
      <c r="L276" t="s">
        <v>61</v>
      </c>
      <c r="M276" s="5">
        <v>5800</v>
      </c>
      <c r="N276" s="5">
        <v>550</v>
      </c>
      <c r="O276" s="5">
        <v>950</v>
      </c>
      <c r="P276" s="5">
        <v>4500</v>
      </c>
      <c r="Q276" s="13">
        <v>12800</v>
      </c>
      <c r="R276" t="s">
        <v>95</v>
      </c>
      <c r="S276" t="s">
        <v>63</v>
      </c>
      <c r="T276" s="5">
        <v>12800</v>
      </c>
      <c r="U276" s="6">
        <v>4</v>
      </c>
      <c r="V276" t="s">
        <v>64</v>
      </c>
      <c r="W276" s="4"/>
      <c r="X276" t="s">
        <v>65</v>
      </c>
      <c r="Y276" t="s">
        <v>64</v>
      </c>
      <c r="Z276" t="s">
        <v>78</v>
      </c>
      <c r="AA276" t="str">
        <f>VLOOKUP(H276,Departments!$A:$B,2,0)</f>
        <v>Emergency</v>
      </c>
      <c r="AB276" t="str">
        <f>VLOOKUP(J276,Diagnosis_Guide!$A:$B,2,0)</f>
        <v>Food Poisoning</v>
      </c>
      <c r="AC276" s="4" t="str">
        <f>VLOOKUP(J276,Diagnosis_Guide!$A:$C,3,0)</f>
        <v>Emergency</v>
      </c>
      <c r="AD276" s="4" t="str">
        <f>VLOOKUP(R276,Insurance_Plans!$A:$C,3,0)</f>
        <v>Self-Pay</v>
      </c>
      <c r="AE276" s="13">
        <f t="shared" si="12"/>
        <v>640</v>
      </c>
      <c r="AF276" s="13">
        <f t="shared" si="13"/>
        <v>13440</v>
      </c>
      <c r="AG276" s="4" t="str">
        <f t="shared" si="14"/>
        <v>High</v>
      </c>
    </row>
    <row r="277" spans="1:33">
      <c r="A277" t="s">
        <v>732</v>
      </c>
      <c r="B277" t="s">
        <v>131</v>
      </c>
      <c r="C277" s="11">
        <v>46160</v>
      </c>
      <c r="D277" t="s">
        <v>383</v>
      </c>
      <c r="E277" t="s">
        <v>70</v>
      </c>
      <c r="F277" s="4">
        <v>46160</v>
      </c>
      <c r="G277" s="4">
        <v>46168</v>
      </c>
      <c r="H277" t="s">
        <v>150</v>
      </c>
      <c r="I277" t="s">
        <v>187</v>
      </c>
      <c r="J277" t="s">
        <v>188</v>
      </c>
      <c r="K277" t="s">
        <v>73</v>
      </c>
      <c r="L277" t="s">
        <v>94</v>
      </c>
      <c r="M277" s="5">
        <v>95900</v>
      </c>
      <c r="N277" s="5">
        <v>12750</v>
      </c>
      <c r="O277" s="5">
        <v>21100</v>
      </c>
      <c r="P277" s="5">
        <v>20000</v>
      </c>
      <c r="Q277" s="13">
        <v>152250</v>
      </c>
      <c r="R277" t="s">
        <v>85</v>
      </c>
      <c r="S277" t="s">
        <v>76</v>
      </c>
      <c r="T277" s="5">
        <v>38960</v>
      </c>
      <c r="U277" s="6">
        <v>2</v>
      </c>
      <c r="V277" t="s">
        <v>77</v>
      </c>
      <c r="W277" s="4">
        <v>46178</v>
      </c>
      <c r="X277" t="s">
        <v>64</v>
      </c>
      <c r="Y277" t="s">
        <v>64</v>
      </c>
      <c r="Z277" t="s">
        <v>78</v>
      </c>
      <c r="AA277" t="str">
        <f>VLOOKUP(H277,Departments!$A:$B,2,0)</f>
        <v>Obstetrics</v>
      </c>
      <c r="AB277" t="str">
        <f>VLOOKUP(J277,Diagnosis_Guide!$A:$B,2,0)</f>
        <v>Emergency C-Section</v>
      </c>
      <c r="AC277" s="4" t="str">
        <f>VLOOKUP(J277,Diagnosis_Guide!$A:$C,3,0)</f>
        <v>Maternal Health</v>
      </c>
      <c r="AD277" s="4" t="str">
        <f>VLOOKUP(R277,Insurance_Plans!$A:$C,3,0)</f>
        <v>Employer</v>
      </c>
      <c r="AE277" s="13">
        <f t="shared" si="12"/>
        <v>7612.5</v>
      </c>
      <c r="AF277" s="13">
        <f t="shared" si="13"/>
        <v>159862.5</v>
      </c>
      <c r="AG277" s="4" t="str">
        <f t="shared" si="14"/>
        <v>Low</v>
      </c>
    </row>
    <row r="278" spans="1:33">
      <c r="A278" t="s">
        <v>733</v>
      </c>
      <c r="B278" t="s">
        <v>734</v>
      </c>
      <c r="C278" s="11">
        <v>46170</v>
      </c>
      <c r="D278" t="s">
        <v>89</v>
      </c>
      <c r="E278" t="s">
        <v>70</v>
      </c>
      <c r="F278" s="4">
        <v>46171</v>
      </c>
      <c r="G278" s="4">
        <v>46178</v>
      </c>
      <c r="H278" t="s">
        <v>90</v>
      </c>
      <c r="I278" t="s">
        <v>299</v>
      </c>
      <c r="J278" t="s">
        <v>129</v>
      </c>
      <c r="K278" t="s">
        <v>124</v>
      </c>
      <c r="L278" t="s">
        <v>94</v>
      </c>
      <c r="M278" s="5">
        <v>42000</v>
      </c>
      <c r="N278" s="5">
        <v>3450</v>
      </c>
      <c r="O278" s="5">
        <v>5600</v>
      </c>
      <c r="P278" s="5">
        <v>31500</v>
      </c>
      <c r="Q278" s="13">
        <v>84050</v>
      </c>
      <c r="R278" t="s">
        <v>75</v>
      </c>
      <c r="S278" t="s">
        <v>86</v>
      </c>
      <c r="T278" s="5">
        <v>38120</v>
      </c>
      <c r="U278" s="6">
        <v>3</v>
      </c>
      <c r="V278" t="s">
        <v>77</v>
      </c>
      <c r="W278" s="4">
        <v>46197</v>
      </c>
      <c r="X278" t="s">
        <v>77</v>
      </c>
      <c r="Y278" t="s">
        <v>64</v>
      </c>
      <c r="Z278" t="s">
        <v>78</v>
      </c>
      <c r="AA278" t="str">
        <f>VLOOKUP(H278,Departments!$A:$B,2,0)</f>
        <v>Cardiology</v>
      </c>
      <c r="AB278" t="str">
        <f>VLOOKUP(J278,Diagnosis_Guide!$A:$B,2,0)</f>
        <v>Hypertension Crisis</v>
      </c>
      <c r="AC278" s="4" t="str">
        <f>VLOOKUP(J278,Diagnosis_Guide!$A:$C,3,0)</f>
        <v>Cardiovascular</v>
      </c>
      <c r="AD278" s="4" t="str">
        <f>VLOOKUP(R278,Insurance_Plans!$A:$C,3,0)</f>
        <v>Public</v>
      </c>
      <c r="AE278" s="13">
        <f t="shared" si="12"/>
        <v>4202.5</v>
      </c>
      <c r="AF278" s="13">
        <f t="shared" si="13"/>
        <v>88252.5</v>
      </c>
      <c r="AG278" s="4" t="str">
        <f t="shared" si="14"/>
        <v>Medium</v>
      </c>
    </row>
    <row r="279" spans="1:33">
      <c r="A279" t="s">
        <v>735</v>
      </c>
      <c r="B279" t="s">
        <v>736</v>
      </c>
      <c r="C279" s="11">
        <v>46075</v>
      </c>
      <c r="D279" t="s">
        <v>161</v>
      </c>
      <c r="E279" t="s">
        <v>70</v>
      </c>
      <c r="F279" s="4">
        <v>46075</v>
      </c>
      <c r="G279" s="4">
        <v>46080</v>
      </c>
      <c r="H279" t="s">
        <v>121</v>
      </c>
      <c r="I279" t="s">
        <v>334</v>
      </c>
      <c r="J279" t="s">
        <v>252</v>
      </c>
      <c r="K279" t="s">
        <v>73</v>
      </c>
      <c r="L279" t="s">
        <v>146</v>
      </c>
      <c r="M279" s="5">
        <v>72200</v>
      </c>
      <c r="N279" s="5">
        <v>12650</v>
      </c>
      <c r="O279" s="5">
        <v>10750</v>
      </c>
      <c r="P279" s="5">
        <v>17500</v>
      </c>
      <c r="Q279" s="13">
        <v>114100</v>
      </c>
      <c r="R279" t="s">
        <v>62</v>
      </c>
      <c r="S279" t="s">
        <v>76</v>
      </c>
      <c r="T279" s="5">
        <v>34630</v>
      </c>
      <c r="U279" s="6">
        <v>4</v>
      </c>
      <c r="V279" t="s">
        <v>77</v>
      </c>
      <c r="W279" s="4">
        <v>46089</v>
      </c>
      <c r="X279" t="s">
        <v>77</v>
      </c>
      <c r="Y279" t="s">
        <v>64</v>
      </c>
      <c r="Z279" t="s">
        <v>96</v>
      </c>
      <c r="AA279" t="str">
        <f>VLOOKUP(H279,Departments!$A:$B,2,0)</f>
        <v>Neurology</v>
      </c>
      <c r="AB279" t="str">
        <f>VLOOKUP(J279,Diagnosis_Guide!$A:$B,2,0)</f>
        <v>Stroke Assessment</v>
      </c>
      <c r="AC279" s="4" t="str">
        <f>VLOOKUP(J279,Diagnosis_Guide!$A:$C,3,0)</f>
        <v>Neurological</v>
      </c>
      <c r="AD279" s="4" t="str">
        <f>VLOOKUP(R279,Insurance_Plans!$A:$C,3,0)</f>
        <v>Public</v>
      </c>
      <c r="AE279" s="13">
        <f t="shared" si="12"/>
        <v>5705</v>
      </c>
      <c r="AF279" s="13">
        <f t="shared" si="13"/>
        <v>119805</v>
      </c>
      <c r="AG279" s="4" t="str">
        <f t="shared" si="14"/>
        <v>High</v>
      </c>
    </row>
    <row r="280" spans="1:33">
      <c r="A280" t="s">
        <v>737</v>
      </c>
      <c r="B280" t="s">
        <v>434</v>
      </c>
      <c r="C280" s="11">
        <v>46076</v>
      </c>
      <c r="D280" t="s">
        <v>439</v>
      </c>
      <c r="E280" t="s">
        <v>70</v>
      </c>
      <c r="F280" s="4">
        <v>46077</v>
      </c>
      <c r="G280" s="4">
        <v>46078</v>
      </c>
      <c r="H280" t="s">
        <v>90</v>
      </c>
      <c r="I280" t="s">
        <v>299</v>
      </c>
      <c r="J280" t="s">
        <v>197</v>
      </c>
      <c r="K280" t="s">
        <v>60</v>
      </c>
      <c r="L280" t="s">
        <v>61</v>
      </c>
      <c r="M280" s="5">
        <v>18000</v>
      </c>
      <c r="N280" s="5">
        <v>2500</v>
      </c>
      <c r="O280" s="5">
        <v>3200</v>
      </c>
      <c r="P280" s="5">
        <v>3000</v>
      </c>
      <c r="Q280" s="13">
        <v>28200</v>
      </c>
      <c r="R280" t="s">
        <v>95</v>
      </c>
      <c r="S280" t="s">
        <v>63</v>
      </c>
      <c r="T280" s="5">
        <v>28200</v>
      </c>
      <c r="U280" s="6">
        <v>4</v>
      </c>
      <c r="V280" t="s">
        <v>77</v>
      </c>
      <c r="W280" s="4">
        <v>46092</v>
      </c>
      <c r="X280" t="s">
        <v>64</v>
      </c>
      <c r="Y280" t="s">
        <v>64</v>
      </c>
      <c r="Z280" t="s">
        <v>96</v>
      </c>
      <c r="AA280" t="str">
        <f>VLOOKUP(H280,Departments!$A:$B,2,0)</f>
        <v>Cardiology</v>
      </c>
      <c r="AB280" t="str">
        <f>VLOOKUP(J280,Diagnosis_Guide!$A:$B,2,0)</f>
        <v>Chest Pain</v>
      </c>
      <c r="AC280" s="4" t="str">
        <f>VLOOKUP(J280,Diagnosis_Guide!$A:$C,3,0)</f>
        <v>Cardiovascular</v>
      </c>
      <c r="AD280" s="4" t="str">
        <f>VLOOKUP(R280,Insurance_Plans!$A:$C,3,0)</f>
        <v>Self-Pay</v>
      </c>
      <c r="AE280" s="13">
        <f t="shared" si="12"/>
        <v>1410</v>
      </c>
      <c r="AF280" s="13">
        <f t="shared" si="13"/>
        <v>29610</v>
      </c>
      <c r="AG280" s="4" t="str">
        <f t="shared" si="14"/>
        <v>High</v>
      </c>
    </row>
    <row r="281" spans="1:33">
      <c r="A281" t="s">
        <v>738</v>
      </c>
      <c r="B281" t="s">
        <v>394</v>
      </c>
      <c r="C281" s="11">
        <v>46027</v>
      </c>
      <c r="D281" t="s">
        <v>234</v>
      </c>
      <c r="E281" t="s">
        <v>314</v>
      </c>
      <c r="F281" s="4"/>
      <c r="G281" s="4"/>
      <c r="H281" t="s">
        <v>121</v>
      </c>
      <c r="I281" t="s">
        <v>174</v>
      </c>
      <c r="J281" t="s">
        <v>256</v>
      </c>
      <c r="K281" t="s">
        <v>124</v>
      </c>
      <c r="L281" t="s">
        <v>74</v>
      </c>
      <c r="M281" s="5"/>
      <c r="N281" s="5"/>
      <c r="O281" s="5"/>
      <c r="P281" s="5"/>
      <c r="R281" t="s">
        <v>141</v>
      </c>
      <c r="S281" t="s">
        <v>63</v>
      </c>
      <c r="T281" s="5"/>
      <c r="U281" s="6"/>
      <c r="V281" t="s">
        <v>64</v>
      </c>
      <c r="W281" s="4"/>
      <c r="X281" t="s">
        <v>65</v>
      </c>
      <c r="Z281" t="s">
        <v>66</v>
      </c>
      <c r="AA281" t="str">
        <f>VLOOKUP(H281,Departments!$A:$B,2,0)</f>
        <v>Neurology</v>
      </c>
      <c r="AB281" t="str">
        <f>VLOOKUP(J281,Diagnosis_Guide!$A:$B,2,0)</f>
        <v>Migraine Complication</v>
      </c>
      <c r="AC281" s="4" t="str">
        <f>VLOOKUP(J281,Diagnosis_Guide!$A:$C,3,0)</f>
        <v>Neurological</v>
      </c>
      <c r="AD281" s="4" t="str">
        <f>VLOOKUP(R281,Insurance_Plans!$A:$C,3,0)</f>
        <v>Private</v>
      </c>
      <c r="AE281" s="13" t="str">
        <f t="shared" si="12"/>
        <v/>
      </c>
      <c r="AF281" s="13" t="str">
        <f t="shared" si="13"/>
        <v/>
      </c>
      <c r="AG281" s="4" t="str">
        <f t="shared" si="14"/>
        <v>Not Available</v>
      </c>
    </row>
    <row r="282" spans="1:33">
      <c r="A282" t="s">
        <v>739</v>
      </c>
      <c r="B282" t="s">
        <v>740</v>
      </c>
      <c r="C282" s="11">
        <v>46099</v>
      </c>
      <c r="D282" t="s">
        <v>69</v>
      </c>
      <c r="E282" t="s">
        <v>70</v>
      </c>
      <c r="F282" s="4">
        <v>46099</v>
      </c>
      <c r="G282" s="4">
        <v>46100</v>
      </c>
      <c r="H282" t="s">
        <v>178</v>
      </c>
      <c r="I282" t="s">
        <v>415</v>
      </c>
      <c r="J282" t="s">
        <v>340</v>
      </c>
      <c r="K282" t="s">
        <v>60</v>
      </c>
      <c r="L282" t="s">
        <v>61</v>
      </c>
      <c r="M282" s="5">
        <v>62600</v>
      </c>
      <c r="N282" s="5">
        <v>10300</v>
      </c>
      <c r="O282" s="5">
        <v>7950</v>
      </c>
      <c r="P282" s="5">
        <v>2500</v>
      </c>
      <c r="Q282" s="13">
        <v>84150</v>
      </c>
      <c r="R282" t="s">
        <v>75</v>
      </c>
      <c r="S282" t="s">
        <v>76</v>
      </c>
      <c r="T282" s="5">
        <v>38170</v>
      </c>
      <c r="U282" s="6">
        <v>5</v>
      </c>
      <c r="V282" t="s">
        <v>77</v>
      </c>
      <c r="W282" s="4">
        <v>46119</v>
      </c>
      <c r="X282" t="s">
        <v>77</v>
      </c>
      <c r="Y282" t="s">
        <v>64</v>
      </c>
      <c r="Z282" t="s">
        <v>78</v>
      </c>
      <c r="AA282" t="str">
        <f>VLOOKUP(H282,Departments!$A:$B,2,0)</f>
        <v>Surgery</v>
      </c>
      <c r="AB282" t="str">
        <f>VLOOKUP(J282,Diagnosis_Guide!$A:$B,2,0)</f>
        <v>Post-Operative Infection</v>
      </c>
      <c r="AC282" s="4" t="str">
        <f>VLOOKUP(J282,Diagnosis_Guide!$A:$C,3,0)</f>
        <v>Surgical</v>
      </c>
      <c r="AD282" s="4" t="str">
        <f>VLOOKUP(R282,Insurance_Plans!$A:$C,3,0)</f>
        <v>Public</v>
      </c>
      <c r="AE282" s="13">
        <f t="shared" si="12"/>
        <v>4207.5</v>
      </c>
      <c r="AF282" s="13">
        <f t="shared" si="13"/>
        <v>88357.5</v>
      </c>
      <c r="AG282" s="4" t="str">
        <f t="shared" si="14"/>
        <v>High</v>
      </c>
    </row>
    <row r="283" spans="1:33">
      <c r="A283" t="s">
        <v>741</v>
      </c>
      <c r="B283" t="s">
        <v>690</v>
      </c>
      <c r="C283" s="11">
        <v>46061</v>
      </c>
      <c r="D283" t="s">
        <v>259</v>
      </c>
      <c r="E283" t="s">
        <v>338</v>
      </c>
      <c r="F283" s="4"/>
      <c r="G283" s="4"/>
      <c r="H283" t="s">
        <v>111</v>
      </c>
      <c r="I283" t="s">
        <v>397</v>
      </c>
      <c r="J283" t="s">
        <v>113</v>
      </c>
      <c r="K283" t="s">
        <v>60</v>
      </c>
      <c r="L283" t="s">
        <v>74</v>
      </c>
      <c r="M283" s="5"/>
      <c r="N283" s="5"/>
      <c r="O283" s="5"/>
      <c r="P283" s="5"/>
      <c r="R283" t="s">
        <v>141</v>
      </c>
      <c r="S283" t="s">
        <v>63</v>
      </c>
      <c r="T283" s="5"/>
      <c r="U283" s="6"/>
      <c r="V283" t="s">
        <v>64</v>
      </c>
      <c r="W283" s="4"/>
      <c r="X283" t="s">
        <v>65</v>
      </c>
      <c r="Z283" t="s">
        <v>66</v>
      </c>
      <c r="AA283" t="str">
        <f>VLOOKUP(H283,Departments!$A:$B,2,0)</f>
        <v>General Medicine</v>
      </c>
      <c r="AB283" t="str">
        <f>VLOOKUP(J283,Diagnosis_Guide!$A:$B,2,0)</f>
        <v>Diabetes Complication</v>
      </c>
      <c r="AC283" s="4" t="str">
        <f>VLOOKUP(J283,Diagnosis_Guide!$A:$C,3,0)</f>
        <v>Endocrine/General</v>
      </c>
      <c r="AD283" s="4" t="str">
        <f>VLOOKUP(R283,Insurance_Plans!$A:$C,3,0)</f>
        <v>Private</v>
      </c>
      <c r="AE283" s="13" t="str">
        <f t="shared" si="12"/>
        <v/>
      </c>
      <c r="AF283" s="13" t="str">
        <f t="shared" si="13"/>
        <v/>
      </c>
      <c r="AG283" s="4" t="str">
        <f t="shared" si="14"/>
        <v>Not Available</v>
      </c>
    </row>
    <row r="284" spans="1:33">
      <c r="A284" t="s">
        <v>742</v>
      </c>
      <c r="B284" t="s">
        <v>743</v>
      </c>
      <c r="C284" s="11">
        <v>46105</v>
      </c>
      <c r="D284" t="s">
        <v>225</v>
      </c>
      <c r="E284" t="s">
        <v>70</v>
      </c>
      <c r="F284" s="4">
        <v>46105</v>
      </c>
      <c r="G284" s="4">
        <v>46110</v>
      </c>
      <c r="H284" t="s">
        <v>103</v>
      </c>
      <c r="I284" t="s">
        <v>364</v>
      </c>
      <c r="J284" t="s">
        <v>105</v>
      </c>
      <c r="K284" t="s">
        <v>124</v>
      </c>
      <c r="L284" t="s">
        <v>61</v>
      </c>
      <c r="M284" s="5">
        <v>52800</v>
      </c>
      <c r="N284" s="5">
        <v>7000</v>
      </c>
      <c r="O284" s="5">
        <v>6550</v>
      </c>
      <c r="P284" s="5">
        <v>12500</v>
      </c>
      <c r="Q284" s="13">
        <v>79650</v>
      </c>
      <c r="R284" t="s">
        <v>106</v>
      </c>
      <c r="S284" t="s">
        <v>76</v>
      </c>
      <c r="T284" s="5">
        <v>28580</v>
      </c>
      <c r="U284" s="6">
        <v>4</v>
      </c>
      <c r="V284" t="s">
        <v>77</v>
      </c>
      <c r="W284" s="4">
        <v>46118</v>
      </c>
      <c r="X284" t="s">
        <v>77</v>
      </c>
      <c r="Y284" t="s">
        <v>64</v>
      </c>
      <c r="Z284" t="s">
        <v>78</v>
      </c>
      <c r="AA284" t="str">
        <f>VLOOKUP(H284,Departments!$A:$B,2,0)</f>
        <v>Nephrology</v>
      </c>
      <c r="AB284" t="str">
        <f>VLOOKUP(J284,Diagnosis_Guide!$A:$B,2,0)</f>
        <v>Dialysis Complication</v>
      </c>
      <c r="AC284" s="4" t="str">
        <f>VLOOKUP(J284,Diagnosis_Guide!$A:$C,3,0)</f>
        <v>Renal</v>
      </c>
      <c r="AD284" s="4" t="str">
        <f>VLOOKUP(R284,Insurance_Plans!$A:$C,3,0)</f>
        <v>Private</v>
      </c>
      <c r="AE284" s="13">
        <f t="shared" si="12"/>
        <v>3982.5</v>
      </c>
      <c r="AF284" s="13">
        <f t="shared" si="13"/>
        <v>83632.5</v>
      </c>
      <c r="AG284" s="4" t="str">
        <f t="shared" si="14"/>
        <v>High</v>
      </c>
    </row>
    <row r="285" spans="1:33">
      <c r="A285" t="s">
        <v>744</v>
      </c>
      <c r="B285" t="s">
        <v>745</v>
      </c>
      <c r="C285" s="11">
        <v>46055</v>
      </c>
      <c r="D285" t="s">
        <v>149</v>
      </c>
      <c r="E285" t="s">
        <v>177</v>
      </c>
      <c r="F285" s="4"/>
      <c r="G285" s="4"/>
      <c r="H285" t="s">
        <v>138</v>
      </c>
      <c r="I285" t="s">
        <v>352</v>
      </c>
      <c r="J285" t="s">
        <v>140</v>
      </c>
      <c r="K285" t="s">
        <v>73</v>
      </c>
      <c r="L285" t="s">
        <v>61</v>
      </c>
      <c r="M285" s="5"/>
      <c r="N285" s="5"/>
      <c r="O285" s="5"/>
      <c r="P285" s="5"/>
      <c r="R285" t="s">
        <v>85</v>
      </c>
      <c r="S285" t="s">
        <v>63</v>
      </c>
      <c r="T285" s="5"/>
      <c r="U285" s="6"/>
      <c r="V285" t="s">
        <v>64</v>
      </c>
      <c r="W285" s="4"/>
      <c r="X285" t="s">
        <v>65</v>
      </c>
      <c r="Z285" t="s">
        <v>66</v>
      </c>
      <c r="AA285" t="str">
        <f>VLOOKUP(H285,Departments!$A:$B,2,0)</f>
        <v>Pediatrics</v>
      </c>
      <c r="AB285" t="str">
        <f>VLOOKUP(J285,Diagnosis_Guide!$A:$B,2,0)</f>
        <v>Pediatric Asthma</v>
      </c>
      <c r="AC285" s="4" t="str">
        <f>VLOOKUP(J285,Diagnosis_Guide!$A:$C,3,0)</f>
        <v>Pediatric</v>
      </c>
      <c r="AD285" s="4" t="str">
        <f>VLOOKUP(R285,Insurance_Plans!$A:$C,3,0)</f>
        <v>Employer</v>
      </c>
      <c r="AE285" s="13" t="str">
        <f t="shared" si="12"/>
        <v/>
      </c>
      <c r="AF285" s="13" t="str">
        <f t="shared" si="13"/>
        <v/>
      </c>
      <c r="AG285" s="4" t="str">
        <f t="shared" si="14"/>
        <v>Not Available</v>
      </c>
    </row>
    <row r="286" spans="1:33">
      <c r="A286" t="s">
        <v>746</v>
      </c>
      <c r="B286" t="s">
        <v>747</v>
      </c>
      <c r="C286" s="11">
        <v>46154</v>
      </c>
      <c r="D286" t="s">
        <v>298</v>
      </c>
      <c r="E286" t="s">
        <v>70</v>
      </c>
      <c r="F286" s="4">
        <v>46155</v>
      </c>
      <c r="G286" s="4">
        <v>46155</v>
      </c>
      <c r="H286" t="s">
        <v>82</v>
      </c>
      <c r="I286" t="s">
        <v>369</v>
      </c>
      <c r="J286" t="s">
        <v>156</v>
      </c>
      <c r="K286" t="s">
        <v>60</v>
      </c>
      <c r="L286" t="s">
        <v>61</v>
      </c>
      <c r="M286" s="5">
        <v>76000</v>
      </c>
      <c r="N286" s="5">
        <v>7500</v>
      </c>
      <c r="O286" s="5">
        <v>15100</v>
      </c>
      <c r="P286" s="5">
        <v>0</v>
      </c>
      <c r="Q286" s="13">
        <v>99400</v>
      </c>
      <c r="R286" t="s">
        <v>106</v>
      </c>
      <c r="S286" t="s">
        <v>163</v>
      </c>
      <c r="T286" s="5">
        <v>35490</v>
      </c>
      <c r="U286" s="6">
        <v>5</v>
      </c>
      <c r="V286" t="s">
        <v>77</v>
      </c>
      <c r="W286" s="4">
        <v>46170</v>
      </c>
      <c r="X286" t="s">
        <v>77</v>
      </c>
      <c r="Y286" t="s">
        <v>64</v>
      </c>
      <c r="Z286" t="s">
        <v>96</v>
      </c>
      <c r="AA286" t="str">
        <f>VLOOKUP(H286,Departments!$A:$B,2,0)</f>
        <v>Orthopedics</v>
      </c>
      <c r="AB286" t="str">
        <f>VLOOKUP(J286,Diagnosis_Guide!$A:$B,2,0)</f>
        <v>Spinal Injury</v>
      </c>
      <c r="AC286" s="4" t="str">
        <f>VLOOKUP(J286,Diagnosis_Guide!$A:$C,3,0)</f>
        <v>Musculoskeletal</v>
      </c>
      <c r="AD286" s="4" t="str">
        <f>VLOOKUP(R286,Insurance_Plans!$A:$C,3,0)</f>
        <v>Private</v>
      </c>
      <c r="AE286" s="13">
        <f t="shared" si="12"/>
        <v>4970</v>
      </c>
      <c r="AF286" s="13">
        <f t="shared" si="13"/>
        <v>104370</v>
      </c>
      <c r="AG286" s="4" t="str">
        <f t="shared" si="14"/>
        <v>High</v>
      </c>
    </row>
    <row r="287" spans="1:33">
      <c r="A287" t="s">
        <v>748</v>
      </c>
      <c r="B287" t="s">
        <v>457</v>
      </c>
      <c r="C287" s="11">
        <v>46035</v>
      </c>
      <c r="D287" t="s">
        <v>127</v>
      </c>
      <c r="E287" t="s">
        <v>70</v>
      </c>
      <c r="F287" s="4">
        <v>46035</v>
      </c>
      <c r="G287" s="4">
        <v>46038</v>
      </c>
      <c r="H287" t="s">
        <v>150</v>
      </c>
      <c r="I287" t="s">
        <v>228</v>
      </c>
      <c r="J287" t="s">
        <v>152</v>
      </c>
      <c r="K287" t="s">
        <v>73</v>
      </c>
      <c r="L287" t="s">
        <v>94</v>
      </c>
      <c r="M287" s="5">
        <v>24800</v>
      </c>
      <c r="N287" s="5">
        <v>3200</v>
      </c>
      <c r="O287" s="5">
        <v>3750</v>
      </c>
      <c r="P287" s="5">
        <v>18000</v>
      </c>
      <c r="Q287" s="13">
        <v>51250</v>
      </c>
      <c r="R287" t="s">
        <v>141</v>
      </c>
      <c r="S287" t="s">
        <v>163</v>
      </c>
      <c r="T287" s="5">
        <v>8890</v>
      </c>
      <c r="U287" s="6">
        <v>4</v>
      </c>
      <c r="V287" t="s">
        <v>64</v>
      </c>
      <c r="W287" s="4"/>
      <c r="X287" t="s">
        <v>65</v>
      </c>
      <c r="Y287" t="s">
        <v>64</v>
      </c>
      <c r="Z287" t="s">
        <v>96</v>
      </c>
      <c r="AA287" t="str">
        <f>VLOOKUP(H287,Departments!$A:$B,2,0)</f>
        <v>Obstetrics</v>
      </c>
      <c r="AB287" t="str">
        <f>VLOOKUP(J287,Diagnosis_Guide!$A:$B,2,0)</f>
        <v>Antenatal Complication</v>
      </c>
      <c r="AC287" s="4" t="str">
        <f>VLOOKUP(J287,Diagnosis_Guide!$A:$C,3,0)</f>
        <v>Maternal Health</v>
      </c>
      <c r="AD287" s="4" t="str">
        <f>VLOOKUP(R287,Insurance_Plans!$A:$C,3,0)</f>
        <v>Private</v>
      </c>
      <c r="AE287" s="13">
        <f t="shared" si="12"/>
        <v>2562.5</v>
      </c>
      <c r="AF287" s="13">
        <f t="shared" si="13"/>
        <v>53812.5</v>
      </c>
      <c r="AG287" s="4" t="str">
        <f t="shared" si="14"/>
        <v>High</v>
      </c>
    </row>
    <row r="288" spans="1:33">
      <c r="A288" t="s">
        <v>749</v>
      </c>
      <c r="B288" t="s">
        <v>750</v>
      </c>
      <c r="C288" s="11">
        <v>46163</v>
      </c>
      <c r="D288" t="s">
        <v>132</v>
      </c>
      <c r="E288" t="s">
        <v>70</v>
      </c>
      <c r="F288" s="4">
        <v>46163</v>
      </c>
      <c r="G288" s="4">
        <v>46163</v>
      </c>
      <c r="H288" t="s">
        <v>121</v>
      </c>
      <c r="I288" t="s">
        <v>174</v>
      </c>
      <c r="J288" t="s">
        <v>123</v>
      </c>
      <c r="K288" t="s">
        <v>60</v>
      </c>
      <c r="L288" t="s">
        <v>74</v>
      </c>
      <c r="M288" s="5">
        <v>36000</v>
      </c>
      <c r="N288" s="5">
        <v>4850</v>
      </c>
      <c r="O288" s="5">
        <v>4100</v>
      </c>
      <c r="P288" s="5">
        <v>0</v>
      </c>
      <c r="Q288" s="13">
        <v>46750</v>
      </c>
      <c r="R288" t="s">
        <v>134</v>
      </c>
      <c r="S288" t="s">
        <v>86</v>
      </c>
      <c r="T288" s="5">
        <v>25910</v>
      </c>
      <c r="U288" s="6">
        <v>5</v>
      </c>
      <c r="V288" t="s">
        <v>77</v>
      </c>
      <c r="W288" s="4">
        <v>46181</v>
      </c>
      <c r="X288" t="s">
        <v>77</v>
      </c>
      <c r="Y288" t="s">
        <v>64</v>
      </c>
      <c r="Z288" t="s">
        <v>78</v>
      </c>
      <c r="AA288" t="str">
        <f>VLOOKUP(H288,Departments!$A:$B,2,0)</f>
        <v>Neurology</v>
      </c>
      <c r="AB288" t="str">
        <f>VLOOKUP(J288,Diagnosis_Guide!$A:$B,2,0)</f>
        <v>Seizure Episode</v>
      </c>
      <c r="AC288" s="4" t="str">
        <f>VLOOKUP(J288,Diagnosis_Guide!$A:$C,3,0)</f>
        <v>Neurological</v>
      </c>
      <c r="AD288" s="4" t="str">
        <f>VLOOKUP(R288,Insurance_Plans!$A:$C,3,0)</f>
        <v>Community</v>
      </c>
      <c r="AE288" s="13">
        <f t="shared" si="12"/>
        <v>2337.5</v>
      </c>
      <c r="AF288" s="13">
        <f t="shared" si="13"/>
        <v>49087.5</v>
      </c>
      <c r="AG288" s="4" t="str">
        <f t="shared" si="14"/>
        <v>High</v>
      </c>
    </row>
    <row r="289" spans="1:33">
      <c r="A289" t="s">
        <v>751</v>
      </c>
      <c r="B289" t="s">
        <v>752</v>
      </c>
      <c r="C289" s="11">
        <v>46072</v>
      </c>
      <c r="D289" t="s">
        <v>298</v>
      </c>
      <c r="E289" t="s">
        <v>70</v>
      </c>
      <c r="F289" s="4">
        <v>46072</v>
      </c>
      <c r="G289" s="4">
        <v>46078</v>
      </c>
      <c r="H289" t="s">
        <v>178</v>
      </c>
      <c r="I289" t="s">
        <v>218</v>
      </c>
      <c r="J289" t="s">
        <v>180</v>
      </c>
      <c r="K289" t="s">
        <v>73</v>
      </c>
      <c r="L289" t="s">
        <v>74</v>
      </c>
      <c r="M289" s="5">
        <v>61200</v>
      </c>
      <c r="N289" s="5">
        <v>6300</v>
      </c>
      <c r="O289" s="5">
        <v>14800</v>
      </c>
      <c r="P289" s="5">
        <v>36000</v>
      </c>
      <c r="Q289" s="13">
        <v>119800</v>
      </c>
      <c r="R289" t="s">
        <v>75</v>
      </c>
      <c r="S289" t="s">
        <v>76</v>
      </c>
      <c r="T289" s="5">
        <v>54210</v>
      </c>
      <c r="U289" s="6">
        <v>4</v>
      </c>
      <c r="V289" t="s">
        <v>77</v>
      </c>
      <c r="W289" s="4">
        <v>46095</v>
      </c>
      <c r="X289" t="s">
        <v>77</v>
      </c>
      <c r="Y289" t="s">
        <v>64</v>
      </c>
      <c r="Z289" t="s">
        <v>436</v>
      </c>
      <c r="AA289" t="str">
        <f>VLOOKUP(H289,Departments!$A:$B,2,0)</f>
        <v>Surgery</v>
      </c>
      <c r="AB289" t="str">
        <f>VLOOKUP(J289,Diagnosis_Guide!$A:$B,2,0)</f>
        <v>Appendicitis Surgery</v>
      </c>
      <c r="AC289" s="4" t="str">
        <f>VLOOKUP(J289,Diagnosis_Guide!$A:$C,3,0)</f>
        <v>Surgical</v>
      </c>
      <c r="AD289" s="4" t="str">
        <f>VLOOKUP(R289,Insurance_Plans!$A:$C,3,0)</f>
        <v>Public</v>
      </c>
      <c r="AE289" s="13">
        <f t="shared" si="12"/>
        <v>5990</v>
      </c>
      <c r="AF289" s="13">
        <f t="shared" si="13"/>
        <v>125790</v>
      </c>
      <c r="AG289" s="4" t="str">
        <f t="shared" si="14"/>
        <v>High</v>
      </c>
    </row>
    <row r="290" spans="1:33">
      <c r="A290" t="s">
        <v>753</v>
      </c>
      <c r="B290" t="s">
        <v>754</v>
      </c>
      <c r="C290" s="11">
        <v>46130</v>
      </c>
      <c r="D290" t="s">
        <v>266</v>
      </c>
      <c r="E290" t="s">
        <v>70</v>
      </c>
      <c r="F290" s="4">
        <v>46130</v>
      </c>
      <c r="G290" s="4">
        <v>46136</v>
      </c>
      <c r="H290" t="s">
        <v>121</v>
      </c>
      <c r="I290" t="s">
        <v>665</v>
      </c>
      <c r="J290" t="s">
        <v>123</v>
      </c>
      <c r="K290" t="s">
        <v>124</v>
      </c>
      <c r="L290" t="s">
        <v>74</v>
      </c>
      <c r="M290" s="5">
        <v>45800</v>
      </c>
      <c r="N290" s="5">
        <v>4600</v>
      </c>
      <c r="O290" s="5">
        <v>9600</v>
      </c>
      <c r="P290" s="5">
        <v>36000</v>
      </c>
      <c r="Q290" s="13">
        <v>97000</v>
      </c>
      <c r="R290" t="s">
        <v>134</v>
      </c>
      <c r="S290" t="s">
        <v>76</v>
      </c>
      <c r="T290" s="5">
        <v>53550</v>
      </c>
      <c r="U290" s="6">
        <v>3</v>
      </c>
      <c r="V290" t="s">
        <v>77</v>
      </c>
      <c r="W290" s="4">
        <v>46145</v>
      </c>
      <c r="X290" t="s">
        <v>77</v>
      </c>
      <c r="Y290" t="s">
        <v>64</v>
      </c>
      <c r="Z290" t="s">
        <v>96</v>
      </c>
      <c r="AA290" t="str">
        <f>VLOOKUP(H290,Departments!$A:$B,2,0)</f>
        <v>Neurology</v>
      </c>
      <c r="AB290" t="str">
        <f>VLOOKUP(J290,Diagnosis_Guide!$A:$B,2,0)</f>
        <v>Seizure Episode</v>
      </c>
      <c r="AC290" s="4" t="str">
        <f>VLOOKUP(J290,Diagnosis_Guide!$A:$C,3,0)</f>
        <v>Neurological</v>
      </c>
      <c r="AD290" s="4" t="str">
        <f>VLOOKUP(R290,Insurance_Plans!$A:$C,3,0)</f>
        <v>Community</v>
      </c>
      <c r="AE290" s="13">
        <f t="shared" si="12"/>
        <v>4850</v>
      </c>
      <c r="AF290" s="13">
        <f t="shared" si="13"/>
        <v>101850</v>
      </c>
      <c r="AG290" s="4" t="str">
        <f t="shared" si="14"/>
        <v>Medium</v>
      </c>
    </row>
    <row r="291" spans="1:33">
      <c r="A291" t="s">
        <v>755</v>
      </c>
      <c r="B291" t="s">
        <v>756</v>
      </c>
      <c r="C291" s="11">
        <v>46058</v>
      </c>
      <c r="D291" t="s">
        <v>439</v>
      </c>
      <c r="E291" t="s">
        <v>70</v>
      </c>
      <c r="F291" s="4">
        <v>46058</v>
      </c>
      <c r="G291" s="4">
        <v>46058</v>
      </c>
      <c r="H291" t="s">
        <v>90</v>
      </c>
      <c r="I291" t="s">
        <v>162</v>
      </c>
      <c r="J291" t="s">
        <v>197</v>
      </c>
      <c r="K291" t="s">
        <v>73</v>
      </c>
      <c r="L291" t="s">
        <v>94</v>
      </c>
      <c r="M291" s="5">
        <v>26100</v>
      </c>
      <c r="N291" s="5">
        <v>2100</v>
      </c>
      <c r="O291" s="5">
        <v>3050</v>
      </c>
      <c r="P291" s="5">
        <v>0</v>
      </c>
      <c r="Q291" s="13">
        <v>32450</v>
      </c>
      <c r="R291" t="s">
        <v>106</v>
      </c>
      <c r="S291" t="s">
        <v>76</v>
      </c>
      <c r="T291" s="5">
        <v>12060</v>
      </c>
      <c r="U291" s="6">
        <v>3</v>
      </c>
      <c r="V291" t="s">
        <v>77</v>
      </c>
      <c r="W291" s="4">
        <v>46072</v>
      </c>
      <c r="X291" t="s">
        <v>77</v>
      </c>
      <c r="Y291" t="s">
        <v>64</v>
      </c>
      <c r="Z291" t="s">
        <v>78</v>
      </c>
      <c r="AA291" t="str">
        <f>VLOOKUP(H291,Departments!$A:$B,2,0)</f>
        <v>Cardiology</v>
      </c>
      <c r="AB291" t="str">
        <f>VLOOKUP(J291,Diagnosis_Guide!$A:$B,2,0)</f>
        <v>Chest Pain</v>
      </c>
      <c r="AC291" s="4" t="str">
        <f>VLOOKUP(J291,Diagnosis_Guide!$A:$C,3,0)</f>
        <v>Cardiovascular</v>
      </c>
      <c r="AD291" s="4" t="str">
        <f>VLOOKUP(R291,Insurance_Plans!$A:$C,3,0)</f>
        <v>Private</v>
      </c>
      <c r="AE291" s="13">
        <f t="shared" si="12"/>
        <v>1622.5</v>
      </c>
      <c r="AF291" s="13">
        <f t="shared" si="13"/>
        <v>34072.5</v>
      </c>
      <c r="AG291" s="4" t="str">
        <f t="shared" si="14"/>
        <v>Medium</v>
      </c>
    </row>
    <row r="292" spans="1:33">
      <c r="A292" t="s">
        <v>757</v>
      </c>
      <c r="B292" t="s">
        <v>758</v>
      </c>
      <c r="C292" s="11">
        <v>46120</v>
      </c>
      <c r="D292" t="s">
        <v>206</v>
      </c>
      <c r="E292" t="s">
        <v>70</v>
      </c>
      <c r="F292" s="4">
        <v>46121</v>
      </c>
      <c r="G292" s="4">
        <v>46124</v>
      </c>
      <c r="H292" t="s">
        <v>201</v>
      </c>
      <c r="I292" t="s">
        <v>421</v>
      </c>
      <c r="J292" t="s">
        <v>203</v>
      </c>
      <c r="K292" t="s">
        <v>124</v>
      </c>
      <c r="L292" t="s">
        <v>94</v>
      </c>
      <c r="M292" s="5">
        <v>30800</v>
      </c>
      <c r="N292" s="5">
        <v>2800</v>
      </c>
      <c r="O292" s="5">
        <v>7700</v>
      </c>
      <c r="P292" s="5">
        <v>18000</v>
      </c>
      <c r="Q292" s="13">
        <v>60300</v>
      </c>
      <c r="R292" t="s">
        <v>134</v>
      </c>
      <c r="S292" t="s">
        <v>86</v>
      </c>
      <c r="T292" s="5">
        <v>33360</v>
      </c>
      <c r="U292" s="6">
        <v>4</v>
      </c>
      <c r="V292" t="s">
        <v>77</v>
      </c>
      <c r="W292" s="4">
        <v>46144</v>
      </c>
      <c r="X292" t="s">
        <v>77</v>
      </c>
      <c r="Y292" t="s">
        <v>64</v>
      </c>
      <c r="Z292" t="s">
        <v>78</v>
      </c>
      <c r="AA292" t="str">
        <f>VLOOKUP(H292,Departments!$A:$B,2,0)</f>
        <v>Emergency</v>
      </c>
      <c r="AB292" t="str">
        <f>VLOOKUP(J292,Diagnosis_Guide!$A:$B,2,0)</f>
        <v>Trauma Observation</v>
      </c>
      <c r="AC292" s="4" t="str">
        <f>VLOOKUP(J292,Diagnosis_Guide!$A:$C,3,0)</f>
        <v>Emergency</v>
      </c>
      <c r="AD292" s="4" t="str">
        <f>VLOOKUP(R292,Insurance_Plans!$A:$C,3,0)</f>
        <v>Community</v>
      </c>
      <c r="AE292" s="13">
        <f t="shared" si="12"/>
        <v>3015</v>
      </c>
      <c r="AF292" s="13">
        <f t="shared" si="13"/>
        <v>63315</v>
      </c>
      <c r="AG292" s="4" t="str">
        <f t="shared" si="14"/>
        <v>High</v>
      </c>
    </row>
    <row r="293" spans="1:33">
      <c r="A293" t="s">
        <v>759</v>
      </c>
      <c r="B293" t="s">
        <v>760</v>
      </c>
      <c r="C293" s="11">
        <v>46153</v>
      </c>
      <c r="D293" t="s">
        <v>89</v>
      </c>
      <c r="E293" t="s">
        <v>70</v>
      </c>
      <c r="F293" s="4">
        <v>46153</v>
      </c>
      <c r="G293" s="4">
        <v>46153</v>
      </c>
      <c r="H293" t="s">
        <v>150</v>
      </c>
      <c r="I293" t="s">
        <v>247</v>
      </c>
      <c r="J293" t="s">
        <v>229</v>
      </c>
      <c r="K293" t="s">
        <v>60</v>
      </c>
      <c r="L293" t="s">
        <v>74</v>
      </c>
      <c r="M293" s="5">
        <v>48600</v>
      </c>
      <c r="N293" s="5">
        <v>6750</v>
      </c>
      <c r="O293" s="5">
        <v>9700</v>
      </c>
      <c r="P293" s="5">
        <v>0</v>
      </c>
      <c r="Q293" s="13">
        <v>66050</v>
      </c>
      <c r="R293" t="s">
        <v>75</v>
      </c>
      <c r="S293" t="s">
        <v>86</v>
      </c>
      <c r="T293" s="5">
        <v>30020</v>
      </c>
      <c r="U293" s="6">
        <v>5</v>
      </c>
      <c r="V293" t="s">
        <v>77</v>
      </c>
      <c r="W293" s="4">
        <v>46168</v>
      </c>
      <c r="X293" t="s">
        <v>77</v>
      </c>
      <c r="Y293" t="s">
        <v>64</v>
      </c>
      <c r="Z293" t="s">
        <v>436</v>
      </c>
      <c r="AA293" t="str">
        <f>VLOOKUP(H293,Departments!$A:$B,2,0)</f>
        <v>Obstetrics</v>
      </c>
      <c r="AB293" t="str">
        <f>VLOOKUP(J293,Diagnosis_Guide!$A:$B,2,0)</f>
        <v>Delivery Care</v>
      </c>
      <c r="AC293" s="4" t="str">
        <f>VLOOKUP(J293,Diagnosis_Guide!$A:$C,3,0)</f>
        <v>Maternal Health</v>
      </c>
      <c r="AD293" s="4" t="str">
        <f>VLOOKUP(R293,Insurance_Plans!$A:$C,3,0)</f>
        <v>Public</v>
      </c>
      <c r="AE293" s="13">
        <f t="shared" si="12"/>
        <v>3302.5</v>
      </c>
      <c r="AF293" s="13">
        <f t="shared" si="13"/>
        <v>69352.5</v>
      </c>
      <c r="AG293" s="4" t="str">
        <f t="shared" si="14"/>
        <v>High</v>
      </c>
    </row>
    <row r="294" spans="1:33">
      <c r="A294" t="s">
        <v>761</v>
      </c>
      <c r="B294" t="s">
        <v>762</v>
      </c>
      <c r="C294" s="11">
        <v>46084</v>
      </c>
      <c r="D294" t="s">
        <v>89</v>
      </c>
      <c r="E294" t="s">
        <v>314</v>
      </c>
      <c r="F294" s="4"/>
      <c r="G294" s="4"/>
      <c r="H294" t="s">
        <v>103</v>
      </c>
      <c r="I294" t="s">
        <v>214</v>
      </c>
      <c r="J294" t="s">
        <v>105</v>
      </c>
      <c r="K294" t="s">
        <v>60</v>
      </c>
      <c r="L294" t="s">
        <v>94</v>
      </c>
      <c r="M294" s="5"/>
      <c r="N294" s="5"/>
      <c r="O294" s="5"/>
      <c r="P294" s="5"/>
      <c r="R294" t="s">
        <v>85</v>
      </c>
      <c r="S294" t="s">
        <v>63</v>
      </c>
      <c r="T294" s="5"/>
      <c r="U294" s="6"/>
      <c r="V294" t="s">
        <v>64</v>
      </c>
      <c r="W294" s="4"/>
      <c r="X294" t="s">
        <v>65</v>
      </c>
      <c r="Z294" t="s">
        <v>66</v>
      </c>
      <c r="AA294" t="str">
        <f>VLOOKUP(H294,Departments!$A:$B,2,0)</f>
        <v>Nephrology</v>
      </c>
      <c r="AB294" t="str">
        <f>VLOOKUP(J294,Diagnosis_Guide!$A:$B,2,0)</f>
        <v>Dialysis Complication</v>
      </c>
      <c r="AC294" s="4" t="str">
        <f>VLOOKUP(J294,Diagnosis_Guide!$A:$C,3,0)</f>
        <v>Renal</v>
      </c>
      <c r="AD294" s="4" t="str">
        <f>VLOOKUP(R294,Insurance_Plans!$A:$C,3,0)</f>
        <v>Employer</v>
      </c>
      <c r="AE294" s="13" t="str">
        <f t="shared" si="12"/>
        <v/>
      </c>
      <c r="AF294" s="13" t="str">
        <f t="shared" si="13"/>
        <v/>
      </c>
      <c r="AG294" s="4" t="str">
        <f t="shared" si="14"/>
        <v>Not Available</v>
      </c>
    </row>
    <row r="295" spans="1:33">
      <c r="A295" t="s">
        <v>763</v>
      </c>
      <c r="B295" t="s">
        <v>764</v>
      </c>
      <c r="C295" s="11">
        <v>46032</v>
      </c>
      <c r="D295" t="s">
        <v>183</v>
      </c>
      <c r="E295" t="s">
        <v>70</v>
      </c>
      <c r="F295" s="4">
        <v>46032</v>
      </c>
      <c r="G295" s="4">
        <v>46032</v>
      </c>
      <c r="H295" t="s">
        <v>103</v>
      </c>
      <c r="I295" t="s">
        <v>243</v>
      </c>
      <c r="J295" t="s">
        <v>145</v>
      </c>
      <c r="K295" t="s">
        <v>60</v>
      </c>
      <c r="L295" t="s">
        <v>94</v>
      </c>
      <c r="M295" s="5">
        <v>23700</v>
      </c>
      <c r="N295" s="5">
        <v>2600</v>
      </c>
      <c r="O295" s="5">
        <v>3850</v>
      </c>
      <c r="P295" s="5">
        <v>0</v>
      </c>
      <c r="Q295" s="13">
        <v>31950</v>
      </c>
      <c r="R295" t="s">
        <v>75</v>
      </c>
      <c r="S295" t="s">
        <v>76</v>
      </c>
      <c r="T295" s="5">
        <v>14680</v>
      </c>
      <c r="U295" s="6">
        <v>5</v>
      </c>
      <c r="V295" t="s">
        <v>64</v>
      </c>
      <c r="W295" s="4"/>
      <c r="X295" t="s">
        <v>65</v>
      </c>
      <c r="Y295" t="s">
        <v>64</v>
      </c>
      <c r="Z295" t="s">
        <v>436</v>
      </c>
      <c r="AA295" t="str">
        <f>VLOOKUP(H295,Departments!$A:$B,2,0)</f>
        <v>Nephrology</v>
      </c>
      <c r="AB295" t="str">
        <f>VLOOKUP(J295,Diagnosis_Guide!$A:$B,2,0)</f>
        <v>Kidney Stone</v>
      </c>
      <c r="AC295" s="4" t="str">
        <f>VLOOKUP(J295,Diagnosis_Guide!$A:$C,3,0)</f>
        <v>Renal</v>
      </c>
      <c r="AD295" s="4" t="str">
        <f>VLOOKUP(R295,Insurance_Plans!$A:$C,3,0)</f>
        <v>Public</v>
      </c>
      <c r="AE295" s="13">
        <f t="shared" si="12"/>
        <v>1597.5</v>
      </c>
      <c r="AF295" s="13">
        <f t="shared" si="13"/>
        <v>33547.5</v>
      </c>
      <c r="AG295" s="4" t="str">
        <f t="shared" si="14"/>
        <v>High</v>
      </c>
    </row>
    <row r="296" spans="1:33">
      <c r="A296" t="s">
        <v>765</v>
      </c>
      <c r="B296" t="s">
        <v>493</v>
      </c>
      <c r="C296" s="11">
        <v>46076</v>
      </c>
      <c r="D296" t="s">
        <v>337</v>
      </c>
      <c r="E296" t="s">
        <v>70</v>
      </c>
      <c r="F296" s="4">
        <v>46076</v>
      </c>
      <c r="G296" s="4">
        <v>46080</v>
      </c>
      <c r="H296" t="s">
        <v>150</v>
      </c>
      <c r="I296" t="s">
        <v>151</v>
      </c>
      <c r="J296" t="s">
        <v>152</v>
      </c>
      <c r="K296" t="s">
        <v>124</v>
      </c>
      <c r="L296" t="s">
        <v>94</v>
      </c>
      <c r="M296" s="5">
        <v>21900</v>
      </c>
      <c r="N296" s="5">
        <v>3100</v>
      </c>
      <c r="O296" s="5">
        <v>4600</v>
      </c>
      <c r="P296" s="5">
        <v>12000</v>
      </c>
      <c r="Q296" s="13">
        <v>44100</v>
      </c>
      <c r="R296" t="s">
        <v>106</v>
      </c>
      <c r="S296" t="s">
        <v>76</v>
      </c>
      <c r="T296" s="5">
        <v>16130</v>
      </c>
      <c r="U296" s="6">
        <v>4</v>
      </c>
      <c r="V296" t="s">
        <v>77</v>
      </c>
      <c r="W296" s="4">
        <v>46093</v>
      </c>
      <c r="X296" t="s">
        <v>77</v>
      </c>
      <c r="Y296" t="s">
        <v>64</v>
      </c>
      <c r="Z296" t="s">
        <v>96</v>
      </c>
      <c r="AA296" t="str">
        <f>VLOOKUP(H296,Departments!$A:$B,2,0)</f>
        <v>Obstetrics</v>
      </c>
      <c r="AB296" t="str">
        <f>VLOOKUP(J296,Diagnosis_Guide!$A:$B,2,0)</f>
        <v>Antenatal Complication</v>
      </c>
      <c r="AC296" s="4" t="str">
        <f>VLOOKUP(J296,Diagnosis_Guide!$A:$C,3,0)</f>
        <v>Maternal Health</v>
      </c>
      <c r="AD296" s="4" t="str">
        <f>VLOOKUP(R296,Insurance_Plans!$A:$C,3,0)</f>
        <v>Private</v>
      </c>
      <c r="AE296" s="13">
        <f t="shared" si="12"/>
        <v>2205</v>
      </c>
      <c r="AF296" s="13">
        <f t="shared" si="13"/>
        <v>46305</v>
      </c>
      <c r="AG296" s="4" t="str">
        <f t="shared" si="14"/>
        <v>High</v>
      </c>
    </row>
    <row r="297" spans="1:33">
      <c r="A297" t="s">
        <v>766</v>
      </c>
      <c r="B297" t="s">
        <v>68</v>
      </c>
      <c r="C297" s="11">
        <v>46066</v>
      </c>
      <c r="D297" t="s">
        <v>168</v>
      </c>
      <c r="E297" t="s">
        <v>70</v>
      </c>
      <c r="F297" s="4">
        <v>46066</v>
      </c>
      <c r="G297" s="4">
        <v>46067</v>
      </c>
      <c r="H297" t="s">
        <v>201</v>
      </c>
      <c r="I297" t="s">
        <v>449</v>
      </c>
      <c r="J297" t="s">
        <v>295</v>
      </c>
      <c r="K297" t="s">
        <v>73</v>
      </c>
      <c r="L297" t="s">
        <v>94</v>
      </c>
      <c r="M297" s="5">
        <v>43900</v>
      </c>
      <c r="N297" s="5">
        <v>5250</v>
      </c>
      <c r="O297" s="5">
        <v>8950</v>
      </c>
      <c r="P297" s="5">
        <v>3000</v>
      </c>
      <c r="Q297" s="13">
        <v>61900</v>
      </c>
      <c r="R297" t="s">
        <v>75</v>
      </c>
      <c r="S297" t="s">
        <v>76</v>
      </c>
      <c r="T297" s="5">
        <v>28150</v>
      </c>
      <c r="U297" s="6">
        <v>5</v>
      </c>
      <c r="V297" t="s">
        <v>64</v>
      </c>
      <c r="W297" s="4"/>
      <c r="X297" t="s">
        <v>65</v>
      </c>
      <c r="Y297" t="s">
        <v>64</v>
      </c>
      <c r="Z297" t="s">
        <v>78</v>
      </c>
      <c r="AA297" t="str">
        <f>VLOOKUP(H297,Departments!$A:$B,2,0)</f>
        <v>Emergency</v>
      </c>
      <c r="AB297" t="str">
        <f>VLOOKUP(J297,Diagnosis_Guide!$A:$B,2,0)</f>
        <v>Accident Injury</v>
      </c>
      <c r="AC297" s="4" t="str">
        <f>VLOOKUP(J297,Diagnosis_Guide!$A:$C,3,0)</f>
        <v>Emergency</v>
      </c>
      <c r="AD297" s="4" t="str">
        <f>VLOOKUP(R297,Insurance_Plans!$A:$C,3,0)</f>
        <v>Public</v>
      </c>
      <c r="AE297" s="13">
        <f t="shared" si="12"/>
        <v>3095</v>
      </c>
      <c r="AF297" s="13">
        <f t="shared" si="13"/>
        <v>64995</v>
      </c>
      <c r="AG297" s="4" t="str">
        <f t="shared" si="14"/>
        <v>High</v>
      </c>
    </row>
    <row r="298" spans="1:33">
      <c r="A298" t="s">
        <v>767</v>
      </c>
      <c r="B298" t="s">
        <v>768</v>
      </c>
      <c r="C298" s="11">
        <v>46105</v>
      </c>
      <c r="D298" t="s">
        <v>363</v>
      </c>
      <c r="E298" t="s">
        <v>191</v>
      </c>
      <c r="F298" s="4"/>
      <c r="G298" s="4"/>
      <c r="H298" t="s">
        <v>103</v>
      </c>
      <c r="I298" t="s">
        <v>214</v>
      </c>
      <c r="J298" t="s">
        <v>105</v>
      </c>
      <c r="K298" t="s">
        <v>73</v>
      </c>
      <c r="L298" t="s">
        <v>61</v>
      </c>
      <c r="M298" s="5"/>
      <c r="N298" s="5"/>
      <c r="O298" s="5"/>
      <c r="P298" s="5"/>
      <c r="R298" t="s">
        <v>85</v>
      </c>
      <c r="S298" t="s">
        <v>63</v>
      </c>
      <c r="T298" s="5"/>
      <c r="U298" s="6"/>
      <c r="V298" t="s">
        <v>64</v>
      </c>
      <c r="W298" s="4"/>
      <c r="X298" t="s">
        <v>65</v>
      </c>
      <c r="Z298" t="s">
        <v>66</v>
      </c>
      <c r="AA298" t="str">
        <f>VLOOKUP(H298,Departments!$A:$B,2,0)</f>
        <v>Nephrology</v>
      </c>
      <c r="AB298" t="str">
        <f>VLOOKUP(J298,Diagnosis_Guide!$A:$B,2,0)</f>
        <v>Dialysis Complication</v>
      </c>
      <c r="AC298" s="4" t="str">
        <f>VLOOKUP(J298,Diagnosis_Guide!$A:$C,3,0)</f>
        <v>Renal</v>
      </c>
      <c r="AD298" s="4" t="str">
        <f>VLOOKUP(R298,Insurance_Plans!$A:$C,3,0)</f>
        <v>Employer</v>
      </c>
      <c r="AE298" s="13" t="str">
        <f t="shared" si="12"/>
        <v/>
      </c>
      <c r="AF298" s="13" t="str">
        <f t="shared" si="13"/>
        <v/>
      </c>
      <c r="AG298" s="4" t="str">
        <f t="shared" si="14"/>
        <v>Not Available</v>
      </c>
    </row>
    <row r="299" spans="1:33">
      <c r="A299" t="s">
        <v>769</v>
      </c>
      <c r="B299" t="s">
        <v>512</v>
      </c>
      <c r="C299" s="11">
        <v>46085</v>
      </c>
      <c r="D299" t="s">
        <v>363</v>
      </c>
      <c r="E299" t="s">
        <v>70</v>
      </c>
      <c r="F299" s="4">
        <v>46085</v>
      </c>
      <c r="G299" s="4">
        <v>46085</v>
      </c>
      <c r="H299" t="s">
        <v>57</v>
      </c>
      <c r="I299" t="s">
        <v>71</v>
      </c>
      <c r="J299" t="s">
        <v>170</v>
      </c>
      <c r="K299" t="s">
        <v>60</v>
      </c>
      <c r="L299" t="s">
        <v>61</v>
      </c>
      <c r="M299" s="5">
        <v>69600</v>
      </c>
      <c r="N299" s="5">
        <v>12500</v>
      </c>
      <c r="O299" s="5">
        <v>8950</v>
      </c>
      <c r="P299" s="5">
        <v>0</v>
      </c>
      <c r="Q299" s="13">
        <v>92850</v>
      </c>
      <c r="R299" t="s">
        <v>75</v>
      </c>
      <c r="S299" t="s">
        <v>76</v>
      </c>
      <c r="T299" s="5">
        <v>42080</v>
      </c>
      <c r="U299" s="6">
        <v>3</v>
      </c>
      <c r="V299" t="s">
        <v>77</v>
      </c>
      <c r="W299" s="4">
        <v>46101</v>
      </c>
      <c r="X299" t="s">
        <v>64</v>
      </c>
      <c r="Y299" t="s">
        <v>64</v>
      </c>
      <c r="Z299" t="s">
        <v>219</v>
      </c>
      <c r="AA299" t="str">
        <f>VLOOKUP(H299,Departments!$A:$B,2,0)</f>
        <v>Pulmonology</v>
      </c>
      <c r="AB299" t="str">
        <f>VLOOKUP(J299,Diagnosis_Guide!$A:$B,2,0)</f>
        <v>COPD Exacerbation</v>
      </c>
      <c r="AC299" s="4" t="str">
        <f>VLOOKUP(J299,Diagnosis_Guide!$A:$C,3,0)</f>
        <v>Respiratory</v>
      </c>
      <c r="AD299" s="4" t="str">
        <f>VLOOKUP(R299,Insurance_Plans!$A:$C,3,0)</f>
        <v>Public</v>
      </c>
      <c r="AE299" s="13">
        <f t="shared" si="12"/>
        <v>4642.5</v>
      </c>
      <c r="AF299" s="13">
        <f t="shared" si="13"/>
        <v>97492.5</v>
      </c>
      <c r="AG299" s="4" t="str">
        <f t="shared" si="14"/>
        <v>Medium</v>
      </c>
    </row>
    <row r="300" spans="1:33">
      <c r="A300" t="s">
        <v>770</v>
      </c>
      <c r="B300" t="s">
        <v>771</v>
      </c>
      <c r="C300" s="11">
        <v>46042</v>
      </c>
      <c r="D300" t="s">
        <v>259</v>
      </c>
      <c r="E300" t="s">
        <v>314</v>
      </c>
      <c r="F300" s="4"/>
      <c r="G300" s="4"/>
      <c r="H300" t="s">
        <v>111</v>
      </c>
      <c r="I300" t="s">
        <v>355</v>
      </c>
      <c r="J300" t="s">
        <v>113</v>
      </c>
      <c r="K300" t="s">
        <v>60</v>
      </c>
      <c r="L300" t="s">
        <v>74</v>
      </c>
      <c r="M300" s="5"/>
      <c r="N300" s="5"/>
      <c r="O300" s="5"/>
      <c r="P300" s="5"/>
      <c r="R300" t="s">
        <v>106</v>
      </c>
      <c r="S300" t="s">
        <v>63</v>
      </c>
      <c r="T300" s="5"/>
      <c r="U300" s="6"/>
      <c r="V300" t="s">
        <v>64</v>
      </c>
      <c r="W300" s="4"/>
      <c r="X300" t="s">
        <v>65</v>
      </c>
      <c r="Z300" t="s">
        <v>66</v>
      </c>
      <c r="AA300" t="str">
        <f>VLOOKUP(H300,Departments!$A:$B,2,0)</f>
        <v>General Medicine</v>
      </c>
      <c r="AB300" t="str">
        <f>VLOOKUP(J300,Diagnosis_Guide!$A:$B,2,0)</f>
        <v>Diabetes Complication</v>
      </c>
      <c r="AC300" s="4" t="str">
        <f>VLOOKUP(J300,Diagnosis_Guide!$A:$C,3,0)</f>
        <v>Endocrine/General</v>
      </c>
      <c r="AD300" s="4" t="str">
        <f>VLOOKUP(R300,Insurance_Plans!$A:$C,3,0)</f>
        <v>Private</v>
      </c>
      <c r="AE300" s="13" t="str">
        <f t="shared" si="12"/>
        <v/>
      </c>
      <c r="AF300" s="13" t="str">
        <f t="shared" si="13"/>
        <v/>
      </c>
      <c r="AG300" s="4" t="str">
        <f t="shared" si="14"/>
        <v>Not Available</v>
      </c>
    </row>
    <row r="301" spans="1:33">
      <c r="A301" t="s">
        <v>772</v>
      </c>
      <c r="B301" t="s">
        <v>773</v>
      </c>
      <c r="C301" s="11">
        <v>46144</v>
      </c>
      <c r="D301" t="s">
        <v>337</v>
      </c>
      <c r="E301" t="s">
        <v>70</v>
      </c>
      <c r="F301" s="4">
        <v>46144</v>
      </c>
      <c r="G301" s="4">
        <v>46145</v>
      </c>
      <c r="H301" t="s">
        <v>201</v>
      </c>
      <c r="I301" t="s">
        <v>280</v>
      </c>
      <c r="J301" t="s">
        <v>281</v>
      </c>
      <c r="K301" t="s">
        <v>124</v>
      </c>
      <c r="L301" t="s">
        <v>74</v>
      </c>
      <c r="M301" s="5">
        <v>6700</v>
      </c>
      <c r="N301" s="5">
        <v>900</v>
      </c>
      <c r="O301" s="5">
        <v>700</v>
      </c>
      <c r="P301" s="5">
        <v>6000</v>
      </c>
      <c r="Q301" s="13">
        <v>15300</v>
      </c>
      <c r="R301" t="s">
        <v>141</v>
      </c>
      <c r="S301" t="s">
        <v>76</v>
      </c>
      <c r="T301" s="5">
        <v>3500</v>
      </c>
      <c r="U301" s="6">
        <v>3</v>
      </c>
      <c r="V301" t="s">
        <v>77</v>
      </c>
      <c r="W301" s="4">
        <v>46154</v>
      </c>
      <c r="X301" t="s">
        <v>77</v>
      </c>
      <c r="Y301" t="s">
        <v>64</v>
      </c>
      <c r="Z301" t="s">
        <v>78</v>
      </c>
      <c r="AA301" t="str">
        <f>VLOOKUP(H301,Departments!$A:$B,2,0)</f>
        <v>Emergency</v>
      </c>
      <c r="AB301" t="str">
        <f>VLOOKUP(J301,Diagnosis_Guide!$A:$B,2,0)</f>
        <v>Food Poisoning</v>
      </c>
      <c r="AC301" s="4" t="str">
        <f>VLOOKUP(J301,Diagnosis_Guide!$A:$C,3,0)</f>
        <v>Emergency</v>
      </c>
      <c r="AD301" s="4" t="str">
        <f>VLOOKUP(R301,Insurance_Plans!$A:$C,3,0)</f>
        <v>Private</v>
      </c>
      <c r="AE301" s="13">
        <f t="shared" si="12"/>
        <v>765</v>
      </c>
      <c r="AF301" s="13">
        <f t="shared" si="13"/>
        <v>16065</v>
      </c>
      <c r="AG301" s="4" t="str">
        <f t="shared" si="14"/>
        <v>Medium</v>
      </c>
    </row>
    <row r="302" spans="1:33">
      <c r="A302" t="s">
        <v>774</v>
      </c>
      <c r="B302" t="s">
        <v>760</v>
      </c>
      <c r="C302" s="11">
        <v>46030</v>
      </c>
      <c r="D302" t="s">
        <v>242</v>
      </c>
      <c r="E302" t="s">
        <v>70</v>
      </c>
      <c r="F302" s="4">
        <v>46031</v>
      </c>
      <c r="G302" s="4">
        <v>46034</v>
      </c>
      <c r="H302" t="s">
        <v>103</v>
      </c>
      <c r="I302" t="s">
        <v>412</v>
      </c>
      <c r="J302" t="s">
        <v>145</v>
      </c>
      <c r="K302" t="s">
        <v>124</v>
      </c>
      <c r="L302" t="s">
        <v>61</v>
      </c>
      <c r="M302" s="5">
        <v>34000</v>
      </c>
      <c r="N302" s="5">
        <v>5000</v>
      </c>
      <c r="O302" s="5">
        <v>5100</v>
      </c>
      <c r="P302" s="5">
        <v>18000</v>
      </c>
      <c r="Q302" s="13">
        <v>63300</v>
      </c>
      <c r="R302" t="s">
        <v>95</v>
      </c>
      <c r="S302" t="s">
        <v>63</v>
      </c>
      <c r="T302" s="5">
        <v>63300</v>
      </c>
      <c r="U302" s="6">
        <v>5</v>
      </c>
      <c r="V302" t="s">
        <v>77</v>
      </c>
      <c r="W302" s="4">
        <v>46047</v>
      </c>
      <c r="X302" t="s">
        <v>77</v>
      </c>
      <c r="Y302" t="s">
        <v>64</v>
      </c>
      <c r="Z302" t="s">
        <v>96</v>
      </c>
      <c r="AA302" t="str">
        <f>VLOOKUP(H302,Departments!$A:$B,2,0)</f>
        <v>Nephrology</v>
      </c>
      <c r="AB302" t="str">
        <f>VLOOKUP(J302,Diagnosis_Guide!$A:$B,2,0)</f>
        <v>Kidney Stone</v>
      </c>
      <c r="AC302" s="4" t="str">
        <f>VLOOKUP(J302,Diagnosis_Guide!$A:$C,3,0)</f>
        <v>Renal</v>
      </c>
      <c r="AD302" s="4" t="str">
        <f>VLOOKUP(R302,Insurance_Plans!$A:$C,3,0)</f>
        <v>Self-Pay</v>
      </c>
      <c r="AE302" s="13">
        <f t="shared" si="12"/>
        <v>3165</v>
      </c>
      <c r="AF302" s="13">
        <f t="shared" si="13"/>
        <v>66465</v>
      </c>
      <c r="AG302" s="4" t="str">
        <f t="shared" si="14"/>
        <v>High</v>
      </c>
    </row>
    <row r="303" spans="1:33">
      <c r="A303" t="s">
        <v>775</v>
      </c>
      <c r="B303" t="s">
        <v>776</v>
      </c>
      <c r="C303" s="11">
        <v>46039</v>
      </c>
      <c r="D303" t="s">
        <v>284</v>
      </c>
      <c r="E303" t="s">
        <v>70</v>
      </c>
      <c r="F303" s="4">
        <v>46039</v>
      </c>
      <c r="G303" s="4">
        <v>46042</v>
      </c>
      <c r="H303" t="s">
        <v>57</v>
      </c>
      <c r="I303" t="s">
        <v>100</v>
      </c>
      <c r="J303" t="s">
        <v>72</v>
      </c>
      <c r="K303" t="s">
        <v>124</v>
      </c>
      <c r="L303" t="s">
        <v>61</v>
      </c>
      <c r="M303" s="5">
        <v>10200</v>
      </c>
      <c r="N303" s="5">
        <v>850</v>
      </c>
      <c r="O303" s="5">
        <v>2450</v>
      </c>
      <c r="P303" s="5">
        <v>7500</v>
      </c>
      <c r="Q303" s="13">
        <v>23000</v>
      </c>
      <c r="R303" t="s">
        <v>106</v>
      </c>
      <c r="S303" t="s">
        <v>76</v>
      </c>
      <c r="T303" s="5">
        <v>8750</v>
      </c>
      <c r="U303" s="6">
        <v>4</v>
      </c>
      <c r="V303" t="s">
        <v>64</v>
      </c>
      <c r="W303" s="4"/>
      <c r="X303" t="s">
        <v>65</v>
      </c>
      <c r="Y303" t="s">
        <v>64</v>
      </c>
      <c r="Z303" t="s">
        <v>96</v>
      </c>
      <c r="AA303" t="str">
        <f>VLOOKUP(H303,Departments!$A:$B,2,0)</f>
        <v>Pulmonology</v>
      </c>
      <c r="AB303" t="str">
        <f>VLOOKUP(J303,Diagnosis_Guide!$A:$B,2,0)</f>
        <v>Acute Bronchitis</v>
      </c>
      <c r="AC303" s="4" t="str">
        <f>VLOOKUP(J303,Diagnosis_Guide!$A:$C,3,0)</f>
        <v>Respiratory</v>
      </c>
      <c r="AD303" s="4" t="str">
        <f>VLOOKUP(R303,Insurance_Plans!$A:$C,3,0)</f>
        <v>Private</v>
      </c>
      <c r="AE303" s="13">
        <f t="shared" si="12"/>
        <v>1150</v>
      </c>
      <c r="AF303" s="13">
        <f t="shared" si="13"/>
        <v>24150</v>
      </c>
      <c r="AG303" s="4" t="str">
        <f t="shared" si="14"/>
        <v>High</v>
      </c>
    </row>
    <row r="304" spans="1:33">
      <c r="A304" t="s">
        <v>777</v>
      </c>
      <c r="B304" t="s">
        <v>745</v>
      </c>
      <c r="C304" s="11">
        <v>46133</v>
      </c>
      <c r="D304" t="s">
        <v>55</v>
      </c>
      <c r="E304" t="s">
        <v>70</v>
      </c>
      <c r="F304" s="4">
        <v>46133</v>
      </c>
      <c r="G304" s="4">
        <v>46133</v>
      </c>
      <c r="H304" t="s">
        <v>111</v>
      </c>
      <c r="I304" t="s">
        <v>116</v>
      </c>
      <c r="J304" t="s">
        <v>384</v>
      </c>
      <c r="K304" t="s">
        <v>60</v>
      </c>
      <c r="L304" t="s">
        <v>61</v>
      </c>
      <c r="M304" s="5">
        <v>40600</v>
      </c>
      <c r="N304" s="5">
        <v>5700</v>
      </c>
      <c r="O304" s="5">
        <v>10050</v>
      </c>
      <c r="P304" s="5">
        <v>0</v>
      </c>
      <c r="Q304" s="13">
        <v>57150</v>
      </c>
      <c r="R304" t="s">
        <v>75</v>
      </c>
      <c r="S304" t="s">
        <v>76</v>
      </c>
      <c r="T304" s="5">
        <v>26020</v>
      </c>
      <c r="U304" s="6"/>
      <c r="V304" t="s">
        <v>77</v>
      </c>
      <c r="W304" s="4">
        <v>46148</v>
      </c>
      <c r="X304" t="s">
        <v>77</v>
      </c>
      <c r="Y304" t="s">
        <v>64</v>
      </c>
      <c r="Z304" t="s">
        <v>107</v>
      </c>
      <c r="AA304" t="str">
        <f>VLOOKUP(H304,Departments!$A:$B,2,0)</f>
        <v>General Medicine</v>
      </c>
      <c r="AB304" t="str">
        <f>VLOOKUP(J304,Diagnosis_Guide!$A:$B,2,0)</f>
        <v>Severe Infection</v>
      </c>
      <c r="AC304" s="4" t="str">
        <f>VLOOKUP(J304,Diagnosis_Guide!$A:$C,3,0)</f>
        <v>Infectious/General</v>
      </c>
      <c r="AD304" s="4" t="str">
        <f>VLOOKUP(R304,Insurance_Plans!$A:$C,3,0)</f>
        <v>Public</v>
      </c>
      <c r="AE304" s="13">
        <f t="shared" si="12"/>
        <v>2857.5</v>
      </c>
      <c r="AF304" s="13">
        <f t="shared" si="13"/>
        <v>60007.5</v>
      </c>
      <c r="AG304" s="4" t="str">
        <f t="shared" si="14"/>
        <v>Not Available</v>
      </c>
    </row>
    <row r="305" spans="1:33">
      <c r="A305" t="s">
        <v>778</v>
      </c>
      <c r="B305" t="s">
        <v>779</v>
      </c>
      <c r="C305" s="11">
        <v>46069</v>
      </c>
      <c r="D305" t="s">
        <v>469</v>
      </c>
      <c r="E305" t="s">
        <v>177</v>
      </c>
      <c r="F305" s="4"/>
      <c r="G305" s="4"/>
      <c r="H305" t="s">
        <v>103</v>
      </c>
      <c r="I305" t="s">
        <v>207</v>
      </c>
      <c r="J305" t="s">
        <v>244</v>
      </c>
      <c r="K305" t="s">
        <v>60</v>
      </c>
      <c r="L305" t="s">
        <v>94</v>
      </c>
      <c r="M305" s="5"/>
      <c r="N305" s="5"/>
      <c r="O305" s="5"/>
      <c r="P305" s="5"/>
      <c r="R305" t="s">
        <v>106</v>
      </c>
      <c r="S305" t="s">
        <v>63</v>
      </c>
      <c r="T305" s="5"/>
      <c r="U305" s="6"/>
      <c r="V305" t="s">
        <v>64</v>
      </c>
      <c r="W305" s="4"/>
      <c r="X305" t="s">
        <v>65</v>
      </c>
      <c r="Z305" t="s">
        <v>66</v>
      </c>
      <c r="AA305" t="str">
        <f>VLOOKUP(H305,Departments!$A:$B,2,0)</f>
        <v>Nephrology</v>
      </c>
      <c r="AB305" t="str">
        <f>VLOOKUP(J305,Diagnosis_Guide!$A:$B,2,0)</f>
        <v>Chronic Kidney Disease</v>
      </c>
      <c r="AC305" s="4" t="str">
        <f>VLOOKUP(J305,Diagnosis_Guide!$A:$C,3,0)</f>
        <v>Renal</v>
      </c>
      <c r="AD305" s="4" t="str">
        <f>VLOOKUP(R305,Insurance_Plans!$A:$C,3,0)</f>
        <v>Private</v>
      </c>
      <c r="AE305" s="13" t="str">
        <f t="shared" si="12"/>
        <v/>
      </c>
      <c r="AF305" s="13" t="str">
        <f t="shared" si="13"/>
        <v/>
      </c>
      <c r="AG305" s="4" t="str">
        <f t="shared" si="14"/>
        <v>Not Available</v>
      </c>
    </row>
    <row r="306" spans="1:33">
      <c r="A306" t="s">
        <v>780</v>
      </c>
      <c r="B306" t="s">
        <v>781</v>
      </c>
      <c r="C306" s="11">
        <v>46068</v>
      </c>
      <c r="D306" t="s">
        <v>469</v>
      </c>
      <c r="E306" t="s">
        <v>314</v>
      </c>
      <c r="F306" s="4"/>
      <c r="G306" s="4"/>
      <c r="H306" t="s">
        <v>103</v>
      </c>
      <c r="I306" t="s">
        <v>207</v>
      </c>
      <c r="J306" t="s">
        <v>244</v>
      </c>
      <c r="K306" t="s">
        <v>73</v>
      </c>
      <c r="L306" t="s">
        <v>146</v>
      </c>
      <c r="M306" s="5"/>
      <c r="N306" s="5"/>
      <c r="O306" s="5"/>
      <c r="P306" s="5"/>
      <c r="R306" t="s">
        <v>134</v>
      </c>
      <c r="S306" t="s">
        <v>63</v>
      </c>
      <c r="T306" s="5"/>
      <c r="U306" s="6"/>
      <c r="V306" t="s">
        <v>64</v>
      </c>
      <c r="W306" s="4"/>
      <c r="X306" t="s">
        <v>65</v>
      </c>
      <c r="Z306" t="s">
        <v>66</v>
      </c>
      <c r="AA306" t="str">
        <f>VLOOKUP(H306,Departments!$A:$B,2,0)</f>
        <v>Nephrology</v>
      </c>
      <c r="AB306" t="str">
        <f>VLOOKUP(J306,Diagnosis_Guide!$A:$B,2,0)</f>
        <v>Chronic Kidney Disease</v>
      </c>
      <c r="AC306" s="4" t="str">
        <f>VLOOKUP(J306,Diagnosis_Guide!$A:$C,3,0)</f>
        <v>Renal</v>
      </c>
      <c r="AD306" s="4" t="str">
        <f>VLOOKUP(R306,Insurance_Plans!$A:$C,3,0)</f>
        <v>Community</v>
      </c>
      <c r="AE306" s="13" t="str">
        <f t="shared" si="12"/>
        <v/>
      </c>
      <c r="AF306" s="13" t="str">
        <f t="shared" si="13"/>
        <v/>
      </c>
      <c r="AG306" s="4" t="str">
        <f t="shared" si="14"/>
        <v>Not Available</v>
      </c>
    </row>
    <row r="307" spans="1:33">
      <c r="A307" t="s">
        <v>782</v>
      </c>
      <c r="B307" t="s">
        <v>783</v>
      </c>
      <c r="C307" s="11">
        <v>46097</v>
      </c>
      <c r="D307" t="s">
        <v>294</v>
      </c>
      <c r="E307" t="s">
        <v>70</v>
      </c>
      <c r="F307" s="4">
        <v>46097</v>
      </c>
      <c r="G307" s="4">
        <v>46102</v>
      </c>
      <c r="H307" t="s">
        <v>150</v>
      </c>
      <c r="I307" t="s">
        <v>187</v>
      </c>
      <c r="J307" t="s">
        <v>188</v>
      </c>
      <c r="K307" t="s">
        <v>73</v>
      </c>
      <c r="L307" t="s">
        <v>61</v>
      </c>
      <c r="M307" s="5">
        <v>88300</v>
      </c>
      <c r="N307" s="5">
        <v>15850</v>
      </c>
      <c r="O307" s="5">
        <v>21000</v>
      </c>
      <c r="P307" s="5">
        <v>22500</v>
      </c>
      <c r="Q307" s="13">
        <v>150150</v>
      </c>
      <c r="R307" t="s">
        <v>62</v>
      </c>
      <c r="S307" t="s">
        <v>76</v>
      </c>
      <c r="T307" s="5">
        <v>45450</v>
      </c>
      <c r="U307" s="6">
        <v>2</v>
      </c>
      <c r="V307" t="s">
        <v>77</v>
      </c>
      <c r="W307" s="4">
        <v>46116</v>
      </c>
      <c r="X307" t="s">
        <v>64</v>
      </c>
      <c r="Y307" t="s">
        <v>64</v>
      </c>
      <c r="Z307" t="s">
        <v>96</v>
      </c>
      <c r="AA307" t="str">
        <f>VLOOKUP(H307,Departments!$A:$B,2,0)</f>
        <v>Obstetrics</v>
      </c>
      <c r="AB307" t="str">
        <f>VLOOKUP(J307,Diagnosis_Guide!$A:$B,2,0)</f>
        <v>Emergency C-Section</v>
      </c>
      <c r="AC307" s="4" t="str">
        <f>VLOOKUP(J307,Diagnosis_Guide!$A:$C,3,0)</f>
        <v>Maternal Health</v>
      </c>
      <c r="AD307" s="4" t="str">
        <f>VLOOKUP(R307,Insurance_Plans!$A:$C,3,0)</f>
        <v>Public</v>
      </c>
      <c r="AE307" s="13">
        <f t="shared" si="12"/>
        <v>7507.5</v>
      </c>
      <c r="AF307" s="13">
        <f t="shared" si="13"/>
        <v>157657.5</v>
      </c>
      <c r="AG307" s="4" t="str">
        <f t="shared" si="14"/>
        <v>Low</v>
      </c>
    </row>
    <row r="308" spans="1:33">
      <c r="A308" t="s">
        <v>784</v>
      </c>
      <c r="B308" t="s">
        <v>743</v>
      </c>
      <c r="C308" s="11">
        <v>46145</v>
      </c>
      <c r="D308" t="s">
        <v>173</v>
      </c>
      <c r="E308" t="s">
        <v>255</v>
      </c>
      <c r="F308" s="4"/>
      <c r="G308" s="4"/>
      <c r="H308" t="s">
        <v>90</v>
      </c>
      <c r="I308" t="s">
        <v>388</v>
      </c>
      <c r="J308" t="s">
        <v>92</v>
      </c>
      <c r="K308" t="s">
        <v>93</v>
      </c>
      <c r="L308" t="s">
        <v>94</v>
      </c>
      <c r="M308" s="5"/>
      <c r="N308" s="5"/>
      <c r="O308" s="5"/>
      <c r="P308" s="5"/>
      <c r="R308" t="s">
        <v>62</v>
      </c>
      <c r="S308" t="s">
        <v>63</v>
      </c>
      <c r="T308" s="5"/>
      <c r="U308" s="6"/>
      <c r="V308" t="s">
        <v>64</v>
      </c>
      <c r="W308" s="4"/>
      <c r="X308" t="s">
        <v>65</v>
      </c>
      <c r="Z308" t="s">
        <v>66</v>
      </c>
      <c r="AA308" t="str">
        <f>VLOOKUP(H308,Departments!$A:$B,2,0)</f>
        <v>Cardiology</v>
      </c>
      <c r="AB308" t="str">
        <f>VLOOKUP(J308,Diagnosis_Guide!$A:$B,2,0)</f>
        <v>Heart Failure</v>
      </c>
      <c r="AC308" s="4" t="str">
        <f>VLOOKUP(J308,Diagnosis_Guide!$A:$C,3,0)</f>
        <v>Cardiovascular</v>
      </c>
      <c r="AD308" s="4" t="str">
        <f>VLOOKUP(R308,Insurance_Plans!$A:$C,3,0)</f>
        <v>Public</v>
      </c>
      <c r="AE308" s="13" t="str">
        <f t="shared" si="12"/>
        <v/>
      </c>
      <c r="AF308" s="13" t="str">
        <f t="shared" si="13"/>
        <v/>
      </c>
      <c r="AG308" s="4" t="str">
        <f t="shared" si="14"/>
        <v>Not Available</v>
      </c>
    </row>
    <row r="309" spans="1:33">
      <c r="A309" t="s">
        <v>785</v>
      </c>
      <c r="B309" t="s">
        <v>786</v>
      </c>
      <c r="C309" s="11">
        <v>46074</v>
      </c>
      <c r="D309" t="s">
        <v>200</v>
      </c>
      <c r="E309" t="s">
        <v>70</v>
      </c>
      <c r="F309" s="4">
        <v>46075</v>
      </c>
      <c r="G309" s="4">
        <v>46080</v>
      </c>
      <c r="H309" t="s">
        <v>178</v>
      </c>
      <c r="I309" t="s">
        <v>218</v>
      </c>
      <c r="J309" t="s">
        <v>180</v>
      </c>
      <c r="K309" t="s">
        <v>93</v>
      </c>
      <c r="L309" t="s">
        <v>94</v>
      </c>
      <c r="M309" s="5">
        <v>68000</v>
      </c>
      <c r="N309" s="5">
        <v>8750</v>
      </c>
      <c r="O309" s="5">
        <v>10750</v>
      </c>
      <c r="P309" s="5">
        <v>22500</v>
      </c>
      <c r="Q309" s="13">
        <v>111500</v>
      </c>
      <c r="R309" t="s">
        <v>134</v>
      </c>
      <c r="S309" t="s">
        <v>76</v>
      </c>
      <c r="T309" s="5">
        <v>61530</v>
      </c>
      <c r="U309" s="6">
        <v>4</v>
      </c>
      <c r="V309" t="s">
        <v>77</v>
      </c>
      <c r="W309" s="4">
        <v>46098</v>
      </c>
      <c r="X309" t="s">
        <v>77</v>
      </c>
      <c r="Y309" t="s">
        <v>64</v>
      </c>
      <c r="Z309" t="s">
        <v>96</v>
      </c>
      <c r="AA309" t="str">
        <f>VLOOKUP(H309,Departments!$A:$B,2,0)</f>
        <v>Surgery</v>
      </c>
      <c r="AB309" t="str">
        <f>VLOOKUP(J309,Diagnosis_Guide!$A:$B,2,0)</f>
        <v>Appendicitis Surgery</v>
      </c>
      <c r="AC309" s="4" t="str">
        <f>VLOOKUP(J309,Diagnosis_Guide!$A:$C,3,0)</f>
        <v>Surgical</v>
      </c>
      <c r="AD309" s="4" t="str">
        <f>VLOOKUP(R309,Insurance_Plans!$A:$C,3,0)</f>
        <v>Community</v>
      </c>
      <c r="AE309" s="13">
        <f t="shared" si="12"/>
        <v>5575</v>
      </c>
      <c r="AF309" s="13">
        <f t="shared" si="13"/>
        <v>117075</v>
      </c>
      <c r="AG309" s="4" t="str">
        <f t="shared" si="14"/>
        <v>High</v>
      </c>
    </row>
    <row r="310" spans="1:33">
      <c r="A310" t="s">
        <v>787</v>
      </c>
      <c r="B310" t="s">
        <v>719</v>
      </c>
      <c r="C310" s="11">
        <v>46030</v>
      </c>
      <c r="D310" t="s">
        <v>120</v>
      </c>
      <c r="E310" t="s">
        <v>70</v>
      </c>
      <c r="F310" s="4">
        <v>46031</v>
      </c>
      <c r="G310" s="4">
        <v>46031</v>
      </c>
      <c r="H310" t="s">
        <v>57</v>
      </c>
      <c r="I310" t="s">
        <v>211</v>
      </c>
      <c r="J310" t="s">
        <v>72</v>
      </c>
      <c r="K310" t="s">
        <v>60</v>
      </c>
      <c r="L310" t="s">
        <v>74</v>
      </c>
      <c r="M310" s="5">
        <v>8800</v>
      </c>
      <c r="N310" s="5">
        <v>850</v>
      </c>
      <c r="O310" s="5">
        <v>1350</v>
      </c>
      <c r="P310" s="5">
        <v>0</v>
      </c>
      <c r="Q310" s="13">
        <v>13000</v>
      </c>
      <c r="R310" t="s">
        <v>95</v>
      </c>
      <c r="S310" t="s">
        <v>63</v>
      </c>
      <c r="T310" s="5">
        <v>13000</v>
      </c>
      <c r="U310" s="6">
        <v>5</v>
      </c>
      <c r="V310" t="s">
        <v>64</v>
      </c>
      <c r="W310" s="4"/>
      <c r="X310" t="s">
        <v>65</v>
      </c>
      <c r="Y310" t="s">
        <v>64</v>
      </c>
      <c r="Z310" t="s">
        <v>78</v>
      </c>
      <c r="AA310" t="str">
        <f>VLOOKUP(H310,Departments!$A:$B,2,0)</f>
        <v>Pulmonology</v>
      </c>
      <c r="AB310" t="str">
        <f>VLOOKUP(J310,Diagnosis_Guide!$A:$B,2,0)</f>
        <v>Acute Bronchitis</v>
      </c>
      <c r="AC310" s="4" t="str">
        <f>VLOOKUP(J310,Diagnosis_Guide!$A:$C,3,0)</f>
        <v>Respiratory</v>
      </c>
      <c r="AD310" s="4" t="str">
        <f>VLOOKUP(R310,Insurance_Plans!$A:$C,3,0)</f>
        <v>Self-Pay</v>
      </c>
      <c r="AE310" s="13">
        <f t="shared" si="12"/>
        <v>650</v>
      </c>
      <c r="AF310" s="13">
        <f t="shared" si="13"/>
        <v>13650</v>
      </c>
      <c r="AG310" s="4" t="str">
        <f t="shared" si="14"/>
        <v>High</v>
      </c>
    </row>
    <row r="311" spans="1:33">
      <c r="A311" t="s">
        <v>788</v>
      </c>
      <c r="B311" t="s">
        <v>789</v>
      </c>
      <c r="C311" s="11">
        <v>46075</v>
      </c>
      <c r="D311" t="s">
        <v>294</v>
      </c>
      <c r="E311" t="s">
        <v>70</v>
      </c>
      <c r="F311" s="4">
        <v>46075</v>
      </c>
      <c r="G311" s="4">
        <v>46076</v>
      </c>
      <c r="H311" t="s">
        <v>90</v>
      </c>
      <c r="I311" t="s">
        <v>128</v>
      </c>
      <c r="J311" t="s">
        <v>197</v>
      </c>
      <c r="K311" t="s">
        <v>60</v>
      </c>
      <c r="L311" t="s">
        <v>94</v>
      </c>
      <c r="M311" s="5">
        <v>21500</v>
      </c>
      <c r="N311" s="5">
        <v>3500</v>
      </c>
      <c r="O311" s="5">
        <v>2300</v>
      </c>
      <c r="P311" s="5">
        <v>3000</v>
      </c>
      <c r="Q311" s="13">
        <v>32300</v>
      </c>
      <c r="R311" t="s">
        <v>85</v>
      </c>
      <c r="S311" t="s">
        <v>76</v>
      </c>
      <c r="T311" s="5">
        <v>8980</v>
      </c>
      <c r="U311" s="6">
        <v>5</v>
      </c>
      <c r="V311" t="s">
        <v>77</v>
      </c>
      <c r="W311" s="4">
        <v>46097</v>
      </c>
      <c r="X311" t="s">
        <v>77</v>
      </c>
      <c r="Y311" t="s">
        <v>64</v>
      </c>
      <c r="Z311" t="s">
        <v>107</v>
      </c>
      <c r="AA311" t="str">
        <f>VLOOKUP(H311,Departments!$A:$B,2,0)</f>
        <v>Cardiology</v>
      </c>
      <c r="AB311" t="str">
        <f>VLOOKUP(J311,Diagnosis_Guide!$A:$B,2,0)</f>
        <v>Chest Pain</v>
      </c>
      <c r="AC311" s="4" t="str">
        <f>VLOOKUP(J311,Diagnosis_Guide!$A:$C,3,0)</f>
        <v>Cardiovascular</v>
      </c>
      <c r="AD311" s="4" t="str">
        <f>VLOOKUP(R311,Insurance_Plans!$A:$C,3,0)</f>
        <v>Employer</v>
      </c>
      <c r="AE311" s="13">
        <f t="shared" si="12"/>
        <v>1615</v>
      </c>
      <c r="AF311" s="13">
        <f t="shared" si="13"/>
        <v>33915</v>
      </c>
      <c r="AG311" s="4" t="str">
        <f t="shared" si="14"/>
        <v>High</v>
      </c>
    </row>
    <row r="312" spans="1:33">
      <c r="A312" t="s">
        <v>790</v>
      </c>
      <c r="B312" t="s">
        <v>182</v>
      </c>
      <c r="C312" s="11">
        <v>46094</v>
      </c>
      <c r="D312" t="s">
        <v>363</v>
      </c>
      <c r="E312" t="s">
        <v>70</v>
      </c>
      <c r="F312" s="4">
        <v>46094</v>
      </c>
      <c r="G312" s="4">
        <v>46094</v>
      </c>
      <c r="H312" t="s">
        <v>57</v>
      </c>
      <c r="I312" t="s">
        <v>58</v>
      </c>
      <c r="J312" t="s">
        <v>72</v>
      </c>
      <c r="K312" t="s">
        <v>60</v>
      </c>
      <c r="L312" t="s">
        <v>94</v>
      </c>
      <c r="M312" s="5">
        <v>8400</v>
      </c>
      <c r="N312" s="5">
        <v>1250</v>
      </c>
      <c r="O312" s="5">
        <v>1100</v>
      </c>
      <c r="P312" s="5">
        <v>0</v>
      </c>
      <c r="Q312" s="13">
        <v>13250</v>
      </c>
      <c r="R312" t="s">
        <v>85</v>
      </c>
      <c r="S312" t="s">
        <v>76</v>
      </c>
      <c r="T312" s="5">
        <v>4210</v>
      </c>
      <c r="U312" s="6">
        <v>5</v>
      </c>
      <c r="V312" t="s">
        <v>64</v>
      </c>
      <c r="W312" s="4"/>
      <c r="X312" t="s">
        <v>65</v>
      </c>
      <c r="Y312" t="s">
        <v>64</v>
      </c>
      <c r="Z312" t="s">
        <v>96</v>
      </c>
      <c r="AA312" t="str">
        <f>VLOOKUP(H312,Departments!$A:$B,2,0)</f>
        <v>Pulmonology</v>
      </c>
      <c r="AB312" t="str">
        <f>VLOOKUP(J312,Diagnosis_Guide!$A:$B,2,0)</f>
        <v>Acute Bronchitis</v>
      </c>
      <c r="AC312" s="4" t="str">
        <f>VLOOKUP(J312,Diagnosis_Guide!$A:$C,3,0)</f>
        <v>Respiratory</v>
      </c>
      <c r="AD312" s="4" t="str">
        <f>VLOOKUP(R312,Insurance_Plans!$A:$C,3,0)</f>
        <v>Employer</v>
      </c>
      <c r="AE312" s="13">
        <f t="shared" si="12"/>
        <v>662.5</v>
      </c>
      <c r="AF312" s="13">
        <f t="shared" si="13"/>
        <v>13912.5</v>
      </c>
      <c r="AG312" s="4" t="str">
        <f t="shared" si="14"/>
        <v>High</v>
      </c>
    </row>
    <row r="313" spans="1:33">
      <c r="A313" t="s">
        <v>791</v>
      </c>
      <c r="B313" t="s">
        <v>441</v>
      </c>
      <c r="C313" s="11">
        <v>46095</v>
      </c>
      <c r="D313" t="s">
        <v>144</v>
      </c>
      <c r="E313" t="s">
        <v>70</v>
      </c>
      <c r="F313" s="4">
        <v>46095</v>
      </c>
      <c r="G313" s="4">
        <v>46095</v>
      </c>
      <c r="H313" t="s">
        <v>121</v>
      </c>
      <c r="I313" t="s">
        <v>251</v>
      </c>
      <c r="J313" t="s">
        <v>123</v>
      </c>
      <c r="K313" t="s">
        <v>60</v>
      </c>
      <c r="L313" t="s">
        <v>94</v>
      </c>
      <c r="M313" s="5">
        <v>52900</v>
      </c>
      <c r="N313" s="5">
        <v>6700</v>
      </c>
      <c r="O313" s="5">
        <v>6150</v>
      </c>
      <c r="P313" s="5">
        <v>0</v>
      </c>
      <c r="Q313" s="13">
        <v>67750</v>
      </c>
      <c r="R313" t="s">
        <v>75</v>
      </c>
      <c r="S313" t="s">
        <v>86</v>
      </c>
      <c r="T313" s="5">
        <v>30790</v>
      </c>
      <c r="U313" s="6">
        <v>3</v>
      </c>
      <c r="V313" t="s">
        <v>77</v>
      </c>
      <c r="W313" s="4">
        <v>46114</v>
      </c>
      <c r="X313" t="s">
        <v>77</v>
      </c>
      <c r="Y313" t="s">
        <v>77</v>
      </c>
      <c r="Z313" t="s">
        <v>78</v>
      </c>
      <c r="AA313" t="str">
        <f>VLOOKUP(H313,Departments!$A:$B,2,0)</f>
        <v>Neurology</v>
      </c>
      <c r="AB313" t="str">
        <f>VLOOKUP(J313,Diagnosis_Guide!$A:$B,2,0)</f>
        <v>Seizure Episode</v>
      </c>
      <c r="AC313" s="4" t="str">
        <f>VLOOKUP(J313,Diagnosis_Guide!$A:$C,3,0)</f>
        <v>Neurological</v>
      </c>
      <c r="AD313" s="4" t="str">
        <f>VLOOKUP(R313,Insurance_Plans!$A:$C,3,0)</f>
        <v>Public</v>
      </c>
      <c r="AE313" s="13">
        <f t="shared" si="12"/>
        <v>3387.5</v>
      </c>
      <c r="AF313" s="13">
        <f t="shared" si="13"/>
        <v>71137.5</v>
      </c>
      <c r="AG313" s="4" t="str">
        <f t="shared" si="14"/>
        <v>Medium</v>
      </c>
    </row>
    <row r="314" spans="1:33">
      <c r="A314" t="s">
        <v>792</v>
      </c>
      <c r="B314" t="s">
        <v>297</v>
      </c>
      <c r="C314" s="11">
        <v>46076</v>
      </c>
      <c r="D314" t="s">
        <v>168</v>
      </c>
      <c r="E314" t="s">
        <v>70</v>
      </c>
      <c r="F314" s="4">
        <v>46076</v>
      </c>
      <c r="G314" s="4">
        <v>46077</v>
      </c>
      <c r="H314" t="s">
        <v>57</v>
      </c>
      <c r="I314" t="s">
        <v>71</v>
      </c>
      <c r="J314" t="s">
        <v>72</v>
      </c>
      <c r="K314" t="s">
        <v>93</v>
      </c>
      <c r="L314" t="s">
        <v>74</v>
      </c>
      <c r="M314" s="5">
        <v>10600</v>
      </c>
      <c r="N314" s="5">
        <v>1200</v>
      </c>
      <c r="O314" s="5">
        <v>1400</v>
      </c>
      <c r="P314" s="5">
        <v>2500</v>
      </c>
      <c r="Q314" s="13">
        <v>17500</v>
      </c>
      <c r="R314" t="s">
        <v>106</v>
      </c>
      <c r="S314" t="s">
        <v>76</v>
      </c>
      <c r="T314" s="5">
        <v>6820</v>
      </c>
      <c r="U314" s="6">
        <v>4</v>
      </c>
      <c r="V314" t="s">
        <v>77</v>
      </c>
      <c r="W314" s="4">
        <v>46085</v>
      </c>
      <c r="X314" t="s">
        <v>77</v>
      </c>
      <c r="Y314" t="s">
        <v>64</v>
      </c>
      <c r="Z314" t="s">
        <v>78</v>
      </c>
      <c r="AA314" t="str">
        <f>VLOOKUP(H314,Departments!$A:$B,2,0)</f>
        <v>Pulmonology</v>
      </c>
      <c r="AB314" t="str">
        <f>VLOOKUP(J314,Diagnosis_Guide!$A:$B,2,0)</f>
        <v>Acute Bronchitis</v>
      </c>
      <c r="AC314" s="4" t="str">
        <f>VLOOKUP(J314,Diagnosis_Guide!$A:$C,3,0)</f>
        <v>Respiratory</v>
      </c>
      <c r="AD314" s="4" t="str">
        <f>VLOOKUP(R314,Insurance_Plans!$A:$C,3,0)</f>
        <v>Private</v>
      </c>
      <c r="AE314" s="13">
        <f t="shared" si="12"/>
        <v>875</v>
      </c>
      <c r="AF314" s="13">
        <f t="shared" si="13"/>
        <v>18375</v>
      </c>
      <c r="AG314" s="4" t="str">
        <f t="shared" si="14"/>
        <v>High</v>
      </c>
    </row>
    <row r="315" spans="1:33">
      <c r="A315" t="s">
        <v>793</v>
      </c>
      <c r="B315" t="s">
        <v>794</v>
      </c>
      <c r="C315" s="11">
        <v>46059</v>
      </c>
      <c r="D315" t="s">
        <v>337</v>
      </c>
      <c r="E315" t="s">
        <v>70</v>
      </c>
      <c r="F315" s="4">
        <v>46059</v>
      </c>
      <c r="G315" s="4">
        <v>46066</v>
      </c>
      <c r="H315" t="s">
        <v>82</v>
      </c>
      <c r="I315" t="s">
        <v>369</v>
      </c>
      <c r="J315" t="s">
        <v>156</v>
      </c>
      <c r="K315" t="s">
        <v>73</v>
      </c>
      <c r="L315" t="s">
        <v>74</v>
      </c>
      <c r="M315" s="5">
        <v>82600</v>
      </c>
      <c r="N315" s="5">
        <v>7800</v>
      </c>
      <c r="O315" s="5">
        <v>9550</v>
      </c>
      <c r="P315" s="5">
        <v>21000</v>
      </c>
      <c r="Q315" s="13">
        <v>121750</v>
      </c>
      <c r="R315" t="s">
        <v>75</v>
      </c>
      <c r="S315" t="s">
        <v>76</v>
      </c>
      <c r="T315" s="5">
        <v>55090</v>
      </c>
      <c r="U315" s="6">
        <v>2</v>
      </c>
      <c r="V315" t="s">
        <v>77</v>
      </c>
      <c r="W315" s="4">
        <v>46079</v>
      </c>
      <c r="X315" t="s">
        <v>64</v>
      </c>
      <c r="Y315" t="s">
        <v>77</v>
      </c>
      <c r="Z315" t="s">
        <v>96</v>
      </c>
      <c r="AA315" t="str">
        <f>VLOOKUP(H315,Departments!$A:$B,2,0)</f>
        <v>Orthopedics</v>
      </c>
      <c r="AB315" t="str">
        <f>VLOOKUP(J315,Diagnosis_Guide!$A:$B,2,0)</f>
        <v>Spinal Injury</v>
      </c>
      <c r="AC315" s="4" t="str">
        <f>VLOOKUP(J315,Diagnosis_Guide!$A:$C,3,0)</f>
        <v>Musculoskeletal</v>
      </c>
      <c r="AD315" s="4" t="str">
        <f>VLOOKUP(R315,Insurance_Plans!$A:$C,3,0)</f>
        <v>Public</v>
      </c>
      <c r="AE315" s="13">
        <f t="shared" si="12"/>
        <v>6087.5</v>
      </c>
      <c r="AF315" s="13">
        <f t="shared" si="13"/>
        <v>127837.5</v>
      </c>
      <c r="AG315" s="4" t="str">
        <f t="shared" si="14"/>
        <v>Low</v>
      </c>
    </row>
    <row r="316" spans="1:33">
      <c r="A316" t="s">
        <v>795</v>
      </c>
      <c r="B316" t="s">
        <v>102</v>
      </c>
      <c r="C316" s="11">
        <v>46121</v>
      </c>
      <c r="D316" t="s">
        <v>55</v>
      </c>
      <c r="E316" t="s">
        <v>70</v>
      </c>
      <c r="F316" s="4">
        <v>46121</v>
      </c>
      <c r="G316" s="4">
        <v>46123</v>
      </c>
      <c r="H316" t="s">
        <v>201</v>
      </c>
      <c r="I316" t="s">
        <v>515</v>
      </c>
      <c r="J316" t="s">
        <v>203</v>
      </c>
      <c r="K316" t="s">
        <v>124</v>
      </c>
      <c r="L316" t="s">
        <v>94</v>
      </c>
      <c r="M316" s="5">
        <v>43700</v>
      </c>
      <c r="N316" s="5">
        <v>5600</v>
      </c>
      <c r="O316" s="5">
        <v>10250</v>
      </c>
      <c r="P316" s="5">
        <v>9000</v>
      </c>
      <c r="Q316" s="13">
        <v>69750</v>
      </c>
      <c r="R316" t="s">
        <v>141</v>
      </c>
      <c r="S316" t="s">
        <v>76</v>
      </c>
      <c r="T316" s="5">
        <v>11660</v>
      </c>
      <c r="U316" s="6">
        <v>3</v>
      </c>
      <c r="V316" t="s">
        <v>77</v>
      </c>
      <c r="W316" s="4">
        <v>46140</v>
      </c>
      <c r="X316" t="s">
        <v>64</v>
      </c>
      <c r="Y316" t="s">
        <v>64</v>
      </c>
      <c r="Z316" t="s">
        <v>107</v>
      </c>
      <c r="AA316" t="str">
        <f>VLOOKUP(H316,Departments!$A:$B,2,0)</f>
        <v>Emergency</v>
      </c>
      <c r="AB316" t="str">
        <f>VLOOKUP(J316,Diagnosis_Guide!$A:$B,2,0)</f>
        <v>Trauma Observation</v>
      </c>
      <c r="AC316" s="4" t="str">
        <f>VLOOKUP(J316,Diagnosis_Guide!$A:$C,3,0)</f>
        <v>Emergency</v>
      </c>
      <c r="AD316" s="4" t="str">
        <f>VLOOKUP(R316,Insurance_Plans!$A:$C,3,0)</f>
        <v>Private</v>
      </c>
      <c r="AE316" s="13">
        <f t="shared" si="12"/>
        <v>3487.5</v>
      </c>
      <c r="AF316" s="13">
        <f t="shared" si="13"/>
        <v>73237.5</v>
      </c>
      <c r="AG316" s="4" t="str">
        <f t="shared" si="14"/>
        <v>Medium</v>
      </c>
    </row>
    <row r="317" spans="1:33">
      <c r="A317" t="s">
        <v>796</v>
      </c>
      <c r="B317" t="s">
        <v>196</v>
      </c>
      <c r="C317" s="11">
        <v>46161</v>
      </c>
      <c r="D317" t="s">
        <v>363</v>
      </c>
      <c r="E317" t="s">
        <v>70</v>
      </c>
      <c r="F317" s="4">
        <v>46162</v>
      </c>
      <c r="G317" s="4">
        <v>46166</v>
      </c>
      <c r="H317" t="s">
        <v>90</v>
      </c>
      <c r="I317" t="s">
        <v>128</v>
      </c>
      <c r="J317" t="s">
        <v>92</v>
      </c>
      <c r="K317" t="s">
        <v>73</v>
      </c>
      <c r="L317" t="s">
        <v>61</v>
      </c>
      <c r="M317" s="5">
        <v>48800</v>
      </c>
      <c r="N317" s="5">
        <v>5800</v>
      </c>
      <c r="O317" s="5">
        <v>7550</v>
      </c>
      <c r="P317" s="5">
        <v>14000</v>
      </c>
      <c r="Q317" s="13">
        <v>78150</v>
      </c>
      <c r="R317" t="s">
        <v>85</v>
      </c>
      <c r="S317" t="s">
        <v>76</v>
      </c>
      <c r="T317" s="5">
        <v>20440</v>
      </c>
      <c r="U317" s="6">
        <v>4</v>
      </c>
      <c r="V317" t="s">
        <v>77</v>
      </c>
      <c r="W317" s="4">
        <v>46176</v>
      </c>
      <c r="X317" t="s">
        <v>77</v>
      </c>
      <c r="Y317" t="s">
        <v>64</v>
      </c>
      <c r="Z317" t="s">
        <v>78</v>
      </c>
      <c r="AA317" t="str">
        <f>VLOOKUP(H317,Departments!$A:$B,2,0)</f>
        <v>Cardiology</v>
      </c>
      <c r="AB317" t="str">
        <f>VLOOKUP(J317,Diagnosis_Guide!$A:$B,2,0)</f>
        <v>Heart Failure</v>
      </c>
      <c r="AC317" s="4" t="str">
        <f>VLOOKUP(J317,Diagnosis_Guide!$A:$C,3,0)</f>
        <v>Cardiovascular</v>
      </c>
      <c r="AD317" s="4" t="str">
        <f>VLOOKUP(R317,Insurance_Plans!$A:$C,3,0)</f>
        <v>Employer</v>
      </c>
      <c r="AE317" s="13">
        <f t="shared" si="12"/>
        <v>3907.5</v>
      </c>
      <c r="AF317" s="13">
        <f t="shared" si="13"/>
        <v>82057.5</v>
      </c>
      <c r="AG317" s="4" t="str">
        <f t="shared" si="14"/>
        <v>High</v>
      </c>
    </row>
    <row r="318" spans="1:33">
      <c r="A318" t="s">
        <v>797</v>
      </c>
      <c r="B318" t="s">
        <v>443</v>
      </c>
      <c r="C318" s="11">
        <v>46077</v>
      </c>
      <c r="D318" t="s">
        <v>432</v>
      </c>
      <c r="E318" t="s">
        <v>70</v>
      </c>
      <c r="F318" s="4">
        <v>46078</v>
      </c>
      <c r="G318" s="4">
        <v>46081</v>
      </c>
      <c r="H318" t="s">
        <v>138</v>
      </c>
      <c r="I318" t="s">
        <v>352</v>
      </c>
      <c r="J318" t="s">
        <v>140</v>
      </c>
      <c r="K318" t="s">
        <v>73</v>
      </c>
      <c r="L318" t="s">
        <v>74</v>
      </c>
      <c r="M318" s="5">
        <v>11500</v>
      </c>
      <c r="N318" s="5">
        <v>1150</v>
      </c>
      <c r="O318" s="5">
        <v>2100</v>
      </c>
      <c r="P318" s="5">
        <v>9000</v>
      </c>
      <c r="Q318" s="13">
        <v>25550</v>
      </c>
      <c r="R318" t="s">
        <v>85</v>
      </c>
      <c r="S318" t="s">
        <v>86</v>
      </c>
      <c r="T318" s="5">
        <v>7290</v>
      </c>
      <c r="U318" s="6">
        <v>4</v>
      </c>
      <c r="V318" t="s">
        <v>64</v>
      </c>
      <c r="W318" s="4"/>
      <c r="X318" t="s">
        <v>65</v>
      </c>
      <c r="Y318" t="s">
        <v>64</v>
      </c>
      <c r="Z318" t="s">
        <v>96</v>
      </c>
      <c r="AA318" t="str">
        <f>VLOOKUP(H318,Departments!$A:$B,2,0)</f>
        <v>Pediatrics</v>
      </c>
      <c r="AB318" t="str">
        <f>VLOOKUP(J318,Diagnosis_Guide!$A:$B,2,0)</f>
        <v>Pediatric Asthma</v>
      </c>
      <c r="AC318" s="4" t="str">
        <f>VLOOKUP(J318,Diagnosis_Guide!$A:$C,3,0)</f>
        <v>Pediatric</v>
      </c>
      <c r="AD318" s="4" t="str">
        <f>VLOOKUP(R318,Insurance_Plans!$A:$C,3,0)</f>
        <v>Employer</v>
      </c>
      <c r="AE318" s="13">
        <f t="shared" si="12"/>
        <v>1277.5</v>
      </c>
      <c r="AF318" s="13">
        <f t="shared" si="13"/>
        <v>26827.5</v>
      </c>
      <c r="AG318" s="4" t="str">
        <f t="shared" si="14"/>
        <v>High</v>
      </c>
    </row>
    <row r="319" spans="1:33">
      <c r="A319" t="s">
        <v>798</v>
      </c>
      <c r="B319" t="s">
        <v>799</v>
      </c>
      <c r="C319" s="11">
        <v>46125</v>
      </c>
      <c r="D319" t="s">
        <v>279</v>
      </c>
      <c r="E319" t="s">
        <v>70</v>
      </c>
      <c r="F319" s="4">
        <v>46125</v>
      </c>
      <c r="G319" s="4">
        <v>46125</v>
      </c>
      <c r="H319" t="s">
        <v>150</v>
      </c>
      <c r="I319" t="s">
        <v>247</v>
      </c>
      <c r="J319" t="s">
        <v>152</v>
      </c>
      <c r="K319" t="s">
        <v>60</v>
      </c>
      <c r="L319" t="s">
        <v>61</v>
      </c>
      <c r="M319" s="5">
        <v>27200</v>
      </c>
      <c r="N319" s="5">
        <v>3600</v>
      </c>
      <c r="O319" s="5">
        <v>5300</v>
      </c>
      <c r="P319" s="5">
        <v>0</v>
      </c>
      <c r="Q319" s="13">
        <v>37100</v>
      </c>
      <c r="R319" t="s">
        <v>75</v>
      </c>
      <c r="S319" t="s">
        <v>76</v>
      </c>
      <c r="T319" s="5">
        <v>17000</v>
      </c>
      <c r="U319" s="6">
        <v>4</v>
      </c>
      <c r="V319" t="s">
        <v>77</v>
      </c>
      <c r="W319" s="4">
        <v>46132</v>
      </c>
      <c r="X319" t="s">
        <v>77</v>
      </c>
      <c r="Y319" t="s">
        <v>64</v>
      </c>
      <c r="Z319" t="s">
        <v>96</v>
      </c>
      <c r="AA319" t="str">
        <f>VLOOKUP(H319,Departments!$A:$B,2,0)</f>
        <v>Obstetrics</v>
      </c>
      <c r="AB319" t="str">
        <f>VLOOKUP(J319,Diagnosis_Guide!$A:$B,2,0)</f>
        <v>Antenatal Complication</v>
      </c>
      <c r="AC319" s="4" t="str">
        <f>VLOOKUP(J319,Diagnosis_Guide!$A:$C,3,0)</f>
        <v>Maternal Health</v>
      </c>
      <c r="AD319" s="4" t="str">
        <f>VLOOKUP(R319,Insurance_Plans!$A:$C,3,0)</f>
        <v>Public</v>
      </c>
      <c r="AE319" s="13">
        <f t="shared" si="12"/>
        <v>1855</v>
      </c>
      <c r="AF319" s="13">
        <f t="shared" si="13"/>
        <v>38955</v>
      </c>
      <c r="AG319" s="4" t="str">
        <f t="shared" si="14"/>
        <v>High</v>
      </c>
    </row>
    <row r="320" spans="1:33">
      <c r="A320" t="s">
        <v>800</v>
      </c>
      <c r="B320" t="s">
        <v>801</v>
      </c>
      <c r="C320" s="11">
        <v>46115</v>
      </c>
      <c r="D320" t="s">
        <v>144</v>
      </c>
      <c r="E320" t="s">
        <v>70</v>
      </c>
      <c r="F320" s="4">
        <v>46115</v>
      </c>
      <c r="G320" s="4">
        <v>46117</v>
      </c>
      <c r="H320" t="s">
        <v>111</v>
      </c>
      <c r="I320" t="s">
        <v>267</v>
      </c>
      <c r="J320" t="s">
        <v>113</v>
      </c>
      <c r="K320" t="s">
        <v>124</v>
      </c>
      <c r="L320" t="s">
        <v>74</v>
      </c>
      <c r="M320" s="5">
        <v>19600</v>
      </c>
      <c r="N320" s="5">
        <v>1750</v>
      </c>
      <c r="O320" s="5">
        <v>3600</v>
      </c>
      <c r="P320" s="5">
        <v>6000</v>
      </c>
      <c r="Q320" s="13">
        <v>32150</v>
      </c>
      <c r="R320" t="s">
        <v>75</v>
      </c>
      <c r="S320" t="s">
        <v>76</v>
      </c>
      <c r="T320" s="5">
        <v>14770</v>
      </c>
      <c r="U320" s="6">
        <v>5</v>
      </c>
      <c r="V320" t="s">
        <v>64</v>
      </c>
      <c r="W320" s="4"/>
      <c r="X320" t="s">
        <v>65</v>
      </c>
      <c r="Y320" t="s">
        <v>64</v>
      </c>
      <c r="Z320" t="s">
        <v>78</v>
      </c>
      <c r="AA320" t="str">
        <f>VLOOKUP(H320,Departments!$A:$B,2,0)</f>
        <v>General Medicine</v>
      </c>
      <c r="AB320" t="str">
        <f>VLOOKUP(J320,Diagnosis_Guide!$A:$B,2,0)</f>
        <v>Diabetes Complication</v>
      </c>
      <c r="AC320" s="4" t="str">
        <f>VLOOKUP(J320,Diagnosis_Guide!$A:$C,3,0)</f>
        <v>Endocrine/General</v>
      </c>
      <c r="AD320" s="4" t="str">
        <f>VLOOKUP(R320,Insurance_Plans!$A:$C,3,0)</f>
        <v>Public</v>
      </c>
      <c r="AE320" s="13">
        <f t="shared" si="12"/>
        <v>1607.5</v>
      </c>
      <c r="AF320" s="13">
        <f t="shared" si="13"/>
        <v>33757.5</v>
      </c>
      <c r="AG320" s="4" t="str">
        <f t="shared" si="14"/>
        <v>High</v>
      </c>
    </row>
    <row r="321" spans="1:33">
      <c r="A321" t="s">
        <v>802</v>
      </c>
      <c r="B321" t="s">
        <v>667</v>
      </c>
      <c r="C321" s="11">
        <v>46136</v>
      </c>
      <c r="D321" t="s">
        <v>81</v>
      </c>
      <c r="E321" t="s">
        <v>70</v>
      </c>
      <c r="F321" s="4">
        <v>46136</v>
      </c>
      <c r="G321" s="4">
        <v>46136</v>
      </c>
      <c r="H321" t="s">
        <v>103</v>
      </c>
      <c r="I321" t="s">
        <v>104</v>
      </c>
      <c r="J321" t="s">
        <v>244</v>
      </c>
      <c r="K321" t="s">
        <v>60</v>
      </c>
      <c r="L321" t="s">
        <v>74</v>
      </c>
      <c r="M321" s="5">
        <v>66000</v>
      </c>
      <c r="N321" s="5">
        <v>9050</v>
      </c>
      <c r="O321" s="5">
        <v>11050</v>
      </c>
      <c r="P321" s="5">
        <v>0</v>
      </c>
      <c r="Q321" s="13">
        <v>87900</v>
      </c>
      <c r="R321" t="s">
        <v>75</v>
      </c>
      <c r="S321" t="s">
        <v>76</v>
      </c>
      <c r="T321" s="5">
        <v>39850</v>
      </c>
      <c r="U321" s="6">
        <v>4</v>
      </c>
      <c r="V321" t="s">
        <v>77</v>
      </c>
      <c r="W321" s="4">
        <v>46148</v>
      </c>
      <c r="X321" t="s">
        <v>64</v>
      </c>
      <c r="Y321" t="s">
        <v>64</v>
      </c>
      <c r="Z321" t="s">
        <v>96</v>
      </c>
      <c r="AA321" t="str">
        <f>VLOOKUP(H321,Departments!$A:$B,2,0)</f>
        <v>Nephrology</v>
      </c>
      <c r="AB321" t="str">
        <f>VLOOKUP(J321,Diagnosis_Guide!$A:$B,2,0)</f>
        <v>Chronic Kidney Disease</v>
      </c>
      <c r="AC321" s="4" t="str">
        <f>VLOOKUP(J321,Diagnosis_Guide!$A:$C,3,0)</f>
        <v>Renal</v>
      </c>
      <c r="AD321" s="4" t="str">
        <f>VLOOKUP(R321,Insurance_Plans!$A:$C,3,0)</f>
        <v>Public</v>
      </c>
      <c r="AE321" s="13">
        <f t="shared" si="12"/>
        <v>4395</v>
      </c>
      <c r="AF321" s="13">
        <f t="shared" si="13"/>
        <v>92295</v>
      </c>
      <c r="AG321" s="4" t="str">
        <f t="shared" si="14"/>
        <v>High</v>
      </c>
    </row>
    <row r="322" spans="1:33">
      <c r="A322" t="s">
        <v>803</v>
      </c>
      <c r="B322" t="s">
        <v>401</v>
      </c>
      <c r="C322" s="11">
        <v>46097</v>
      </c>
      <c r="D322" t="s">
        <v>294</v>
      </c>
      <c r="E322" t="s">
        <v>70</v>
      </c>
      <c r="F322" s="4">
        <v>46098</v>
      </c>
      <c r="G322" s="4">
        <v>46098</v>
      </c>
      <c r="H322" t="s">
        <v>201</v>
      </c>
      <c r="I322" t="s">
        <v>327</v>
      </c>
      <c r="J322" t="s">
        <v>281</v>
      </c>
      <c r="K322" t="s">
        <v>124</v>
      </c>
      <c r="L322" t="s">
        <v>94</v>
      </c>
      <c r="M322" s="5">
        <v>9700</v>
      </c>
      <c r="N322" s="5">
        <v>1150</v>
      </c>
      <c r="O322" s="5">
        <v>1350</v>
      </c>
      <c r="P322" s="5">
        <v>0</v>
      </c>
      <c r="Q322" s="13">
        <v>13200</v>
      </c>
      <c r="R322" t="s">
        <v>141</v>
      </c>
      <c r="S322" t="s">
        <v>163</v>
      </c>
      <c r="T322" s="5">
        <v>3180</v>
      </c>
      <c r="U322" s="6">
        <v>4</v>
      </c>
      <c r="V322" t="s">
        <v>64</v>
      </c>
      <c r="W322" s="4"/>
      <c r="X322" t="s">
        <v>65</v>
      </c>
      <c r="Y322" t="s">
        <v>77</v>
      </c>
      <c r="Z322" t="s">
        <v>96</v>
      </c>
      <c r="AA322" t="str">
        <f>VLOOKUP(H322,Departments!$A:$B,2,0)</f>
        <v>Emergency</v>
      </c>
      <c r="AB322" t="str">
        <f>VLOOKUP(J322,Diagnosis_Guide!$A:$B,2,0)</f>
        <v>Food Poisoning</v>
      </c>
      <c r="AC322" s="4" t="str">
        <f>VLOOKUP(J322,Diagnosis_Guide!$A:$C,3,0)</f>
        <v>Emergency</v>
      </c>
      <c r="AD322" s="4" t="str">
        <f>VLOOKUP(R322,Insurance_Plans!$A:$C,3,0)</f>
        <v>Private</v>
      </c>
      <c r="AE322" s="13">
        <f t="shared" ref="AE322:AE385" si="15">IF(Q322="","",Q322*0.05)</f>
        <v>660</v>
      </c>
      <c r="AF322" s="13">
        <f t="shared" ref="AF322:AF385" si="16">IF(Q322="","",Q322+AE322)</f>
        <v>13860</v>
      </c>
      <c r="AG322" s="4" t="str">
        <f t="shared" ref="AG322:AG385" si="17">IF(U322="","Not Available",IF(U322&gt;=4,"High",IF(U322=3,"Medium","Low")))</f>
        <v>High</v>
      </c>
    </row>
    <row r="323" spans="1:33">
      <c r="A323" t="s">
        <v>804</v>
      </c>
      <c r="B323" t="s">
        <v>805</v>
      </c>
      <c r="C323" s="11">
        <v>46140</v>
      </c>
      <c r="D323" t="s">
        <v>294</v>
      </c>
      <c r="E323" t="s">
        <v>70</v>
      </c>
      <c r="F323" s="4">
        <v>46140</v>
      </c>
      <c r="G323" s="4">
        <v>46141</v>
      </c>
      <c r="H323" t="s">
        <v>111</v>
      </c>
      <c r="I323" t="s">
        <v>355</v>
      </c>
      <c r="J323" t="s">
        <v>384</v>
      </c>
      <c r="K323" t="s">
        <v>60</v>
      </c>
      <c r="L323" t="s">
        <v>146</v>
      </c>
      <c r="M323" s="5">
        <v>50500</v>
      </c>
      <c r="N323" s="5">
        <v>4200</v>
      </c>
      <c r="O323" s="5">
        <v>10150</v>
      </c>
      <c r="P323" s="5">
        <v>4500</v>
      </c>
      <c r="Q323" s="13">
        <v>70850</v>
      </c>
      <c r="R323" t="s">
        <v>106</v>
      </c>
      <c r="S323" t="s">
        <v>86</v>
      </c>
      <c r="T323" s="5">
        <v>25500</v>
      </c>
      <c r="U323" s="6">
        <v>5</v>
      </c>
      <c r="V323" t="s">
        <v>64</v>
      </c>
      <c r="W323" s="4"/>
      <c r="X323" t="s">
        <v>65</v>
      </c>
      <c r="Y323" t="s">
        <v>64</v>
      </c>
      <c r="Z323" t="s">
        <v>96</v>
      </c>
      <c r="AA323" t="str">
        <f>VLOOKUP(H323,Departments!$A:$B,2,0)</f>
        <v>General Medicine</v>
      </c>
      <c r="AB323" t="str">
        <f>VLOOKUP(J323,Diagnosis_Guide!$A:$B,2,0)</f>
        <v>Severe Infection</v>
      </c>
      <c r="AC323" s="4" t="str">
        <f>VLOOKUP(J323,Diagnosis_Guide!$A:$C,3,0)</f>
        <v>Infectious/General</v>
      </c>
      <c r="AD323" s="4" t="str">
        <f>VLOOKUP(R323,Insurance_Plans!$A:$C,3,0)</f>
        <v>Private</v>
      </c>
      <c r="AE323" s="13">
        <f t="shared" si="15"/>
        <v>3542.5</v>
      </c>
      <c r="AF323" s="13">
        <f t="shared" si="16"/>
        <v>74392.5</v>
      </c>
      <c r="AG323" s="4" t="str">
        <f t="shared" si="17"/>
        <v>High</v>
      </c>
    </row>
    <row r="324" spans="1:33">
      <c r="A324" t="s">
        <v>806</v>
      </c>
      <c r="B324" t="s">
        <v>249</v>
      </c>
      <c r="C324" s="11">
        <v>46044</v>
      </c>
      <c r="D324" t="s">
        <v>168</v>
      </c>
      <c r="E324" t="s">
        <v>70</v>
      </c>
      <c r="F324" s="4">
        <v>46044</v>
      </c>
      <c r="G324" s="4">
        <v>46047</v>
      </c>
      <c r="H324" t="s">
        <v>201</v>
      </c>
      <c r="I324" t="s">
        <v>515</v>
      </c>
      <c r="J324" t="s">
        <v>295</v>
      </c>
      <c r="K324" t="s">
        <v>73</v>
      </c>
      <c r="L324" t="s">
        <v>61</v>
      </c>
      <c r="M324" s="5">
        <v>45500</v>
      </c>
      <c r="N324" s="5">
        <v>7300</v>
      </c>
      <c r="O324" s="5">
        <v>9850</v>
      </c>
      <c r="P324" s="5">
        <v>7500</v>
      </c>
      <c r="Q324" s="13">
        <v>71350</v>
      </c>
      <c r="R324" t="s">
        <v>75</v>
      </c>
      <c r="S324" t="s">
        <v>76</v>
      </c>
      <c r="T324" s="5">
        <v>32410</v>
      </c>
      <c r="U324" s="6">
        <v>4</v>
      </c>
      <c r="V324" t="s">
        <v>64</v>
      </c>
      <c r="W324" s="4"/>
      <c r="X324" t="s">
        <v>65</v>
      </c>
      <c r="Y324" t="s">
        <v>64</v>
      </c>
      <c r="Z324" t="s">
        <v>436</v>
      </c>
      <c r="AA324" t="str">
        <f>VLOOKUP(H324,Departments!$A:$B,2,0)</f>
        <v>Emergency</v>
      </c>
      <c r="AB324" t="str">
        <f>VLOOKUP(J324,Diagnosis_Guide!$A:$B,2,0)</f>
        <v>Accident Injury</v>
      </c>
      <c r="AC324" s="4" t="str">
        <f>VLOOKUP(J324,Diagnosis_Guide!$A:$C,3,0)</f>
        <v>Emergency</v>
      </c>
      <c r="AD324" s="4" t="str">
        <f>VLOOKUP(R324,Insurance_Plans!$A:$C,3,0)</f>
        <v>Public</v>
      </c>
      <c r="AE324" s="13">
        <f t="shared" si="15"/>
        <v>3567.5</v>
      </c>
      <c r="AF324" s="13">
        <f t="shared" si="16"/>
        <v>74917.5</v>
      </c>
      <c r="AG324" s="4" t="str">
        <f t="shared" si="17"/>
        <v>High</v>
      </c>
    </row>
    <row r="325" spans="1:33">
      <c r="A325" t="s">
        <v>807</v>
      </c>
      <c r="B325" t="s">
        <v>640</v>
      </c>
      <c r="C325" s="11">
        <v>46058</v>
      </c>
      <c r="D325" t="s">
        <v>69</v>
      </c>
      <c r="E325" t="s">
        <v>70</v>
      </c>
      <c r="F325" s="4">
        <v>46059</v>
      </c>
      <c r="G325" s="4">
        <v>46066</v>
      </c>
      <c r="H325" t="s">
        <v>103</v>
      </c>
      <c r="I325" t="s">
        <v>214</v>
      </c>
      <c r="J325" t="s">
        <v>244</v>
      </c>
      <c r="K325" t="s">
        <v>124</v>
      </c>
      <c r="L325" t="s">
        <v>61</v>
      </c>
      <c r="M325" s="5"/>
      <c r="N325" s="5">
        <v>8050</v>
      </c>
      <c r="O325" s="5">
        <v>7250</v>
      </c>
      <c r="P325" s="5">
        <v>21000</v>
      </c>
      <c r="Q325" s="13">
        <v>93500</v>
      </c>
      <c r="R325" t="s">
        <v>95</v>
      </c>
      <c r="S325" t="s">
        <v>63</v>
      </c>
      <c r="T325" s="5">
        <v>93500</v>
      </c>
      <c r="U325" s="6">
        <v>5</v>
      </c>
      <c r="V325" t="s">
        <v>77</v>
      </c>
      <c r="W325" s="4">
        <v>46084</v>
      </c>
      <c r="X325" t="s">
        <v>77</v>
      </c>
      <c r="Y325" t="s">
        <v>64</v>
      </c>
      <c r="Z325" t="s">
        <v>96</v>
      </c>
      <c r="AA325" t="str">
        <f>VLOOKUP(H325,Departments!$A:$B,2,0)</f>
        <v>Nephrology</v>
      </c>
      <c r="AB325" t="str">
        <f>VLOOKUP(J325,Diagnosis_Guide!$A:$B,2,0)</f>
        <v>Chronic Kidney Disease</v>
      </c>
      <c r="AC325" s="4" t="str">
        <f>VLOOKUP(J325,Diagnosis_Guide!$A:$C,3,0)</f>
        <v>Renal</v>
      </c>
      <c r="AD325" s="4" t="str">
        <f>VLOOKUP(R325,Insurance_Plans!$A:$C,3,0)</f>
        <v>Self-Pay</v>
      </c>
      <c r="AE325" s="13">
        <f t="shared" si="15"/>
        <v>4675</v>
      </c>
      <c r="AF325" s="13">
        <f t="shared" si="16"/>
        <v>98175</v>
      </c>
      <c r="AG325" s="4" t="str">
        <f t="shared" si="17"/>
        <v>High</v>
      </c>
    </row>
    <row r="326" spans="1:33">
      <c r="A326" t="s">
        <v>808</v>
      </c>
      <c r="B326" t="s">
        <v>809</v>
      </c>
      <c r="C326" s="11">
        <v>46170</v>
      </c>
      <c r="D326" t="s">
        <v>69</v>
      </c>
      <c r="E326" t="s">
        <v>70</v>
      </c>
      <c r="F326" s="4">
        <v>46170</v>
      </c>
      <c r="G326" s="4">
        <v>46170</v>
      </c>
      <c r="H326" t="s">
        <v>82</v>
      </c>
      <c r="I326" t="s">
        <v>83</v>
      </c>
      <c r="J326" t="s">
        <v>156</v>
      </c>
      <c r="K326" t="s">
        <v>60</v>
      </c>
      <c r="L326" t="s">
        <v>61</v>
      </c>
      <c r="M326" s="5">
        <v>83700</v>
      </c>
      <c r="N326" s="5">
        <v>13700</v>
      </c>
      <c r="O326" s="5">
        <v>12100</v>
      </c>
      <c r="P326" s="5">
        <v>0</v>
      </c>
      <c r="Q326" s="13">
        <v>111300</v>
      </c>
      <c r="R326" t="s">
        <v>141</v>
      </c>
      <c r="S326" t="s">
        <v>76</v>
      </c>
      <c r="T326" s="5">
        <v>17900</v>
      </c>
      <c r="U326" s="6"/>
      <c r="V326" t="s">
        <v>77</v>
      </c>
      <c r="W326" s="4">
        <v>46181</v>
      </c>
      <c r="X326" t="s">
        <v>64</v>
      </c>
      <c r="Y326" t="s">
        <v>64</v>
      </c>
      <c r="Z326" t="s">
        <v>107</v>
      </c>
      <c r="AA326" t="str">
        <f>VLOOKUP(H326,Departments!$A:$B,2,0)</f>
        <v>Orthopedics</v>
      </c>
      <c r="AB326" t="str">
        <f>VLOOKUP(J326,Diagnosis_Guide!$A:$B,2,0)</f>
        <v>Spinal Injury</v>
      </c>
      <c r="AC326" s="4" t="str">
        <f>VLOOKUP(J326,Diagnosis_Guide!$A:$C,3,0)</f>
        <v>Musculoskeletal</v>
      </c>
      <c r="AD326" s="4" t="str">
        <f>VLOOKUP(R326,Insurance_Plans!$A:$C,3,0)</f>
        <v>Private</v>
      </c>
      <c r="AE326" s="13">
        <f t="shared" si="15"/>
        <v>5565</v>
      </c>
      <c r="AF326" s="13">
        <f t="shared" si="16"/>
        <v>116865</v>
      </c>
      <c r="AG326" s="4" t="str">
        <f t="shared" si="17"/>
        <v>Not Available</v>
      </c>
    </row>
    <row r="327" spans="1:33">
      <c r="A327" t="s">
        <v>810</v>
      </c>
      <c r="B327" t="s">
        <v>811</v>
      </c>
      <c r="C327" s="11">
        <v>46038</v>
      </c>
      <c r="D327" t="s">
        <v>242</v>
      </c>
      <c r="E327" t="s">
        <v>70</v>
      </c>
      <c r="F327" s="4">
        <v>46038</v>
      </c>
      <c r="G327" s="4">
        <v>46046</v>
      </c>
      <c r="H327" t="s">
        <v>90</v>
      </c>
      <c r="I327" t="s">
        <v>162</v>
      </c>
      <c r="J327" t="s">
        <v>129</v>
      </c>
      <c r="K327" t="s">
        <v>124</v>
      </c>
      <c r="L327" t="s">
        <v>94</v>
      </c>
      <c r="M327" s="5">
        <v>45000</v>
      </c>
      <c r="N327" s="5">
        <v>6300</v>
      </c>
      <c r="O327" s="5">
        <v>11000</v>
      </c>
      <c r="P327" s="5">
        <v>48000</v>
      </c>
      <c r="Q327" s="13">
        <v>111500</v>
      </c>
      <c r="R327" t="s">
        <v>106</v>
      </c>
      <c r="S327" t="s">
        <v>86</v>
      </c>
      <c r="T327" s="5">
        <v>39720</v>
      </c>
      <c r="U327" s="6">
        <v>2</v>
      </c>
      <c r="V327" t="s">
        <v>77</v>
      </c>
      <c r="W327" s="4">
        <v>46064</v>
      </c>
      <c r="X327" t="s">
        <v>64</v>
      </c>
      <c r="Y327" t="s">
        <v>64</v>
      </c>
      <c r="Z327" t="s">
        <v>96</v>
      </c>
      <c r="AA327" t="str">
        <f>VLOOKUP(H327,Departments!$A:$B,2,0)</f>
        <v>Cardiology</v>
      </c>
      <c r="AB327" t="str">
        <f>VLOOKUP(J327,Diagnosis_Guide!$A:$B,2,0)</f>
        <v>Hypertension Crisis</v>
      </c>
      <c r="AC327" s="4" t="str">
        <f>VLOOKUP(J327,Diagnosis_Guide!$A:$C,3,0)</f>
        <v>Cardiovascular</v>
      </c>
      <c r="AD327" s="4" t="str">
        <f>VLOOKUP(R327,Insurance_Plans!$A:$C,3,0)</f>
        <v>Private</v>
      </c>
      <c r="AE327" s="13">
        <f t="shared" si="15"/>
        <v>5575</v>
      </c>
      <c r="AF327" s="13">
        <f t="shared" si="16"/>
        <v>117075</v>
      </c>
      <c r="AG327" s="4" t="str">
        <f t="shared" si="17"/>
        <v>Low</v>
      </c>
    </row>
    <row r="328" spans="1:33">
      <c r="A328" t="s">
        <v>812</v>
      </c>
      <c r="B328" t="s">
        <v>186</v>
      </c>
      <c r="C328" s="11">
        <v>46142</v>
      </c>
      <c r="D328" t="s">
        <v>383</v>
      </c>
      <c r="E328" t="s">
        <v>56</v>
      </c>
      <c r="F328" s="4"/>
      <c r="G328" s="4"/>
      <c r="H328" t="s">
        <v>57</v>
      </c>
      <c r="I328" t="s">
        <v>58</v>
      </c>
      <c r="J328" t="s">
        <v>170</v>
      </c>
      <c r="K328" t="s">
        <v>93</v>
      </c>
      <c r="L328" t="s">
        <v>74</v>
      </c>
      <c r="M328" s="5"/>
      <c r="N328" s="5"/>
      <c r="O328" s="5"/>
      <c r="P328" s="5"/>
      <c r="R328" t="s">
        <v>85</v>
      </c>
      <c r="S328" t="s">
        <v>63</v>
      </c>
      <c r="T328" s="5"/>
      <c r="U328" s="6"/>
      <c r="V328" t="s">
        <v>64</v>
      </c>
      <c r="W328" s="4"/>
      <c r="X328" t="s">
        <v>65</v>
      </c>
      <c r="Z328" t="s">
        <v>66</v>
      </c>
      <c r="AA328" t="str">
        <f>VLOOKUP(H328,Departments!$A:$B,2,0)</f>
        <v>Pulmonology</v>
      </c>
      <c r="AB328" t="str">
        <f>VLOOKUP(J328,Diagnosis_Guide!$A:$B,2,0)</f>
        <v>COPD Exacerbation</v>
      </c>
      <c r="AC328" s="4" t="str">
        <f>VLOOKUP(J328,Diagnosis_Guide!$A:$C,3,0)</f>
        <v>Respiratory</v>
      </c>
      <c r="AD328" s="4" t="str">
        <f>VLOOKUP(R328,Insurance_Plans!$A:$C,3,0)</f>
        <v>Employer</v>
      </c>
      <c r="AE328" s="13" t="str">
        <f t="shared" si="15"/>
        <v/>
      </c>
      <c r="AF328" s="13" t="str">
        <f t="shared" si="16"/>
        <v/>
      </c>
      <c r="AG328" s="4" t="str">
        <f t="shared" si="17"/>
        <v>Not Available</v>
      </c>
    </row>
    <row r="329" spans="1:33">
      <c r="A329" t="s">
        <v>813</v>
      </c>
      <c r="B329" t="s">
        <v>573</v>
      </c>
      <c r="C329" s="11">
        <v>46121</v>
      </c>
      <c r="D329" t="s">
        <v>439</v>
      </c>
      <c r="E329" t="s">
        <v>56</v>
      </c>
      <c r="F329" s="4"/>
      <c r="G329" s="4"/>
      <c r="H329" t="s">
        <v>121</v>
      </c>
      <c r="I329" t="s">
        <v>122</v>
      </c>
      <c r="J329" t="s">
        <v>256</v>
      </c>
      <c r="K329" t="s">
        <v>60</v>
      </c>
      <c r="L329" t="s">
        <v>94</v>
      </c>
      <c r="M329" s="5"/>
      <c r="N329" s="5"/>
      <c r="O329" s="5"/>
      <c r="P329" s="5"/>
      <c r="R329" t="s">
        <v>106</v>
      </c>
      <c r="S329" t="s">
        <v>63</v>
      </c>
      <c r="T329" s="5"/>
      <c r="U329" s="6"/>
      <c r="V329" t="s">
        <v>64</v>
      </c>
      <c r="W329" s="4"/>
      <c r="X329" t="s">
        <v>65</v>
      </c>
      <c r="Z329" t="s">
        <v>66</v>
      </c>
      <c r="AA329" t="str">
        <f>VLOOKUP(H329,Departments!$A:$B,2,0)</f>
        <v>Neurology</v>
      </c>
      <c r="AB329" t="str">
        <f>VLOOKUP(J329,Diagnosis_Guide!$A:$B,2,0)</f>
        <v>Migraine Complication</v>
      </c>
      <c r="AC329" s="4" t="str">
        <f>VLOOKUP(J329,Diagnosis_Guide!$A:$C,3,0)</f>
        <v>Neurological</v>
      </c>
      <c r="AD329" s="4" t="str">
        <f>VLOOKUP(R329,Insurance_Plans!$A:$C,3,0)</f>
        <v>Private</v>
      </c>
      <c r="AE329" s="13" t="str">
        <f t="shared" si="15"/>
        <v/>
      </c>
      <c r="AF329" s="13" t="str">
        <f t="shared" si="16"/>
        <v/>
      </c>
      <c r="AG329" s="4" t="str">
        <f t="shared" si="17"/>
        <v>Not Available</v>
      </c>
    </row>
    <row r="330" spans="1:33">
      <c r="A330" t="s">
        <v>814</v>
      </c>
      <c r="B330" t="s">
        <v>815</v>
      </c>
      <c r="C330" s="11">
        <v>46067</v>
      </c>
      <c r="D330" t="s">
        <v>298</v>
      </c>
      <c r="E330" t="s">
        <v>70</v>
      </c>
      <c r="F330" s="4">
        <v>46067</v>
      </c>
      <c r="G330" s="4">
        <v>46073</v>
      </c>
      <c r="H330" t="s">
        <v>178</v>
      </c>
      <c r="I330" t="s">
        <v>622</v>
      </c>
      <c r="J330" t="s">
        <v>180</v>
      </c>
      <c r="K330" t="s">
        <v>93</v>
      </c>
      <c r="L330" t="s">
        <v>61</v>
      </c>
      <c r="M330" s="5">
        <v>54300</v>
      </c>
      <c r="N330" s="5">
        <v>8850</v>
      </c>
      <c r="O330" s="5">
        <v>12400</v>
      </c>
      <c r="P330" s="5">
        <v>21000</v>
      </c>
      <c r="Q330" s="13">
        <v>98050</v>
      </c>
      <c r="R330" t="s">
        <v>75</v>
      </c>
      <c r="S330" t="s">
        <v>76</v>
      </c>
      <c r="T330" s="5">
        <v>44420</v>
      </c>
      <c r="U330" s="6">
        <v>5</v>
      </c>
      <c r="V330" t="s">
        <v>77</v>
      </c>
      <c r="W330" s="4">
        <v>46086</v>
      </c>
      <c r="X330" t="s">
        <v>77</v>
      </c>
      <c r="Y330" t="s">
        <v>64</v>
      </c>
      <c r="Z330" t="s">
        <v>96</v>
      </c>
      <c r="AA330" t="str">
        <f>VLOOKUP(H330,Departments!$A:$B,2,0)</f>
        <v>Surgery</v>
      </c>
      <c r="AB330" t="str">
        <f>VLOOKUP(J330,Diagnosis_Guide!$A:$B,2,0)</f>
        <v>Appendicitis Surgery</v>
      </c>
      <c r="AC330" s="4" t="str">
        <f>VLOOKUP(J330,Diagnosis_Guide!$A:$C,3,0)</f>
        <v>Surgical</v>
      </c>
      <c r="AD330" s="4" t="str">
        <f>VLOOKUP(R330,Insurance_Plans!$A:$C,3,0)</f>
        <v>Public</v>
      </c>
      <c r="AE330" s="13">
        <f t="shared" si="15"/>
        <v>4902.5</v>
      </c>
      <c r="AF330" s="13">
        <f t="shared" si="16"/>
        <v>102952.5</v>
      </c>
      <c r="AG330" s="4" t="str">
        <f t="shared" si="17"/>
        <v>High</v>
      </c>
    </row>
    <row r="331" spans="1:33">
      <c r="A331" t="s">
        <v>816</v>
      </c>
      <c r="B331" t="s">
        <v>817</v>
      </c>
      <c r="C331" s="11">
        <v>46083</v>
      </c>
      <c r="D331" t="s">
        <v>284</v>
      </c>
      <c r="E331" t="s">
        <v>314</v>
      </c>
      <c r="F331" s="4"/>
      <c r="G331" s="4"/>
      <c r="H331" t="s">
        <v>138</v>
      </c>
      <c r="I331" t="s">
        <v>260</v>
      </c>
      <c r="J331" t="s">
        <v>261</v>
      </c>
      <c r="K331" t="s">
        <v>60</v>
      </c>
      <c r="L331" t="s">
        <v>74</v>
      </c>
      <c r="M331" s="5"/>
      <c r="N331" s="5"/>
      <c r="O331" s="5"/>
      <c r="P331" s="5"/>
      <c r="R331" t="s">
        <v>106</v>
      </c>
      <c r="S331" t="s">
        <v>63</v>
      </c>
      <c r="T331" s="5"/>
      <c r="U331" s="6"/>
      <c r="V331" t="s">
        <v>64</v>
      </c>
      <c r="W331" s="4"/>
      <c r="X331" t="s">
        <v>65</v>
      </c>
      <c r="Z331" t="s">
        <v>66</v>
      </c>
      <c r="AA331" t="str">
        <f>VLOOKUP(H331,Departments!$A:$B,2,0)</f>
        <v>Pediatrics</v>
      </c>
      <c r="AB331" t="str">
        <f>VLOOKUP(J331,Diagnosis_Guide!$A:$B,2,0)</f>
        <v>Child Fever</v>
      </c>
      <c r="AC331" s="4" t="str">
        <f>VLOOKUP(J331,Diagnosis_Guide!$A:$C,3,0)</f>
        <v>Pediatric</v>
      </c>
      <c r="AD331" s="4" t="str">
        <f>VLOOKUP(R331,Insurance_Plans!$A:$C,3,0)</f>
        <v>Private</v>
      </c>
      <c r="AE331" s="13" t="str">
        <f t="shared" si="15"/>
        <v/>
      </c>
      <c r="AF331" s="13" t="str">
        <f t="shared" si="16"/>
        <v/>
      </c>
      <c r="AG331" s="4" t="str">
        <f t="shared" si="17"/>
        <v>Not Available</v>
      </c>
    </row>
    <row r="332" spans="1:33">
      <c r="A332" t="s">
        <v>818</v>
      </c>
      <c r="B332" t="s">
        <v>819</v>
      </c>
      <c r="C332" s="11">
        <v>46132</v>
      </c>
      <c r="D332" t="s">
        <v>173</v>
      </c>
      <c r="E332" t="s">
        <v>70</v>
      </c>
      <c r="F332" s="4">
        <v>46132</v>
      </c>
      <c r="G332" s="4">
        <v>46137</v>
      </c>
      <c r="H332" t="s">
        <v>57</v>
      </c>
      <c r="I332" t="s">
        <v>169</v>
      </c>
      <c r="J332" t="s">
        <v>59</v>
      </c>
      <c r="K332" t="s">
        <v>73</v>
      </c>
      <c r="L332" t="s">
        <v>74</v>
      </c>
      <c r="M332" s="5">
        <v>56500</v>
      </c>
      <c r="N332" s="5">
        <v>4900</v>
      </c>
      <c r="O332" s="5">
        <v>9450</v>
      </c>
      <c r="P332" s="5">
        <v>22500</v>
      </c>
      <c r="Q332" s="13">
        <v>94150</v>
      </c>
      <c r="R332" t="s">
        <v>106</v>
      </c>
      <c r="S332" t="s">
        <v>163</v>
      </c>
      <c r="T332" s="5">
        <v>33650</v>
      </c>
      <c r="U332" s="6">
        <v>3</v>
      </c>
      <c r="V332" t="s">
        <v>77</v>
      </c>
      <c r="W332" s="4">
        <v>46158</v>
      </c>
      <c r="X332" t="s">
        <v>64</v>
      </c>
      <c r="Y332" t="s">
        <v>64</v>
      </c>
      <c r="Z332" t="s">
        <v>78</v>
      </c>
      <c r="AA332" t="str">
        <f>VLOOKUP(H332,Departments!$A:$B,2,0)</f>
        <v>Pulmonology</v>
      </c>
      <c r="AB332" t="str">
        <f>VLOOKUP(J332,Diagnosis_Guide!$A:$B,2,0)</f>
        <v>Pneumonia</v>
      </c>
      <c r="AC332" s="4" t="str">
        <f>VLOOKUP(J332,Diagnosis_Guide!$A:$C,3,0)</f>
        <v>Respiratory</v>
      </c>
      <c r="AD332" s="4" t="str">
        <f>VLOOKUP(R332,Insurance_Plans!$A:$C,3,0)</f>
        <v>Private</v>
      </c>
      <c r="AE332" s="13">
        <f t="shared" si="15"/>
        <v>4707.5</v>
      </c>
      <c r="AF332" s="13">
        <f t="shared" si="16"/>
        <v>98857.5</v>
      </c>
      <c r="AG332" s="4" t="str">
        <f t="shared" si="17"/>
        <v>Medium</v>
      </c>
    </row>
    <row r="333" spans="1:33">
      <c r="A333" t="s">
        <v>820</v>
      </c>
      <c r="B333" t="s">
        <v>455</v>
      </c>
      <c r="C333" s="11">
        <v>46169</v>
      </c>
      <c r="D333" t="s">
        <v>127</v>
      </c>
      <c r="E333" t="s">
        <v>255</v>
      </c>
      <c r="F333" s="4"/>
      <c r="G333" s="4"/>
      <c r="H333" t="s">
        <v>201</v>
      </c>
      <c r="I333" t="s">
        <v>515</v>
      </c>
      <c r="J333" t="s">
        <v>281</v>
      </c>
      <c r="K333" t="s">
        <v>124</v>
      </c>
      <c r="L333" t="s">
        <v>94</v>
      </c>
      <c r="M333" s="5"/>
      <c r="N333" s="5"/>
      <c r="O333" s="5"/>
      <c r="P333" s="5"/>
      <c r="R333" t="s">
        <v>85</v>
      </c>
      <c r="S333" t="s">
        <v>63</v>
      </c>
      <c r="T333" s="5"/>
      <c r="U333" s="6"/>
      <c r="V333" t="s">
        <v>64</v>
      </c>
      <c r="W333" s="4"/>
      <c r="X333" t="s">
        <v>65</v>
      </c>
      <c r="Z333" t="s">
        <v>66</v>
      </c>
      <c r="AA333" t="str">
        <f>VLOOKUP(H333,Departments!$A:$B,2,0)</f>
        <v>Emergency</v>
      </c>
      <c r="AB333" t="str">
        <f>VLOOKUP(J333,Diagnosis_Guide!$A:$B,2,0)</f>
        <v>Food Poisoning</v>
      </c>
      <c r="AC333" s="4" t="str">
        <f>VLOOKUP(J333,Diagnosis_Guide!$A:$C,3,0)</f>
        <v>Emergency</v>
      </c>
      <c r="AD333" s="4" t="str">
        <f>VLOOKUP(R333,Insurance_Plans!$A:$C,3,0)</f>
        <v>Employer</v>
      </c>
      <c r="AE333" s="13" t="str">
        <f t="shared" si="15"/>
        <v/>
      </c>
      <c r="AF333" s="13" t="str">
        <f t="shared" si="16"/>
        <v/>
      </c>
      <c r="AG333" s="4" t="str">
        <f t="shared" si="17"/>
        <v>Not Available</v>
      </c>
    </row>
    <row r="334" spans="1:33">
      <c r="A334" t="s">
        <v>821</v>
      </c>
      <c r="B334" t="s">
        <v>822</v>
      </c>
      <c r="C334" s="11">
        <v>46158</v>
      </c>
      <c r="D334" t="s">
        <v>266</v>
      </c>
      <c r="E334" t="s">
        <v>70</v>
      </c>
      <c r="F334" s="4">
        <v>46158</v>
      </c>
      <c r="G334" s="4">
        <v>46161</v>
      </c>
      <c r="H334" t="s">
        <v>57</v>
      </c>
      <c r="I334" t="s">
        <v>100</v>
      </c>
      <c r="J334" t="s">
        <v>59</v>
      </c>
      <c r="K334" t="s">
        <v>124</v>
      </c>
      <c r="L334" t="s">
        <v>146</v>
      </c>
      <c r="M334" s="5">
        <v>52000</v>
      </c>
      <c r="N334" s="5">
        <v>8250</v>
      </c>
      <c r="O334" s="5">
        <v>7350</v>
      </c>
      <c r="P334" s="5">
        <v>9000</v>
      </c>
      <c r="Q334" s="13">
        <v>78600</v>
      </c>
      <c r="R334" t="s">
        <v>106</v>
      </c>
      <c r="S334" t="s">
        <v>76</v>
      </c>
      <c r="T334" s="5">
        <v>28210</v>
      </c>
      <c r="U334" s="6">
        <v>5</v>
      </c>
      <c r="V334" t="s">
        <v>77</v>
      </c>
      <c r="W334" s="4">
        <v>46171</v>
      </c>
      <c r="X334" t="s">
        <v>77</v>
      </c>
      <c r="Y334" t="s">
        <v>64</v>
      </c>
      <c r="Z334" t="s">
        <v>96</v>
      </c>
      <c r="AA334" t="str">
        <f>VLOOKUP(H334,Departments!$A:$B,2,0)</f>
        <v>Pulmonology</v>
      </c>
      <c r="AB334" t="str">
        <f>VLOOKUP(J334,Diagnosis_Guide!$A:$B,2,0)</f>
        <v>Pneumonia</v>
      </c>
      <c r="AC334" s="4" t="str">
        <f>VLOOKUP(J334,Diagnosis_Guide!$A:$C,3,0)</f>
        <v>Respiratory</v>
      </c>
      <c r="AD334" s="4" t="str">
        <f>VLOOKUP(R334,Insurance_Plans!$A:$C,3,0)</f>
        <v>Private</v>
      </c>
      <c r="AE334" s="13">
        <f t="shared" si="15"/>
        <v>3930</v>
      </c>
      <c r="AF334" s="13">
        <f t="shared" si="16"/>
        <v>82530</v>
      </c>
      <c r="AG334" s="4" t="str">
        <f t="shared" si="17"/>
        <v>High</v>
      </c>
    </row>
    <row r="335" spans="1:33">
      <c r="A335" t="s">
        <v>823</v>
      </c>
      <c r="B335" t="s">
        <v>80</v>
      </c>
      <c r="C335" s="11">
        <v>46071</v>
      </c>
      <c r="D335" t="s">
        <v>173</v>
      </c>
      <c r="E335" t="s">
        <v>70</v>
      </c>
      <c r="F335" s="4">
        <v>46071</v>
      </c>
      <c r="G335" s="4">
        <v>46071</v>
      </c>
      <c r="H335" t="s">
        <v>111</v>
      </c>
      <c r="I335" t="s">
        <v>116</v>
      </c>
      <c r="J335" t="s">
        <v>113</v>
      </c>
      <c r="K335" t="s">
        <v>60</v>
      </c>
      <c r="L335" t="s">
        <v>94</v>
      </c>
      <c r="M335" s="5">
        <v>25900</v>
      </c>
      <c r="N335" s="5">
        <v>2850</v>
      </c>
      <c r="O335" s="5">
        <v>3400</v>
      </c>
      <c r="P335" s="5">
        <v>0</v>
      </c>
      <c r="Q335" s="13">
        <v>32950</v>
      </c>
      <c r="R335" t="s">
        <v>106</v>
      </c>
      <c r="S335" t="s">
        <v>76</v>
      </c>
      <c r="T335" s="5">
        <v>12230</v>
      </c>
      <c r="U335" s="6">
        <v>5</v>
      </c>
      <c r="V335" t="s">
        <v>64</v>
      </c>
      <c r="W335" s="4"/>
      <c r="X335" t="s">
        <v>65</v>
      </c>
      <c r="Y335" t="s">
        <v>64</v>
      </c>
      <c r="Z335" t="s">
        <v>107</v>
      </c>
      <c r="AA335" t="str">
        <f>VLOOKUP(H335,Departments!$A:$B,2,0)</f>
        <v>General Medicine</v>
      </c>
      <c r="AB335" t="str">
        <f>VLOOKUP(J335,Diagnosis_Guide!$A:$B,2,0)</f>
        <v>Diabetes Complication</v>
      </c>
      <c r="AC335" s="4" t="str">
        <f>VLOOKUP(J335,Diagnosis_Guide!$A:$C,3,0)</f>
        <v>Endocrine/General</v>
      </c>
      <c r="AD335" s="4" t="str">
        <f>VLOOKUP(R335,Insurance_Plans!$A:$C,3,0)</f>
        <v>Private</v>
      </c>
      <c r="AE335" s="13">
        <f t="shared" si="15"/>
        <v>1647.5</v>
      </c>
      <c r="AF335" s="13">
        <f t="shared" si="16"/>
        <v>34597.5</v>
      </c>
      <c r="AG335" s="4" t="str">
        <f t="shared" si="17"/>
        <v>High</v>
      </c>
    </row>
    <row r="336" spans="1:33">
      <c r="A336" t="s">
        <v>824</v>
      </c>
      <c r="B336" t="s">
        <v>621</v>
      </c>
      <c r="C336" s="11">
        <v>46093</v>
      </c>
      <c r="D336" t="s">
        <v>383</v>
      </c>
      <c r="E336" t="s">
        <v>70</v>
      </c>
      <c r="F336" s="4">
        <v>46093</v>
      </c>
      <c r="G336" s="4">
        <v>46101</v>
      </c>
      <c r="H336" t="s">
        <v>57</v>
      </c>
      <c r="I336" t="s">
        <v>100</v>
      </c>
      <c r="J336" t="s">
        <v>170</v>
      </c>
      <c r="K336" t="s">
        <v>73</v>
      </c>
      <c r="L336" t="s">
        <v>74</v>
      </c>
      <c r="M336" s="5">
        <v>48300</v>
      </c>
      <c r="N336" s="5">
        <v>8050</v>
      </c>
      <c r="O336" s="5">
        <v>8850</v>
      </c>
      <c r="P336" s="5">
        <v>28000</v>
      </c>
      <c r="Q336" s="13">
        <v>95200</v>
      </c>
      <c r="R336" t="s">
        <v>75</v>
      </c>
      <c r="S336" t="s">
        <v>86</v>
      </c>
      <c r="T336" s="5">
        <v>43140</v>
      </c>
      <c r="U336" s="6">
        <v>3</v>
      </c>
      <c r="V336" t="s">
        <v>77</v>
      </c>
      <c r="W336" s="4">
        <v>46108</v>
      </c>
      <c r="X336" t="s">
        <v>77</v>
      </c>
      <c r="Y336" t="s">
        <v>64</v>
      </c>
      <c r="Z336" t="s">
        <v>78</v>
      </c>
      <c r="AA336" t="str">
        <f>VLOOKUP(H336,Departments!$A:$B,2,0)</f>
        <v>Pulmonology</v>
      </c>
      <c r="AB336" t="str">
        <f>VLOOKUP(J336,Diagnosis_Guide!$A:$B,2,0)</f>
        <v>COPD Exacerbation</v>
      </c>
      <c r="AC336" s="4" t="str">
        <f>VLOOKUP(J336,Diagnosis_Guide!$A:$C,3,0)</f>
        <v>Respiratory</v>
      </c>
      <c r="AD336" s="4" t="str">
        <f>VLOOKUP(R336,Insurance_Plans!$A:$C,3,0)</f>
        <v>Public</v>
      </c>
      <c r="AE336" s="13">
        <f t="shared" si="15"/>
        <v>4760</v>
      </c>
      <c r="AF336" s="13">
        <f t="shared" si="16"/>
        <v>99960</v>
      </c>
      <c r="AG336" s="4" t="str">
        <f t="shared" si="17"/>
        <v>Medium</v>
      </c>
    </row>
    <row r="337" spans="1:33">
      <c r="A337" t="s">
        <v>825</v>
      </c>
      <c r="B337" t="s">
        <v>826</v>
      </c>
      <c r="C337" s="11">
        <v>46037</v>
      </c>
      <c r="D337" t="s">
        <v>110</v>
      </c>
      <c r="E337" t="s">
        <v>70</v>
      </c>
      <c r="F337" s="4">
        <v>46037</v>
      </c>
      <c r="G337" s="4">
        <v>46037</v>
      </c>
      <c r="H337" t="s">
        <v>90</v>
      </c>
      <c r="I337" t="s">
        <v>133</v>
      </c>
      <c r="J337" t="s">
        <v>197</v>
      </c>
      <c r="K337" t="s">
        <v>60</v>
      </c>
      <c r="L337" t="s">
        <v>61</v>
      </c>
      <c r="M337" s="5">
        <v>28700</v>
      </c>
      <c r="N337" s="5">
        <v>3250</v>
      </c>
      <c r="O337" s="5">
        <v>4650</v>
      </c>
      <c r="P337" s="5">
        <v>0</v>
      </c>
      <c r="Q337" s="13">
        <v>38600</v>
      </c>
      <c r="R337" t="s">
        <v>95</v>
      </c>
      <c r="S337" t="s">
        <v>63</v>
      </c>
      <c r="T337" s="5">
        <v>38600</v>
      </c>
      <c r="U337" s="6">
        <v>4</v>
      </c>
      <c r="V337" t="s">
        <v>77</v>
      </c>
      <c r="W337" s="4">
        <v>46052</v>
      </c>
      <c r="X337" t="s">
        <v>77</v>
      </c>
      <c r="Y337" t="s">
        <v>64</v>
      </c>
      <c r="Z337" t="s">
        <v>78</v>
      </c>
      <c r="AA337" t="str">
        <f>VLOOKUP(H337,Departments!$A:$B,2,0)</f>
        <v>Cardiology</v>
      </c>
      <c r="AB337" t="str">
        <f>VLOOKUP(J337,Diagnosis_Guide!$A:$B,2,0)</f>
        <v>Chest Pain</v>
      </c>
      <c r="AC337" s="4" t="str">
        <f>VLOOKUP(J337,Diagnosis_Guide!$A:$C,3,0)</f>
        <v>Cardiovascular</v>
      </c>
      <c r="AD337" s="4" t="str">
        <f>VLOOKUP(R337,Insurance_Plans!$A:$C,3,0)</f>
        <v>Self-Pay</v>
      </c>
      <c r="AE337" s="13">
        <f t="shared" si="15"/>
        <v>1930</v>
      </c>
      <c r="AF337" s="13">
        <f t="shared" si="16"/>
        <v>40530</v>
      </c>
      <c r="AG337" s="4" t="str">
        <f t="shared" si="17"/>
        <v>High</v>
      </c>
    </row>
    <row r="338" spans="1:33">
      <c r="A338" t="s">
        <v>827</v>
      </c>
      <c r="B338" t="s">
        <v>828</v>
      </c>
      <c r="C338" s="11">
        <v>46165</v>
      </c>
      <c r="D338" t="s">
        <v>225</v>
      </c>
      <c r="E338" t="s">
        <v>70</v>
      </c>
      <c r="F338" s="4">
        <v>46165</v>
      </c>
      <c r="G338" s="4">
        <v>46166</v>
      </c>
      <c r="H338" t="s">
        <v>121</v>
      </c>
      <c r="I338" t="s">
        <v>386</v>
      </c>
      <c r="J338" t="s">
        <v>256</v>
      </c>
      <c r="K338" t="s">
        <v>124</v>
      </c>
      <c r="L338" t="s">
        <v>74</v>
      </c>
      <c r="M338" s="5">
        <v>15500</v>
      </c>
      <c r="N338" s="5">
        <v>1600</v>
      </c>
      <c r="O338" s="5">
        <v>1900</v>
      </c>
      <c r="P338" s="5">
        <v>3000</v>
      </c>
      <c r="Q338" s="13">
        <v>24500</v>
      </c>
      <c r="R338" t="s">
        <v>141</v>
      </c>
      <c r="S338" t="s">
        <v>76</v>
      </c>
      <c r="T338" s="5">
        <v>4880</v>
      </c>
      <c r="U338" s="6">
        <v>4</v>
      </c>
      <c r="V338" t="s">
        <v>64</v>
      </c>
      <c r="W338" s="4"/>
      <c r="X338" t="s">
        <v>65</v>
      </c>
      <c r="Y338" t="s">
        <v>64</v>
      </c>
      <c r="Z338" t="s">
        <v>96</v>
      </c>
      <c r="AA338" t="str">
        <f>VLOOKUP(H338,Departments!$A:$B,2,0)</f>
        <v>Neurology</v>
      </c>
      <c r="AB338" t="str">
        <f>VLOOKUP(J338,Diagnosis_Guide!$A:$B,2,0)</f>
        <v>Migraine Complication</v>
      </c>
      <c r="AC338" s="4" t="str">
        <f>VLOOKUP(J338,Diagnosis_Guide!$A:$C,3,0)</f>
        <v>Neurological</v>
      </c>
      <c r="AD338" s="4" t="str">
        <f>VLOOKUP(R338,Insurance_Plans!$A:$C,3,0)</f>
        <v>Private</v>
      </c>
      <c r="AE338" s="13">
        <f t="shared" si="15"/>
        <v>1225</v>
      </c>
      <c r="AF338" s="13">
        <f t="shared" si="16"/>
        <v>25725</v>
      </c>
      <c r="AG338" s="4" t="str">
        <f t="shared" si="17"/>
        <v>High</v>
      </c>
    </row>
    <row r="339" spans="1:33">
      <c r="A339" t="s">
        <v>829</v>
      </c>
      <c r="B339" t="s">
        <v>830</v>
      </c>
      <c r="C339" s="11">
        <v>46032</v>
      </c>
      <c r="D339" t="s">
        <v>127</v>
      </c>
      <c r="E339" t="s">
        <v>70</v>
      </c>
      <c r="F339" s="4">
        <v>46032</v>
      </c>
      <c r="G339" s="4">
        <v>46032</v>
      </c>
      <c r="H339" t="s">
        <v>90</v>
      </c>
      <c r="I339" t="s">
        <v>133</v>
      </c>
      <c r="J339" t="s">
        <v>92</v>
      </c>
      <c r="K339" t="s">
        <v>60</v>
      </c>
      <c r="L339" t="s">
        <v>94</v>
      </c>
      <c r="M339" s="5">
        <v>42700</v>
      </c>
      <c r="N339" s="5">
        <v>6100</v>
      </c>
      <c r="O339" s="5">
        <v>8250</v>
      </c>
      <c r="P339" s="5">
        <v>0</v>
      </c>
      <c r="Q339" s="13">
        <v>59050</v>
      </c>
      <c r="R339" t="s">
        <v>106</v>
      </c>
      <c r="S339" t="s">
        <v>76</v>
      </c>
      <c r="T339" s="5">
        <v>21370</v>
      </c>
      <c r="U339" s="6">
        <v>5</v>
      </c>
      <c r="V339" t="s">
        <v>77</v>
      </c>
      <c r="W339" s="4">
        <v>46052</v>
      </c>
      <c r="X339" t="s">
        <v>77</v>
      </c>
      <c r="Y339" t="s">
        <v>64</v>
      </c>
      <c r="Z339" t="s">
        <v>107</v>
      </c>
      <c r="AA339" t="str">
        <f>VLOOKUP(H339,Departments!$A:$B,2,0)</f>
        <v>Cardiology</v>
      </c>
      <c r="AB339" t="str">
        <f>VLOOKUP(J339,Diagnosis_Guide!$A:$B,2,0)</f>
        <v>Heart Failure</v>
      </c>
      <c r="AC339" s="4" t="str">
        <f>VLOOKUP(J339,Diagnosis_Guide!$A:$C,3,0)</f>
        <v>Cardiovascular</v>
      </c>
      <c r="AD339" s="4" t="str">
        <f>VLOOKUP(R339,Insurance_Plans!$A:$C,3,0)</f>
        <v>Private</v>
      </c>
      <c r="AE339" s="13">
        <f t="shared" si="15"/>
        <v>2952.5</v>
      </c>
      <c r="AF339" s="13">
        <f t="shared" si="16"/>
        <v>62002.5</v>
      </c>
      <c r="AG339" s="4" t="str">
        <f t="shared" si="17"/>
        <v>High</v>
      </c>
    </row>
    <row r="340" spans="1:33">
      <c r="A340" t="s">
        <v>831</v>
      </c>
      <c r="B340" t="s">
        <v>832</v>
      </c>
      <c r="C340" s="11">
        <v>46154</v>
      </c>
      <c r="D340" t="s">
        <v>432</v>
      </c>
      <c r="E340" t="s">
        <v>70</v>
      </c>
      <c r="F340" s="4">
        <v>46154</v>
      </c>
      <c r="G340" s="4">
        <v>46154</v>
      </c>
      <c r="H340" t="s">
        <v>103</v>
      </c>
      <c r="I340" t="s">
        <v>412</v>
      </c>
      <c r="J340" t="s">
        <v>145</v>
      </c>
      <c r="K340" t="s">
        <v>60</v>
      </c>
      <c r="L340" t="s">
        <v>94</v>
      </c>
      <c r="M340" s="5">
        <v>34500</v>
      </c>
      <c r="N340" s="5">
        <v>5350</v>
      </c>
      <c r="O340" s="5">
        <v>7750</v>
      </c>
      <c r="P340" s="5">
        <v>0</v>
      </c>
      <c r="Q340" s="13">
        <v>48800</v>
      </c>
      <c r="R340" t="s">
        <v>85</v>
      </c>
      <c r="S340" t="s">
        <v>86</v>
      </c>
      <c r="T340" s="5">
        <v>13100</v>
      </c>
      <c r="U340" s="6">
        <v>3</v>
      </c>
      <c r="V340" t="s">
        <v>64</v>
      </c>
      <c r="W340" s="4"/>
      <c r="X340" t="s">
        <v>65</v>
      </c>
      <c r="Y340" t="s">
        <v>77</v>
      </c>
      <c r="Z340" t="s">
        <v>107</v>
      </c>
      <c r="AA340" t="str">
        <f>VLOOKUP(H340,Departments!$A:$B,2,0)</f>
        <v>Nephrology</v>
      </c>
      <c r="AB340" t="str">
        <f>VLOOKUP(J340,Diagnosis_Guide!$A:$B,2,0)</f>
        <v>Kidney Stone</v>
      </c>
      <c r="AC340" s="4" t="str">
        <f>VLOOKUP(J340,Diagnosis_Guide!$A:$C,3,0)</f>
        <v>Renal</v>
      </c>
      <c r="AD340" s="4" t="str">
        <f>VLOOKUP(R340,Insurance_Plans!$A:$C,3,0)</f>
        <v>Employer</v>
      </c>
      <c r="AE340" s="13">
        <f t="shared" si="15"/>
        <v>2440</v>
      </c>
      <c r="AF340" s="13">
        <f t="shared" si="16"/>
        <v>51240</v>
      </c>
      <c r="AG340" s="4" t="str">
        <f t="shared" si="17"/>
        <v>Medium</v>
      </c>
    </row>
    <row r="341" spans="1:33">
      <c r="A341" t="s">
        <v>833</v>
      </c>
      <c r="B341" t="s">
        <v>617</v>
      </c>
      <c r="C341" s="11">
        <v>46075</v>
      </c>
      <c r="D341" t="s">
        <v>266</v>
      </c>
      <c r="E341" t="s">
        <v>70</v>
      </c>
      <c r="F341" s="4">
        <v>46075</v>
      </c>
      <c r="G341" s="4">
        <v>46082</v>
      </c>
      <c r="H341" t="s">
        <v>57</v>
      </c>
      <c r="I341" t="s">
        <v>184</v>
      </c>
      <c r="J341" t="s">
        <v>170</v>
      </c>
      <c r="K341" t="s">
        <v>73</v>
      </c>
      <c r="L341" t="s">
        <v>74</v>
      </c>
      <c r="M341" s="5">
        <v>77900</v>
      </c>
      <c r="N341" s="5">
        <v>11450</v>
      </c>
      <c r="O341" s="5">
        <v>18750</v>
      </c>
      <c r="P341" s="5">
        <v>17500</v>
      </c>
      <c r="Q341" s="13">
        <v>126800</v>
      </c>
      <c r="R341" t="s">
        <v>85</v>
      </c>
      <c r="S341" t="s">
        <v>86</v>
      </c>
      <c r="T341" s="5">
        <v>32600</v>
      </c>
      <c r="U341" s="6">
        <v>4</v>
      </c>
      <c r="V341" t="s">
        <v>64</v>
      </c>
      <c r="W341" s="4"/>
      <c r="X341" t="s">
        <v>65</v>
      </c>
      <c r="Y341" t="s">
        <v>64</v>
      </c>
      <c r="Z341" t="s">
        <v>96</v>
      </c>
      <c r="AA341" t="str">
        <f>VLOOKUP(H341,Departments!$A:$B,2,0)</f>
        <v>Pulmonology</v>
      </c>
      <c r="AB341" t="str">
        <f>VLOOKUP(J341,Diagnosis_Guide!$A:$B,2,0)</f>
        <v>COPD Exacerbation</v>
      </c>
      <c r="AC341" s="4" t="str">
        <f>VLOOKUP(J341,Diagnosis_Guide!$A:$C,3,0)</f>
        <v>Respiratory</v>
      </c>
      <c r="AD341" s="4" t="str">
        <f>VLOOKUP(R341,Insurance_Plans!$A:$C,3,0)</f>
        <v>Employer</v>
      </c>
      <c r="AE341" s="13">
        <f t="shared" si="15"/>
        <v>6340</v>
      </c>
      <c r="AF341" s="13">
        <f t="shared" si="16"/>
        <v>133140</v>
      </c>
      <c r="AG341" s="4" t="str">
        <f t="shared" si="17"/>
        <v>High</v>
      </c>
    </row>
    <row r="342" spans="1:33">
      <c r="A342" t="s">
        <v>834</v>
      </c>
      <c r="B342" t="s">
        <v>835</v>
      </c>
      <c r="C342" s="11">
        <v>46071</v>
      </c>
      <c r="D342" t="s">
        <v>250</v>
      </c>
      <c r="E342" t="s">
        <v>70</v>
      </c>
      <c r="F342" s="4">
        <v>46071</v>
      </c>
      <c r="G342" s="4">
        <v>46072</v>
      </c>
      <c r="H342" t="s">
        <v>138</v>
      </c>
      <c r="I342" t="s">
        <v>139</v>
      </c>
      <c r="J342" t="s">
        <v>261</v>
      </c>
      <c r="K342" t="s">
        <v>60</v>
      </c>
      <c r="L342" t="s">
        <v>61</v>
      </c>
      <c r="M342" s="5">
        <v>5000</v>
      </c>
      <c r="N342" s="5">
        <v>550</v>
      </c>
      <c r="O342" s="5">
        <v>1200</v>
      </c>
      <c r="P342" s="5">
        <v>3000</v>
      </c>
      <c r="Q342" s="13">
        <v>11750</v>
      </c>
      <c r="R342" t="s">
        <v>75</v>
      </c>
      <c r="S342" t="s">
        <v>76</v>
      </c>
      <c r="T342" s="5">
        <v>5590</v>
      </c>
      <c r="U342" s="6">
        <v>4</v>
      </c>
      <c r="V342" t="s">
        <v>64</v>
      </c>
      <c r="W342" s="4"/>
      <c r="X342" t="s">
        <v>65</v>
      </c>
      <c r="Y342" t="s">
        <v>64</v>
      </c>
      <c r="Z342" t="s">
        <v>96</v>
      </c>
      <c r="AA342" t="str">
        <f>VLOOKUP(H342,Departments!$A:$B,2,0)</f>
        <v>Pediatrics</v>
      </c>
      <c r="AB342" t="str">
        <f>VLOOKUP(J342,Diagnosis_Guide!$A:$B,2,0)</f>
        <v>Child Fever</v>
      </c>
      <c r="AC342" s="4" t="str">
        <f>VLOOKUP(J342,Diagnosis_Guide!$A:$C,3,0)</f>
        <v>Pediatric</v>
      </c>
      <c r="AD342" s="4" t="str">
        <f>VLOOKUP(R342,Insurance_Plans!$A:$C,3,0)</f>
        <v>Public</v>
      </c>
      <c r="AE342" s="13">
        <f t="shared" si="15"/>
        <v>587.5</v>
      </c>
      <c r="AF342" s="13">
        <f t="shared" si="16"/>
        <v>12337.5</v>
      </c>
      <c r="AG342" s="4" t="str">
        <f t="shared" si="17"/>
        <v>High</v>
      </c>
    </row>
    <row r="343" spans="1:33">
      <c r="A343" t="s">
        <v>836</v>
      </c>
      <c r="B343" t="s">
        <v>213</v>
      </c>
      <c r="C343" s="11">
        <v>46167</v>
      </c>
      <c r="D343" t="s">
        <v>132</v>
      </c>
      <c r="E343" t="s">
        <v>70</v>
      </c>
      <c r="F343" s="4">
        <v>46168</v>
      </c>
      <c r="G343" s="4">
        <v>46168</v>
      </c>
      <c r="H343" t="s">
        <v>121</v>
      </c>
      <c r="I343" t="s">
        <v>386</v>
      </c>
      <c r="J343" t="s">
        <v>123</v>
      </c>
      <c r="K343" t="s">
        <v>60</v>
      </c>
      <c r="L343" t="s">
        <v>61</v>
      </c>
      <c r="M343" s="5">
        <v>59200</v>
      </c>
      <c r="N343" s="5">
        <v>8150</v>
      </c>
      <c r="O343" s="5">
        <v>6300</v>
      </c>
      <c r="P343" s="5">
        <v>0</v>
      </c>
      <c r="Q343" s="13">
        <v>76150</v>
      </c>
      <c r="R343" t="s">
        <v>75</v>
      </c>
      <c r="S343" t="s">
        <v>76</v>
      </c>
      <c r="T343" s="5">
        <v>34570</v>
      </c>
      <c r="U343" s="6"/>
      <c r="V343" t="s">
        <v>77</v>
      </c>
      <c r="W343" s="4">
        <v>46179</v>
      </c>
      <c r="X343" t="s">
        <v>64</v>
      </c>
      <c r="Y343" t="s">
        <v>77</v>
      </c>
      <c r="Z343" t="s">
        <v>96</v>
      </c>
      <c r="AA343" t="str">
        <f>VLOOKUP(H343,Departments!$A:$B,2,0)</f>
        <v>Neurology</v>
      </c>
      <c r="AB343" t="str">
        <f>VLOOKUP(J343,Diagnosis_Guide!$A:$B,2,0)</f>
        <v>Seizure Episode</v>
      </c>
      <c r="AC343" s="4" t="str">
        <f>VLOOKUP(J343,Diagnosis_Guide!$A:$C,3,0)</f>
        <v>Neurological</v>
      </c>
      <c r="AD343" s="4" t="str">
        <f>VLOOKUP(R343,Insurance_Plans!$A:$C,3,0)</f>
        <v>Public</v>
      </c>
      <c r="AE343" s="13">
        <f t="shared" si="15"/>
        <v>3807.5</v>
      </c>
      <c r="AF343" s="13">
        <f t="shared" si="16"/>
        <v>79957.5</v>
      </c>
      <c r="AG343" s="4" t="str">
        <f t="shared" si="17"/>
        <v>Not Available</v>
      </c>
    </row>
    <row r="344" spans="1:33">
      <c r="A344" t="s">
        <v>837</v>
      </c>
      <c r="B344" t="s">
        <v>838</v>
      </c>
      <c r="C344" s="11">
        <v>46167</v>
      </c>
      <c r="D344" t="s">
        <v>183</v>
      </c>
      <c r="E344" t="s">
        <v>314</v>
      </c>
      <c r="F344" s="4"/>
      <c r="G344" s="4"/>
      <c r="H344" t="s">
        <v>201</v>
      </c>
      <c r="I344" t="s">
        <v>421</v>
      </c>
      <c r="J344" t="s">
        <v>281</v>
      </c>
      <c r="K344" t="s">
        <v>124</v>
      </c>
      <c r="L344" t="s">
        <v>61</v>
      </c>
      <c r="M344" s="5"/>
      <c r="N344" s="5"/>
      <c r="O344" s="5"/>
      <c r="P344" s="5"/>
      <c r="R344" t="s">
        <v>141</v>
      </c>
      <c r="S344" t="s">
        <v>63</v>
      </c>
      <c r="T344" s="5"/>
      <c r="U344" s="6"/>
      <c r="V344" t="s">
        <v>64</v>
      </c>
      <c r="W344" s="4"/>
      <c r="X344" t="s">
        <v>65</v>
      </c>
      <c r="Z344" t="s">
        <v>66</v>
      </c>
      <c r="AA344" t="str">
        <f>VLOOKUP(H344,Departments!$A:$B,2,0)</f>
        <v>Emergency</v>
      </c>
      <c r="AB344" t="str">
        <f>VLOOKUP(J344,Diagnosis_Guide!$A:$B,2,0)</f>
        <v>Food Poisoning</v>
      </c>
      <c r="AC344" s="4" t="str">
        <f>VLOOKUP(J344,Diagnosis_Guide!$A:$C,3,0)</f>
        <v>Emergency</v>
      </c>
      <c r="AD344" s="4" t="str">
        <f>VLOOKUP(R344,Insurance_Plans!$A:$C,3,0)</f>
        <v>Private</v>
      </c>
      <c r="AE344" s="13" t="str">
        <f t="shared" si="15"/>
        <v/>
      </c>
      <c r="AF344" s="13" t="str">
        <f t="shared" si="16"/>
        <v/>
      </c>
      <c r="AG344" s="4" t="str">
        <f t="shared" si="17"/>
        <v>Not Available</v>
      </c>
    </row>
    <row r="345" spans="1:33">
      <c r="A345" t="s">
        <v>839</v>
      </c>
      <c r="B345" t="s">
        <v>725</v>
      </c>
      <c r="C345" s="11">
        <v>46064</v>
      </c>
      <c r="D345" t="s">
        <v>149</v>
      </c>
      <c r="E345" t="s">
        <v>70</v>
      </c>
      <c r="F345" s="4">
        <v>46064</v>
      </c>
      <c r="G345" s="4">
        <v>46070</v>
      </c>
      <c r="H345" t="s">
        <v>150</v>
      </c>
      <c r="I345" t="s">
        <v>239</v>
      </c>
      <c r="J345" t="s">
        <v>188</v>
      </c>
      <c r="K345" t="s">
        <v>73</v>
      </c>
      <c r="L345" t="s">
        <v>74</v>
      </c>
      <c r="M345" s="5">
        <v>87200</v>
      </c>
      <c r="N345" s="5">
        <v>10200</v>
      </c>
      <c r="O345" s="5">
        <v>21600</v>
      </c>
      <c r="P345" s="5">
        <v>21000</v>
      </c>
      <c r="Q345" s="13">
        <v>141800</v>
      </c>
      <c r="R345" t="s">
        <v>75</v>
      </c>
      <c r="S345" t="s">
        <v>76</v>
      </c>
      <c r="T345" s="5">
        <v>64110</v>
      </c>
      <c r="U345" s="6">
        <v>4</v>
      </c>
      <c r="V345" t="s">
        <v>64</v>
      </c>
      <c r="W345" s="4"/>
      <c r="X345" t="s">
        <v>65</v>
      </c>
      <c r="Y345" t="s">
        <v>64</v>
      </c>
      <c r="Z345" t="s">
        <v>96</v>
      </c>
      <c r="AA345" t="str">
        <f>VLOOKUP(H345,Departments!$A:$B,2,0)</f>
        <v>Obstetrics</v>
      </c>
      <c r="AB345" t="str">
        <f>VLOOKUP(J345,Diagnosis_Guide!$A:$B,2,0)</f>
        <v>Emergency C-Section</v>
      </c>
      <c r="AC345" s="4" t="str">
        <f>VLOOKUP(J345,Diagnosis_Guide!$A:$C,3,0)</f>
        <v>Maternal Health</v>
      </c>
      <c r="AD345" s="4" t="str">
        <f>VLOOKUP(R345,Insurance_Plans!$A:$C,3,0)</f>
        <v>Public</v>
      </c>
      <c r="AE345" s="13">
        <f t="shared" si="15"/>
        <v>7090</v>
      </c>
      <c r="AF345" s="13">
        <f t="shared" si="16"/>
        <v>148890</v>
      </c>
      <c r="AG345" s="4" t="str">
        <f t="shared" si="17"/>
        <v>High</v>
      </c>
    </row>
    <row r="346" spans="1:33">
      <c r="A346" t="s">
        <v>840</v>
      </c>
      <c r="B346" t="s">
        <v>841</v>
      </c>
      <c r="C346" s="11">
        <v>46065</v>
      </c>
      <c r="D346" t="s">
        <v>120</v>
      </c>
      <c r="E346" t="s">
        <v>70</v>
      </c>
      <c r="F346" s="4">
        <v>46065</v>
      </c>
      <c r="G346" s="4">
        <v>46070</v>
      </c>
      <c r="H346" t="s">
        <v>57</v>
      </c>
      <c r="I346" t="s">
        <v>169</v>
      </c>
      <c r="J346" t="s">
        <v>59</v>
      </c>
      <c r="K346" t="s">
        <v>124</v>
      </c>
      <c r="L346" t="s">
        <v>94</v>
      </c>
      <c r="M346" s="5">
        <v>47600</v>
      </c>
      <c r="N346" s="5">
        <v>7700</v>
      </c>
      <c r="O346" s="5">
        <v>6250</v>
      </c>
      <c r="P346" s="5">
        <v>22500</v>
      </c>
      <c r="Q346" s="13">
        <v>84850</v>
      </c>
      <c r="R346" t="s">
        <v>75</v>
      </c>
      <c r="S346" t="s">
        <v>76</v>
      </c>
      <c r="T346" s="5">
        <v>38480</v>
      </c>
      <c r="U346" s="6"/>
      <c r="V346" t="s">
        <v>77</v>
      </c>
      <c r="W346" s="4">
        <v>46085</v>
      </c>
      <c r="X346" t="s">
        <v>77</v>
      </c>
      <c r="Y346" t="s">
        <v>64</v>
      </c>
      <c r="Z346" t="s">
        <v>436</v>
      </c>
      <c r="AA346" t="str">
        <f>VLOOKUP(H346,Departments!$A:$B,2,0)</f>
        <v>Pulmonology</v>
      </c>
      <c r="AB346" t="str">
        <f>VLOOKUP(J346,Diagnosis_Guide!$A:$B,2,0)</f>
        <v>Pneumonia</v>
      </c>
      <c r="AC346" s="4" t="str">
        <f>VLOOKUP(J346,Diagnosis_Guide!$A:$C,3,0)</f>
        <v>Respiratory</v>
      </c>
      <c r="AD346" s="4" t="str">
        <f>VLOOKUP(R346,Insurance_Plans!$A:$C,3,0)</f>
        <v>Public</v>
      </c>
      <c r="AE346" s="13">
        <f t="shared" si="15"/>
        <v>4242.5</v>
      </c>
      <c r="AF346" s="13">
        <f t="shared" si="16"/>
        <v>89092.5</v>
      </c>
      <c r="AG346" s="4" t="str">
        <f t="shared" si="17"/>
        <v>Not Available</v>
      </c>
    </row>
    <row r="347" spans="1:33">
      <c r="A347" t="s">
        <v>842</v>
      </c>
      <c r="B347" t="s">
        <v>843</v>
      </c>
      <c r="C347" s="11">
        <v>46118</v>
      </c>
      <c r="D347" t="s">
        <v>284</v>
      </c>
      <c r="E347" t="s">
        <v>70</v>
      </c>
      <c r="F347" s="4">
        <v>46118</v>
      </c>
      <c r="G347" s="4">
        <v>46122</v>
      </c>
      <c r="H347" t="s">
        <v>138</v>
      </c>
      <c r="I347" t="s">
        <v>352</v>
      </c>
      <c r="J347" t="s">
        <v>236</v>
      </c>
      <c r="K347" t="s">
        <v>124</v>
      </c>
      <c r="L347" t="s">
        <v>61</v>
      </c>
      <c r="M347" s="5">
        <v>36800</v>
      </c>
      <c r="N347" s="5">
        <v>6600</v>
      </c>
      <c r="O347" s="5">
        <v>4950</v>
      </c>
      <c r="P347" s="5">
        <v>18000</v>
      </c>
      <c r="Q347" s="13">
        <v>68150</v>
      </c>
      <c r="R347" t="s">
        <v>75</v>
      </c>
      <c r="S347" t="s">
        <v>76</v>
      </c>
      <c r="T347" s="5">
        <v>30970</v>
      </c>
      <c r="U347" s="6">
        <v>5</v>
      </c>
      <c r="V347" t="s">
        <v>77</v>
      </c>
      <c r="W347" s="4">
        <v>46140</v>
      </c>
      <c r="X347" t="s">
        <v>77</v>
      </c>
      <c r="Y347" t="s">
        <v>64</v>
      </c>
      <c r="Z347" t="s">
        <v>78</v>
      </c>
      <c r="AA347" t="str">
        <f>VLOOKUP(H347,Departments!$A:$B,2,0)</f>
        <v>Pediatrics</v>
      </c>
      <c r="AB347" t="str">
        <f>VLOOKUP(J347,Diagnosis_Guide!$A:$B,2,0)</f>
        <v>Neonatal Observation</v>
      </c>
      <c r="AC347" s="4" t="str">
        <f>VLOOKUP(J347,Diagnosis_Guide!$A:$C,3,0)</f>
        <v>Pediatric</v>
      </c>
      <c r="AD347" s="4" t="str">
        <f>VLOOKUP(R347,Insurance_Plans!$A:$C,3,0)</f>
        <v>Public</v>
      </c>
      <c r="AE347" s="13">
        <f t="shared" si="15"/>
        <v>3407.5</v>
      </c>
      <c r="AF347" s="13">
        <f t="shared" si="16"/>
        <v>71557.5</v>
      </c>
      <c r="AG347" s="4" t="str">
        <f t="shared" si="17"/>
        <v>High</v>
      </c>
    </row>
    <row r="348" spans="1:33">
      <c r="A348" t="s">
        <v>844</v>
      </c>
      <c r="B348" t="s">
        <v>845</v>
      </c>
      <c r="C348" s="11">
        <v>46161</v>
      </c>
      <c r="D348" t="s">
        <v>330</v>
      </c>
      <c r="E348" t="s">
        <v>70</v>
      </c>
      <c r="F348" s="4">
        <v>46161</v>
      </c>
      <c r="G348" s="4">
        <v>46161</v>
      </c>
      <c r="H348" t="s">
        <v>111</v>
      </c>
      <c r="I348" t="s">
        <v>112</v>
      </c>
      <c r="J348" t="s">
        <v>117</v>
      </c>
      <c r="K348" t="s">
        <v>60</v>
      </c>
      <c r="L348" t="s">
        <v>61</v>
      </c>
      <c r="M348" s="5">
        <v>5800</v>
      </c>
      <c r="N348" s="5">
        <v>550</v>
      </c>
      <c r="O348" s="5">
        <v>1400</v>
      </c>
      <c r="P348" s="5">
        <v>0</v>
      </c>
      <c r="Q348" s="13">
        <v>8550</v>
      </c>
      <c r="R348" t="s">
        <v>85</v>
      </c>
      <c r="S348" t="s">
        <v>76</v>
      </c>
      <c r="T348" s="5">
        <v>3040</v>
      </c>
      <c r="U348" s="6">
        <v>5</v>
      </c>
      <c r="V348" t="s">
        <v>64</v>
      </c>
      <c r="W348" s="4"/>
      <c r="X348" t="s">
        <v>65</v>
      </c>
      <c r="Y348" t="s">
        <v>64</v>
      </c>
      <c r="Z348" t="s">
        <v>78</v>
      </c>
      <c r="AA348" t="str">
        <f>VLOOKUP(H348,Departments!$A:$B,2,0)</f>
        <v>General Medicine</v>
      </c>
      <c r="AB348" t="str">
        <f>VLOOKUP(J348,Diagnosis_Guide!$A:$B,2,0)</f>
        <v>Fever Investigation</v>
      </c>
      <c r="AC348" s="4" t="str">
        <f>VLOOKUP(J348,Diagnosis_Guide!$A:$C,3,0)</f>
        <v>Infectious/General</v>
      </c>
      <c r="AD348" s="4" t="str">
        <f>VLOOKUP(R348,Insurance_Plans!$A:$C,3,0)</f>
        <v>Employer</v>
      </c>
      <c r="AE348" s="13">
        <f t="shared" si="15"/>
        <v>427.5</v>
      </c>
      <c r="AF348" s="13">
        <f t="shared" si="16"/>
        <v>8977.5</v>
      </c>
      <c r="AG348" s="4" t="str">
        <f t="shared" si="17"/>
        <v>High</v>
      </c>
    </row>
    <row r="349" spans="1:33">
      <c r="A349" t="s">
        <v>846</v>
      </c>
      <c r="B349" t="s">
        <v>847</v>
      </c>
      <c r="C349" s="11">
        <v>46150</v>
      </c>
      <c r="D349" t="s">
        <v>149</v>
      </c>
      <c r="E349" t="s">
        <v>70</v>
      </c>
      <c r="F349" s="4">
        <v>46151</v>
      </c>
      <c r="G349" s="4">
        <v>46153</v>
      </c>
      <c r="H349" t="s">
        <v>103</v>
      </c>
      <c r="I349" t="s">
        <v>214</v>
      </c>
      <c r="J349" t="s">
        <v>105</v>
      </c>
      <c r="K349" t="s">
        <v>124</v>
      </c>
      <c r="L349" t="s">
        <v>94</v>
      </c>
      <c r="M349" s="5">
        <v>57200</v>
      </c>
      <c r="N349" s="5">
        <v>7000</v>
      </c>
      <c r="O349" s="5">
        <v>10750</v>
      </c>
      <c r="P349" s="5">
        <v>7000</v>
      </c>
      <c r="Q349" s="13">
        <v>82750</v>
      </c>
      <c r="R349" t="s">
        <v>62</v>
      </c>
      <c r="S349" t="s">
        <v>76</v>
      </c>
      <c r="T349" s="5">
        <v>25230</v>
      </c>
      <c r="U349" s="6">
        <v>3</v>
      </c>
      <c r="V349" t="s">
        <v>64</v>
      </c>
      <c r="W349" s="4"/>
      <c r="X349" t="s">
        <v>65</v>
      </c>
      <c r="Y349" t="s">
        <v>64</v>
      </c>
      <c r="Z349" t="s">
        <v>78</v>
      </c>
      <c r="AA349" t="str">
        <f>VLOOKUP(H349,Departments!$A:$B,2,0)</f>
        <v>Nephrology</v>
      </c>
      <c r="AB349" t="str">
        <f>VLOOKUP(J349,Diagnosis_Guide!$A:$B,2,0)</f>
        <v>Dialysis Complication</v>
      </c>
      <c r="AC349" s="4" t="str">
        <f>VLOOKUP(J349,Diagnosis_Guide!$A:$C,3,0)</f>
        <v>Renal</v>
      </c>
      <c r="AD349" s="4" t="str">
        <f>VLOOKUP(R349,Insurance_Plans!$A:$C,3,0)</f>
        <v>Public</v>
      </c>
      <c r="AE349" s="13">
        <f t="shared" si="15"/>
        <v>4137.5</v>
      </c>
      <c r="AF349" s="13">
        <f t="shared" si="16"/>
        <v>86887.5</v>
      </c>
      <c r="AG349" s="4" t="str">
        <f t="shared" si="17"/>
        <v>Medium</v>
      </c>
    </row>
    <row r="350" spans="1:33">
      <c r="A350" t="s">
        <v>848</v>
      </c>
      <c r="B350" t="s">
        <v>849</v>
      </c>
      <c r="C350" s="11">
        <v>46109</v>
      </c>
      <c r="D350" t="s">
        <v>363</v>
      </c>
      <c r="E350" t="s">
        <v>70</v>
      </c>
      <c r="F350" s="4">
        <v>46109</v>
      </c>
      <c r="G350" s="4">
        <v>46115</v>
      </c>
      <c r="H350" t="s">
        <v>178</v>
      </c>
      <c r="I350" t="s">
        <v>415</v>
      </c>
      <c r="J350" t="s">
        <v>340</v>
      </c>
      <c r="K350" t="s">
        <v>73</v>
      </c>
      <c r="L350" t="s">
        <v>94</v>
      </c>
      <c r="M350" s="5">
        <v>75300</v>
      </c>
      <c r="N350" s="5">
        <v>11100</v>
      </c>
      <c r="O350" s="5">
        <v>7850</v>
      </c>
      <c r="P350" s="5">
        <v>36000</v>
      </c>
      <c r="Q350" s="13">
        <v>131050</v>
      </c>
      <c r="R350" t="s">
        <v>141</v>
      </c>
      <c r="S350" t="s">
        <v>76</v>
      </c>
      <c r="T350" s="5">
        <v>20860</v>
      </c>
      <c r="U350" s="6">
        <v>5</v>
      </c>
      <c r="V350" t="s">
        <v>77</v>
      </c>
      <c r="W350" s="4">
        <v>46133</v>
      </c>
      <c r="X350" t="s">
        <v>77</v>
      </c>
      <c r="Y350" t="s">
        <v>64</v>
      </c>
      <c r="Z350" t="s">
        <v>96</v>
      </c>
      <c r="AA350" t="str">
        <f>VLOOKUP(H350,Departments!$A:$B,2,0)</f>
        <v>Surgery</v>
      </c>
      <c r="AB350" t="str">
        <f>VLOOKUP(J350,Diagnosis_Guide!$A:$B,2,0)</f>
        <v>Post-Operative Infection</v>
      </c>
      <c r="AC350" s="4" t="str">
        <f>VLOOKUP(J350,Diagnosis_Guide!$A:$C,3,0)</f>
        <v>Surgical</v>
      </c>
      <c r="AD350" s="4" t="str">
        <f>VLOOKUP(R350,Insurance_Plans!$A:$C,3,0)</f>
        <v>Private</v>
      </c>
      <c r="AE350" s="13">
        <f t="shared" si="15"/>
        <v>6552.5</v>
      </c>
      <c r="AF350" s="13">
        <f t="shared" si="16"/>
        <v>137602.5</v>
      </c>
      <c r="AG350" s="4" t="str">
        <f t="shared" si="17"/>
        <v>High</v>
      </c>
    </row>
    <row r="351" spans="1:33">
      <c r="A351" t="s">
        <v>850</v>
      </c>
      <c r="B351" t="s">
        <v>851</v>
      </c>
      <c r="C351" s="11">
        <v>46033</v>
      </c>
      <c r="D351" t="s">
        <v>200</v>
      </c>
      <c r="E351" t="s">
        <v>70</v>
      </c>
      <c r="F351" s="4">
        <v>46033</v>
      </c>
      <c r="G351" s="4">
        <v>46036</v>
      </c>
      <c r="H351" t="s">
        <v>111</v>
      </c>
      <c r="I351" t="s">
        <v>112</v>
      </c>
      <c r="J351" t="s">
        <v>113</v>
      </c>
      <c r="K351" t="s">
        <v>73</v>
      </c>
      <c r="L351" t="s">
        <v>146</v>
      </c>
      <c r="M351" s="5">
        <v>18500</v>
      </c>
      <c r="N351" s="5">
        <v>2400</v>
      </c>
      <c r="O351" s="5">
        <v>1850</v>
      </c>
      <c r="P351" s="5">
        <v>9000</v>
      </c>
      <c r="Q351" s="13">
        <v>32550</v>
      </c>
      <c r="R351" t="s">
        <v>95</v>
      </c>
      <c r="S351" t="s">
        <v>63</v>
      </c>
      <c r="T351" s="5">
        <v>32550</v>
      </c>
      <c r="U351" s="6">
        <v>5</v>
      </c>
      <c r="V351" t="s">
        <v>77</v>
      </c>
      <c r="W351" s="4">
        <v>46045</v>
      </c>
      <c r="X351" t="s">
        <v>77</v>
      </c>
      <c r="Y351" t="s">
        <v>64</v>
      </c>
      <c r="Z351" t="s">
        <v>96</v>
      </c>
      <c r="AA351" t="str">
        <f>VLOOKUP(H351,Departments!$A:$B,2,0)</f>
        <v>General Medicine</v>
      </c>
      <c r="AB351" t="str">
        <f>VLOOKUP(J351,Diagnosis_Guide!$A:$B,2,0)</f>
        <v>Diabetes Complication</v>
      </c>
      <c r="AC351" s="4" t="str">
        <f>VLOOKUP(J351,Diagnosis_Guide!$A:$C,3,0)</f>
        <v>Endocrine/General</v>
      </c>
      <c r="AD351" s="4" t="str">
        <f>VLOOKUP(R351,Insurance_Plans!$A:$C,3,0)</f>
        <v>Self-Pay</v>
      </c>
      <c r="AE351" s="13">
        <f t="shared" si="15"/>
        <v>1627.5</v>
      </c>
      <c r="AF351" s="13">
        <f t="shared" si="16"/>
        <v>34177.5</v>
      </c>
      <c r="AG351" s="4" t="str">
        <f t="shared" si="17"/>
        <v>High</v>
      </c>
    </row>
    <row r="352" spans="1:33">
      <c r="A352" t="s">
        <v>852</v>
      </c>
      <c r="B352" t="s">
        <v>700</v>
      </c>
      <c r="C352" s="11">
        <v>46167</v>
      </c>
      <c r="D352" t="s">
        <v>234</v>
      </c>
      <c r="E352" t="s">
        <v>70</v>
      </c>
      <c r="F352" s="4">
        <v>46167</v>
      </c>
      <c r="G352" s="4">
        <v>46170</v>
      </c>
      <c r="H352" t="s">
        <v>121</v>
      </c>
      <c r="I352" t="s">
        <v>334</v>
      </c>
      <c r="J352" t="s">
        <v>123</v>
      </c>
      <c r="K352" t="s">
        <v>124</v>
      </c>
      <c r="L352" t="s">
        <v>74</v>
      </c>
      <c r="M352" s="5">
        <v>32900</v>
      </c>
      <c r="N352" s="5">
        <v>4450</v>
      </c>
      <c r="O352" s="5">
        <v>5350</v>
      </c>
      <c r="P352" s="5">
        <v>7500</v>
      </c>
      <c r="Q352" s="13">
        <v>51200</v>
      </c>
      <c r="R352" t="s">
        <v>75</v>
      </c>
      <c r="S352" t="s">
        <v>86</v>
      </c>
      <c r="T352" s="5">
        <v>23340</v>
      </c>
      <c r="U352" s="6">
        <v>5</v>
      </c>
      <c r="V352" t="s">
        <v>77</v>
      </c>
      <c r="W352" s="4">
        <v>46184</v>
      </c>
      <c r="X352" t="s">
        <v>77</v>
      </c>
      <c r="Y352" t="s">
        <v>64</v>
      </c>
      <c r="Z352" t="s">
        <v>96</v>
      </c>
      <c r="AA352" t="str">
        <f>VLOOKUP(H352,Departments!$A:$B,2,0)</f>
        <v>Neurology</v>
      </c>
      <c r="AB352" t="str">
        <f>VLOOKUP(J352,Diagnosis_Guide!$A:$B,2,0)</f>
        <v>Seizure Episode</v>
      </c>
      <c r="AC352" s="4" t="str">
        <f>VLOOKUP(J352,Diagnosis_Guide!$A:$C,3,0)</f>
        <v>Neurological</v>
      </c>
      <c r="AD352" s="4" t="str">
        <f>VLOOKUP(R352,Insurance_Plans!$A:$C,3,0)</f>
        <v>Public</v>
      </c>
      <c r="AE352" s="13">
        <f t="shared" si="15"/>
        <v>2560</v>
      </c>
      <c r="AF352" s="13">
        <f t="shared" si="16"/>
        <v>53760</v>
      </c>
      <c r="AG352" s="4" t="str">
        <f t="shared" si="17"/>
        <v>High</v>
      </c>
    </row>
    <row r="353" spans="1:33">
      <c r="A353" t="s">
        <v>853</v>
      </c>
      <c r="B353" t="s">
        <v>854</v>
      </c>
      <c r="C353" s="11">
        <v>46145</v>
      </c>
      <c r="D353" t="s">
        <v>330</v>
      </c>
      <c r="E353" t="s">
        <v>70</v>
      </c>
      <c r="F353" s="4">
        <v>46145</v>
      </c>
      <c r="G353" s="4">
        <v>46145</v>
      </c>
      <c r="H353" t="s">
        <v>121</v>
      </c>
      <c r="I353" t="s">
        <v>251</v>
      </c>
      <c r="J353" t="s">
        <v>123</v>
      </c>
      <c r="K353" t="s">
        <v>60</v>
      </c>
      <c r="L353" t="s">
        <v>61</v>
      </c>
      <c r="M353" s="5">
        <v>45000</v>
      </c>
      <c r="N353" s="5">
        <v>5250</v>
      </c>
      <c r="O353" s="5">
        <v>7950</v>
      </c>
      <c r="P353" s="5">
        <v>0</v>
      </c>
      <c r="Q353" s="13">
        <v>60200</v>
      </c>
      <c r="R353" t="s">
        <v>75</v>
      </c>
      <c r="S353" t="s">
        <v>76</v>
      </c>
      <c r="T353" s="5">
        <v>27390</v>
      </c>
      <c r="U353" s="6">
        <v>4</v>
      </c>
      <c r="V353" t="s">
        <v>77</v>
      </c>
      <c r="W353" s="4">
        <v>46160</v>
      </c>
      <c r="X353" t="s">
        <v>77</v>
      </c>
      <c r="Y353" t="s">
        <v>64</v>
      </c>
      <c r="Z353" t="s">
        <v>96</v>
      </c>
      <c r="AA353" t="str">
        <f>VLOOKUP(H353,Departments!$A:$B,2,0)</f>
        <v>Neurology</v>
      </c>
      <c r="AB353" t="str">
        <f>VLOOKUP(J353,Diagnosis_Guide!$A:$B,2,0)</f>
        <v>Seizure Episode</v>
      </c>
      <c r="AC353" s="4" t="str">
        <f>VLOOKUP(J353,Diagnosis_Guide!$A:$C,3,0)</f>
        <v>Neurological</v>
      </c>
      <c r="AD353" s="4" t="str">
        <f>VLOOKUP(R353,Insurance_Plans!$A:$C,3,0)</f>
        <v>Public</v>
      </c>
      <c r="AE353" s="13">
        <f t="shared" si="15"/>
        <v>3010</v>
      </c>
      <c r="AF353" s="13">
        <f t="shared" si="16"/>
        <v>63210</v>
      </c>
      <c r="AG353" s="4" t="str">
        <f t="shared" si="17"/>
        <v>High</v>
      </c>
    </row>
    <row r="354" spans="1:33">
      <c r="A354" t="s">
        <v>855</v>
      </c>
      <c r="B354" t="s">
        <v>856</v>
      </c>
      <c r="C354" s="11">
        <v>46067</v>
      </c>
      <c r="D354" t="s">
        <v>439</v>
      </c>
      <c r="E354" t="s">
        <v>70</v>
      </c>
      <c r="F354" s="4">
        <v>46067</v>
      </c>
      <c r="G354" s="4">
        <v>46067</v>
      </c>
      <c r="H354" t="s">
        <v>111</v>
      </c>
      <c r="I354" t="s">
        <v>267</v>
      </c>
      <c r="J354" t="s">
        <v>384</v>
      </c>
      <c r="K354" t="s">
        <v>60</v>
      </c>
      <c r="L354" t="s">
        <v>74</v>
      </c>
      <c r="M354" s="5">
        <v>69200</v>
      </c>
      <c r="N354" s="5">
        <v>11350</v>
      </c>
      <c r="O354" s="5">
        <v>10650</v>
      </c>
      <c r="P354" s="5">
        <v>0</v>
      </c>
      <c r="Q354" s="13">
        <v>92400</v>
      </c>
      <c r="R354" t="s">
        <v>75</v>
      </c>
      <c r="S354" t="s">
        <v>76</v>
      </c>
      <c r="T354" s="5">
        <v>41880</v>
      </c>
      <c r="U354" s="6"/>
      <c r="V354" t="s">
        <v>77</v>
      </c>
      <c r="W354" s="4">
        <v>46080</v>
      </c>
      <c r="X354" t="s">
        <v>77</v>
      </c>
      <c r="Y354" t="s">
        <v>64</v>
      </c>
      <c r="Z354" t="s">
        <v>78</v>
      </c>
      <c r="AA354" t="str">
        <f>VLOOKUP(H354,Departments!$A:$B,2,0)</f>
        <v>General Medicine</v>
      </c>
      <c r="AB354" t="str">
        <f>VLOOKUP(J354,Diagnosis_Guide!$A:$B,2,0)</f>
        <v>Severe Infection</v>
      </c>
      <c r="AC354" s="4" t="str">
        <f>VLOOKUP(J354,Diagnosis_Guide!$A:$C,3,0)</f>
        <v>Infectious/General</v>
      </c>
      <c r="AD354" s="4" t="str">
        <f>VLOOKUP(R354,Insurance_Plans!$A:$C,3,0)</f>
        <v>Public</v>
      </c>
      <c r="AE354" s="13">
        <f t="shared" si="15"/>
        <v>4620</v>
      </c>
      <c r="AF354" s="13">
        <f t="shared" si="16"/>
        <v>97020</v>
      </c>
      <c r="AG354" s="4" t="str">
        <f t="shared" si="17"/>
        <v>Not Available</v>
      </c>
    </row>
    <row r="355" spans="1:33">
      <c r="A355" t="s">
        <v>857</v>
      </c>
      <c r="B355" t="s">
        <v>858</v>
      </c>
      <c r="C355" s="11">
        <v>46145</v>
      </c>
      <c r="D355" t="s">
        <v>242</v>
      </c>
      <c r="E355" t="s">
        <v>70</v>
      </c>
      <c r="F355" s="4">
        <v>46145</v>
      </c>
      <c r="G355" s="4">
        <v>46147</v>
      </c>
      <c r="H355" t="s">
        <v>57</v>
      </c>
      <c r="I355" t="s">
        <v>71</v>
      </c>
      <c r="J355" t="s">
        <v>72</v>
      </c>
      <c r="K355" t="s">
        <v>124</v>
      </c>
      <c r="L355" t="s">
        <v>61</v>
      </c>
      <c r="M355" s="5">
        <v>7600</v>
      </c>
      <c r="N355" s="5">
        <v>650</v>
      </c>
      <c r="O355" s="5">
        <v>1450</v>
      </c>
      <c r="P355" s="5">
        <v>9000</v>
      </c>
      <c r="Q355" s="13">
        <v>20500</v>
      </c>
      <c r="R355" t="s">
        <v>75</v>
      </c>
      <c r="S355" t="s">
        <v>76</v>
      </c>
      <c r="T355" s="5">
        <v>9520</v>
      </c>
      <c r="U355" s="6">
        <v>3</v>
      </c>
      <c r="V355" t="s">
        <v>64</v>
      </c>
      <c r="W355" s="4"/>
      <c r="X355" t="s">
        <v>65</v>
      </c>
      <c r="Y355" t="s">
        <v>64</v>
      </c>
      <c r="Z355" t="s">
        <v>96</v>
      </c>
      <c r="AA355" t="str">
        <f>VLOOKUP(H355,Departments!$A:$B,2,0)</f>
        <v>Pulmonology</v>
      </c>
      <c r="AB355" t="str">
        <f>VLOOKUP(J355,Diagnosis_Guide!$A:$B,2,0)</f>
        <v>Acute Bronchitis</v>
      </c>
      <c r="AC355" s="4" t="str">
        <f>VLOOKUP(J355,Diagnosis_Guide!$A:$C,3,0)</f>
        <v>Respiratory</v>
      </c>
      <c r="AD355" s="4" t="str">
        <f>VLOOKUP(R355,Insurance_Plans!$A:$C,3,0)</f>
        <v>Public</v>
      </c>
      <c r="AE355" s="13">
        <f t="shared" si="15"/>
        <v>1025</v>
      </c>
      <c r="AF355" s="13">
        <f t="shared" si="16"/>
        <v>21525</v>
      </c>
      <c r="AG355" s="4" t="str">
        <f t="shared" si="17"/>
        <v>Medium</v>
      </c>
    </row>
    <row r="356" spans="1:33">
      <c r="A356" t="s">
        <v>859</v>
      </c>
      <c r="B356" t="s">
        <v>860</v>
      </c>
      <c r="C356" s="11">
        <v>46106</v>
      </c>
      <c r="D356" t="s">
        <v>55</v>
      </c>
      <c r="E356" t="s">
        <v>70</v>
      </c>
      <c r="F356" s="4">
        <v>46106</v>
      </c>
      <c r="G356" s="4">
        <v>46106</v>
      </c>
      <c r="H356" t="s">
        <v>150</v>
      </c>
      <c r="I356" t="s">
        <v>239</v>
      </c>
      <c r="J356" t="s">
        <v>188</v>
      </c>
      <c r="K356" t="s">
        <v>60</v>
      </c>
      <c r="L356" t="s">
        <v>94</v>
      </c>
      <c r="M356" s="5">
        <v>84500</v>
      </c>
      <c r="N356" s="5">
        <v>12100</v>
      </c>
      <c r="O356" s="5">
        <v>11650</v>
      </c>
      <c r="P356" s="5">
        <v>0</v>
      </c>
      <c r="Q356" s="13">
        <v>110050</v>
      </c>
      <c r="R356" t="s">
        <v>106</v>
      </c>
      <c r="S356" t="s">
        <v>76</v>
      </c>
      <c r="T356" s="5">
        <v>39220</v>
      </c>
      <c r="U356" s="6">
        <v>5</v>
      </c>
      <c r="V356" t="s">
        <v>77</v>
      </c>
      <c r="W356" s="4">
        <v>46121</v>
      </c>
      <c r="X356" t="s">
        <v>77</v>
      </c>
      <c r="Y356" t="s">
        <v>64</v>
      </c>
      <c r="Z356" t="s">
        <v>78</v>
      </c>
      <c r="AA356" t="str">
        <f>VLOOKUP(H356,Departments!$A:$B,2,0)</f>
        <v>Obstetrics</v>
      </c>
      <c r="AB356" t="str">
        <f>VLOOKUP(J356,Diagnosis_Guide!$A:$B,2,0)</f>
        <v>Emergency C-Section</v>
      </c>
      <c r="AC356" s="4" t="str">
        <f>VLOOKUP(J356,Diagnosis_Guide!$A:$C,3,0)</f>
        <v>Maternal Health</v>
      </c>
      <c r="AD356" s="4" t="str">
        <f>VLOOKUP(R356,Insurance_Plans!$A:$C,3,0)</f>
        <v>Private</v>
      </c>
      <c r="AE356" s="13">
        <f t="shared" si="15"/>
        <v>5502.5</v>
      </c>
      <c r="AF356" s="13">
        <f t="shared" si="16"/>
        <v>115552.5</v>
      </c>
      <c r="AG356" s="4" t="str">
        <f t="shared" si="17"/>
        <v>High</v>
      </c>
    </row>
    <row r="357" spans="1:33">
      <c r="A357" t="s">
        <v>861</v>
      </c>
      <c r="B357" t="s">
        <v>373</v>
      </c>
      <c r="C357" s="11">
        <v>46090</v>
      </c>
      <c r="D357" t="s">
        <v>242</v>
      </c>
      <c r="E357" t="s">
        <v>70</v>
      </c>
      <c r="F357" s="4">
        <v>46090</v>
      </c>
      <c r="G357" s="4">
        <v>46090</v>
      </c>
      <c r="H357" t="s">
        <v>57</v>
      </c>
      <c r="I357" t="s">
        <v>184</v>
      </c>
      <c r="J357" t="s">
        <v>59</v>
      </c>
      <c r="K357" t="s">
        <v>60</v>
      </c>
      <c r="L357" t="s">
        <v>94</v>
      </c>
      <c r="M357" s="5">
        <v>38200</v>
      </c>
      <c r="N357" s="5">
        <v>5700</v>
      </c>
      <c r="O357" s="5">
        <v>7900</v>
      </c>
      <c r="P357" s="5">
        <v>0</v>
      </c>
      <c r="Q357" s="13">
        <v>53000</v>
      </c>
      <c r="R357" t="s">
        <v>85</v>
      </c>
      <c r="S357" t="s">
        <v>76</v>
      </c>
      <c r="T357" s="5">
        <v>14150</v>
      </c>
      <c r="U357" s="6">
        <v>5</v>
      </c>
      <c r="V357" t="s">
        <v>77</v>
      </c>
      <c r="W357" s="4">
        <v>46105</v>
      </c>
      <c r="X357" t="s">
        <v>77</v>
      </c>
      <c r="Y357" t="s">
        <v>64</v>
      </c>
      <c r="Z357" t="s">
        <v>96</v>
      </c>
      <c r="AA357" t="str">
        <f>VLOOKUP(H357,Departments!$A:$B,2,0)</f>
        <v>Pulmonology</v>
      </c>
      <c r="AB357" t="str">
        <f>VLOOKUP(J357,Diagnosis_Guide!$A:$B,2,0)</f>
        <v>Pneumonia</v>
      </c>
      <c r="AC357" s="4" t="str">
        <f>VLOOKUP(J357,Diagnosis_Guide!$A:$C,3,0)</f>
        <v>Respiratory</v>
      </c>
      <c r="AD357" s="4" t="str">
        <f>VLOOKUP(R357,Insurance_Plans!$A:$C,3,0)</f>
        <v>Employer</v>
      </c>
      <c r="AE357" s="13">
        <f t="shared" si="15"/>
        <v>2650</v>
      </c>
      <c r="AF357" s="13">
        <f t="shared" si="16"/>
        <v>55650</v>
      </c>
      <c r="AG357" s="4" t="str">
        <f t="shared" si="17"/>
        <v>High</v>
      </c>
    </row>
    <row r="358" spans="1:33">
      <c r="A358" t="s">
        <v>862</v>
      </c>
      <c r="B358" t="s">
        <v>863</v>
      </c>
      <c r="C358" s="11">
        <v>46146</v>
      </c>
      <c r="D358" t="s">
        <v>55</v>
      </c>
      <c r="E358" t="s">
        <v>70</v>
      </c>
      <c r="F358" s="4">
        <v>46147</v>
      </c>
      <c r="G358" s="4">
        <v>46154</v>
      </c>
      <c r="H358" t="s">
        <v>178</v>
      </c>
      <c r="I358" t="s">
        <v>622</v>
      </c>
      <c r="J358" t="s">
        <v>180</v>
      </c>
      <c r="K358" t="s">
        <v>73</v>
      </c>
      <c r="L358" t="s">
        <v>61</v>
      </c>
      <c r="M358" s="5">
        <v>76400</v>
      </c>
      <c r="N358" s="5">
        <v>8050</v>
      </c>
      <c r="O358" s="5">
        <v>13300</v>
      </c>
      <c r="P358" s="5">
        <v>42000</v>
      </c>
      <c r="Q358" s="13">
        <v>141250</v>
      </c>
      <c r="R358" t="s">
        <v>85</v>
      </c>
      <c r="S358" t="s">
        <v>76</v>
      </c>
      <c r="T358" s="5">
        <v>36210</v>
      </c>
      <c r="U358" s="6">
        <v>3</v>
      </c>
      <c r="V358" t="s">
        <v>77</v>
      </c>
      <c r="W358" s="4">
        <v>46164</v>
      </c>
      <c r="X358" t="s">
        <v>77</v>
      </c>
      <c r="Y358" t="s">
        <v>64</v>
      </c>
      <c r="Z358" t="s">
        <v>78</v>
      </c>
      <c r="AA358" t="str">
        <f>VLOOKUP(H358,Departments!$A:$B,2,0)</f>
        <v>Surgery</v>
      </c>
      <c r="AB358" t="str">
        <f>VLOOKUP(J358,Diagnosis_Guide!$A:$B,2,0)</f>
        <v>Appendicitis Surgery</v>
      </c>
      <c r="AC358" s="4" t="str">
        <f>VLOOKUP(J358,Diagnosis_Guide!$A:$C,3,0)</f>
        <v>Surgical</v>
      </c>
      <c r="AD358" s="4" t="str">
        <f>VLOOKUP(R358,Insurance_Plans!$A:$C,3,0)</f>
        <v>Employer</v>
      </c>
      <c r="AE358" s="13">
        <f t="shared" si="15"/>
        <v>7062.5</v>
      </c>
      <c r="AF358" s="13">
        <f t="shared" si="16"/>
        <v>148312.5</v>
      </c>
      <c r="AG358" s="4" t="str">
        <f t="shared" si="17"/>
        <v>Medium</v>
      </c>
    </row>
    <row r="359" spans="1:33">
      <c r="A359" t="s">
        <v>864</v>
      </c>
      <c r="B359" t="s">
        <v>317</v>
      </c>
      <c r="C359" s="11">
        <v>46033</v>
      </c>
      <c r="D359" t="s">
        <v>294</v>
      </c>
      <c r="E359" t="s">
        <v>70</v>
      </c>
      <c r="F359" s="4">
        <v>46033</v>
      </c>
      <c r="G359" s="4">
        <v>46034</v>
      </c>
      <c r="H359" t="s">
        <v>57</v>
      </c>
      <c r="I359" t="s">
        <v>100</v>
      </c>
      <c r="J359" t="s">
        <v>170</v>
      </c>
      <c r="K359" t="s">
        <v>73</v>
      </c>
      <c r="L359" t="s">
        <v>61</v>
      </c>
      <c r="M359" s="5">
        <v>65600</v>
      </c>
      <c r="N359" s="5">
        <v>6600</v>
      </c>
      <c r="O359" s="5">
        <v>15350</v>
      </c>
      <c r="P359" s="5">
        <v>6000</v>
      </c>
      <c r="Q359" s="13">
        <v>95550</v>
      </c>
      <c r="R359" t="s">
        <v>75</v>
      </c>
      <c r="S359" t="s">
        <v>76</v>
      </c>
      <c r="T359" s="5">
        <v>43300</v>
      </c>
      <c r="U359" s="6">
        <v>4</v>
      </c>
      <c r="V359" t="s">
        <v>64</v>
      </c>
      <c r="W359" s="4"/>
      <c r="X359" t="s">
        <v>65</v>
      </c>
      <c r="Y359" t="s">
        <v>64</v>
      </c>
      <c r="Z359" t="s">
        <v>78</v>
      </c>
      <c r="AA359" t="str">
        <f>VLOOKUP(H359,Departments!$A:$B,2,0)</f>
        <v>Pulmonology</v>
      </c>
      <c r="AB359" t="str">
        <f>VLOOKUP(J359,Diagnosis_Guide!$A:$B,2,0)</f>
        <v>COPD Exacerbation</v>
      </c>
      <c r="AC359" s="4" t="str">
        <f>VLOOKUP(J359,Diagnosis_Guide!$A:$C,3,0)</f>
        <v>Respiratory</v>
      </c>
      <c r="AD359" s="4" t="str">
        <f>VLOOKUP(R359,Insurance_Plans!$A:$C,3,0)</f>
        <v>Public</v>
      </c>
      <c r="AE359" s="13">
        <f t="shared" si="15"/>
        <v>4777.5</v>
      </c>
      <c r="AF359" s="13">
        <f t="shared" si="16"/>
        <v>100327.5</v>
      </c>
      <c r="AG359" s="4" t="str">
        <f t="shared" si="17"/>
        <v>High</v>
      </c>
    </row>
    <row r="360" spans="1:33">
      <c r="A360" t="s">
        <v>865</v>
      </c>
      <c r="B360" t="s">
        <v>866</v>
      </c>
      <c r="C360" s="11">
        <v>46172</v>
      </c>
      <c r="D360" t="s">
        <v>302</v>
      </c>
      <c r="E360" t="s">
        <v>70</v>
      </c>
      <c r="F360" s="4">
        <v>46172</v>
      </c>
      <c r="G360" s="4">
        <v>46176</v>
      </c>
      <c r="H360" t="s">
        <v>121</v>
      </c>
      <c r="I360" t="s">
        <v>665</v>
      </c>
      <c r="J360" t="s">
        <v>123</v>
      </c>
      <c r="K360" t="s">
        <v>93</v>
      </c>
      <c r="L360" t="s">
        <v>74</v>
      </c>
      <c r="M360" s="5">
        <v>46200</v>
      </c>
      <c r="N360" s="5">
        <v>4950</v>
      </c>
      <c r="O360" s="5">
        <v>8000</v>
      </c>
      <c r="P360" s="5">
        <v>10000</v>
      </c>
      <c r="Q360" s="13">
        <v>70150</v>
      </c>
      <c r="R360" t="s">
        <v>106</v>
      </c>
      <c r="S360" t="s">
        <v>76</v>
      </c>
      <c r="T360" s="5">
        <v>25250</v>
      </c>
      <c r="U360" s="6">
        <v>4</v>
      </c>
      <c r="V360" t="s">
        <v>77</v>
      </c>
      <c r="W360" s="4">
        <v>46192</v>
      </c>
      <c r="X360" t="s">
        <v>77</v>
      </c>
      <c r="Y360" t="s">
        <v>64</v>
      </c>
      <c r="Z360" t="s">
        <v>96</v>
      </c>
      <c r="AA360" t="str">
        <f>VLOOKUP(H360,Departments!$A:$B,2,0)</f>
        <v>Neurology</v>
      </c>
      <c r="AB360" t="str">
        <f>VLOOKUP(J360,Diagnosis_Guide!$A:$B,2,0)</f>
        <v>Seizure Episode</v>
      </c>
      <c r="AC360" s="4" t="str">
        <f>VLOOKUP(J360,Diagnosis_Guide!$A:$C,3,0)</f>
        <v>Neurological</v>
      </c>
      <c r="AD360" s="4" t="str">
        <f>VLOOKUP(R360,Insurance_Plans!$A:$C,3,0)</f>
        <v>Private</v>
      </c>
      <c r="AE360" s="13">
        <f t="shared" si="15"/>
        <v>3507.5</v>
      </c>
      <c r="AF360" s="13">
        <f t="shared" si="16"/>
        <v>73657.5</v>
      </c>
      <c r="AG360" s="4" t="str">
        <f t="shared" si="17"/>
        <v>High</v>
      </c>
    </row>
    <row r="361" spans="1:33">
      <c r="A361" t="s">
        <v>867</v>
      </c>
      <c r="B361" t="s">
        <v>176</v>
      </c>
      <c r="C361" s="11">
        <v>46048</v>
      </c>
      <c r="D361" t="s">
        <v>137</v>
      </c>
      <c r="E361" t="s">
        <v>70</v>
      </c>
      <c r="F361" s="4">
        <v>46049</v>
      </c>
      <c r="G361" s="4">
        <v>46051</v>
      </c>
      <c r="H361" t="s">
        <v>138</v>
      </c>
      <c r="I361" t="s">
        <v>260</v>
      </c>
      <c r="J361" t="s">
        <v>140</v>
      </c>
      <c r="K361" t="s">
        <v>73</v>
      </c>
      <c r="L361" t="s">
        <v>94</v>
      </c>
      <c r="M361" s="5">
        <v>17700</v>
      </c>
      <c r="N361" s="5">
        <v>2750</v>
      </c>
      <c r="O361" s="5">
        <v>1850</v>
      </c>
      <c r="P361" s="5">
        <v>7000</v>
      </c>
      <c r="Q361" s="13">
        <v>31800</v>
      </c>
      <c r="R361" t="s">
        <v>75</v>
      </c>
      <c r="S361" t="s">
        <v>76</v>
      </c>
      <c r="T361" s="5">
        <v>14610</v>
      </c>
      <c r="U361" s="6">
        <v>4</v>
      </c>
      <c r="V361" t="s">
        <v>64</v>
      </c>
      <c r="W361" s="4"/>
      <c r="X361" t="s">
        <v>65</v>
      </c>
      <c r="Y361" t="s">
        <v>64</v>
      </c>
      <c r="Z361" t="s">
        <v>78</v>
      </c>
      <c r="AA361" t="str">
        <f>VLOOKUP(H361,Departments!$A:$B,2,0)</f>
        <v>Pediatrics</v>
      </c>
      <c r="AB361" t="str">
        <f>VLOOKUP(J361,Diagnosis_Guide!$A:$B,2,0)</f>
        <v>Pediatric Asthma</v>
      </c>
      <c r="AC361" s="4" t="str">
        <f>VLOOKUP(J361,Diagnosis_Guide!$A:$C,3,0)</f>
        <v>Pediatric</v>
      </c>
      <c r="AD361" s="4" t="str">
        <f>VLOOKUP(R361,Insurance_Plans!$A:$C,3,0)</f>
        <v>Public</v>
      </c>
      <c r="AE361" s="13">
        <f t="shared" si="15"/>
        <v>1590</v>
      </c>
      <c r="AF361" s="13">
        <f t="shared" si="16"/>
        <v>33390</v>
      </c>
      <c r="AG361" s="4" t="str">
        <f t="shared" si="17"/>
        <v>High</v>
      </c>
    </row>
    <row r="362" spans="1:33">
      <c r="A362" t="s">
        <v>868</v>
      </c>
      <c r="B362" t="s">
        <v>474</v>
      </c>
      <c r="C362" s="11">
        <v>46119</v>
      </c>
      <c r="D362" t="s">
        <v>110</v>
      </c>
      <c r="E362" t="s">
        <v>70</v>
      </c>
      <c r="F362" s="4">
        <v>46119</v>
      </c>
      <c r="G362" s="4">
        <v>46119</v>
      </c>
      <c r="H362" t="s">
        <v>82</v>
      </c>
      <c r="I362" t="s">
        <v>194</v>
      </c>
      <c r="J362" t="s">
        <v>291</v>
      </c>
      <c r="K362" t="s">
        <v>60</v>
      </c>
      <c r="L362" t="s">
        <v>74</v>
      </c>
      <c r="M362" s="5">
        <v>47400</v>
      </c>
      <c r="N362" s="5">
        <v>8350</v>
      </c>
      <c r="O362" s="5">
        <v>9600</v>
      </c>
      <c r="P362" s="5">
        <v>0</v>
      </c>
      <c r="Q362" s="13">
        <v>67150</v>
      </c>
      <c r="R362" t="s">
        <v>85</v>
      </c>
      <c r="S362" t="s">
        <v>76</v>
      </c>
      <c r="T362" s="5">
        <v>17690</v>
      </c>
      <c r="U362" s="6">
        <v>3</v>
      </c>
      <c r="V362" t="s">
        <v>77</v>
      </c>
      <c r="W362" s="4">
        <v>46137</v>
      </c>
      <c r="X362" t="s">
        <v>64</v>
      </c>
      <c r="Y362" t="s">
        <v>64</v>
      </c>
      <c r="Z362" t="s">
        <v>96</v>
      </c>
      <c r="AA362" t="str">
        <f>VLOOKUP(H362,Departments!$A:$B,2,0)</f>
        <v>Orthopedics</v>
      </c>
      <c r="AB362" t="str">
        <f>VLOOKUP(J362,Diagnosis_Guide!$A:$B,2,0)</f>
        <v>Fracture Repair</v>
      </c>
      <c r="AC362" s="4" t="str">
        <f>VLOOKUP(J362,Diagnosis_Guide!$A:$C,3,0)</f>
        <v>Musculoskeletal</v>
      </c>
      <c r="AD362" s="4" t="str">
        <f>VLOOKUP(R362,Insurance_Plans!$A:$C,3,0)</f>
        <v>Employer</v>
      </c>
      <c r="AE362" s="13">
        <f t="shared" si="15"/>
        <v>3357.5</v>
      </c>
      <c r="AF362" s="13">
        <f t="shared" si="16"/>
        <v>70507.5</v>
      </c>
      <c r="AG362" s="4" t="str">
        <f t="shared" si="17"/>
        <v>Medium</v>
      </c>
    </row>
    <row r="363" spans="1:33">
      <c r="A363" t="s">
        <v>869</v>
      </c>
      <c r="B363" t="s">
        <v>870</v>
      </c>
      <c r="C363" s="11">
        <v>46091</v>
      </c>
      <c r="D363" t="s">
        <v>149</v>
      </c>
      <c r="E363" t="s">
        <v>70</v>
      </c>
      <c r="F363" s="4">
        <v>46091</v>
      </c>
      <c r="G363" s="4">
        <v>46091</v>
      </c>
      <c r="H363" t="s">
        <v>178</v>
      </c>
      <c r="I363" t="s">
        <v>462</v>
      </c>
      <c r="J363" t="s">
        <v>358</v>
      </c>
      <c r="K363" t="s">
        <v>73</v>
      </c>
      <c r="L363" t="s">
        <v>94</v>
      </c>
      <c r="M363" s="5">
        <v>64100</v>
      </c>
      <c r="N363" s="5">
        <v>11400</v>
      </c>
      <c r="O363" s="5">
        <v>9900</v>
      </c>
      <c r="P363" s="5">
        <v>0</v>
      </c>
      <c r="Q363" s="13">
        <v>87900</v>
      </c>
      <c r="R363" t="s">
        <v>95</v>
      </c>
      <c r="S363" t="s">
        <v>63</v>
      </c>
      <c r="T363" s="5">
        <v>87900</v>
      </c>
      <c r="U363" s="6">
        <v>5</v>
      </c>
      <c r="V363" t="s">
        <v>77</v>
      </c>
      <c r="W363" s="4">
        <v>46112</v>
      </c>
      <c r="X363" t="s">
        <v>77</v>
      </c>
      <c r="Y363" t="s">
        <v>64</v>
      </c>
      <c r="Z363" t="s">
        <v>96</v>
      </c>
      <c r="AA363" t="str">
        <f>VLOOKUP(H363,Departments!$A:$B,2,0)</f>
        <v>Surgery</v>
      </c>
      <c r="AB363" t="str">
        <f>VLOOKUP(J363,Diagnosis_Guide!$A:$B,2,0)</f>
        <v>Gallbladder Surgery</v>
      </c>
      <c r="AC363" s="4" t="str">
        <f>VLOOKUP(J363,Diagnosis_Guide!$A:$C,3,0)</f>
        <v>Surgical</v>
      </c>
      <c r="AD363" s="4" t="str">
        <f>VLOOKUP(R363,Insurance_Plans!$A:$C,3,0)</f>
        <v>Self-Pay</v>
      </c>
      <c r="AE363" s="13">
        <f t="shared" si="15"/>
        <v>4395</v>
      </c>
      <c r="AF363" s="13">
        <f t="shared" si="16"/>
        <v>92295</v>
      </c>
      <c r="AG363" s="4" t="str">
        <f t="shared" si="17"/>
        <v>High</v>
      </c>
    </row>
    <row r="364" spans="1:33">
      <c r="A364" t="s">
        <v>871</v>
      </c>
      <c r="B364" t="s">
        <v>872</v>
      </c>
      <c r="C364" s="11">
        <v>46081</v>
      </c>
      <c r="D364" t="s">
        <v>250</v>
      </c>
      <c r="E364" t="s">
        <v>70</v>
      </c>
      <c r="F364" s="4">
        <v>46081</v>
      </c>
      <c r="G364" s="4">
        <v>46082</v>
      </c>
      <c r="H364" t="s">
        <v>121</v>
      </c>
      <c r="I364" t="s">
        <v>334</v>
      </c>
      <c r="J364" t="s">
        <v>256</v>
      </c>
      <c r="K364" t="s">
        <v>60</v>
      </c>
      <c r="L364" t="s">
        <v>94</v>
      </c>
      <c r="M364" s="5">
        <v>21600</v>
      </c>
      <c r="N364" s="5">
        <v>3350</v>
      </c>
      <c r="O364" s="5">
        <v>3100</v>
      </c>
      <c r="P364" s="5">
        <v>4500</v>
      </c>
      <c r="Q364" s="13">
        <v>33550</v>
      </c>
      <c r="R364" t="s">
        <v>62</v>
      </c>
      <c r="S364" t="s">
        <v>86</v>
      </c>
      <c r="T364" s="5">
        <v>10470</v>
      </c>
      <c r="U364" s="6">
        <v>2</v>
      </c>
      <c r="V364" t="s">
        <v>77</v>
      </c>
      <c r="W364" s="4">
        <v>46101</v>
      </c>
      <c r="X364" t="s">
        <v>64</v>
      </c>
      <c r="Y364" t="s">
        <v>64</v>
      </c>
      <c r="Z364" t="s">
        <v>96</v>
      </c>
      <c r="AA364" t="str">
        <f>VLOOKUP(H364,Departments!$A:$B,2,0)</f>
        <v>Neurology</v>
      </c>
      <c r="AB364" t="str">
        <f>VLOOKUP(J364,Diagnosis_Guide!$A:$B,2,0)</f>
        <v>Migraine Complication</v>
      </c>
      <c r="AC364" s="4" t="str">
        <f>VLOOKUP(J364,Diagnosis_Guide!$A:$C,3,0)</f>
        <v>Neurological</v>
      </c>
      <c r="AD364" s="4" t="str">
        <f>VLOOKUP(R364,Insurance_Plans!$A:$C,3,0)</f>
        <v>Public</v>
      </c>
      <c r="AE364" s="13">
        <f t="shared" si="15"/>
        <v>1677.5</v>
      </c>
      <c r="AF364" s="13">
        <f t="shared" si="16"/>
        <v>35227.5</v>
      </c>
      <c r="AG364" s="4" t="str">
        <f t="shared" si="17"/>
        <v>Low</v>
      </c>
    </row>
    <row r="365" spans="1:33">
      <c r="A365" t="s">
        <v>873</v>
      </c>
      <c r="B365" t="s">
        <v>874</v>
      </c>
      <c r="C365" s="11">
        <v>46068</v>
      </c>
      <c r="D365" t="s">
        <v>298</v>
      </c>
      <c r="E365" t="s">
        <v>70</v>
      </c>
      <c r="F365" s="4">
        <v>46068</v>
      </c>
      <c r="G365" s="4">
        <v>46068</v>
      </c>
      <c r="H365" t="s">
        <v>138</v>
      </c>
      <c r="I365" t="s">
        <v>352</v>
      </c>
      <c r="J365" t="s">
        <v>261</v>
      </c>
      <c r="K365" t="s">
        <v>60</v>
      </c>
      <c r="L365" t="s">
        <v>94</v>
      </c>
      <c r="M365" s="5">
        <v>4200</v>
      </c>
      <c r="N365" s="5">
        <v>550</v>
      </c>
      <c r="O365" s="5">
        <v>450</v>
      </c>
      <c r="P365" s="5">
        <v>0</v>
      </c>
      <c r="Q365" s="13">
        <v>7000</v>
      </c>
      <c r="R365" t="s">
        <v>75</v>
      </c>
      <c r="S365" t="s">
        <v>76</v>
      </c>
      <c r="T365" s="5">
        <v>3450</v>
      </c>
      <c r="U365" s="6">
        <v>5</v>
      </c>
      <c r="V365" t="s">
        <v>77</v>
      </c>
      <c r="W365" s="4">
        <v>46077</v>
      </c>
      <c r="X365" t="s">
        <v>77</v>
      </c>
      <c r="Y365" t="s">
        <v>64</v>
      </c>
      <c r="Z365" t="s">
        <v>96</v>
      </c>
      <c r="AA365" t="str">
        <f>VLOOKUP(H365,Departments!$A:$B,2,0)</f>
        <v>Pediatrics</v>
      </c>
      <c r="AB365" t="str">
        <f>VLOOKUP(J365,Diagnosis_Guide!$A:$B,2,0)</f>
        <v>Child Fever</v>
      </c>
      <c r="AC365" s="4" t="str">
        <f>VLOOKUP(J365,Diagnosis_Guide!$A:$C,3,0)</f>
        <v>Pediatric</v>
      </c>
      <c r="AD365" s="4" t="str">
        <f>VLOOKUP(R365,Insurance_Plans!$A:$C,3,0)</f>
        <v>Public</v>
      </c>
      <c r="AE365" s="13">
        <f t="shared" si="15"/>
        <v>350</v>
      </c>
      <c r="AF365" s="13">
        <f t="shared" si="16"/>
        <v>7350</v>
      </c>
      <c r="AG365" s="4" t="str">
        <f t="shared" si="17"/>
        <v>High</v>
      </c>
    </row>
    <row r="366" spans="1:33">
      <c r="A366" t="s">
        <v>875</v>
      </c>
      <c r="B366" t="s">
        <v>427</v>
      </c>
      <c r="C366" s="11">
        <v>46033</v>
      </c>
      <c r="D366" t="s">
        <v>137</v>
      </c>
      <c r="E366" t="s">
        <v>70</v>
      </c>
      <c r="F366" s="4">
        <v>46034</v>
      </c>
      <c r="G366" s="4">
        <v>46034</v>
      </c>
      <c r="H366" t="s">
        <v>82</v>
      </c>
      <c r="I366" t="s">
        <v>83</v>
      </c>
      <c r="J366" t="s">
        <v>291</v>
      </c>
      <c r="K366" t="s">
        <v>60</v>
      </c>
      <c r="L366" t="s">
        <v>74</v>
      </c>
      <c r="M366" s="5">
        <v>37700</v>
      </c>
      <c r="N366" s="5">
        <v>5000</v>
      </c>
      <c r="O366" s="5">
        <v>9200</v>
      </c>
      <c r="P366" s="5">
        <v>0</v>
      </c>
      <c r="Q366" s="13">
        <v>53700</v>
      </c>
      <c r="R366" t="s">
        <v>62</v>
      </c>
      <c r="S366" t="s">
        <v>76</v>
      </c>
      <c r="T366" s="5">
        <v>16510</v>
      </c>
      <c r="U366" s="6">
        <v>5</v>
      </c>
      <c r="V366" t="s">
        <v>64</v>
      </c>
      <c r="W366" s="4"/>
      <c r="X366" t="s">
        <v>65</v>
      </c>
      <c r="Y366" t="s">
        <v>64</v>
      </c>
      <c r="Z366" t="s">
        <v>78</v>
      </c>
      <c r="AA366" t="str">
        <f>VLOOKUP(H366,Departments!$A:$B,2,0)</f>
        <v>Orthopedics</v>
      </c>
      <c r="AB366" t="str">
        <f>VLOOKUP(J366,Diagnosis_Guide!$A:$B,2,0)</f>
        <v>Fracture Repair</v>
      </c>
      <c r="AC366" s="4" t="str">
        <f>VLOOKUP(J366,Diagnosis_Guide!$A:$C,3,0)</f>
        <v>Musculoskeletal</v>
      </c>
      <c r="AD366" s="4" t="str">
        <f>VLOOKUP(R366,Insurance_Plans!$A:$C,3,0)</f>
        <v>Public</v>
      </c>
      <c r="AE366" s="13">
        <f t="shared" si="15"/>
        <v>2685</v>
      </c>
      <c r="AF366" s="13">
        <f t="shared" si="16"/>
        <v>56385</v>
      </c>
      <c r="AG366" s="4" t="str">
        <f t="shared" si="17"/>
        <v>High</v>
      </c>
    </row>
    <row r="367" spans="1:33">
      <c r="A367" t="s">
        <v>876</v>
      </c>
      <c r="B367" t="s">
        <v>664</v>
      </c>
      <c r="C367" s="11">
        <v>46117</v>
      </c>
      <c r="D367" t="s">
        <v>206</v>
      </c>
      <c r="E367" t="s">
        <v>70</v>
      </c>
      <c r="F367" s="4">
        <v>46117</v>
      </c>
      <c r="G367" s="4">
        <v>46117</v>
      </c>
      <c r="H367" t="s">
        <v>121</v>
      </c>
      <c r="I367" t="s">
        <v>665</v>
      </c>
      <c r="J367" t="s">
        <v>252</v>
      </c>
      <c r="K367" t="s">
        <v>60</v>
      </c>
      <c r="L367" t="s">
        <v>74</v>
      </c>
      <c r="M367" s="5">
        <v>46800</v>
      </c>
      <c r="N367" s="5">
        <v>5800</v>
      </c>
      <c r="O367" s="5">
        <v>9150</v>
      </c>
      <c r="P367" s="5">
        <v>0</v>
      </c>
      <c r="Q367" s="13">
        <v>62750</v>
      </c>
      <c r="R367" t="s">
        <v>75</v>
      </c>
      <c r="S367" t="s">
        <v>86</v>
      </c>
      <c r="T367" s="5">
        <v>28540</v>
      </c>
      <c r="U367" s="6">
        <v>5</v>
      </c>
      <c r="V367" t="s">
        <v>64</v>
      </c>
      <c r="W367" s="4"/>
      <c r="X367" t="s">
        <v>65</v>
      </c>
      <c r="Y367" t="s">
        <v>64</v>
      </c>
      <c r="Z367" t="s">
        <v>96</v>
      </c>
      <c r="AA367" t="str">
        <f>VLOOKUP(H367,Departments!$A:$B,2,0)</f>
        <v>Neurology</v>
      </c>
      <c r="AB367" t="str">
        <f>VLOOKUP(J367,Diagnosis_Guide!$A:$B,2,0)</f>
        <v>Stroke Assessment</v>
      </c>
      <c r="AC367" s="4" t="str">
        <f>VLOOKUP(J367,Diagnosis_Guide!$A:$C,3,0)</f>
        <v>Neurological</v>
      </c>
      <c r="AD367" s="4" t="str">
        <f>VLOOKUP(R367,Insurance_Plans!$A:$C,3,0)</f>
        <v>Public</v>
      </c>
      <c r="AE367" s="13">
        <f t="shared" si="15"/>
        <v>3137.5</v>
      </c>
      <c r="AF367" s="13">
        <f t="shared" si="16"/>
        <v>65887.5</v>
      </c>
      <c r="AG367" s="4" t="str">
        <f t="shared" si="17"/>
        <v>High</v>
      </c>
    </row>
    <row r="368" spans="1:33">
      <c r="A368" t="s">
        <v>877</v>
      </c>
      <c r="B368" t="s">
        <v>878</v>
      </c>
      <c r="C368" s="11">
        <v>46118</v>
      </c>
      <c r="D368" t="s">
        <v>363</v>
      </c>
      <c r="E368" t="s">
        <v>70</v>
      </c>
      <c r="F368" s="4">
        <v>46118</v>
      </c>
      <c r="G368" s="4">
        <v>46123</v>
      </c>
      <c r="H368" t="s">
        <v>138</v>
      </c>
      <c r="I368" t="s">
        <v>235</v>
      </c>
      <c r="J368" t="s">
        <v>140</v>
      </c>
      <c r="K368" t="s">
        <v>93</v>
      </c>
      <c r="L368" t="s">
        <v>61</v>
      </c>
      <c r="M368" s="5">
        <v>15200</v>
      </c>
      <c r="N368" s="5">
        <v>1300</v>
      </c>
      <c r="O368" s="5">
        <v>2600</v>
      </c>
      <c r="P368" s="5">
        <v>22500</v>
      </c>
      <c r="Q368" s="13">
        <v>42600</v>
      </c>
      <c r="R368" t="s">
        <v>62</v>
      </c>
      <c r="S368" t="s">
        <v>86</v>
      </c>
      <c r="T368" s="5">
        <v>13180</v>
      </c>
      <c r="U368" s="6">
        <v>3</v>
      </c>
      <c r="V368" t="s">
        <v>77</v>
      </c>
      <c r="W368" s="4">
        <v>46134</v>
      </c>
      <c r="X368" t="s">
        <v>77</v>
      </c>
      <c r="Y368" t="s">
        <v>64</v>
      </c>
      <c r="Z368" t="s">
        <v>219</v>
      </c>
      <c r="AA368" t="str">
        <f>VLOOKUP(H368,Departments!$A:$B,2,0)</f>
        <v>Pediatrics</v>
      </c>
      <c r="AB368" t="str">
        <f>VLOOKUP(J368,Diagnosis_Guide!$A:$B,2,0)</f>
        <v>Pediatric Asthma</v>
      </c>
      <c r="AC368" s="4" t="str">
        <f>VLOOKUP(J368,Diagnosis_Guide!$A:$C,3,0)</f>
        <v>Pediatric</v>
      </c>
      <c r="AD368" s="4" t="str">
        <f>VLOOKUP(R368,Insurance_Plans!$A:$C,3,0)</f>
        <v>Public</v>
      </c>
      <c r="AE368" s="13">
        <f t="shared" si="15"/>
        <v>2130</v>
      </c>
      <c r="AF368" s="13">
        <f t="shared" si="16"/>
        <v>44730</v>
      </c>
      <c r="AG368" s="4" t="str">
        <f t="shared" si="17"/>
        <v>Medium</v>
      </c>
    </row>
    <row r="369" spans="1:33">
      <c r="A369" t="s">
        <v>879</v>
      </c>
      <c r="B369" t="s">
        <v>409</v>
      </c>
      <c r="C369" s="11">
        <v>46025</v>
      </c>
      <c r="D369" t="s">
        <v>330</v>
      </c>
      <c r="E369" t="s">
        <v>70</v>
      </c>
      <c r="F369" s="4">
        <v>46025</v>
      </c>
      <c r="G369" s="4">
        <v>46027</v>
      </c>
      <c r="H369" t="s">
        <v>201</v>
      </c>
      <c r="I369" t="s">
        <v>449</v>
      </c>
      <c r="J369" t="s">
        <v>203</v>
      </c>
      <c r="K369" t="s">
        <v>124</v>
      </c>
      <c r="L369" t="s">
        <v>74</v>
      </c>
      <c r="M369" s="5">
        <v>37300</v>
      </c>
      <c r="N369" s="5">
        <v>5250</v>
      </c>
      <c r="O369" s="5">
        <v>5650</v>
      </c>
      <c r="P369" s="5">
        <v>7000</v>
      </c>
      <c r="Q369" s="13">
        <v>56000</v>
      </c>
      <c r="R369" t="s">
        <v>106</v>
      </c>
      <c r="S369" t="s">
        <v>76</v>
      </c>
      <c r="T369" s="5">
        <v>20300</v>
      </c>
      <c r="U369" s="6">
        <v>3</v>
      </c>
      <c r="V369" t="s">
        <v>77</v>
      </c>
      <c r="W369" s="4">
        <v>46035</v>
      </c>
      <c r="X369" t="s">
        <v>64</v>
      </c>
      <c r="Y369" t="s">
        <v>64</v>
      </c>
      <c r="Z369" t="s">
        <v>96</v>
      </c>
      <c r="AA369" t="str">
        <f>VLOOKUP(H369,Departments!$A:$B,2,0)</f>
        <v>Emergency</v>
      </c>
      <c r="AB369" t="str">
        <f>VLOOKUP(J369,Diagnosis_Guide!$A:$B,2,0)</f>
        <v>Trauma Observation</v>
      </c>
      <c r="AC369" s="4" t="str">
        <f>VLOOKUP(J369,Diagnosis_Guide!$A:$C,3,0)</f>
        <v>Emergency</v>
      </c>
      <c r="AD369" s="4" t="str">
        <f>VLOOKUP(R369,Insurance_Plans!$A:$C,3,0)</f>
        <v>Private</v>
      </c>
      <c r="AE369" s="13">
        <f t="shared" si="15"/>
        <v>2800</v>
      </c>
      <c r="AF369" s="13">
        <f t="shared" si="16"/>
        <v>58800</v>
      </c>
      <c r="AG369" s="4" t="str">
        <f t="shared" si="17"/>
        <v>Medium</v>
      </c>
    </row>
    <row r="370" spans="1:33">
      <c r="A370" t="s">
        <v>880</v>
      </c>
      <c r="B370" t="s">
        <v>881</v>
      </c>
      <c r="C370" s="11">
        <v>46119</v>
      </c>
      <c r="D370" t="s">
        <v>89</v>
      </c>
      <c r="E370" t="s">
        <v>70</v>
      </c>
      <c r="F370" s="4">
        <v>46119</v>
      </c>
      <c r="G370" s="4">
        <v>46122</v>
      </c>
      <c r="H370" t="s">
        <v>201</v>
      </c>
      <c r="J370" t="s">
        <v>281</v>
      </c>
      <c r="K370" t="s">
        <v>124</v>
      </c>
      <c r="L370" t="s">
        <v>94</v>
      </c>
      <c r="M370" s="5">
        <v>8200</v>
      </c>
      <c r="N370" s="5">
        <v>700</v>
      </c>
      <c r="O370" s="5">
        <v>1200</v>
      </c>
      <c r="P370" s="5">
        <v>9000</v>
      </c>
      <c r="Q370" s="13">
        <v>19900</v>
      </c>
      <c r="R370" t="s">
        <v>75</v>
      </c>
      <c r="S370" t="s">
        <v>76</v>
      </c>
      <c r="T370" s="5">
        <v>9260</v>
      </c>
      <c r="U370" s="6">
        <v>4</v>
      </c>
      <c r="V370" t="s">
        <v>77</v>
      </c>
      <c r="W370" s="4">
        <v>46142</v>
      </c>
      <c r="X370" t="s">
        <v>64</v>
      </c>
      <c r="Y370" t="s">
        <v>64</v>
      </c>
      <c r="Z370" t="s">
        <v>107</v>
      </c>
      <c r="AA370" t="str">
        <f>VLOOKUP(H370,Departments!$A:$B,2,0)</f>
        <v>Emergency</v>
      </c>
      <c r="AB370" t="str">
        <f>VLOOKUP(J370,Diagnosis_Guide!$A:$B,2,0)</f>
        <v>Food Poisoning</v>
      </c>
      <c r="AC370" s="4" t="str">
        <f>VLOOKUP(J370,Diagnosis_Guide!$A:$C,3,0)</f>
        <v>Emergency</v>
      </c>
      <c r="AD370" s="4" t="str">
        <f>VLOOKUP(R370,Insurance_Plans!$A:$C,3,0)</f>
        <v>Public</v>
      </c>
      <c r="AE370" s="13">
        <f t="shared" si="15"/>
        <v>995</v>
      </c>
      <c r="AF370" s="13">
        <f t="shared" si="16"/>
        <v>20895</v>
      </c>
      <c r="AG370" s="4" t="str">
        <f t="shared" si="17"/>
        <v>High</v>
      </c>
    </row>
    <row r="371" spans="1:33">
      <c r="A371" t="s">
        <v>882</v>
      </c>
      <c r="B371" t="s">
        <v>883</v>
      </c>
      <c r="C371" s="11">
        <v>46079</v>
      </c>
      <c r="D371" t="s">
        <v>307</v>
      </c>
      <c r="E371" t="s">
        <v>56</v>
      </c>
      <c r="F371" s="4"/>
      <c r="G371" s="4"/>
      <c r="H371" t="s">
        <v>103</v>
      </c>
      <c r="I371" t="s">
        <v>214</v>
      </c>
      <c r="J371" t="s">
        <v>105</v>
      </c>
      <c r="K371" t="s">
        <v>60</v>
      </c>
      <c r="L371" t="s">
        <v>74</v>
      </c>
      <c r="M371" s="5"/>
      <c r="N371" s="5"/>
      <c r="O371" s="5"/>
      <c r="P371" s="5"/>
      <c r="R371" t="s">
        <v>141</v>
      </c>
      <c r="S371" t="s">
        <v>63</v>
      </c>
      <c r="T371" s="5"/>
      <c r="U371" s="6"/>
      <c r="V371" t="s">
        <v>64</v>
      </c>
      <c r="W371" s="4"/>
      <c r="X371" t="s">
        <v>65</v>
      </c>
      <c r="Z371" t="s">
        <v>66</v>
      </c>
      <c r="AA371" t="str">
        <f>VLOOKUP(H371,Departments!$A:$B,2,0)</f>
        <v>Nephrology</v>
      </c>
      <c r="AB371" t="str">
        <f>VLOOKUP(J371,Diagnosis_Guide!$A:$B,2,0)</f>
        <v>Dialysis Complication</v>
      </c>
      <c r="AC371" s="4" t="str">
        <f>VLOOKUP(J371,Diagnosis_Guide!$A:$C,3,0)</f>
        <v>Renal</v>
      </c>
      <c r="AD371" s="4" t="str">
        <f>VLOOKUP(R371,Insurance_Plans!$A:$C,3,0)</f>
        <v>Private</v>
      </c>
      <c r="AE371" s="13" t="str">
        <f t="shared" si="15"/>
        <v/>
      </c>
      <c r="AF371" s="13" t="str">
        <f t="shared" si="16"/>
        <v/>
      </c>
      <c r="AG371" s="4" t="str">
        <f t="shared" si="17"/>
        <v>Not Available</v>
      </c>
    </row>
    <row r="372" spans="1:33">
      <c r="A372" t="s">
        <v>884</v>
      </c>
      <c r="B372" t="s">
        <v>474</v>
      </c>
      <c r="C372" s="11">
        <v>46170</v>
      </c>
      <c r="D372" t="s">
        <v>337</v>
      </c>
      <c r="E372" t="s">
        <v>70</v>
      </c>
      <c r="F372" s="4">
        <v>46170</v>
      </c>
      <c r="G372" s="4">
        <v>46171</v>
      </c>
      <c r="H372" t="s">
        <v>150</v>
      </c>
      <c r="I372" t="s">
        <v>187</v>
      </c>
      <c r="J372" t="s">
        <v>188</v>
      </c>
      <c r="K372" t="s">
        <v>60</v>
      </c>
      <c r="L372" t="s">
        <v>61</v>
      </c>
      <c r="M372" s="5">
        <v>82800</v>
      </c>
      <c r="N372" s="5">
        <v>13350</v>
      </c>
      <c r="O372" s="5">
        <v>13650</v>
      </c>
      <c r="P372" s="5">
        <v>3500</v>
      </c>
      <c r="Q372" s="13">
        <v>115800</v>
      </c>
      <c r="R372" t="s">
        <v>106</v>
      </c>
      <c r="S372" t="s">
        <v>76</v>
      </c>
      <c r="T372" s="5">
        <v>41230</v>
      </c>
      <c r="U372" s="6">
        <v>4</v>
      </c>
      <c r="V372" t="s">
        <v>77</v>
      </c>
      <c r="W372" s="4">
        <v>46189</v>
      </c>
      <c r="X372" t="s">
        <v>64</v>
      </c>
      <c r="Y372" t="s">
        <v>77</v>
      </c>
      <c r="Z372" t="s">
        <v>107</v>
      </c>
      <c r="AA372" t="str">
        <f>VLOOKUP(H372,Departments!$A:$B,2,0)</f>
        <v>Obstetrics</v>
      </c>
      <c r="AB372" t="str">
        <f>VLOOKUP(J372,Diagnosis_Guide!$A:$B,2,0)</f>
        <v>Emergency C-Section</v>
      </c>
      <c r="AC372" s="4" t="str">
        <f>VLOOKUP(J372,Diagnosis_Guide!$A:$C,3,0)</f>
        <v>Maternal Health</v>
      </c>
      <c r="AD372" s="4" t="str">
        <f>VLOOKUP(R372,Insurance_Plans!$A:$C,3,0)</f>
        <v>Private</v>
      </c>
      <c r="AE372" s="13">
        <f t="shared" si="15"/>
        <v>5790</v>
      </c>
      <c r="AF372" s="13">
        <f t="shared" si="16"/>
        <v>121590</v>
      </c>
      <c r="AG372" s="4" t="str">
        <f t="shared" si="17"/>
        <v>High</v>
      </c>
    </row>
    <row r="373" spans="1:33">
      <c r="A373" t="s">
        <v>885</v>
      </c>
      <c r="B373" t="s">
        <v>886</v>
      </c>
      <c r="C373" s="11">
        <v>46141</v>
      </c>
      <c r="D373" t="s">
        <v>217</v>
      </c>
      <c r="E373" t="s">
        <v>70</v>
      </c>
      <c r="F373" s="4">
        <v>46141</v>
      </c>
      <c r="G373" s="4">
        <v>46143</v>
      </c>
      <c r="H373" t="s">
        <v>201</v>
      </c>
      <c r="I373" t="s">
        <v>449</v>
      </c>
      <c r="J373" t="s">
        <v>203</v>
      </c>
      <c r="K373" t="s">
        <v>124</v>
      </c>
      <c r="L373" t="s">
        <v>74</v>
      </c>
      <c r="M373" s="5">
        <v>56800</v>
      </c>
      <c r="N373" s="5">
        <v>8300</v>
      </c>
      <c r="O373" s="5">
        <v>12300</v>
      </c>
      <c r="P373" s="5">
        <v>5000</v>
      </c>
      <c r="Q373" s="13">
        <v>83200</v>
      </c>
      <c r="R373" t="s">
        <v>141</v>
      </c>
      <c r="S373" t="s">
        <v>86</v>
      </c>
      <c r="T373" s="5">
        <v>13680</v>
      </c>
      <c r="U373" s="6">
        <v>3</v>
      </c>
      <c r="V373" t="s">
        <v>77</v>
      </c>
      <c r="W373" s="4">
        <v>46157</v>
      </c>
      <c r="X373" t="s">
        <v>64</v>
      </c>
      <c r="Y373" t="s">
        <v>64</v>
      </c>
      <c r="Z373" t="s">
        <v>96</v>
      </c>
      <c r="AA373" t="str">
        <f>VLOOKUP(H373,Departments!$A:$B,2,0)</f>
        <v>Emergency</v>
      </c>
      <c r="AB373" t="str">
        <f>VLOOKUP(J373,Diagnosis_Guide!$A:$B,2,0)</f>
        <v>Trauma Observation</v>
      </c>
      <c r="AC373" s="4" t="str">
        <f>VLOOKUP(J373,Diagnosis_Guide!$A:$C,3,0)</f>
        <v>Emergency</v>
      </c>
      <c r="AD373" s="4" t="str">
        <f>VLOOKUP(R373,Insurance_Plans!$A:$C,3,0)</f>
        <v>Private</v>
      </c>
      <c r="AE373" s="13">
        <f t="shared" si="15"/>
        <v>4160</v>
      </c>
      <c r="AF373" s="13">
        <f t="shared" si="16"/>
        <v>87360</v>
      </c>
      <c r="AG373" s="4" t="str">
        <f t="shared" si="17"/>
        <v>Medium</v>
      </c>
    </row>
    <row r="374" spans="1:33">
      <c r="A374" t="s">
        <v>887</v>
      </c>
      <c r="B374" t="s">
        <v>675</v>
      </c>
      <c r="C374" s="11">
        <v>46096</v>
      </c>
      <c r="D374" t="s">
        <v>127</v>
      </c>
      <c r="E374" t="s">
        <v>70</v>
      </c>
      <c r="F374" s="4">
        <v>46096</v>
      </c>
      <c r="G374" s="4">
        <v>46103</v>
      </c>
      <c r="H374" t="s">
        <v>111</v>
      </c>
      <c r="I374" t="s">
        <v>112</v>
      </c>
      <c r="J374" t="s">
        <v>384</v>
      </c>
      <c r="K374" t="s">
        <v>73</v>
      </c>
      <c r="L374" t="s">
        <v>94</v>
      </c>
      <c r="M374" s="5">
        <v>62100</v>
      </c>
      <c r="N374" s="5">
        <v>5000</v>
      </c>
      <c r="O374" s="5">
        <v>11250</v>
      </c>
      <c r="P374" s="5">
        <v>31500</v>
      </c>
      <c r="Q374" s="13">
        <v>110650</v>
      </c>
      <c r="R374" t="s">
        <v>62</v>
      </c>
      <c r="S374" t="s">
        <v>86</v>
      </c>
      <c r="T374" s="5">
        <v>33600</v>
      </c>
      <c r="U374" s="6"/>
      <c r="V374" t="s">
        <v>64</v>
      </c>
      <c r="W374" s="4"/>
      <c r="X374" t="s">
        <v>65</v>
      </c>
      <c r="Y374" t="s">
        <v>64</v>
      </c>
      <c r="Z374" t="s">
        <v>96</v>
      </c>
      <c r="AA374" t="str">
        <f>VLOOKUP(H374,Departments!$A:$B,2,0)</f>
        <v>General Medicine</v>
      </c>
      <c r="AB374" t="str">
        <f>VLOOKUP(J374,Diagnosis_Guide!$A:$B,2,0)</f>
        <v>Severe Infection</v>
      </c>
      <c r="AC374" s="4" t="str">
        <f>VLOOKUP(J374,Diagnosis_Guide!$A:$C,3,0)</f>
        <v>Infectious/General</v>
      </c>
      <c r="AD374" s="4" t="str">
        <f>VLOOKUP(R374,Insurance_Plans!$A:$C,3,0)</f>
        <v>Public</v>
      </c>
      <c r="AE374" s="13">
        <f t="shared" si="15"/>
        <v>5532.5</v>
      </c>
      <c r="AF374" s="13">
        <f t="shared" si="16"/>
        <v>116182.5</v>
      </c>
      <c r="AG374" s="4" t="str">
        <f t="shared" si="17"/>
        <v>Not Available</v>
      </c>
    </row>
    <row r="375" spans="1:33">
      <c r="A375" t="s">
        <v>888</v>
      </c>
      <c r="B375" t="s">
        <v>530</v>
      </c>
      <c r="C375" s="11">
        <v>46033</v>
      </c>
      <c r="D375" t="s">
        <v>259</v>
      </c>
      <c r="E375" t="s">
        <v>70</v>
      </c>
      <c r="F375" s="4">
        <v>46033</v>
      </c>
      <c r="G375" s="4">
        <v>46034</v>
      </c>
      <c r="H375" t="s">
        <v>57</v>
      </c>
      <c r="I375" t="s">
        <v>100</v>
      </c>
      <c r="J375" t="s">
        <v>59</v>
      </c>
      <c r="K375" t="s">
        <v>60</v>
      </c>
      <c r="L375" t="s">
        <v>94</v>
      </c>
      <c r="M375" s="5">
        <v>53100</v>
      </c>
      <c r="N375" s="5">
        <v>6850</v>
      </c>
      <c r="O375" s="5">
        <v>7450</v>
      </c>
      <c r="P375" s="5">
        <v>3500</v>
      </c>
      <c r="Q375" s="13">
        <v>72900</v>
      </c>
      <c r="R375" t="s">
        <v>85</v>
      </c>
      <c r="S375" t="s">
        <v>76</v>
      </c>
      <c r="T375" s="5">
        <v>19120</v>
      </c>
      <c r="U375" s="6">
        <v>4</v>
      </c>
      <c r="V375" t="s">
        <v>77</v>
      </c>
      <c r="W375" s="4">
        <v>46042</v>
      </c>
      <c r="X375" t="s">
        <v>77</v>
      </c>
      <c r="Y375" t="s">
        <v>64</v>
      </c>
      <c r="Z375" t="s">
        <v>78</v>
      </c>
      <c r="AA375" t="str">
        <f>VLOOKUP(H375,Departments!$A:$B,2,0)</f>
        <v>Pulmonology</v>
      </c>
      <c r="AB375" t="str">
        <f>VLOOKUP(J375,Diagnosis_Guide!$A:$B,2,0)</f>
        <v>Pneumonia</v>
      </c>
      <c r="AC375" s="4" t="str">
        <f>VLOOKUP(J375,Diagnosis_Guide!$A:$C,3,0)</f>
        <v>Respiratory</v>
      </c>
      <c r="AD375" s="4" t="str">
        <f>VLOOKUP(R375,Insurance_Plans!$A:$C,3,0)</f>
        <v>Employer</v>
      </c>
      <c r="AE375" s="13">
        <f t="shared" si="15"/>
        <v>3645</v>
      </c>
      <c r="AF375" s="13">
        <f t="shared" si="16"/>
        <v>76545</v>
      </c>
      <c r="AG375" s="4" t="str">
        <f t="shared" si="17"/>
        <v>High</v>
      </c>
    </row>
    <row r="376" spans="1:33">
      <c r="A376" t="s">
        <v>889</v>
      </c>
      <c r="B376" t="s">
        <v>890</v>
      </c>
      <c r="C376" s="11">
        <v>46064</v>
      </c>
      <c r="D376" t="s">
        <v>266</v>
      </c>
      <c r="E376" t="s">
        <v>70</v>
      </c>
      <c r="F376" s="4">
        <v>46065</v>
      </c>
      <c r="G376" s="4">
        <v>46066</v>
      </c>
      <c r="H376" t="s">
        <v>178</v>
      </c>
      <c r="I376" t="s">
        <v>179</v>
      </c>
      <c r="J376" t="s">
        <v>358</v>
      </c>
      <c r="K376" t="s">
        <v>93</v>
      </c>
      <c r="L376" t="s">
        <v>94</v>
      </c>
      <c r="M376" s="5">
        <v>45900</v>
      </c>
      <c r="N376" s="5">
        <v>7950</v>
      </c>
      <c r="O376" s="5">
        <v>10050</v>
      </c>
      <c r="P376" s="5">
        <v>3500</v>
      </c>
      <c r="Q376" s="13">
        <v>68400</v>
      </c>
      <c r="R376" t="s">
        <v>85</v>
      </c>
      <c r="S376" t="s">
        <v>76</v>
      </c>
      <c r="T376" s="5">
        <v>18000</v>
      </c>
      <c r="U376" s="6">
        <v>4</v>
      </c>
      <c r="V376" t="s">
        <v>64</v>
      </c>
      <c r="W376" s="4"/>
      <c r="X376" t="s">
        <v>65</v>
      </c>
      <c r="Y376" t="s">
        <v>64</v>
      </c>
      <c r="Z376" t="s">
        <v>78</v>
      </c>
      <c r="AA376" t="str">
        <f>VLOOKUP(H376,Departments!$A:$B,2,0)</f>
        <v>Surgery</v>
      </c>
      <c r="AB376" t="str">
        <f>VLOOKUP(J376,Diagnosis_Guide!$A:$B,2,0)</f>
        <v>Gallbladder Surgery</v>
      </c>
      <c r="AC376" s="4" t="str">
        <f>VLOOKUP(J376,Diagnosis_Guide!$A:$C,3,0)</f>
        <v>Surgical</v>
      </c>
      <c r="AD376" s="4" t="str">
        <f>VLOOKUP(R376,Insurance_Plans!$A:$C,3,0)</f>
        <v>Employer</v>
      </c>
      <c r="AE376" s="13">
        <f t="shared" si="15"/>
        <v>3420</v>
      </c>
      <c r="AF376" s="13">
        <f t="shared" si="16"/>
        <v>71820</v>
      </c>
      <c r="AG376" s="4" t="str">
        <f t="shared" si="17"/>
        <v>High</v>
      </c>
    </row>
    <row r="377" spans="1:33">
      <c r="A377" t="s">
        <v>891</v>
      </c>
      <c r="B377" t="s">
        <v>892</v>
      </c>
      <c r="C377" s="11">
        <v>46108</v>
      </c>
      <c r="D377" t="s">
        <v>302</v>
      </c>
      <c r="E377" t="s">
        <v>70</v>
      </c>
      <c r="F377" s="4">
        <v>46108</v>
      </c>
      <c r="G377" s="4">
        <v>46113</v>
      </c>
      <c r="H377" t="s">
        <v>103</v>
      </c>
      <c r="I377" t="s">
        <v>364</v>
      </c>
      <c r="J377" t="s">
        <v>105</v>
      </c>
      <c r="K377" t="s">
        <v>73</v>
      </c>
      <c r="L377" t="s">
        <v>61</v>
      </c>
      <c r="M377" s="5">
        <v>43500</v>
      </c>
      <c r="N377" s="5">
        <v>4150</v>
      </c>
      <c r="O377" s="5">
        <v>5600</v>
      </c>
      <c r="P377" s="5">
        <v>12500</v>
      </c>
      <c r="Q377" s="13">
        <v>66550</v>
      </c>
      <c r="R377" t="s">
        <v>75</v>
      </c>
      <c r="S377" t="s">
        <v>86</v>
      </c>
      <c r="T377" s="5">
        <v>30250</v>
      </c>
      <c r="U377" s="6">
        <v>5</v>
      </c>
      <c r="V377" t="s">
        <v>64</v>
      </c>
      <c r="W377" s="4"/>
      <c r="X377" t="s">
        <v>65</v>
      </c>
      <c r="Y377" t="s">
        <v>64</v>
      </c>
      <c r="Z377" t="s">
        <v>96</v>
      </c>
      <c r="AA377" t="str">
        <f>VLOOKUP(H377,Departments!$A:$B,2,0)</f>
        <v>Nephrology</v>
      </c>
      <c r="AB377" t="str">
        <f>VLOOKUP(J377,Diagnosis_Guide!$A:$B,2,0)</f>
        <v>Dialysis Complication</v>
      </c>
      <c r="AC377" s="4" t="str">
        <f>VLOOKUP(J377,Diagnosis_Guide!$A:$C,3,0)</f>
        <v>Renal</v>
      </c>
      <c r="AD377" s="4" t="str">
        <f>VLOOKUP(R377,Insurance_Plans!$A:$C,3,0)</f>
        <v>Public</v>
      </c>
      <c r="AE377" s="13">
        <f t="shared" si="15"/>
        <v>3327.5</v>
      </c>
      <c r="AF377" s="13">
        <f t="shared" si="16"/>
        <v>69877.5</v>
      </c>
      <c r="AG377" s="4" t="str">
        <f t="shared" si="17"/>
        <v>High</v>
      </c>
    </row>
    <row r="378" spans="1:33">
      <c r="A378" t="s">
        <v>893</v>
      </c>
      <c r="B378" t="s">
        <v>894</v>
      </c>
      <c r="C378" s="11">
        <v>46131</v>
      </c>
      <c r="D378" t="s">
        <v>302</v>
      </c>
      <c r="E378" t="s">
        <v>70</v>
      </c>
      <c r="F378" s="4">
        <v>46132</v>
      </c>
      <c r="G378" s="4">
        <v>46138</v>
      </c>
      <c r="H378" t="s">
        <v>57</v>
      </c>
      <c r="I378" t="s">
        <v>169</v>
      </c>
      <c r="J378" t="s">
        <v>59</v>
      </c>
      <c r="K378" t="s">
        <v>124</v>
      </c>
      <c r="L378" t="s">
        <v>146</v>
      </c>
      <c r="M378" s="5"/>
      <c r="N378" s="5">
        <v>7150</v>
      </c>
      <c r="O378" s="5">
        <v>5750</v>
      </c>
      <c r="P378" s="5">
        <v>36000</v>
      </c>
      <c r="Q378" s="13">
        <v>92100</v>
      </c>
      <c r="R378" t="s">
        <v>141</v>
      </c>
      <c r="S378" t="s">
        <v>76</v>
      </c>
      <c r="T378" s="5">
        <v>15020</v>
      </c>
      <c r="U378" s="6">
        <v>4</v>
      </c>
      <c r="V378" t="s">
        <v>77</v>
      </c>
      <c r="W378" s="4">
        <v>46147</v>
      </c>
      <c r="X378" t="s">
        <v>77</v>
      </c>
      <c r="Y378" t="s">
        <v>64</v>
      </c>
      <c r="Z378" t="s">
        <v>107</v>
      </c>
      <c r="AA378" t="str">
        <f>VLOOKUP(H378,Departments!$A:$B,2,0)</f>
        <v>Pulmonology</v>
      </c>
      <c r="AB378" t="str">
        <f>VLOOKUP(J378,Diagnosis_Guide!$A:$B,2,0)</f>
        <v>Pneumonia</v>
      </c>
      <c r="AC378" s="4" t="str">
        <f>VLOOKUP(J378,Diagnosis_Guide!$A:$C,3,0)</f>
        <v>Respiratory</v>
      </c>
      <c r="AD378" s="4" t="str">
        <f>VLOOKUP(R378,Insurance_Plans!$A:$C,3,0)</f>
        <v>Private</v>
      </c>
      <c r="AE378" s="13">
        <f t="shared" si="15"/>
        <v>4605</v>
      </c>
      <c r="AF378" s="13">
        <f t="shared" si="16"/>
        <v>96705</v>
      </c>
      <c r="AG378" s="4" t="str">
        <f t="shared" si="17"/>
        <v>High</v>
      </c>
    </row>
    <row r="379" spans="1:33">
      <c r="A379" t="s">
        <v>895</v>
      </c>
      <c r="B379" t="s">
        <v>896</v>
      </c>
      <c r="C379" s="11">
        <v>46108</v>
      </c>
      <c r="D379" t="s">
        <v>337</v>
      </c>
      <c r="E379" t="s">
        <v>70</v>
      </c>
      <c r="F379" s="4">
        <v>46108</v>
      </c>
      <c r="G379" s="4">
        <v>46109</v>
      </c>
      <c r="H379" t="s">
        <v>82</v>
      </c>
      <c r="I379" t="s">
        <v>369</v>
      </c>
      <c r="J379" t="s">
        <v>291</v>
      </c>
      <c r="K379" t="s">
        <v>124</v>
      </c>
      <c r="L379" t="s">
        <v>146</v>
      </c>
      <c r="M379" s="5">
        <v>40300</v>
      </c>
      <c r="N379" s="5">
        <v>5050</v>
      </c>
      <c r="O379" s="5">
        <v>8400</v>
      </c>
      <c r="P379" s="5">
        <v>6000</v>
      </c>
      <c r="Q379" s="13">
        <v>60550</v>
      </c>
      <c r="R379" t="s">
        <v>106</v>
      </c>
      <c r="S379" t="s">
        <v>163</v>
      </c>
      <c r="T379" s="5">
        <v>21890</v>
      </c>
      <c r="U379" s="6">
        <v>4</v>
      </c>
      <c r="V379" t="s">
        <v>64</v>
      </c>
      <c r="W379" s="4"/>
      <c r="X379" t="s">
        <v>65</v>
      </c>
      <c r="Y379" t="s">
        <v>64</v>
      </c>
      <c r="Z379" t="s">
        <v>78</v>
      </c>
      <c r="AA379" t="str">
        <f>VLOOKUP(H379,Departments!$A:$B,2,0)</f>
        <v>Orthopedics</v>
      </c>
      <c r="AB379" t="str">
        <f>VLOOKUP(J379,Diagnosis_Guide!$A:$B,2,0)</f>
        <v>Fracture Repair</v>
      </c>
      <c r="AC379" s="4" t="str">
        <f>VLOOKUP(J379,Diagnosis_Guide!$A:$C,3,0)</f>
        <v>Musculoskeletal</v>
      </c>
      <c r="AD379" s="4" t="str">
        <f>VLOOKUP(R379,Insurance_Plans!$A:$C,3,0)</f>
        <v>Private</v>
      </c>
      <c r="AE379" s="13">
        <f t="shared" si="15"/>
        <v>3027.5</v>
      </c>
      <c r="AF379" s="13">
        <f t="shared" si="16"/>
        <v>63577.5</v>
      </c>
      <c r="AG379" s="4" t="str">
        <f t="shared" si="17"/>
        <v>High</v>
      </c>
    </row>
    <row r="380" spans="1:33">
      <c r="A380" t="s">
        <v>897</v>
      </c>
      <c r="B380" t="s">
        <v>898</v>
      </c>
      <c r="C380" s="11">
        <v>46169</v>
      </c>
      <c r="D380" t="s">
        <v>210</v>
      </c>
      <c r="E380" t="s">
        <v>255</v>
      </c>
      <c r="F380" s="4"/>
      <c r="G380" s="4"/>
      <c r="H380" t="s">
        <v>201</v>
      </c>
      <c r="I380" t="s">
        <v>280</v>
      </c>
      <c r="J380" t="s">
        <v>203</v>
      </c>
      <c r="K380" t="s">
        <v>124</v>
      </c>
      <c r="L380" t="s">
        <v>61</v>
      </c>
      <c r="M380" s="5"/>
      <c r="N380" s="5"/>
      <c r="O380" s="5"/>
      <c r="P380" s="5"/>
      <c r="R380" t="s">
        <v>106</v>
      </c>
      <c r="S380" t="s">
        <v>63</v>
      </c>
      <c r="T380" s="5"/>
      <c r="U380" s="6"/>
      <c r="V380" t="s">
        <v>64</v>
      </c>
      <c r="W380" s="4"/>
      <c r="X380" t="s">
        <v>65</v>
      </c>
      <c r="Z380" t="s">
        <v>66</v>
      </c>
      <c r="AA380" t="str">
        <f>VLOOKUP(H380,Departments!$A:$B,2,0)</f>
        <v>Emergency</v>
      </c>
      <c r="AB380" t="str">
        <f>VLOOKUP(J380,Diagnosis_Guide!$A:$B,2,0)</f>
        <v>Trauma Observation</v>
      </c>
      <c r="AC380" s="4" t="str">
        <f>VLOOKUP(J380,Diagnosis_Guide!$A:$C,3,0)</f>
        <v>Emergency</v>
      </c>
      <c r="AD380" s="4" t="str">
        <f>VLOOKUP(R380,Insurance_Plans!$A:$C,3,0)</f>
        <v>Private</v>
      </c>
      <c r="AE380" s="13" t="str">
        <f t="shared" si="15"/>
        <v/>
      </c>
      <c r="AF380" s="13" t="str">
        <f t="shared" si="16"/>
        <v/>
      </c>
      <c r="AG380" s="4" t="str">
        <f t="shared" si="17"/>
        <v>Not Available</v>
      </c>
    </row>
    <row r="381" spans="1:33">
      <c r="A381" t="s">
        <v>899</v>
      </c>
      <c r="B381" t="s">
        <v>624</v>
      </c>
      <c r="C381" s="11">
        <v>46024</v>
      </c>
      <c r="D381" t="s">
        <v>469</v>
      </c>
      <c r="E381" t="s">
        <v>70</v>
      </c>
      <c r="F381" s="4">
        <v>46025</v>
      </c>
      <c r="G381" s="4">
        <v>46035</v>
      </c>
      <c r="H381" t="s">
        <v>82</v>
      </c>
      <c r="I381" t="s">
        <v>331</v>
      </c>
      <c r="J381" t="s">
        <v>156</v>
      </c>
      <c r="K381" t="s">
        <v>93</v>
      </c>
      <c r="L381" t="s">
        <v>74</v>
      </c>
      <c r="M381" s="5">
        <v>96200</v>
      </c>
      <c r="N381" s="5">
        <v>15400</v>
      </c>
      <c r="O381" s="5">
        <v>13550</v>
      </c>
      <c r="P381" s="5">
        <v>60000</v>
      </c>
      <c r="Q381" s="13">
        <v>186650</v>
      </c>
      <c r="R381" t="s">
        <v>62</v>
      </c>
      <c r="S381" t="s">
        <v>76</v>
      </c>
      <c r="T381" s="5">
        <v>56400</v>
      </c>
      <c r="U381" s="6">
        <v>3</v>
      </c>
      <c r="V381" t="s">
        <v>64</v>
      </c>
      <c r="W381" s="4"/>
      <c r="X381" t="s">
        <v>65</v>
      </c>
      <c r="Y381" t="s">
        <v>64</v>
      </c>
      <c r="Z381" t="s">
        <v>78</v>
      </c>
      <c r="AA381" t="str">
        <f>VLOOKUP(H381,Departments!$A:$B,2,0)</f>
        <v>Orthopedics</v>
      </c>
      <c r="AB381" t="str">
        <f>VLOOKUP(J381,Diagnosis_Guide!$A:$B,2,0)</f>
        <v>Spinal Injury</v>
      </c>
      <c r="AC381" s="4" t="str">
        <f>VLOOKUP(J381,Diagnosis_Guide!$A:$C,3,0)</f>
        <v>Musculoskeletal</v>
      </c>
      <c r="AD381" s="4" t="str">
        <f>VLOOKUP(R381,Insurance_Plans!$A:$C,3,0)</f>
        <v>Public</v>
      </c>
      <c r="AE381" s="13">
        <f t="shared" si="15"/>
        <v>9332.5</v>
      </c>
      <c r="AF381" s="13">
        <f t="shared" si="16"/>
        <v>195982.5</v>
      </c>
      <c r="AG381" s="4" t="str">
        <f t="shared" si="17"/>
        <v>Medium</v>
      </c>
    </row>
    <row r="382" spans="1:33">
      <c r="A382" t="s">
        <v>900</v>
      </c>
      <c r="B382" t="s">
        <v>403</v>
      </c>
      <c r="C382" s="11">
        <v>46083</v>
      </c>
      <c r="D382" t="s">
        <v>250</v>
      </c>
      <c r="E382" t="s">
        <v>70</v>
      </c>
      <c r="F382" s="4">
        <v>46084</v>
      </c>
      <c r="G382" s="4">
        <v>46087</v>
      </c>
      <c r="H382" t="s">
        <v>111</v>
      </c>
      <c r="I382" t="s">
        <v>267</v>
      </c>
      <c r="J382" t="s">
        <v>117</v>
      </c>
      <c r="K382" t="s">
        <v>73</v>
      </c>
      <c r="L382" t="s">
        <v>61</v>
      </c>
      <c r="M382" s="5">
        <v>7300</v>
      </c>
      <c r="N382" s="5">
        <v>600</v>
      </c>
      <c r="O382" s="5">
        <v>850</v>
      </c>
      <c r="P382" s="5">
        <v>10500</v>
      </c>
      <c r="Q382" s="13">
        <v>20450</v>
      </c>
      <c r="R382" t="s">
        <v>75</v>
      </c>
      <c r="S382" t="s">
        <v>76</v>
      </c>
      <c r="T382" s="5">
        <v>9500</v>
      </c>
      <c r="U382" s="6">
        <v>3</v>
      </c>
      <c r="V382" t="s">
        <v>77</v>
      </c>
      <c r="W382" s="4">
        <v>46096</v>
      </c>
      <c r="X382" t="s">
        <v>64</v>
      </c>
      <c r="Y382" t="s">
        <v>64</v>
      </c>
      <c r="Z382" t="s">
        <v>107</v>
      </c>
      <c r="AA382" t="str">
        <f>VLOOKUP(H382,Departments!$A:$B,2,0)</f>
        <v>General Medicine</v>
      </c>
      <c r="AB382" t="str">
        <f>VLOOKUP(J382,Diagnosis_Guide!$A:$B,2,0)</f>
        <v>Fever Investigation</v>
      </c>
      <c r="AC382" s="4" t="str">
        <f>VLOOKUP(J382,Diagnosis_Guide!$A:$C,3,0)</f>
        <v>Infectious/General</v>
      </c>
      <c r="AD382" s="4" t="str">
        <f>VLOOKUP(R382,Insurance_Plans!$A:$C,3,0)</f>
        <v>Public</v>
      </c>
      <c r="AE382" s="13">
        <f t="shared" si="15"/>
        <v>1022.5</v>
      </c>
      <c r="AF382" s="13">
        <f t="shared" si="16"/>
        <v>21472.5</v>
      </c>
      <c r="AG382" s="4" t="str">
        <f t="shared" si="17"/>
        <v>Medium</v>
      </c>
    </row>
    <row r="383" spans="1:33">
      <c r="A383" t="s">
        <v>901</v>
      </c>
      <c r="B383" t="s">
        <v>382</v>
      </c>
      <c r="C383" s="11">
        <v>46054</v>
      </c>
      <c r="D383" t="s">
        <v>99</v>
      </c>
      <c r="E383" t="s">
        <v>70</v>
      </c>
      <c r="F383" s="4">
        <v>46054</v>
      </c>
      <c r="G383" s="4">
        <v>46061</v>
      </c>
      <c r="H383" t="s">
        <v>121</v>
      </c>
      <c r="I383" t="s">
        <v>334</v>
      </c>
      <c r="J383" t="s">
        <v>252</v>
      </c>
      <c r="K383" t="s">
        <v>124</v>
      </c>
      <c r="L383" t="s">
        <v>94</v>
      </c>
      <c r="M383" s="5">
        <v>56700</v>
      </c>
      <c r="N383" s="5">
        <v>7100</v>
      </c>
      <c r="O383" s="5">
        <v>6700</v>
      </c>
      <c r="P383" s="5">
        <v>42000</v>
      </c>
      <c r="Q383" s="13">
        <v>113500</v>
      </c>
      <c r="R383" t="s">
        <v>141</v>
      </c>
      <c r="S383" t="s">
        <v>76</v>
      </c>
      <c r="T383" s="5">
        <v>18230</v>
      </c>
      <c r="U383" s="6">
        <v>2</v>
      </c>
      <c r="V383" t="s">
        <v>77</v>
      </c>
      <c r="W383" s="4">
        <v>46072</v>
      </c>
      <c r="X383" t="s">
        <v>64</v>
      </c>
      <c r="Y383" t="s">
        <v>64</v>
      </c>
      <c r="Z383" t="s">
        <v>96</v>
      </c>
      <c r="AA383" t="str">
        <f>VLOOKUP(H383,Departments!$A:$B,2,0)</f>
        <v>Neurology</v>
      </c>
      <c r="AB383" t="str">
        <f>VLOOKUP(J383,Diagnosis_Guide!$A:$B,2,0)</f>
        <v>Stroke Assessment</v>
      </c>
      <c r="AC383" s="4" t="str">
        <f>VLOOKUP(J383,Diagnosis_Guide!$A:$C,3,0)</f>
        <v>Neurological</v>
      </c>
      <c r="AD383" s="4" t="str">
        <f>VLOOKUP(R383,Insurance_Plans!$A:$C,3,0)</f>
        <v>Private</v>
      </c>
      <c r="AE383" s="13">
        <f t="shared" si="15"/>
        <v>5675</v>
      </c>
      <c r="AF383" s="13">
        <f t="shared" si="16"/>
        <v>119175</v>
      </c>
      <c r="AG383" s="4" t="str">
        <f t="shared" si="17"/>
        <v>Low</v>
      </c>
    </row>
    <row r="384" spans="1:33">
      <c r="A384" t="s">
        <v>902</v>
      </c>
      <c r="B384" t="s">
        <v>903</v>
      </c>
      <c r="C384" s="11">
        <v>46060</v>
      </c>
      <c r="D384" t="s">
        <v>302</v>
      </c>
      <c r="E384" t="s">
        <v>70</v>
      </c>
      <c r="F384" s="4">
        <v>46060</v>
      </c>
      <c r="G384" s="4">
        <v>46064</v>
      </c>
      <c r="H384" t="s">
        <v>201</v>
      </c>
      <c r="I384" t="s">
        <v>449</v>
      </c>
      <c r="J384" t="s">
        <v>281</v>
      </c>
      <c r="K384" t="s">
        <v>124</v>
      </c>
      <c r="L384" t="s">
        <v>146</v>
      </c>
      <c r="M384" s="5">
        <v>7800</v>
      </c>
      <c r="N384" s="5">
        <v>950</v>
      </c>
      <c r="O384" s="5">
        <v>1700</v>
      </c>
      <c r="P384" s="5">
        <v>18000</v>
      </c>
      <c r="Q384" s="13">
        <v>29250</v>
      </c>
      <c r="R384" t="s">
        <v>75</v>
      </c>
      <c r="S384" t="s">
        <v>76</v>
      </c>
      <c r="T384" s="5">
        <v>13460</v>
      </c>
      <c r="U384" s="6">
        <v>3</v>
      </c>
      <c r="V384" t="s">
        <v>77</v>
      </c>
      <c r="W384" s="4">
        <v>46083</v>
      </c>
      <c r="X384" t="s">
        <v>77</v>
      </c>
      <c r="Y384" t="s">
        <v>64</v>
      </c>
      <c r="Z384" t="s">
        <v>436</v>
      </c>
      <c r="AA384" t="str">
        <f>VLOOKUP(H384,Departments!$A:$B,2,0)</f>
        <v>Emergency</v>
      </c>
      <c r="AB384" t="str">
        <f>VLOOKUP(J384,Diagnosis_Guide!$A:$B,2,0)</f>
        <v>Food Poisoning</v>
      </c>
      <c r="AC384" s="4" t="str">
        <f>VLOOKUP(J384,Diagnosis_Guide!$A:$C,3,0)</f>
        <v>Emergency</v>
      </c>
      <c r="AD384" s="4" t="str">
        <f>VLOOKUP(R384,Insurance_Plans!$A:$C,3,0)</f>
        <v>Public</v>
      </c>
      <c r="AE384" s="13">
        <f t="shared" si="15"/>
        <v>1462.5</v>
      </c>
      <c r="AF384" s="13">
        <f t="shared" si="16"/>
        <v>30712.5</v>
      </c>
      <c r="AG384" s="4" t="str">
        <f t="shared" si="17"/>
        <v>Medium</v>
      </c>
    </row>
    <row r="385" spans="1:33">
      <c r="A385" t="s">
        <v>904</v>
      </c>
      <c r="B385" t="s">
        <v>905</v>
      </c>
      <c r="C385" s="11">
        <v>46033</v>
      </c>
      <c r="D385" t="s">
        <v>234</v>
      </c>
      <c r="E385" t="s">
        <v>70</v>
      </c>
      <c r="F385" s="4">
        <v>46033</v>
      </c>
      <c r="G385" s="4">
        <v>46038</v>
      </c>
      <c r="H385" t="s">
        <v>103</v>
      </c>
      <c r="I385" t="s">
        <v>104</v>
      </c>
      <c r="J385" t="s">
        <v>105</v>
      </c>
      <c r="K385" t="s">
        <v>73</v>
      </c>
      <c r="L385" t="s">
        <v>61</v>
      </c>
      <c r="M385" s="5">
        <v>61800</v>
      </c>
      <c r="N385" s="5">
        <v>10100</v>
      </c>
      <c r="O385" s="5">
        <v>15150</v>
      </c>
      <c r="P385" s="5">
        <v>22500</v>
      </c>
      <c r="Q385" s="13">
        <v>111350</v>
      </c>
      <c r="R385" t="s">
        <v>75</v>
      </c>
      <c r="S385" t="s">
        <v>86</v>
      </c>
      <c r="T385" s="5">
        <v>50410</v>
      </c>
      <c r="U385" s="6">
        <v>3</v>
      </c>
      <c r="V385" t="s">
        <v>77</v>
      </c>
      <c r="W385" s="4">
        <v>46053</v>
      </c>
      <c r="X385" t="s">
        <v>64</v>
      </c>
      <c r="Y385" t="s">
        <v>64</v>
      </c>
      <c r="Z385" t="s">
        <v>219</v>
      </c>
      <c r="AA385" t="str">
        <f>VLOOKUP(H385,Departments!$A:$B,2,0)</f>
        <v>Nephrology</v>
      </c>
      <c r="AB385" t="str">
        <f>VLOOKUP(J385,Diagnosis_Guide!$A:$B,2,0)</f>
        <v>Dialysis Complication</v>
      </c>
      <c r="AC385" s="4" t="str">
        <f>VLOOKUP(J385,Diagnosis_Guide!$A:$C,3,0)</f>
        <v>Renal</v>
      </c>
      <c r="AD385" s="4" t="str">
        <f>VLOOKUP(R385,Insurance_Plans!$A:$C,3,0)</f>
        <v>Public</v>
      </c>
      <c r="AE385" s="13">
        <f t="shared" si="15"/>
        <v>5567.5</v>
      </c>
      <c r="AF385" s="13">
        <f t="shared" si="16"/>
        <v>116917.5</v>
      </c>
      <c r="AG385" s="4" t="str">
        <f t="shared" si="17"/>
        <v>Medium</v>
      </c>
    </row>
    <row r="386" spans="1:33">
      <c r="A386" t="s">
        <v>906</v>
      </c>
      <c r="B386" t="s">
        <v>907</v>
      </c>
      <c r="C386" s="11">
        <v>46104</v>
      </c>
      <c r="D386" t="s">
        <v>210</v>
      </c>
      <c r="E386" t="s">
        <v>70</v>
      </c>
      <c r="F386" s="4">
        <v>46104</v>
      </c>
      <c r="G386" s="4">
        <v>46110</v>
      </c>
      <c r="H386" t="s">
        <v>57</v>
      </c>
      <c r="I386" t="s">
        <v>169</v>
      </c>
      <c r="J386" t="s">
        <v>170</v>
      </c>
      <c r="K386" t="s">
        <v>73</v>
      </c>
      <c r="L386" t="s">
        <v>61</v>
      </c>
      <c r="M386" s="5">
        <v>55000</v>
      </c>
      <c r="N386" s="5">
        <v>5800</v>
      </c>
      <c r="O386" s="5">
        <v>8650</v>
      </c>
      <c r="P386" s="5">
        <v>18000</v>
      </c>
      <c r="Q386" s="13">
        <v>88250</v>
      </c>
      <c r="R386" t="s">
        <v>106</v>
      </c>
      <c r="S386" t="s">
        <v>86</v>
      </c>
      <c r="T386" s="5">
        <v>31590</v>
      </c>
      <c r="U386" s="6">
        <v>4</v>
      </c>
      <c r="V386" t="s">
        <v>64</v>
      </c>
      <c r="W386" s="4"/>
      <c r="X386" t="s">
        <v>65</v>
      </c>
      <c r="Y386" t="s">
        <v>64</v>
      </c>
      <c r="Z386" t="s">
        <v>96</v>
      </c>
      <c r="AA386" t="str">
        <f>VLOOKUP(H386,Departments!$A:$B,2,0)</f>
        <v>Pulmonology</v>
      </c>
      <c r="AB386" t="str">
        <f>VLOOKUP(J386,Diagnosis_Guide!$A:$B,2,0)</f>
        <v>COPD Exacerbation</v>
      </c>
      <c r="AC386" s="4" t="str">
        <f>VLOOKUP(J386,Diagnosis_Guide!$A:$C,3,0)</f>
        <v>Respiratory</v>
      </c>
      <c r="AD386" s="4" t="str">
        <f>VLOOKUP(R386,Insurance_Plans!$A:$C,3,0)</f>
        <v>Private</v>
      </c>
      <c r="AE386" s="13">
        <f t="shared" ref="AE386:AE449" si="18">IF(Q386="","",Q386*0.05)</f>
        <v>4412.5</v>
      </c>
      <c r="AF386" s="13">
        <f t="shared" ref="AF386:AF449" si="19">IF(Q386="","",Q386+AE386)</f>
        <v>92662.5</v>
      </c>
      <c r="AG386" s="4" t="str">
        <f t="shared" ref="AG386:AG449" si="20">IF(U386="","Not Available",IF(U386&gt;=4,"High",IF(U386=3,"Medium","Low")))</f>
        <v>High</v>
      </c>
    </row>
    <row r="387" spans="1:33">
      <c r="A387" t="s">
        <v>908</v>
      </c>
      <c r="B387" t="s">
        <v>909</v>
      </c>
      <c r="C387" s="11">
        <v>46048</v>
      </c>
      <c r="D387" t="s">
        <v>168</v>
      </c>
      <c r="E387" t="s">
        <v>70</v>
      </c>
      <c r="F387" s="4">
        <v>46048</v>
      </c>
      <c r="G387" s="4">
        <v>46048</v>
      </c>
      <c r="H387" t="s">
        <v>150</v>
      </c>
      <c r="I387" t="s">
        <v>239</v>
      </c>
      <c r="J387" t="s">
        <v>188</v>
      </c>
      <c r="K387" t="s">
        <v>60</v>
      </c>
      <c r="L387" t="s">
        <v>74</v>
      </c>
      <c r="M387" s="5">
        <v>65600</v>
      </c>
      <c r="N387" s="5">
        <v>5550</v>
      </c>
      <c r="O387" s="5">
        <v>9650</v>
      </c>
      <c r="P387" s="5">
        <v>0</v>
      </c>
      <c r="Q387" s="13">
        <v>82600</v>
      </c>
      <c r="R387" t="s">
        <v>95</v>
      </c>
      <c r="S387" t="s">
        <v>63</v>
      </c>
      <c r="T387" s="5">
        <v>82600</v>
      </c>
      <c r="U387" s="6">
        <v>5</v>
      </c>
      <c r="V387" t="s">
        <v>77</v>
      </c>
      <c r="W387" s="4">
        <v>46069</v>
      </c>
      <c r="X387" t="s">
        <v>64</v>
      </c>
      <c r="Y387" t="s">
        <v>64</v>
      </c>
      <c r="Z387" t="s">
        <v>107</v>
      </c>
      <c r="AA387" t="str">
        <f>VLOOKUP(H387,Departments!$A:$B,2,0)</f>
        <v>Obstetrics</v>
      </c>
      <c r="AB387" t="str">
        <f>VLOOKUP(J387,Diagnosis_Guide!$A:$B,2,0)</f>
        <v>Emergency C-Section</v>
      </c>
      <c r="AC387" s="4" t="str">
        <f>VLOOKUP(J387,Diagnosis_Guide!$A:$C,3,0)</f>
        <v>Maternal Health</v>
      </c>
      <c r="AD387" s="4" t="str">
        <f>VLOOKUP(R387,Insurance_Plans!$A:$C,3,0)</f>
        <v>Self-Pay</v>
      </c>
      <c r="AE387" s="13">
        <f t="shared" si="18"/>
        <v>4130</v>
      </c>
      <c r="AF387" s="13">
        <f t="shared" si="19"/>
        <v>86730</v>
      </c>
      <c r="AG387" s="4" t="str">
        <f t="shared" si="20"/>
        <v>High</v>
      </c>
    </row>
    <row r="388" spans="1:33">
      <c r="A388" t="s">
        <v>910</v>
      </c>
      <c r="B388" t="s">
        <v>451</v>
      </c>
      <c r="C388" s="11">
        <v>46102</v>
      </c>
      <c r="D388" t="s">
        <v>439</v>
      </c>
      <c r="E388" t="s">
        <v>70</v>
      </c>
      <c r="F388" s="4">
        <v>46102</v>
      </c>
      <c r="G388" s="4">
        <v>46106</v>
      </c>
      <c r="H388" t="s">
        <v>201</v>
      </c>
      <c r="I388" t="s">
        <v>421</v>
      </c>
      <c r="J388" t="s">
        <v>203</v>
      </c>
      <c r="K388" t="s">
        <v>124</v>
      </c>
      <c r="L388" t="s">
        <v>61</v>
      </c>
      <c r="M388" s="5">
        <v>37900</v>
      </c>
      <c r="N388" s="5">
        <v>5100</v>
      </c>
      <c r="O388" s="5">
        <v>5300</v>
      </c>
      <c r="P388" s="5">
        <v>24000</v>
      </c>
      <c r="Q388" s="13">
        <v>73300</v>
      </c>
      <c r="R388" t="s">
        <v>62</v>
      </c>
      <c r="S388" t="s">
        <v>86</v>
      </c>
      <c r="T388" s="5">
        <v>22390</v>
      </c>
      <c r="U388" s="6">
        <v>5</v>
      </c>
      <c r="V388" t="s">
        <v>77</v>
      </c>
      <c r="W388" s="4">
        <v>46118</v>
      </c>
      <c r="X388" t="s">
        <v>77</v>
      </c>
      <c r="Y388" t="s">
        <v>64</v>
      </c>
      <c r="Z388" t="s">
        <v>96</v>
      </c>
      <c r="AA388" t="str">
        <f>VLOOKUP(H388,Departments!$A:$B,2,0)</f>
        <v>Emergency</v>
      </c>
      <c r="AB388" t="str">
        <f>VLOOKUP(J388,Diagnosis_Guide!$A:$B,2,0)</f>
        <v>Trauma Observation</v>
      </c>
      <c r="AC388" s="4" t="str">
        <f>VLOOKUP(J388,Diagnosis_Guide!$A:$C,3,0)</f>
        <v>Emergency</v>
      </c>
      <c r="AD388" s="4" t="str">
        <f>VLOOKUP(R388,Insurance_Plans!$A:$C,3,0)</f>
        <v>Public</v>
      </c>
      <c r="AE388" s="13">
        <f t="shared" si="18"/>
        <v>3665</v>
      </c>
      <c r="AF388" s="13">
        <f t="shared" si="19"/>
        <v>76965</v>
      </c>
      <c r="AG388" s="4" t="str">
        <f t="shared" si="20"/>
        <v>High</v>
      </c>
    </row>
    <row r="389" spans="1:33">
      <c r="A389" t="s">
        <v>911</v>
      </c>
      <c r="B389" t="s">
        <v>559</v>
      </c>
      <c r="C389" s="11">
        <v>46153</v>
      </c>
      <c r="D389" t="s">
        <v>363</v>
      </c>
      <c r="E389" t="s">
        <v>70</v>
      </c>
      <c r="F389" s="4">
        <v>46153</v>
      </c>
      <c r="G389" s="4">
        <v>46157</v>
      </c>
      <c r="H389" t="s">
        <v>121</v>
      </c>
      <c r="I389" t="s">
        <v>122</v>
      </c>
      <c r="J389" t="s">
        <v>123</v>
      </c>
      <c r="K389" t="s">
        <v>73</v>
      </c>
      <c r="L389" t="s">
        <v>61</v>
      </c>
      <c r="M389" s="5">
        <v>32100</v>
      </c>
      <c r="N389" s="5">
        <v>3950</v>
      </c>
      <c r="O389" s="5">
        <v>6150</v>
      </c>
      <c r="P389" s="5">
        <v>18000</v>
      </c>
      <c r="Q389" s="13">
        <v>61200</v>
      </c>
      <c r="R389" t="s">
        <v>75</v>
      </c>
      <c r="S389" t="s">
        <v>76</v>
      </c>
      <c r="T389" s="5">
        <v>27840</v>
      </c>
      <c r="U389" s="6">
        <v>4</v>
      </c>
      <c r="V389" t="s">
        <v>77</v>
      </c>
      <c r="W389" s="4">
        <v>46170</v>
      </c>
      <c r="X389" t="s">
        <v>64</v>
      </c>
      <c r="Y389" t="s">
        <v>64</v>
      </c>
      <c r="Z389" t="s">
        <v>96</v>
      </c>
      <c r="AA389" t="str">
        <f>VLOOKUP(H389,Departments!$A:$B,2,0)</f>
        <v>Neurology</v>
      </c>
      <c r="AB389" t="str">
        <f>VLOOKUP(J389,Diagnosis_Guide!$A:$B,2,0)</f>
        <v>Seizure Episode</v>
      </c>
      <c r="AC389" s="4" t="str">
        <f>VLOOKUP(J389,Diagnosis_Guide!$A:$C,3,0)</f>
        <v>Neurological</v>
      </c>
      <c r="AD389" s="4" t="str">
        <f>VLOOKUP(R389,Insurance_Plans!$A:$C,3,0)</f>
        <v>Public</v>
      </c>
      <c r="AE389" s="13">
        <f t="shared" si="18"/>
        <v>3060</v>
      </c>
      <c r="AF389" s="13">
        <f t="shared" si="19"/>
        <v>64260</v>
      </c>
      <c r="AG389" s="4" t="str">
        <f t="shared" si="20"/>
        <v>High</v>
      </c>
    </row>
    <row r="390" spans="1:33">
      <c r="A390" t="s">
        <v>912</v>
      </c>
      <c r="B390" t="s">
        <v>913</v>
      </c>
      <c r="C390" s="11">
        <v>46126</v>
      </c>
      <c r="D390" t="s">
        <v>279</v>
      </c>
      <c r="E390" t="s">
        <v>70</v>
      </c>
      <c r="F390" s="4">
        <v>46126</v>
      </c>
      <c r="G390" s="4">
        <v>46129</v>
      </c>
      <c r="H390" t="s">
        <v>90</v>
      </c>
      <c r="I390" t="s">
        <v>388</v>
      </c>
      <c r="J390" t="s">
        <v>197</v>
      </c>
      <c r="K390" t="s">
        <v>124</v>
      </c>
      <c r="L390" t="s">
        <v>94</v>
      </c>
      <c r="M390" s="5">
        <v>25600</v>
      </c>
      <c r="N390" s="5">
        <v>2650</v>
      </c>
      <c r="O390" s="5">
        <v>3500</v>
      </c>
      <c r="P390" s="5">
        <v>7500</v>
      </c>
      <c r="Q390" s="13">
        <v>40750</v>
      </c>
      <c r="R390" t="s">
        <v>95</v>
      </c>
      <c r="S390" t="s">
        <v>63</v>
      </c>
      <c r="T390" s="5">
        <v>40750</v>
      </c>
      <c r="U390" s="6">
        <v>2</v>
      </c>
      <c r="V390" t="s">
        <v>77</v>
      </c>
      <c r="W390" s="4">
        <v>46138</v>
      </c>
      <c r="X390" t="s">
        <v>64</v>
      </c>
      <c r="Y390" t="s">
        <v>64</v>
      </c>
      <c r="Z390" t="s">
        <v>78</v>
      </c>
      <c r="AA390" t="str">
        <f>VLOOKUP(H390,Departments!$A:$B,2,0)</f>
        <v>Cardiology</v>
      </c>
      <c r="AB390" t="str">
        <f>VLOOKUP(J390,Diagnosis_Guide!$A:$B,2,0)</f>
        <v>Chest Pain</v>
      </c>
      <c r="AC390" s="4" t="str">
        <f>VLOOKUP(J390,Diagnosis_Guide!$A:$C,3,0)</f>
        <v>Cardiovascular</v>
      </c>
      <c r="AD390" s="4" t="str">
        <f>VLOOKUP(R390,Insurance_Plans!$A:$C,3,0)</f>
        <v>Self-Pay</v>
      </c>
      <c r="AE390" s="13">
        <f t="shared" si="18"/>
        <v>2037.5</v>
      </c>
      <c r="AF390" s="13">
        <f t="shared" si="19"/>
        <v>42787.5</v>
      </c>
      <c r="AG390" s="4" t="str">
        <f t="shared" si="20"/>
        <v>Low</v>
      </c>
    </row>
    <row r="391" spans="1:33">
      <c r="A391" t="s">
        <v>914</v>
      </c>
      <c r="B391" t="s">
        <v>254</v>
      </c>
      <c r="C391" s="11">
        <v>46059</v>
      </c>
      <c r="D391" t="s">
        <v>217</v>
      </c>
      <c r="E391" t="s">
        <v>314</v>
      </c>
      <c r="F391" s="4"/>
      <c r="G391" s="4"/>
      <c r="H391" t="s">
        <v>178</v>
      </c>
      <c r="I391" t="s">
        <v>622</v>
      </c>
      <c r="J391" t="s">
        <v>180</v>
      </c>
      <c r="K391" t="s">
        <v>73</v>
      </c>
      <c r="L391" t="s">
        <v>94</v>
      </c>
      <c r="M391" s="5"/>
      <c r="N391" s="5"/>
      <c r="O391" s="5"/>
      <c r="P391" s="5"/>
      <c r="R391" t="s">
        <v>85</v>
      </c>
      <c r="S391" t="s">
        <v>63</v>
      </c>
      <c r="T391" s="5"/>
      <c r="U391" s="6"/>
      <c r="V391" t="s">
        <v>64</v>
      </c>
      <c r="W391" s="4"/>
      <c r="X391" t="s">
        <v>65</v>
      </c>
      <c r="Z391" t="s">
        <v>66</v>
      </c>
      <c r="AA391" t="str">
        <f>VLOOKUP(H391,Departments!$A:$B,2,0)</f>
        <v>Surgery</v>
      </c>
      <c r="AB391" t="str">
        <f>VLOOKUP(J391,Diagnosis_Guide!$A:$B,2,0)</f>
        <v>Appendicitis Surgery</v>
      </c>
      <c r="AC391" s="4" t="str">
        <f>VLOOKUP(J391,Diagnosis_Guide!$A:$C,3,0)</f>
        <v>Surgical</v>
      </c>
      <c r="AD391" s="4" t="str">
        <f>VLOOKUP(R391,Insurance_Plans!$A:$C,3,0)</f>
        <v>Employer</v>
      </c>
      <c r="AE391" s="13" t="str">
        <f t="shared" si="18"/>
        <v/>
      </c>
      <c r="AF391" s="13" t="str">
        <f t="shared" si="19"/>
        <v/>
      </c>
      <c r="AG391" s="4" t="str">
        <f t="shared" si="20"/>
        <v>Not Available</v>
      </c>
    </row>
    <row r="392" spans="1:33">
      <c r="A392" t="s">
        <v>915</v>
      </c>
      <c r="B392" t="s">
        <v>499</v>
      </c>
      <c r="C392" s="11">
        <v>46075</v>
      </c>
      <c r="D392" t="s">
        <v>250</v>
      </c>
      <c r="E392" t="s">
        <v>70</v>
      </c>
      <c r="F392" s="4">
        <v>46075</v>
      </c>
      <c r="G392" s="4">
        <v>46080</v>
      </c>
      <c r="H392" t="s">
        <v>150</v>
      </c>
      <c r="I392" t="s">
        <v>151</v>
      </c>
      <c r="J392" t="s">
        <v>188</v>
      </c>
      <c r="K392" t="s">
        <v>73</v>
      </c>
      <c r="L392" t="s">
        <v>146</v>
      </c>
      <c r="M392" s="5">
        <v>117300</v>
      </c>
      <c r="N392" s="5">
        <v>14500</v>
      </c>
      <c r="O392" s="5">
        <v>16150</v>
      </c>
      <c r="P392" s="5">
        <v>22500</v>
      </c>
      <c r="Q392" s="13">
        <v>172950</v>
      </c>
      <c r="R392" t="s">
        <v>141</v>
      </c>
      <c r="S392" t="s">
        <v>76</v>
      </c>
      <c r="T392" s="5">
        <v>27140</v>
      </c>
      <c r="U392" s="6">
        <v>3</v>
      </c>
      <c r="V392" t="s">
        <v>77</v>
      </c>
      <c r="W392" s="4">
        <v>46094</v>
      </c>
      <c r="X392" t="s">
        <v>77</v>
      </c>
      <c r="Y392" t="s">
        <v>64</v>
      </c>
      <c r="Z392" t="s">
        <v>96</v>
      </c>
      <c r="AA392" t="str">
        <f>VLOOKUP(H392,Departments!$A:$B,2,0)</f>
        <v>Obstetrics</v>
      </c>
      <c r="AB392" t="str">
        <f>VLOOKUP(J392,Diagnosis_Guide!$A:$B,2,0)</f>
        <v>Emergency C-Section</v>
      </c>
      <c r="AC392" s="4" t="str">
        <f>VLOOKUP(J392,Diagnosis_Guide!$A:$C,3,0)</f>
        <v>Maternal Health</v>
      </c>
      <c r="AD392" s="4" t="str">
        <f>VLOOKUP(R392,Insurance_Plans!$A:$C,3,0)</f>
        <v>Private</v>
      </c>
      <c r="AE392" s="13">
        <f t="shared" si="18"/>
        <v>8647.5</v>
      </c>
      <c r="AF392" s="13">
        <f t="shared" si="19"/>
        <v>181597.5</v>
      </c>
      <c r="AG392" s="4" t="str">
        <f t="shared" si="20"/>
        <v>Medium</v>
      </c>
    </row>
    <row r="393" spans="1:33">
      <c r="A393" t="s">
        <v>916</v>
      </c>
      <c r="B393" t="s">
        <v>319</v>
      </c>
      <c r="C393" s="11">
        <v>46112</v>
      </c>
      <c r="D393" t="s">
        <v>161</v>
      </c>
      <c r="E393" t="s">
        <v>70</v>
      </c>
      <c r="F393" s="4">
        <v>46113</v>
      </c>
      <c r="G393" s="4">
        <v>46117</v>
      </c>
      <c r="H393" t="s">
        <v>90</v>
      </c>
      <c r="I393" t="s">
        <v>128</v>
      </c>
      <c r="J393" t="s">
        <v>129</v>
      </c>
      <c r="K393" t="s">
        <v>73</v>
      </c>
      <c r="L393" t="s">
        <v>61</v>
      </c>
      <c r="M393" s="5">
        <v>34800</v>
      </c>
      <c r="N393" s="5">
        <v>3250</v>
      </c>
      <c r="O393" s="5">
        <v>7550</v>
      </c>
      <c r="P393" s="5">
        <v>18000</v>
      </c>
      <c r="Q393" s="13">
        <v>65600</v>
      </c>
      <c r="R393" t="s">
        <v>106</v>
      </c>
      <c r="S393" t="s">
        <v>163</v>
      </c>
      <c r="T393" s="5">
        <v>23660</v>
      </c>
      <c r="U393" s="6">
        <v>2</v>
      </c>
      <c r="V393" t="s">
        <v>77</v>
      </c>
      <c r="W393" s="4">
        <v>46134</v>
      </c>
      <c r="X393" t="s">
        <v>64</v>
      </c>
      <c r="Y393" t="s">
        <v>77</v>
      </c>
      <c r="Z393" t="s">
        <v>78</v>
      </c>
      <c r="AA393" t="str">
        <f>VLOOKUP(H393,Departments!$A:$B,2,0)</f>
        <v>Cardiology</v>
      </c>
      <c r="AB393" t="str">
        <f>VLOOKUP(J393,Diagnosis_Guide!$A:$B,2,0)</f>
        <v>Hypertension Crisis</v>
      </c>
      <c r="AC393" s="4" t="str">
        <f>VLOOKUP(J393,Diagnosis_Guide!$A:$C,3,0)</f>
        <v>Cardiovascular</v>
      </c>
      <c r="AD393" s="4" t="str">
        <f>VLOOKUP(R393,Insurance_Plans!$A:$C,3,0)</f>
        <v>Private</v>
      </c>
      <c r="AE393" s="13">
        <f t="shared" si="18"/>
        <v>3280</v>
      </c>
      <c r="AF393" s="13">
        <f t="shared" si="19"/>
        <v>68880</v>
      </c>
      <c r="AG393" s="4" t="str">
        <f t="shared" si="20"/>
        <v>Low</v>
      </c>
    </row>
    <row r="394" spans="1:33">
      <c r="A394" t="s">
        <v>917</v>
      </c>
      <c r="B394" t="s">
        <v>743</v>
      </c>
      <c r="C394" s="11">
        <v>46050</v>
      </c>
      <c r="D394" t="s">
        <v>210</v>
      </c>
      <c r="E394" t="s">
        <v>70</v>
      </c>
      <c r="F394" s="4">
        <v>46050</v>
      </c>
      <c r="G394" s="4">
        <v>46050</v>
      </c>
      <c r="H394" t="s">
        <v>90</v>
      </c>
      <c r="I394" t="s">
        <v>133</v>
      </c>
      <c r="J394" t="s">
        <v>197</v>
      </c>
      <c r="K394" t="s">
        <v>60</v>
      </c>
      <c r="L394" t="s">
        <v>146</v>
      </c>
      <c r="M394" s="5">
        <v>22400</v>
      </c>
      <c r="N394" s="5">
        <v>1800</v>
      </c>
      <c r="O394" s="5">
        <v>5450</v>
      </c>
      <c r="P394" s="5">
        <v>0</v>
      </c>
      <c r="Q394" s="13">
        <v>31650</v>
      </c>
      <c r="R394" t="s">
        <v>106</v>
      </c>
      <c r="S394" t="s">
        <v>76</v>
      </c>
      <c r="T394" s="5">
        <v>11780</v>
      </c>
      <c r="U394" s="6">
        <v>4</v>
      </c>
      <c r="V394" t="s">
        <v>64</v>
      </c>
      <c r="W394" s="4"/>
      <c r="X394" t="s">
        <v>65</v>
      </c>
      <c r="Y394" t="s">
        <v>64</v>
      </c>
      <c r="Z394" t="s">
        <v>96</v>
      </c>
      <c r="AA394" t="str">
        <f>VLOOKUP(H394,Departments!$A:$B,2,0)</f>
        <v>Cardiology</v>
      </c>
      <c r="AB394" t="str">
        <f>VLOOKUP(J394,Diagnosis_Guide!$A:$B,2,0)</f>
        <v>Chest Pain</v>
      </c>
      <c r="AC394" s="4" t="str">
        <f>VLOOKUP(J394,Diagnosis_Guide!$A:$C,3,0)</f>
        <v>Cardiovascular</v>
      </c>
      <c r="AD394" s="4" t="str">
        <f>VLOOKUP(R394,Insurance_Plans!$A:$C,3,0)</f>
        <v>Private</v>
      </c>
      <c r="AE394" s="13">
        <f t="shared" si="18"/>
        <v>1582.5</v>
      </c>
      <c r="AF394" s="13">
        <f t="shared" si="19"/>
        <v>33232.5</v>
      </c>
      <c r="AG394" s="4" t="str">
        <f t="shared" si="20"/>
        <v>High</v>
      </c>
    </row>
    <row r="395" spans="1:33">
      <c r="A395" t="s">
        <v>918</v>
      </c>
      <c r="B395" t="s">
        <v>919</v>
      </c>
      <c r="C395" s="11">
        <v>46125</v>
      </c>
      <c r="D395" t="s">
        <v>144</v>
      </c>
      <c r="E395" t="s">
        <v>70</v>
      </c>
      <c r="F395" s="4">
        <v>46125</v>
      </c>
      <c r="G395" s="4">
        <v>46126</v>
      </c>
      <c r="H395" t="s">
        <v>103</v>
      </c>
      <c r="I395" t="s">
        <v>412</v>
      </c>
      <c r="J395" t="s">
        <v>145</v>
      </c>
      <c r="K395" t="s">
        <v>73</v>
      </c>
      <c r="L395" t="s">
        <v>61</v>
      </c>
      <c r="M395" s="5">
        <v>30900</v>
      </c>
      <c r="N395" s="5">
        <v>4800</v>
      </c>
      <c r="O395" s="5">
        <v>5550</v>
      </c>
      <c r="P395" s="5">
        <v>4500</v>
      </c>
      <c r="Q395" s="13">
        <v>46950</v>
      </c>
      <c r="R395" t="s">
        <v>75</v>
      </c>
      <c r="S395" t="s">
        <v>163</v>
      </c>
      <c r="T395" s="5">
        <v>21430</v>
      </c>
      <c r="U395" s="6">
        <v>4</v>
      </c>
      <c r="V395" t="s">
        <v>77</v>
      </c>
      <c r="W395" s="4">
        <v>46134</v>
      </c>
      <c r="X395" t="s">
        <v>77</v>
      </c>
      <c r="Y395" t="s">
        <v>64</v>
      </c>
      <c r="Z395" t="s">
        <v>96</v>
      </c>
      <c r="AA395" t="str">
        <f>VLOOKUP(H395,Departments!$A:$B,2,0)</f>
        <v>Nephrology</v>
      </c>
      <c r="AB395" t="str">
        <f>VLOOKUP(J395,Diagnosis_Guide!$A:$B,2,0)</f>
        <v>Kidney Stone</v>
      </c>
      <c r="AC395" s="4" t="str">
        <f>VLOOKUP(J395,Diagnosis_Guide!$A:$C,3,0)</f>
        <v>Renal</v>
      </c>
      <c r="AD395" s="4" t="str">
        <f>VLOOKUP(R395,Insurance_Plans!$A:$C,3,0)</f>
        <v>Public</v>
      </c>
      <c r="AE395" s="13">
        <f t="shared" si="18"/>
        <v>2347.5</v>
      </c>
      <c r="AF395" s="13">
        <f t="shared" si="19"/>
        <v>49297.5</v>
      </c>
      <c r="AG395" s="4" t="str">
        <f t="shared" si="20"/>
        <v>High</v>
      </c>
    </row>
    <row r="396" spans="1:33">
      <c r="A396" t="s">
        <v>920</v>
      </c>
      <c r="B396" t="s">
        <v>921</v>
      </c>
      <c r="C396" s="11">
        <v>46135</v>
      </c>
      <c r="D396" t="s">
        <v>298</v>
      </c>
      <c r="E396" t="s">
        <v>70</v>
      </c>
      <c r="F396" s="4">
        <v>46135</v>
      </c>
      <c r="G396" s="4">
        <v>46135</v>
      </c>
      <c r="H396" t="s">
        <v>103</v>
      </c>
      <c r="I396" t="s">
        <v>243</v>
      </c>
      <c r="J396" t="s">
        <v>105</v>
      </c>
      <c r="K396" t="s">
        <v>60</v>
      </c>
      <c r="L396" t="s">
        <v>61</v>
      </c>
      <c r="M396" s="5">
        <v>71600</v>
      </c>
      <c r="N396" s="5">
        <v>10350</v>
      </c>
      <c r="O396" s="5">
        <v>16700</v>
      </c>
      <c r="P396" s="5">
        <v>0</v>
      </c>
      <c r="Q396" s="13">
        <v>100450</v>
      </c>
      <c r="R396" t="s">
        <v>62</v>
      </c>
      <c r="S396" t="s">
        <v>76</v>
      </c>
      <c r="T396" s="5">
        <v>30540</v>
      </c>
      <c r="U396" s="6">
        <v>3</v>
      </c>
      <c r="V396" t="s">
        <v>64</v>
      </c>
      <c r="W396" s="4"/>
      <c r="X396" t="s">
        <v>65</v>
      </c>
      <c r="Y396" t="s">
        <v>77</v>
      </c>
      <c r="Z396" t="s">
        <v>78</v>
      </c>
      <c r="AA396" t="str">
        <f>VLOOKUP(H396,Departments!$A:$B,2,0)</f>
        <v>Nephrology</v>
      </c>
      <c r="AB396" t="str">
        <f>VLOOKUP(J396,Diagnosis_Guide!$A:$B,2,0)</f>
        <v>Dialysis Complication</v>
      </c>
      <c r="AC396" s="4" t="str">
        <f>VLOOKUP(J396,Diagnosis_Guide!$A:$C,3,0)</f>
        <v>Renal</v>
      </c>
      <c r="AD396" s="4" t="str">
        <f>VLOOKUP(R396,Insurance_Plans!$A:$C,3,0)</f>
        <v>Public</v>
      </c>
      <c r="AE396" s="13">
        <f t="shared" si="18"/>
        <v>5022.5</v>
      </c>
      <c r="AF396" s="13">
        <f t="shared" si="19"/>
        <v>105472.5</v>
      </c>
      <c r="AG396" s="4" t="str">
        <f t="shared" si="20"/>
        <v>Medium</v>
      </c>
    </row>
    <row r="397" spans="1:33">
      <c r="A397" t="s">
        <v>922</v>
      </c>
      <c r="B397" t="s">
        <v>596</v>
      </c>
      <c r="C397" s="11">
        <v>46024</v>
      </c>
      <c r="D397" t="s">
        <v>307</v>
      </c>
      <c r="E397" t="s">
        <v>314</v>
      </c>
      <c r="F397" s="4"/>
      <c r="G397" s="4"/>
      <c r="H397" t="s">
        <v>103</v>
      </c>
      <c r="I397" t="s">
        <v>412</v>
      </c>
      <c r="J397" t="s">
        <v>105</v>
      </c>
      <c r="K397" t="s">
        <v>60</v>
      </c>
      <c r="L397" t="s">
        <v>74</v>
      </c>
      <c r="M397" s="5"/>
      <c r="N397" s="5"/>
      <c r="O397" s="5"/>
      <c r="P397" s="5"/>
      <c r="R397" t="s">
        <v>106</v>
      </c>
      <c r="S397" t="s">
        <v>63</v>
      </c>
      <c r="T397" s="5"/>
      <c r="U397" s="6"/>
      <c r="V397" t="s">
        <v>64</v>
      </c>
      <c r="W397" s="4"/>
      <c r="X397" t="s">
        <v>65</v>
      </c>
      <c r="Z397" t="s">
        <v>66</v>
      </c>
      <c r="AA397" t="str">
        <f>VLOOKUP(H397,Departments!$A:$B,2,0)</f>
        <v>Nephrology</v>
      </c>
      <c r="AB397" t="str">
        <f>VLOOKUP(J397,Diagnosis_Guide!$A:$B,2,0)</f>
        <v>Dialysis Complication</v>
      </c>
      <c r="AC397" s="4" t="str">
        <f>VLOOKUP(J397,Diagnosis_Guide!$A:$C,3,0)</f>
        <v>Renal</v>
      </c>
      <c r="AD397" s="4" t="str">
        <f>VLOOKUP(R397,Insurance_Plans!$A:$C,3,0)</f>
        <v>Private</v>
      </c>
      <c r="AE397" s="13" t="str">
        <f t="shared" si="18"/>
        <v/>
      </c>
      <c r="AF397" s="13" t="str">
        <f t="shared" si="19"/>
        <v/>
      </c>
      <c r="AG397" s="4" t="str">
        <f t="shared" si="20"/>
        <v>Not Available</v>
      </c>
    </row>
    <row r="398" spans="1:33">
      <c r="A398" t="s">
        <v>923</v>
      </c>
      <c r="B398" t="s">
        <v>598</v>
      </c>
      <c r="C398" s="11">
        <v>46112</v>
      </c>
      <c r="D398" t="s">
        <v>89</v>
      </c>
      <c r="E398" t="s">
        <v>70</v>
      </c>
      <c r="F398" s="4">
        <v>46112</v>
      </c>
      <c r="G398" s="4">
        <v>46112</v>
      </c>
      <c r="H398" t="s">
        <v>121</v>
      </c>
      <c r="I398" t="s">
        <v>174</v>
      </c>
      <c r="J398" t="s">
        <v>123</v>
      </c>
      <c r="K398" t="s">
        <v>60</v>
      </c>
      <c r="L398" t="s">
        <v>94</v>
      </c>
      <c r="M398" s="5">
        <v>36500</v>
      </c>
      <c r="N398" s="5">
        <v>3550</v>
      </c>
      <c r="O398" s="5">
        <v>8200</v>
      </c>
      <c r="P398" s="5">
        <v>0</v>
      </c>
      <c r="Q398" s="13">
        <v>50050</v>
      </c>
      <c r="R398" t="s">
        <v>75</v>
      </c>
      <c r="S398" t="s">
        <v>76</v>
      </c>
      <c r="T398" s="5">
        <v>22820</v>
      </c>
      <c r="U398" s="6">
        <v>3</v>
      </c>
      <c r="V398" t="s">
        <v>77</v>
      </c>
      <c r="W398" s="4">
        <v>46126</v>
      </c>
      <c r="X398" t="s">
        <v>77</v>
      </c>
      <c r="Y398" t="s">
        <v>77</v>
      </c>
      <c r="Z398" t="s">
        <v>78</v>
      </c>
      <c r="AA398" t="str">
        <f>VLOOKUP(H398,Departments!$A:$B,2,0)</f>
        <v>Neurology</v>
      </c>
      <c r="AB398" t="str">
        <f>VLOOKUP(J398,Diagnosis_Guide!$A:$B,2,0)</f>
        <v>Seizure Episode</v>
      </c>
      <c r="AC398" s="4" t="str">
        <f>VLOOKUP(J398,Diagnosis_Guide!$A:$C,3,0)</f>
        <v>Neurological</v>
      </c>
      <c r="AD398" s="4" t="str">
        <f>VLOOKUP(R398,Insurance_Plans!$A:$C,3,0)</f>
        <v>Public</v>
      </c>
      <c r="AE398" s="13">
        <f t="shared" si="18"/>
        <v>2502.5</v>
      </c>
      <c r="AF398" s="13">
        <f t="shared" si="19"/>
        <v>52552.5</v>
      </c>
      <c r="AG398" s="4" t="str">
        <f t="shared" si="20"/>
        <v>Medium</v>
      </c>
    </row>
    <row r="399" spans="1:33">
      <c r="A399" t="s">
        <v>924</v>
      </c>
      <c r="B399" t="s">
        <v>411</v>
      </c>
      <c r="C399" s="11">
        <v>46063</v>
      </c>
      <c r="D399" t="s">
        <v>266</v>
      </c>
      <c r="E399" t="s">
        <v>70</v>
      </c>
      <c r="F399" s="4">
        <v>46064</v>
      </c>
      <c r="G399" s="4">
        <v>46064</v>
      </c>
      <c r="H399" t="s">
        <v>82</v>
      </c>
      <c r="I399" t="s">
        <v>194</v>
      </c>
      <c r="J399" t="s">
        <v>291</v>
      </c>
      <c r="K399" t="s">
        <v>60</v>
      </c>
      <c r="L399" t="s">
        <v>74</v>
      </c>
      <c r="M399" s="5">
        <v>45100</v>
      </c>
      <c r="N399" s="5">
        <v>4550</v>
      </c>
      <c r="O399" s="5">
        <v>5550</v>
      </c>
      <c r="P399" s="5">
        <v>0</v>
      </c>
      <c r="Q399" s="13">
        <v>57000</v>
      </c>
      <c r="R399" t="s">
        <v>75</v>
      </c>
      <c r="S399" t="s">
        <v>76</v>
      </c>
      <c r="T399" s="5">
        <v>25950</v>
      </c>
      <c r="U399" s="6">
        <v>5</v>
      </c>
      <c r="V399" t="s">
        <v>64</v>
      </c>
      <c r="W399" s="4"/>
      <c r="X399" t="s">
        <v>65</v>
      </c>
      <c r="Y399" t="s">
        <v>64</v>
      </c>
      <c r="Z399" t="s">
        <v>107</v>
      </c>
      <c r="AA399" t="str">
        <f>VLOOKUP(H399,Departments!$A:$B,2,0)</f>
        <v>Orthopedics</v>
      </c>
      <c r="AB399" t="str">
        <f>VLOOKUP(J399,Diagnosis_Guide!$A:$B,2,0)</f>
        <v>Fracture Repair</v>
      </c>
      <c r="AC399" s="4" t="str">
        <f>VLOOKUP(J399,Diagnosis_Guide!$A:$C,3,0)</f>
        <v>Musculoskeletal</v>
      </c>
      <c r="AD399" s="4" t="str">
        <f>VLOOKUP(R399,Insurance_Plans!$A:$C,3,0)</f>
        <v>Public</v>
      </c>
      <c r="AE399" s="13">
        <f t="shared" si="18"/>
        <v>2850</v>
      </c>
      <c r="AF399" s="13">
        <f t="shared" si="19"/>
        <v>59850</v>
      </c>
      <c r="AG399" s="4" t="str">
        <f t="shared" si="20"/>
        <v>High</v>
      </c>
    </row>
    <row r="400" spans="1:33">
      <c r="A400" t="s">
        <v>925</v>
      </c>
      <c r="B400" t="s">
        <v>926</v>
      </c>
      <c r="C400" s="11">
        <v>46063</v>
      </c>
      <c r="D400" t="s">
        <v>279</v>
      </c>
      <c r="E400" t="s">
        <v>177</v>
      </c>
      <c r="F400" s="4"/>
      <c r="G400" s="4"/>
      <c r="H400" t="s">
        <v>201</v>
      </c>
      <c r="I400" t="s">
        <v>202</v>
      </c>
      <c r="J400" t="s">
        <v>281</v>
      </c>
      <c r="K400" t="s">
        <v>124</v>
      </c>
      <c r="L400" t="s">
        <v>94</v>
      </c>
      <c r="M400" s="5"/>
      <c r="N400" s="5"/>
      <c r="O400" s="5"/>
      <c r="P400" s="5"/>
      <c r="R400" t="s">
        <v>141</v>
      </c>
      <c r="S400" t="s">
        <v>63</v>
      </c>
      <c r="T400" s="5"/>
      <c r="U400" s="6"/>
      <c r="V400" t="s">
        <v>64</v>
      </c>
      <c r="W400" s="4"/>
      <c r="X400" t="s">
        <v>65</v>
      </c>
      <c r="Z400" t="s">
        <v>66</v>
      </c>
      <c r="AA400" t="str">
        <f>VLOOKUP(H400,Departments!$A:$B,2,0)</f>
        <v>Emergency</v>
      </c>
      <c r="AB400" t="str">
        <f>VLOOKUP(J400,Diagnosis_Guide!$A:$B,2,0)</f>
        <v>Food Poisoning</v>
      </c>
      <c r="AC400" s="4" t="str">
        <f>VLOOKUP(J400,Diagnosis_Guide!$A:$C,3,0)</f>
        <v>Emergency</v>
      </c>
      <c r="AD400" s="4" t="str">
        <f>VLOOKUP(R400,Insurance_Plans!$A:$C,3,0)</f>
        <v>Private</v>
      </c>
      <c r="AE400" s="13" t="str">
        <f t="shared" si="18"/>
        <v/>
      </c>
      <c r="AF400" s="13" t="str">
        <f t="shared" si="19"/>
        <v/>
      </c>
      <c r="AG400" s="4" t="str">
        <f t="shared" si="20"/>
        <v>Not Available</v>
      </c>
    </row>
    <row r="401" spans="1:33">
      <c r="A401" t="s">
        <v>927</v>
      </c>
      <c r="B401" t="s">
        <v>283</v>
      </c>
      <c r="C401" s="11">
        <v>46028</v>
      </c>
      <c r="D401" t="s">
        <v>363</v>
      </c>
      <c r="E401" t="s">
        <v>70</v>
      </c>
      <c r="F401" s="4">
        <v>46028</v>
      </c>
      <c r="G401" s="4">
        <v>46032</v>
      </c>
      <c r="H401" t="s">
        <v>111</v>
      </c>
      <c r="I401" t="s">
        <v>112</v>
      </c>
      <c r="J401" t="s">
        <v>113</v>
      </c>
      <c r="K401" t="s">
        <v>124</v>
      </c>
      <c r="L401" t="s">
        <v>74</v>
      </c>
      <c r="M401" s="5">
        <v>27400</v>
      </c>
      <c r="N401" s="5">
        <v>4650</v>
      </c>
      <c r="O401" s="5">
        <v>3700</v>
      </c>
      <c r="P401" s="5">
        <v>24000</v>
      </c>
      <c r="Q401" s="13">
        <v>60550</v>
      </c>
      <c r="R401" t="s">
        <v>62</v>
      </c>
      <c r="S401" t="s">
        <v>76</v>
      </c>
      <c r="T401" s="5">
        <v>18570</v>
      </c>
      <c r="U401" s="6">
        <v>4</v>
      </c>
      <c r="V401" t="s">
        <v>77</v>
      </c>
      <c r="W401" s="4">
        <v>46053</v>
      </c>
      <c r="X401" t="s">
        <v>77</v>
      </c>
      <c r="Y401" t="s">
        <v>64</v>
      </c>
      <c r="Z401" t="s">
        <v>96</v>
      </c>
      <c r="AA401" t="str">
        <f>VLOOKUP(H401,Departments!$A:$B,2,0)</f>
        <v>General Medicine</v>
      </c>
      <c r="AB401" t="str">
        <f>VLOOKUP(J401,Diagnosis_Guide!$A:$B,2,0)</f>
        <v>Diabetes Complication</v>
      </c>
      <c r="AC401" s="4" t="str">
        <f>VLOOKUP(J401,Diagnosis_Guide!$A:$C,3,0)</f>
        <v>Endocrine/General</v>
      </c>
      <c r="AD401" s="4" t="str">
        <f>VLOOKUP(R401,Insurance_Plans!$A:$C,3,0)</f>
        <v>Public</v>
      </c>
      <c r="AE401" s="13">
        <f t="shared" si="18"/>
        <v>3027.5</v>
      </c>
      <c r="AF401" s="13">
        <f t="shared" si="19"/>
        <v>63577.5</v>
      </c>
      <c r="AG401" s="4" t="str">
        <f t="shared" si="20"/>
        <v>High</v>
      </c>
    </row>
    <row r="402" spans="1:33">
      <c r="A402" t="s">
        <v>928</v>
      </c>
      <c r="B402" t="s">
        <v>929</v>
      </c>
      <c r="C402" s="11">
        <v>46162</v>
      </c>
      <c r="D402" t="s">
        <v>330</v>
      </c>
      <c r="E402" t="s">
        <v>70</v>
      </c>
      <c r="F402" s="4">
        <v>46162</v>
      </c>
      <c r="G402" s="4">
        <v>46162</v>
      </c>
      <c r="H402" t="s">
        <v>138</v>
      </c>
      <c r="I402" t="s">
        <v>444</v>
      </c>
      <c r="J402" t="s">
        <v>261</v>
      </c>
      <c r="K402" t="s">
        <v>60</v>
      </c>
      <c r="L402" t="s">
        <v>74</v>
      </c>
      <c r="M402" s="5">
        <v>5000</v>
      </c>
      <c r="N402" s="5">
        <v>450</v>
      </c>
      <c r="O402" s="5">
        <v>650</v>
      </c>
      <c r="P402" s="5">
        <v>0</v>
      </c>
      <c r="Q402" s="13">
        <v>7600</v>
      </c>
      <c r="R402" t="s">
        <v>141</v>
      </c>
      <c r="S402" t="s">
        <v>86</v>
      </c>
      <c r="T402" s="5">
        <v>2340</v>
      </c>
      <c r="U402" s="6">
        <v>3</v>
      </c>
      <c r="V402" t="s">
        <v>77</v>
      </c>
      <c r="W402" s="4">
        <v>46181</v>
      </c>
      <c r="X402" t="s">
        <v>64</v>
      </c>
      <c r="Y402" t="s">
        <v>64</v>
      </c>
      <c r="Z402" t="s">
        <v>78</v>
      </c>
      <c r="AA402" t="str">
        <f>VLOOKUP(H402,Departments!$A:$B,2,0)</f>
        <v>Pediatrics</v>
      </c>
      <c r="AB402" t="str">
        <f>VLOOKUP(J402,Diagnosis_Guide!$A:$B,2,0)</f>
        <v>Child Fever</v>
      </c>
      <c r="AC402" s="4" t="str">
        <f>VLOOKUP(J402,Diagnosis_Guide!$A:$C,3,0)</f>
        <v>Pediatric</v>
      </c>
      <c r="AD402" s="4" t="str">
        <f>VLOOKUP(R402,Insurance_Plans!$A:$C,3,0)</f>
        <v>Private</v>
      </c>
      <c r="AE402" s="13">
        <f t="shared" si="18"/>
        <v>380</v>
      </c>
      <c r="AF402" s="13">
        <f t="shared" si="19"/>
        <v>7980</v>
      </c>
      <c r="AG402" s="4" t="str">
        <f t="shared" si="20"/>
        <v>Medium</v>
      </c>
    </row>
    <row r="403" spans="1:33">
      <c r="A403" t="s">
        <v>930</v>
      </c>
      <c r="B403" t="s">
        <v>905</v>
      </c>
      <c r="C403" s="11">
        <v>46093</v>
      </c>
      <c r="D403" t="s">
        <v>168</v>
      </c>
      <c r="E403" t="s">
        <v>70</v>
      </c>
      <c r="F403" s="4">
        <v>46093</v>
      </c>
      <c r="G403" s="4">
        <v>46093</v>
      </c>
      <c r="H403" t="s">
        <v>138</v>
      </c>
      <c r="I403" t="s">
        <v>139</v>
      </c>
      <c r="J403" t="s">
        <v>261</v>
      </c>
      <c r="K403" t="s">
        <v>60</v>
      </c>
      <c r="L403" t="s">
        <v>61</v>
      </c>
      <c r="M403" s="5">
        <v>5900</v>
      </c>
      <c r="N403" s="5">
        <v>900</v>
      </c>
      <c r="O403" s="5">
        <v>1150</v>
      </c>
      <c r="P403" s="5">
        <v>0</v>
      </c>
      <c r="Q403" s="13">
        <v>9950</v>
      </c>
      <c r="R403" t="s">
        <v>75</v>
      </c>
      <c r="S403" t="s">
        <v>76</v>
      </c>
      <c r="T403" s="5">
        <v>4780</v>
      </c>
      <c r="U403" s="6">
        <v>5</v>
      </c>
      <c r="V403" t="s">
        <v>77</v>
      </c>
      <c r="W403" s="4">
        <v>46112</v>
      </c>
      <c r="X403" t="s">
        <v>77</v>
      </c>
      <c r="Y403" t="s">
        <v>64</v>
      </c>
      <c r="Z403" t="s">
        <v>96</v>
      </c>
      <c r="AA403" t="str">
        <f>VLOOKUP(H403,Departments!$A:$B,2,0)</f>
        <v>Pediatrics</v>
      </c>
      <c r="AB403" t="str">
        <f>VLOOKUP(J403,Diagnosis_Guide!$A:$B,2,0)</f>
        <v>Child Fever</v>
      </c>
      <c r="AC403" s="4" t="str">
        <f>VLOOKUP(J403,Diagnosis_Guide!$A:$C,3,0)</f>
        <v>Pediatric</v>
      </c>
      <c r="AD403" s="4" t="str">
        <f>VLOOKUP(R403,Insurance_Plans!$A:$C,3,0)</f>
        <v>Public</v>
      </c>
      <c r="AE403" s="13">
        <f t="shared" si="18"/>
        <v>497.5</v>
      </c>
      <c r="AF403" s="13">
        <f t="shared" si="19"/>
        <v>10447.5</v>
      </c>
      <c r="AG403" s="4" t="str">
        <f t="shared" si="20"/>
        <v>High</v>
      </c>
    </row>
    <row r="404" spans="1:33">
      <c r="A404" t="s">
        <v>931</v>
      </c>
      <c r="B404" t="s">
        <v>514</v>
      </c>
      <c r="C404" s="11">
        <v>46120</v>
      </c>
      <c r="D404" t="s">
        <v>294</v>
      </c>
      <c r="E404" t="s">
        <v>70</v>
      </c>
      <c r="F404" s="4">
        <v>46121</v>
      </c>
      <c r="G404" s="4">
        <v>46121</v>
      </c>
      <c r="H404" t="s">
        <v>201</v>
      </c>
      <c r="I404" t="s">
        <v>327</v>
      </c>
      <c r="J404" t="s">
        <v>281</v>
      </c>
      <c r="K404" t="s">
        <v>124</v>
      </c>
      <c r="L404" t="s">
        <v>94</v>
      </c>
      <c r="M404" s="5">
        <v>6000</v>
      </c>
      <c r="N404" s="5">
        <v>800</v>
      </c>
      <c r="O404" s="5">
        <v>1300</v>
      </c>
      <c r="P404" s="5">
        <v>0</v>
      </c>
      <c r="Q404" s="13">
        <v>9100</v>
      </c>
      <c r="R404" t="s">
        <v>75</v>
      </c>
      <c r="S404" t="s">
        <v>86</v>
      </c>
      <c r="T404" s="5">
        <v>4400</v>
      </c>
      <c r="U404" s="6">
        <v>4</v>
      </c>
      <c r="V404" t="s">
        <v>77</v>
      </c>
      <c r="W404" s="4">
        <v>46137</v>
      </c>
      <c r="Y404" t="s">
        <v>64</v>
      </c>
      <c r="Z404" t="s">
        <v>78</v>
      </c>
      <c r="AA404" t="str">
        <f>VLOOKUP(H404,Departments!$A:$B,2,0)</f>
        <v>Emergency</v>
      </c>
      <c r="AB404" t="str">
        <f>VLOOKUP(J404,Diagnosis_Guide!$A:$B,2,0)</f>
        <v>Food Poisoning</v>
      </c>
      <c r="AC404" s="4" t="str">
        <f>VLOOKUP(J404,Diagnosis_Guide!$A:$C,3,0)</f>
        <v>Emergency</v>
      </c>
      <c r="AD404" s="4" t="str">
        <f>VLOOKUP(R404,Insurance_Plans!$A:$C,3,0)</f>
        <v>Public</v>
      </c>
      <c r="AE404" s="13">
        <f t="shared" si="18"/>
        <v>455</v>
      </c>
      <c r="AF404" s="13">
        <f t="shared" si="19"/>
        <v>9555</v>
      </c>
      <c r="AG404" s="4" t="str">
        <f t="shared" si="20"/>
        <v>High</v>
      </c>
    </row>
    <row r="405" spans="1:33">
      <c r="A405" t="s">
        <v>932</v>
      </c>
      <c r="B405" t="s">
        <v>828</v>
      </c>
      <c r="C405" s="11">
        <v>46111</v>
      </c>
      <c r="D405" t="s">
        <v>168</v>
      </c>
      <c r="E405" t="s">
        <v>70</v>
      </c>
      <c r="F405" s="4">
        <v>46112</v>
      </c>
      <c r="G405" s="4">
        <v>46115</v>
      </c>
      <c r="H405" t="s">
        <v>150</v>
      </c>
      <c r="I405" t="s">
        <v>228</v>
      </c>
      <c r="J405" t="s">
        <v>229</v>
      </c>
      <c r="K405" t="s">
        <v>73</v>
      </c>
      <c r="L405" t="s">
        <v>74</v>
      </c>
      <c r="M405" s="5">
        <v>41200</v>
      </c>
      <c r="N405" s="5">
        <v>6600</v>
      </c>
      <c r="O405" s="5">
        <v>7300</v>
      </c>
      <c r="P405" s="5">
        <v>10500</v>
      </c>
      <c r="Q405" s="13">
        <v>67100</v>
      </c>
      <c r="R405" t="s">
        <v>106</v>
      </c>
      <c r="S405" t="s">
        <v>76</v>
      </c>
      <c r="T405" s="5">
        <v>24180</v>
      </c>
      <c r="U405" s="6">
        <v>3</v>
      </c>
      <c r="V405" t="s">
        <v>77</v>
      </c>
      <c r="W405" s="4">
        <v>46124</v>
      </c>
      <c r="X405" t="s">
        <v>64</v>
      </c>
      <c r="Y405" t="s">
        <v>64</v>
      </c>
      <c r="Z405" t="s">
        <v>96</v>
      </c>
      <c r="AA405" t="str">
        <f>VLOOKUP(H405,Departments!$A:$B,2,0)</f>
        <v>Obstetrics</v>
      </c>
      <c r="AB405" t="str">
        <f>VLOOKUP(J405,Diagnosis_Guide!$A:$B,2,0)</f>
        <v>Delivery Care</v>
      </c>
      <c r="AC405" s="4" t="str">
        <f>VLOOKUP(J405,Diagnosis_Guide!$A:$C,3,0)</f>
        <v>Maternal Health</v>
      </c>
      <c r="AD405" s="4" t="str">
        <f>VLOOKUP(R405,Insurance_Plans!$A:$C,3,0)</f>
        <v>Private</v>
      </c>
      <c r="AE405" s="13">
        <f t="shared" si="18"/>
        <v>3355</v>
      </c>
      <c r="AF405" s="13">
        <f t="shared" si="19"/>
        <v>70455</v>
      </c>
      <c r="AG405" s="4" t="str">
        <f t="shared" si="20"/>
        <v>Medium</v>
      </c>
    </row>
    <row r="406" spans="1:33">
      <c r="A406" t="s">
        <v>933</v>
      </c>
      <c r="B406" t="s">
        <v>934</v>
      </c>
      <c r="C406" s="11">
        <v>46027</v>
      </c>
      <c r="D406" t="s">
        <v>279</v>
      </c>
      <c r="E406" t="s">
        <v>70</v>
      </c>
      <c r="F406" s="4">
        <v>46027</v>
      </c>
      <c r="G406" s="4">
        <v>46028</v>
      </c>
      <c r="H406" t="s">
        <v>138</v>
      </c>
      <c r="I406" t="s">
        <v>352</v>
      </c>
      <c r="J406" t="s">
        <v>261</v>
      </c>
      <c r="K406" t="s">
        <v>60</v>
      </c>
      <c r="L406" t="s">
        <v>94</v>
      </c>
      <c r="M406" s="5">
        <v>4800</v>
      </c>
      <c r="N406" s="5">
        <v>650</v>
      </c>
      <c r="O406" s="5">
        <v>1100</v>
      </c>
      <c r="P406" s="5">
        <v>6000</v>
      </c>
      <c r="Q406" s="13">
        <v>14350</v>
      </c>
      <c r="R406" t="s">
        <v>95</v>
      </c>
      <c r="S406" t="s">
        <v>63</v>
      </c>
      <c r="T406" s="5">
        <v>14350</v>
      </c>
      <c r="U406" s="6">
        <v>4</v>
      </c>
      <c r="V406" t="s">
        <v>77</v>
      </c>
      <c r="W406" s="4">
        <v>46046</v>
      </c>
      <c r="X406" t="s">
        <v>77</v>
      </c>
      <c r="Y406" t="s">
        <v>64</v>
      </c>
      <c r="Z406" t="s">
        <v>78</v>
      </c>
      <c r="AA406" t="str">
        <f>VLOOKUP(H406,Departments!$A:$B,2,0)</f>
        <v>Pediatrics</v>
      </c>
      <c r="AB406" t="str">
        <f>VLOOKUP(J406,Diagnosis_Guide!$A:$B,2,0)</f>
        <v>Child Fever</v>
      </c>
      <c r="AC406" s="4" t="str">
        <f>VLOOKUP(J406,Diagnosis_Guide!$A:$C,3,0)</f>
        <v>Pediatric</v>
      </c>
      <c r="AD406" s="4" t="str">
        <f>VLOOKUP(R406,Insurance_Plans!$A:$C,3,0)</f>
        <v>Self-Pay</v>
      </c>
      <c r="AE406" s="13">
        <f t="shared" si="18"/>
        <v>717.5</v>
      </c>
      <c r="AF406" s="13">
        <f t="shared" si="19"/>
        <v>15067.5</v>
      </c>
      <c r="AG406" s="4" t="str">
        <f t="shared" si="20"/>
        <v>High</v>
      </c>
    </row>
    <row r="407" spans="1:33">
      <c r="A407" t="s">
        <v>935</v>
      </c>
      <c r="B407" t="s">
        <v>936</v>
      </c>
      <c r="C407" s="11">
        <v>46125</v>
      </c>
      <c r="D407" t="s">
        <v>161</v>
      </c>
      <c r="E407" t="s">
        <v>70</v>
      </c>
      <c r="F407" s="4">
        <v>46125</v>
      </c>
      <c r="G407" s="4">
        <v>46125</v>
      </c>
      <c r="H407" t="s">
        <v>138</v>
      </c>
      <c r="I407" t="s">
        <v>343</v>
      </c>
      <c r="J407" t="s">
        <v>236</v>
      </c>
      <c r="K407" t="s">
        <v>60</v>
      </c>
      <c r="L407" t="s">
        <v>94</v>
      </c>
      <c r="M407" s="5">
        <v>30200</v>
      </c>
      <c r="N407" s="5">
        <v>3300</v>
      </c>
      <c r="O407" s="5">
        <v>3100</v>
      </c>
      <c r="P407" s="5">
        <v>0</v>
      </c>
      <c r="Q407" s="13">
        <v>38400</v>
      </c>
      <c r="R407" t="s">
        <v>95</v>
      </c>
      <c r="S407" t="s">
        <v>63</v>
      </c>
      <c r="T407" s="5">
        <v>38400</v>
      </c>
      <c r="U407" s="6">
        <v>5</v>
      </c>
      <c r="V407" t="s">
        <v>77</v>
      </c>
      <c r="W407" s="4">
        <v>46134</v>
      </c>
      <c r="X407" t="s">
        <v>77</v>
      </c>
      <c r="Y407" t="s">
        <v>64</v>
      </c>
      <c r="Z407" t="s">
        <v>96</v>
      </c>
      <c r="AA407" t="str">
        <f>VLOOKUP(H407,Departments!$A:$B,2,0)</f>
        <v>Pediatrics</v>
      </c>
      <c r="AB407" t="str">
        <f>VLOOKUP(J407,Diagnosis_Guide!$A:$B,2,0)</f>
        <v>Neonatal Observation</v>
      </c>
      <c r="AC407" s="4" t="str">
        <f>VLOOKUP(J407,Diagnosis_Guide!$A:$C,3,0)</f>
        <v>Pediatric</v>
      </c>
      <c r="AD407" s="4" t="str">
        <f>VLOOKUP(R407,Insurance_Plans!$A:$C,3,0)</f>
        <v>Self-Pay</v>
      </c>
      <c r="AE407" s="13">
        <f t="shared" si="18"/>
        <v>1920</v>
      </c>
      <c r="AF407" s="13">
        <f t="shared" si="19"/>
        <v>40320</v>
      </c>
      <c r="AG407" s="4" t="str">
        <f t="shared" si="20"/>
        <v>High</v>
      </c>
    </row>
    <row r="408" spans="1:33">
      <c r="A408" t="s">
        <v>937</v>
      </c>
      <c r="B408" t="s">
        <v>342</v>
      </c>
      <c r="C408" s="11">
        <v>46122</v>
      </c>
      <c r="D408" t="s">
        <v>259</v>
      </c>
      <c r="E408" t="s">
        <v>177</v>
      </c>
      <c r="F408" s="4"/>
      <c r="G408" s="4"/>
      <c r="H408" t="s">
        <v>150</v>
      </c>
      <c r="I408" t="s">
        <v>187</v>
      </c>
      <c r="J408" t="s">
        <v>188</v>
      </c>
      <c r="K408" t="s">
        <v>60</v>
      </c>
      <c r="L408" t="s">
        <v>74</v>
      </c>
      <c r="M408" s="5"/>
      <c r="N408" s="5"/>
      <c r="O408" s="5"/>
      <c r="P408" s="5"/>
      <c r="R408" t="s">
        <v>134</v>
      </c>
      <c r="S408" t="s">
        <v>63</v>
      </c>
      <c r="T408" s="5"/>
      <c r="U408" s="6"/>
      <c r="V408" t="s">
        <v>64</v>
      </c>
      <c r="W408" s="4"/>
      <c r="X408" t="s">
        <v>65</v>
      </c>
      <c r="Z408" t="s">
        <v>66</v>
      </c>
      <c r="AA408" t="str">
        <f>VLOOKUP(H408,Departments!$A:$B,2,0)</f>
        <v>Obstetrics</v>
      </c>
      <c r="AB408" t="str">
        <f>VLOOKUP(J408,Diagnosis_Guide!$A:$B,2,0)</f>
        <v>Emergency C-Section</v>
      </c>
      <c r="AC408" s="4" t="str">
        <f>VLOOKUP(J408,Diagnosis_Guide!$A:$C,3,0)</f>
        <v>Maternal Health</v>
      </c>
      <c r="AD408" s="4" t="str">
        <f>VLOOKUP(R408,Insurance_Plans!$A:$C,3,0)</f>
        <v>Community</v>
      </c>
      <c r="AE408" s="13" t="str">
        <f t="shared" si="18"/>
        <v/>
      </c>
      <c r="AF408" s="13" t="str">
        <f t="shared" si="19"/>
        <v/>
      </c>
      <c r="AG408" s="4" t="str">
        <f t="shared" si="20"/>
        <v>Not Available</v>
      </c>
    </row>
    <row r="409" spans="1:33">
      <c r="A409" t="s">
        <v>938</v>
      </c>
      <c r="B409" t="s">
        <v>186</v>
      </c>
      <c r="C409" s="11">
        <v>46117</v>
      </c>
      <c r="D409" t="s">
        <v>302</v>
      </c>
      <c r="E409" t="s">
        <v>70</v>
      </c>
      <c r="F409" s="4">
        <v>46117</v>
      </c>
      <c r="G409" s="4">
        <v>46119</v>
      </c>
      <c r="H409" t="s">
        <v>82</v>
      </c>
      <c r="I409" t="s">
        <v>369</v>
      </c>
      <c r="J409" t="s">
        <v>291</v>
      </c>
      <c r="K409" t="s">
        <v>93</v>
      </c>
      <c r="L409" t="s">
        <v>94</v>
      </c>
      <c r="M409" s="5">
        <v>37900</v>
      </c>
      <c r="N409" s="5">
        <v>4800</v>
      </c>
      <c r="O409" s="5">
        <v>5550</v>
      </c>
      <c r="P409" s="5">
        <v>7000</v>
      </c>
      <c r="Q409" s="13">
        <v>56050</v>
      </c>
      <c r="R409" t="s">
        <v>95</v>
      </c>
      <c r="S409" t="s">
        <v>63</v>
      </c>
      <c r="T409" s="5">
        <v>56050</v>
      </c>
      <c r="U409" s="6">
        <v>5</v>
      </c>
      <c r="V409" t="s">
        <v>64</v>
      </c>
      <c r="W409" s="4"/>
      <c r="X409" t="s">
        <v>65</v>
      </c>
      <c r="Y409" t="s">
        <v>64</v>
      </c>
      <c r="Z409" t="s">
        <v>107</v>
      </c>
      <c r="AA409" t="str">
        <f>VLOOKUP(H409,Departments!$A:$B,2,0)</f>
        <v>Orthopedics</v>
      </c>
      <c r="AB409" t="str">
        <f>VLOOKUP(J409,Diagnosis_Guide!$A:$B,2,0)</f>
        <v>Fracture Repair</v>
      </c>
      <c r="AC409" s="4" t="str">
        <f>VLOOKUP(J409,Diagnosis_Guide!$A:$C,3,0)</f>
        <v>Musculoskeletal</v>
      </c>
      <c r="AD409" s="4" t="str">
        <f>VLOOKUP(R409,Insurance_Plans!$A:$C,3,0)</f>
        <v>Self-Pay</v>
      </c>
      <c r="AE409" s="13">
        <f t="shared" si="18"/>
        <v>2802.5</v>
      </c>
      <c r="AF409" s="13">
        <f t="shared" si="19"/>
        <v>58852.5</v>
      </c>
      <c r="AG409" s="4" t="str">
        <f t="shared" si="20"/>
        <v>High</v>
      </c>
    </row>
    <row r="410" spans="1:33">
      <c r="A410" t="s">
        <v>939</v>
      </c>
      <c r="B410" t="s">
        <v>360</v>
      </c>
      <c r="C410" s="11">
        <v>46068</v>
      </c>
      <c r="D410" t="s">
        <v>200</v>
      </c>
      <c r="E410" t="s">
        <v>70</v>
      </c>
      <c r="F410" s="4">
        <v>46068</v>
      </c>
      <c r="G410" s="4">
        <v>46068</v>
      </c>
      <c r="H410" t="s">
        <v>57</v>
      </c>
      <c r="I410" t="s">
        <v>211</v>
      </c>
      <c r="J410" t="s">
        <v>72</v>
      </c>
      <c r="K410" t="s">
        <v>60</v>
      </c>
      <c r="L410" t="s">
        <v>94</v>
      </c>
      <c r="M410" s="5">
        <v>8200</v>
      </c>
      <c r="N410" s="5">
        <v>1450</v>
      </c>
      <c r="O410" s="5">
        <v>1200</v>
      </c>
      <c r="P410" s="5">
        <v>0</v>
      </c>
      <c r="Q410" s="13">
        <v>12850</v>
      </c>
      <c r="R410" t="s">
        <v>75</v>
      </c>
      <c r="S410" t="s">
        <v>76</v>
      </c>
      <c r="T410" s="5">
        <v>6080</v>
      </c>
      <c r="U410" s="6">
        <v>5</v>
      </c>
      <c r="V410" t="s">
        <v>64</v>
      </c>
      <c r="W410" s="4"/>
      <c r="X410" t="s">
        <v>65</v>
      </c>
      <c r="Y410" t="s">
        <v>64</v>
      </c>
      <c r="Z410" t="s">
        <v>96</v>
      </c>
      <c r="AA410" t="str">
        <f>VLOOKUP(H410,Departments!$A:$B,2,0)</f>
        <v>Pulmonology</v>
      </c>
      <c r="AB410" t="str">
        <f>VLOOKUP(J410,Diagnosis_Guide!$A:$B,2,0)</f>
        <v>Acute Bronchitis</v>
      </c>
      <c r="AC410" s="4" t="str">
        <f>VLOOKUP(J410,Diagnosis_Guide!$A:$C,3,0)</f>
        <v>Respiratory</v>
      </c>
      <c r="AD410" s="4" t="str">
        <f>VLOOKUP(R410,Insurance_Plans!$A:$C,3,0)</f>
        <v>Public</v>
      </c>
      <c r="AE410" s="13">
        <f t="shared" si="18"/>
        <v>642.5</v>
      </c>
      <c r="AF410" s="13">
        <f t="shared" si="19"/>
        <v>13492.5</v>
      </c>
      <c r="AG410" s="4" t="str">
        <f t="shared" si="20"/>
        <v>High</v>
      </c>
    </row>
    <row r="411" spans="1:33">
      <c r="A411" t="s">
        <v>940</v>
      </c>
      <c r="B411" t="s">
        <v>941</v>
      </c>
      <c r="C411" s="11">
        <v>46046</v>
      </c>
      <c r="D411" t="s">
        <v>137</v>
      </c>
      <c r="E411" t="s">
        <v>70</v>
      </c>
      <c r="F411" s="4">
        <v>46046</v>
      </c>
      <c r="G411" s="4">
        <v>46047</v>
      </c>
      <c r="H411" t="s">
        <v>150</v>
      </c>
      <c r="I411" t="s">
        <v>304</v>
      </c>
      <c r="J411" t="s">
        <v>152</v>
      </c>
      <c r="K411" t="s">
        <v>124</v>
      </c>
      <c r="L411" t="s">
        <v>94</v>
      </c>
      <c r="M411" s="5">
        <v>25300</v>
      </c>
      <c r="N411" s="5">
        <v>2550</v>
      </c>
      <c r="O411" s="5">
        <v>4800</v>
      </c>
      <c r="P411" s="5">
        <v>3000</v>
      </c>
      <c r="Q411" s="13">
        <v>36850</v>
      </c>
      <c r="R411" t="s">
        <v>141</v>
      </c>
      <c r="S411" t="s">
        <v>76</v>
      </c>
      <c r="T411" s="5">
        <v>6730</v>
      </c>
      <c r="U411" s="6">
        <v>4</v>
      </c>
      <c r="V411" t="s">
        <v>64</v>
      </c>
      <c r="W411" s="4"/>
      <c r="X411" t="s">
        <v>65</v>
      </c>
      <c r="Y411" t="s">
        <v>64</v>
      </c>
      <c r="Z411" t="s">
        <v>107</v>
      </c>
      <c r="AA411" t="str">
        <f>VLOOKUP(H411,Departments!$A:$B,2,0)</f>
        <v>Obstetrics</v>
      </c>
      <c r="AB411" t="str">
        <f>VLOOKUP(J411,Diagnosis_Guide!$A:$B,2,0)</f>
        <v>Antenatal Complication</v>
      </c>
      <c r="AC411" s="4" t="str">
        <f>VLOOKUP(J411,Diagnosis_Guide!$A:$C,3,0)</f>
        <v>Maternal Health</v>
      </c>
      <c r="AD411" s="4" t="str">
        <f>VLOOKUP(R411,Insurance_Plans!$A:$C,3,0)</f>
        <v>Private</v>
      </c>
      <c r="AE411" s="13">
        <f t="shared" si="18"/>
        <v>1842.5</v>
      </c>
      <c r="AF411" s="13">
        <f t="shared" si="19"/>
        <v>38692.5</v>
      </c>
      <c r="AG411" s="4" t="str">
        <f t="shared" si="20"/>
        <v>High</v>
      </c>
    </row>
    <row r="412" spans="1:33">
      <c r="A412" t="s">
        <v>942</v>
      </c>
      <c r="B412" t="s">
        <v>943</v>
      </c>
      <c r="C412" s="11">
        <v>46122</v>
      </c>
      <c r="D412" t="s">
        <v>137</v>
      </c>
      <c r="E412" t="s">
        <v>177</v>
      </c>
      <c r="F412" s="4"/>
      <c r="G412" s="4"/>
      <c r="H412" t="s">
        <v>178</v>
      </c>
      <c r="I412" t="s">
        <v>179</v>
      </c>
      <c r="J412" t="s">
        <v>340</v>
      </c>
      <c r="K412" t="s">
        <v>73</v>
      </c>
      <c r="L412" t="s">
        <v>94</v>
      </c>
      <c r="M412" s="5"/>
      <c r="N412" s="5"/>
      <c r="O412" s="5"/>
      <c r="P412" s="5"/>
      <c r="R412" t="s">
        <v>95</v>
      </c>
      <c r="S412" t="s">
        <v>63</v>
      </c>
      <c r="T412" s="5"/>
      <c r="U412" s="6"/>
      <c r="V412" t="s">
        <v>64</v>
      </c>
      <c r="W412" s="4"/>
      <c r="X412" t="s">
        <v>65</v>
      </c>
      <c r="Z412" t="s">
        <v>66</v>
      </c>
      <c r="AA412" t="str">
        <f>VLOOKUP(H412,Departments!$A:$B,2,0)</f>
        <v>Surgery</v>
      </c>
      <c r="AB412" t="str">
        <f>VLOOKUP(J412,Diagnosis_Guide!$A:$B,2,0)</f>
        <v>Post-Operative Infection</v>
      </c>
      <c r="AC412" s="4" t="str">
        <f>VLOOKUP(J412,Diagnosis_Guide!$A:$C,3,0)</f>
        <v>Surgical</v>
      </c>
      <c r="AD412" s="4" t="str">
        <f>VLOOKUP(R412,Insurance_Plans!$A:$C,3,0)</f>
        <v>Self-Pay</v>
      </c>
      <c r="AE412" s="13" t="str">
        <f t="shared" si="18"/>
        <v/>
      </c>
      <c r="AF412" s="13" t="str">
        <f t="shared" si="19"/>
        <v/>
      </c>
      <c r="AG412" s="4" t="str">
        <f t="shared" si="20"/>
        <v>Not Available</v>
      </c>
    </row>
    <row r="413" spans="1:33">
      <c r="A413" t="s">
        <v>944</v>
      </c>
      <c r="B413" t="s">
        <v>945</v>
      </c>
      <c r="C413" s="11">
        <v>46076</v>
      </c>
      <c r="D413" t="s">
        <v>225</v>
      </c>
      <c r="E413" t="s">
        <v>70</v>
      </c>
      <c r="F413" s="4">
        <v>46076</v>
      </c>
      <c r="G413" s="4">
        <v>46076</v>
      </c>
      <c r="H413" t="s">
        <v>90</v>
      </c>
      <c r="I413" t="s">
        <v>91</v>
      </c>
      <c r="J413" t="s">
        <v>197</v>
      </c>
      <c r="K413" t="s">
        <v>60</v>
      </c>
      <c r="L413" t="s">
        <v>74</v>
      </c>
      <c r="M413" s="5">
        <v>19700</v>
      </c>
      <c r="N413" s="5">
        <v>2250</v>
      </c>
      <c r="O413" s="5">
        <v>3850</v>
      </c>
      <c r="P413" s="5">
        <v>0</v>
      </c>
      <c r="Q413" s="13">
        <v>27000</v>
      </c>
      <c r="R413" t="s">
        <v>141</v>
      </c>
      <c r="S413" t="s">
        <v>76</v>
      </c>
      <c r="T413" s="5">
        <v>5250</v>
      </c>
      <c r="U413" s="6">
        <v>5</v>
      </c>
      <c r="V413" t="s">
        <v>64</v>
      </c>
      <c r="W413" s="4"/>
      <c r="X413" t="s">
        <v>65</v>
      </c>
      <c r="Y413" t="s">
        <v>64</v>
      </c>
      <c r="Z413" t="s">
        <v>107</v>
      </c>
      <c r="AA413" t="str">
        <f>VLOOKUP(H413,Departments!$A:$B,2,0)</f>
        <v>Cardiology</v>
      </c>
      <c r="AB413" t="str">
        <f>VLOOKUP(J413,Diagnosis_Guide!$A:$B,2,0)</f>
        <v>Chest Pain</v>
      </c>
      <c r="AC413" s="4" t="str">
        <f>VLOOKUP(J413,Diagnosis_Guide!$A:$C,3,0)</f>
        <v>Cardiovascular</v>
      </c>
      <c r="AD413" s="4" t="str">
        <f>VLOOKUP(R413,Insurance_Plans!$A:$C,3,0)</f>
        <v>Private</v>
      </c>
      <c r="AE413" s="13">
        <f t="shared" si="18"/>
        <v>1350</v>
      </c>
      <c r="AF413" s="13">
        <f t="shared" si="19"/>
        <v>28350</v>
      </c>
      <c r="AG413" s="4" t="str">
        <f t="shared" si="20"/>
        <v>High</v>
      </c>
    </row>
    <row r="414" spans="1:33">
      <c r="A414" t="s">
        <v>946</v>
      </c>
      <c r="B414" t="s">
        <v>704</v>
      </c>
      <c r="C414" s="11">
        <v>46042</v>
      </c>
      <c r="D414" t="s">
        <v>206</v>
      </c>
      <c r="E414" t="s">
        <v>314</v>
      </c>
      <c r="F414" s="4"/>
      <c r="G414" s="4"/>
      <c r="H414" t="s">
        <v>121</v>
      </c>
      <c r="I414" t="s">
        <v>386</v>
      </c>
      <c r="J414" t="s">
        <v>256</v>
      </c>
      <c r="K414" t="s">
        <v>73</v>
      </c>
      <c r="L414" t="s">
        <v>94</v>
      </c>
      <c r="M414" s="5"/>
      <c r="N414" s="5"/>
      <c r="O414" s="5"/>
      <c r="P414" s="5"/>
      <c r="R414" t="s">
        <v>75</v>
      </c>
      <c r="S414" t="s">
        <v>63</v>
      </c>
      <c r="T414" s="5"/>
      <c r="U414" s="6"/>
      <c r="V414" t="s">
        <v>64</v>
      </c>
      <c r="W414" s="4"/>
      <c r="X414" t="s">
        <v>65</v>
      </c>
      <c r="Z414" t="s">
        <v>66</v>
      </c>
      <c r="AA414" t="str">
        <f>VLOOKUP(H414,Departments!$A:$B,2,0)</f>
        <v>Neurology</v>
      </c>
      <c r="AB414" t="str">
        <f>VLOOKUP(J414,Diagnosis_Guide!$A:$B,2,0)</f>
        <v>Migraine Complication</v>
      </c>
      <c r="AC414" s="4" t="str">
        <f>VLOOKUP(J414,Diagnosis_Guide!$A:$C,3,0)</f>
        <v>Neurological</v>
      </c>
      <c r="AD414" s="4" t="str">
        <f>VLOOKUP(R414,Insurance_Plans!$A:$C,3,0)</f>
        <v>Public</v>
      </c>
      <c r="AE414" s="13" t="str">
        <f t="shared" si="18"/>
        <v/>
      </c>
      <c r="AF414" s="13" t="str">
        <f t="shared" si="19"/>
        <v/>
      </c>
      <c r="AG414" s="4" t="str">
        <f t="shared" si="20"/>
        <v>Not Available</v>
      </c>
    </row>
    <row r="415" spans="1:33">
      <c r="A415" t="s">
        <v>947</v>
      </c>
      <c r="B415" t="s">
        <v>653</v>
      </c>
      <c r="C415" s="11">
        <v>46124</v>
      </c>
      <c r="D415" t="s">
        <v>284</v>
      </c>
      <c r="E415" t="s">
        <v>70</v>
      </c>
      <c r="F415" s="4">
        <v>46125</v>
      </c>
      <c r="G415" s="4">
        <v>46125</v>
      </c>
      <c r="H415" t="s">
        <v>111</v>
      </c>
      <c r="I415" t="s">
        <v>112</v>
      </c>
      <c r="J415" t="s">
        <v>117</v>
      </c>
      <c r="K415" t="s">
        <v>60</v>
      </c>
      <c r="L415" t="s">
        <v>61</v>
      </c>
      <c r="M415" s="5">
        <v>6900</v>
      </c>
      <c r="N415" s="5">
        <v>650</v>
      </c>
      <c r="O415" s="5">
        <v>900</v>
      </c>
      <c r="P415" s="5">
        <v>0</v>
      </c>
      <c r="Q415" s="13">
        <v>9250</v>
      </c>
      <c r="R415" t="s">
        <v>85</v>
      </c>
      <c r="S415" t="s">
        <v>76</v>
      </c>
      <c r="T415" s="5">
        <v>3210</v>
      </c>
      <c r="U415" s="6">
        <v>4</v>
      </c>
      <c r="V415" t="s">
        <v>77</v>
      </c>
      <c r="W415" s="4">
        <v>46136</v>
      </c>
      <c r="X415" t="s">
        <v>77</v>
      </c>
      <c r="Y415" t="s">
        <v>64</v>
      </c>
      <c r="Z415" t="s">
        <v>96</v>
      </c>
      <c r="AA415" t="str">
        <f>VLOOKUP(H415,Departments!$A:$B,2,0)</f>
        <v>General Medicine</v>
      </c>
      <c r="AB415" t="str">
        <f>VLOOKUP(J415,Diagnosis_Guide!$A:$B,2,0)</f>
        <v>Fever Investigation</v>
      </c>
      <c r="AC415" s="4" t="str">
        <f>VLOOKUP(J415,Diagnosis_Guide!$A:$C,3,0)</f>
        <v>Infectious/General</v>
      </c>
      <c r="AD415" s="4" t="str">
        <f>VLOOKUP(R415,Insurance_Plans!$A:$C,3,0)</f>
        <v>Employer</v>
      </c>
      <c r="AE415" s="13">
        <f t="shared" si="18"/>
        <v>462.5</v>
      </c>
      <c r="AF415" s="13">
        <f t="shared" si="19"/>
        <v>9712.5</v>
      </c>
      <c r="AG415" s="4" t="str">
        <f t="shared" si="20"/>
        <v>High</v>
      </c>
    </row>
    <row r="416" spans="1:33">
      <c r="A416" t="s">
        <v>948</v>
      </c>
      <c r="B416" t="s">
        <v>540</v>
      </c>
      <c r="C416" s="11">
        <v>46033</v>
      </c>
      <c r="D416" t="s">
        <v>168</v>
      </c>
      <c r="E416" t="s">
        <v>70</v>
      </c>
      <c r="F416" s="4">
        <v>46034</v>
      </c>
      <c r="G416" s="4">
        <v>46040</v>
      </c>
      <c r="H416" t="s">
        <v>178</v>
      </c>
      <c r="I416" t="s">
        <v>415</v>
      </c>
      <c r="J416" t="s">
        <v>358</v>
      </c>
      <c r="K416" t="s">
        <v>93</v>
      </c>
      <c r="L416" t="s">
        <v>74</v>
      </c>
      <c r="M416" s="5">
        <v>48400</v>
      </c>
      <c r="N416" s="5">
        <v>4350</v>
      </c>
      <c r="O416" s="5">
        <v>10250</v>
      </c>
      <c r="P416" s="5">
        <v>27000</v>
      </c>
      <c r="Q416" s="13">
        <v>90800</v>
      </c>
      <c r="R416" t="s">
        <v>95</v>
      </c>
      <c r="S416" t="s">
        <v>63</v>
      </c>
      <c r="T416" s="5">
        <v>90800</v>
      </c>
      <c r="U416" s="6">
        <v>1</v>
      </c>
      <c r="V416" t="s">
        <v>77</v>
      </c>
      <c r="W416" s="4">
        <v>46047</v>
      </c>
      <c r="X416" t="s">
        <v>64</v>
      </c>
      <c r="Y416" t="s">
        <v>64</v>
      </c>
      <c r="Z416" t="s">
        <v>96</v>
      </c>
      <c r="AA416" t="str">
        <f>VLOOKUP(H416,Departments!$A:$B,2,0)</f>
        <v>Surgery</v>
      </c>
      <c r="AB416" t="str">
        <f>VLOOKUP(J416,Diagnosis_Guide!$A:$B,2,0)</f>
        <v>Gallbladder Surgery</v>
      </c>
      <c r="AC416" s="4" t="str">
        <f>VLOOKUP(J416,Diagnosis_Guide!$A:$C,3,0)</f>
        <v>Surgical</v>
      </c>
      <c r="AD416" s="4" t="str">
        <f>VLOOKUP(R416,Insurance_Plans!$A:$C,3,0)</f>
        <v>Self-Pay</v>
      </c>
      <c r="AE416" s="13">
        <f t="shared" si="18"/>
        <v>4540</v>
      </c>
      <c r="AF416" s="13">
        <f t="shared" si="19"/>
        <v>95340</v>
      </c>
      <c r="AG416" s="4" t="str">
        <f t="shared" si="20"/>
        <v>Low</v>
      </c>
    </row>
    <row r="417" spans="1:33">
      <c r="A417" t="s">
        <v>949</v>
      </c>
      <c r="B417" t="s">
        <v>950</v>
      </c>
      <c r="C417" s="11">
        <v>46139</v>
      </c>
      <c r="D417" t="s">
        <v>294</v>
      </c>
      <c r="E417" t="s">
        <v>177</v>
      </c>
      <c r="F417" s="4"/>
      <c r="G417" s="4"/>
      <c r="H417" t="s">
        <v>178</v>
      </c>
      <c r="I417" t="s">
        <v>415</v>
      </c>
      <c r="J417" t="s">
        <v>180</v>
      </c>
      <c r="K417" t="s">
        <v>60</v>
      </c>
      <c r="L417" t="s">
        <v>94</v>
      </c>
      <c r="M417" s="5"/>
      <c r="N417" s="5"/>
      <c r="O417" s="5"/>
      <c r="P417" s="5"/>
      <c r="R417" t="s">
        <v>141</v>
      </c>
      <c r="S417" t="s">
        <v>63</v>
      </c>
      <c r="T417" s="5"/>
      <c r="U417" s="6"/>
      <c r="V417" t="s">
        <v>64</v>
      </c>
      <c r="W417" s="4"/>
      <c r="X417" t="s">
        <v>65</v>
      </c>
      <c r="Z417" t="s">
        <v>66</v>
      </c>
      <c r="AA417" t="str">
        <f>VLOOKUP(H417,Departments!$A:$B,2,0)</f>
        <v>Surgery</v>
      </c>
      <c r="AB417" t="str">
        <f>VLOOKUP(J417,Diagnosis_Guide!$A:$B,2,0)</f>
        <v>Appendicitis Surgery</v>
      </c>
      <c r="AC417" s="4" t="str">
        <f>VLOOKUP(J417,Diagnosis_Guide!$A:$C,3,0)</f>
        <v>Surgical</v>
      </c>
      <c r="AD417" s="4" t="str">
        <f>VLOOKUP(R417,Insurance_Plans!$A:$C,3,0)</f>
        <v>Private</v>
      </c>
      <c r="AE417" s="13" t="str">
        <f t="shared" si="18"/>
        <v/>
      </c>
      <c r="AF417" s="13" t="str">
        <f t="shared" si="19"/>
        <v/>
      </c>
      <c r="AG417" s="4" t="str">
        <f t="shared" si="20"/>
        <v>Not Available</v>
      </c>
    </row>
    <row r="418" spans="1:33">
      <c r="A418" t="s">
        <v>951</v>
      </c>
      <c r="B418" t="s">
        <v>313</v>
      </c>
      <c r="C418" s="11">
        <v>46153</v>
      </c>
      <c r="D418" t="s">
        <v>469</v>
      </c>
      <c r="E418" t="s">
        <v>70</v>
      </c>
      <c r="F418" s="4">
        <v>46154</v>
      </c>
      <c r="G418" s="4">
        <v>46154</v>
      </c>
      <c r="H418" t="s">
        <v>111</v>
      </c>
      <c r="I418" t="s">
        <v>222</v>
      </c>
      <c r="J418" t="s">
        <v>384</v>
      </c>
      <c r="K418" t="s">
        <v>60</v>
      </c>
      <c r="L418" t="s">
        <v>94</v>
      </c>
      <c r="M418" s="5">
        <v>65000</v>
      </c>
      <c r="N418" s="5">
        <v>9250</v>
      </c>
      <c r="O418" s="5">
        <v>16100</v>
      </c>
      <c r="P418" s="5">
        <v>0</v>
      </c>
      <c r="Q418" s="13">
        <v>91350</v>
      </c>
      <c r="R418" t="s">
        <v>95</v>
      </c>
      <c r="S418" t="s">
        <v>63</v>
      </c>
      <c r="T418" s="5">
        <v>91350</v>
      </c>
      <c r="U418" s="6"/>
      <c r="V418" t="s">
        <v>77</v>
      </c>
      <c r="W418" s="4">
        <v>46161</v>
      </c>
      <c r="X418" t="s">
        <v>77</v>
      </c>
      <c r="Y418" t="s">
        <v>64</v>
      </c>
      <c r="Z418" t="s">
        <v>78</v>
      </c>
      <c r="AA418" t="str">
        <f>VLOOKUP(H418,Departments!$A:$B,2,0)</f>
        <v>General Medicine</v>
      </c>
      <c r="AB418" t="str">
        <f>VLOOKUP(J418,Diagnosis_Guide!$A:$B,2,0)</f>
        <v>Severe Infection</v>
      </c>
      <c r="AC418" s="4" t="str">
        <f>VLOOKUP(J418,Diagnosis_Guide!$A:$C,3,0)</f>
        <v>Infectious/General</v>
      </c>
      <c r="AD418" s="4" t="str">
        <f>VLOOKUP(R418,Insurance_Plans!$A:$C,3,0)</f>
        <v>Self-Pay</v>
      </c>
      <c r="AE418" s="13">
        <f t="shared" si="18"/>
        <v>4567.5</v>
      </c>
      <c r="AF418" s="13">
        <f t="shared" si="19"/>
        <v>95917.5</v>
      </c>
      <c r="AG418" s="4" t="str">
        <f t="shared" si="20"/>
        <v>Not Available</v>
      </c>
    </row>
    <row r="419" spans="1:33">
      <c r="A419" t="s">
        <v>952</v>
      </c>
      <c r="B419" t="s">
        <v>817</v>
      </c>
      <c r="C419" s="11">
        <v>46158</v>
      </c>
      <c r="D419" t="s">
        <v>110</v>
      </c>
      <c r="E419" t="s">
        <v>70</v>
      </c>
      <c r="F419" s="4">
        <v>46158</v>
      </c>
      <c r="G419" s="4">
        <v>46158</v>
      </c>
      <c r="H419" t="s">
        <v>150</v>
      </c>
      <c r="I419" t="s">
        <v>239</v>
      </c>
      <c r="J419" t="s">
        <v>188</v>
      </c>
      <c r="K419" t="s">
        <v>60</v>
      </c>
      <c r="L419" t="s">
        <v>74</v>
      </c>
      <c r="M419" s="5">
        <v>100400</v>
      </c>
      <c r="N419" s="5">
        <v>8500</v>
      </c>
      <c r="O419" s="5">
        <v>15600</v>
      </c>
      <c r="P419" s="5">
        <v>0</v>
      </c>
      <c r="Q419" s="13">
        <v>126300</v>
      </c>
      <c r="R419" t="s">
        <v>85</v>
      </c>
      <c r="S419" t="s">
        <v>76</v>
      </c>
      <c r="T419" s="5">
        <v>32480</v>
      </c>
      <c r="U419" s="6">
        <v>3</v>
      </c>
      <c r="V419" t="s">
        <v>77</v>
      </c>
      <c r="W419" s="4">
        <v>46167</v>
      </c>
      <c r="X419" t="s">
        <v>64</v>
      </c>
      <c r="Y419" t="s">
        <v>64</v>
      </c>
      <c r="Z419" t="s">
        <v>78</v>
      </c>
      <c r="AA419" t="str">
        <f>VLOOKUP(H419,Departments!$A:$B,2,0)</f>
        <v>Obstetrics</v>
      </c>
      <c r="AB419" t="str">
        <f>VLOOKUP(J419,Diagnosis_Guide!$A:$B,2,0)</f>
        <v>Emergency C-Section</v>
      </c>
      <c r="AC419" s="4" t="str">
        <f>VLOOKUP(J419,Diagnosis_Guide!$A:$C,3,0)</f>
        <v>Maternal Health</v>
      </c>
      <c r="AD419" s="4" t="str">
        <f>VLOOKUP(R419,Insurance_Plans!$A:$C,3,0)</f>
        <v>Employer</v>
      </c>
      <c r="AE419" s="13">
        <f t="shared" si="18"/>
        <v>6315</v>
      </c>
      <c r="AF419" s="13">
        <f t="shared" si="19"/>
        <v>132615</v>
      </c>
      <c r="AG419" s="4" t="str">
        <f t="shared" si="20"/>
        <v>Medium</v>
      </c>
    </row>
    <row r="420" spans="1:33">
      <c r="A420" t="s">
        <v>953</v>
      </c>
      <c r="B420" t="s">
        <v>954</v>
      </c>
      <c r="C420" s="11">
        <v>46119</v>
      </c>
      <c r="D420" t="s">
        <v>55</v>
      </c>
      <c r="E420" t="s">
        <v>70</v>
      </c>
      <c r="F420" s="4">
        <v>46119</v>
      </c>
      <c r="G420" s="4">
        <v>46125</v>
      </c>
      <c r="H420" t="s">
        <v>57</v>
      </c>
      <c r="I420" t="s">
        <v>211</v>
      </c>
      <c r="J420" t="s">
        <v>170</v>
      </c>
      <c r="K420" t="s">
        <v>73</v>
      </c>
      <c r="L420" t="s">
        <v>61</v>
      </c>
      <c r="M420" s="5">
        <v>64100</v>
      </c>
      <c r="N420" s="5">
        <v>8750</v>
      </c>
      <c r="O420" s="5">
        <v>7800</v>
      </c>
      <c r="P420" s="5">
        <v>36000</v>
      </c>
      <c r="Q420" s="13">
        <v>118650</v>
      </c>
      <c r="R420" t="s">
        <v>75</v>
      </c>
      <c r="S420" t="s">
        <v>76</v>
      </c>
      <c r="T420" s="5">
        <v>53690</v>
      </c>
      <c r="U420" s="6">
        <v>4</v>
      </c>
      <c r="V420" t="s">
        <v>77</v>
      </c>
      <c r="W420" s="4">
        <v>46136</v>
      </c>
      <c r="X420" t="s">
        <v>77</v>
      </c>
      <c r="Y420" t="s">
        <v>64</v>
      </c>
      <c r="Z420" t="s">
        <v>107</v>
      </c>
      <c r="AA420" t="str">
        <f>VLOOKUP(H420,Departments!$A:$B,2,0)</f>
        <v>Pulmonology</v>
      </c>
      <c r="AB420" t="str">
        <f>VLOOKUP(J420,Diagnosis_Guide!$A:$B,2,0)</f>
        <v>COPD Exacerbation</v>
      </c>
      <c r="AC420" s="4" t="str">
        <f>VLOOKUP(J420,Diagnosis_Guide!$A:$C,3,0)</f>
        <v>Respiratory</v>
      </c>
      <c r="AD420" s="4" t="str">
        <f>VLOOKUP(R420,Insurance_Plans!$A:$C,3,0)</f>
        <v>Public</v>
      </c>
      <c r="AE420" s="13">
        <f t="shared" si="18"/>
        <v>5932.5</v>
      </c>
      <c r="AF420" s="13">
        <f t="shared" si="19"/>
        <v>124582.5</v>
      </c>
      <c r="AG420" s="4" t="str">
        <f t="shared" si="20"/>
        <v>High</v>
      </c>
    </row>
    <row r="421" spans="1:33">
      <c r="A421" t="s">
        <v>955</v>
      </c>
      <c r="B421" t="s">
        <v>956</v>
      </c>
      <c r="C421" s="11">
        <v>46133</v>
      </c>
      <c r="D421" t="s">
        <v>439</v>
      </c>
      <c r="E421" t="s">
        <v>70</v>
      </c>
      <c r="F421" s="4">
        <v>46134</v>
      </c>
      <c r="G421" s="4">
        <v>46139</v>
      </c>
      <c r="H421" t="s">
        <v>111</v>
      </c>
      <c r="I421" t="s">
        <v>112</v>
      </c>
      <c r="J421" t="s">
        <v>113</v>
      </c>
      <c r="K421" t="s">
        <v>124</v>
      </c>
      <c r="L421" t="s">
        <v>146</v>
      </c>
      <c r="M421" s="5">
        <v>21500</v>
      </c>
      <c r="N421" s="5">
        <v>2600</v>
      </c>
      <c r="O421" s="5">
        <v>5050</v>
      </c>
      <c r="P421" s="5">
        <v>22500</v>
      </c>
      <c r="Q421" s="13">
        <v>52450</v>
      </c>
      <c r="R421" t="s">
        <v>75</v>
      </c>
      <c r="S421" t="s">
        <v>76</v>
      </c>
      <c r="T421" s="5">
        <v>23900</v>
      </c>
      <c r="U421" s="6">
        <v>4</v>
      </c>
      <c r="V421" t="s">
        <v>77</v>
      </c>
      <c r="W421" s="4">
        <v>46157</v>
      </c>
      <c r="X421" t="s">
        <v>77</v>
      </c>
      <c r="Y421" t="s">
        <v>64</v>
      </c>
      <c r="Z421" t="s">
        <v>78</v>
      </c>
      <c r="AA421" t="str">
        <f>VLOOKUP(H421,Departments!$A:$B,2,0)</f>
        <v>General Medicine</v>
      </c>
      <c r="AB421" t="str">
        <f>VLOOKUP(J421,Diagnosis_Guide!$A:$B,2,0)</f>
        <v>Diabetes Complication</v>
      </c>
      <c r="AC421" s="4" t="str">
        <f>VLOOKUP(J421,Diagnosis_Guide!$A:$C,3,0)</f>
        <v>Endocrine/General</v>
      </c>
      <c r="AD421" s="4" t="str">
        <f>VLOOKUP(R421,Insurance_Plans!$A:$C,3,0)</f>
        <v>Public</v>
      </c>
      <c r="AE421" s="13">
        <f t="shared" si="18"/>
        <v>2622.5</v>
      </c>
      <c r="AF421" s="13">
        <f t="shared" si="19"/>
        <v>55072.5</v>
      </c>
      <c r="AG421" s="4" t="str">
        <f t="shared" si="20"/>
        <v>High</v>
      </c>
    </row>
    <row r="422" spans="1:33">
      <c r="A422" t="s">
        <v>957</v>
      </c>
      <c r="B422" t="s">
        <v>709</v>
      </c>
      <c r="C422" s="11">
        <v>46027</v>
      </c>
      <c r="D422" t="s">
        <v>206</v>
      </c>
      <c r="E422" t="s">
        <v>56</v>
      </c>
      <c r="F422" s="4"/>
      <c r="G422" s="4"/>
      <c r="H422" t="s">
        <v>57</v>
      </c>
      <c r="I422" t="s">
        <v>211</v>
      </c>
      <c r="J422" t="s">
        <v>59</v>
      </c>
      <c r="K422" t="s">
        <v>124</v>
      </c>
      <c r="L422" t="s">
        <v>61</v>
      </c>
      <c r="M422" s="5"/>
      <c r="N422" s="5"/>
      <c r="O422" s="5"/>
      <c r="P422" s="5"/>
      <c r="R422" t="s">
        <v>106</v>
      </c>
      <c r="S422" t="s">
        <v>63</v>
      </c>
      <c r="T422" s="5"/>
      <c r="U422" s="6"/>
      <c r="V422" t="s">
        <v>64</v>
      </c>
      <c r="W422" s="4"/>
      <c r="X422" t="s">
        <v>65</v>
      </c>
      <c r="Z422" t="s">
        <v>66</v>
      </c>
      <c r="AA422" t="str">
        <f>VLOOKUP(H422,Departments!$A:$B,2,0)</f>
        <v>Pulmonology</v>
      </c>
      <c r="AB422" t="str">
        <f>VLOOKUP(J422,Diagnosis_Guide!$A:$B,2,0)</f>
        <v>Pneumonia</v>
      </c>
      <c r="AC422" s="4" t="str">
        <f>VLOOKUP(J422,Diagnosis_Guide!$A:$C,3,0)</f>
        <v>Respiratory</v>
      </c>
      <c r="AD422" s="4" t="str">
        <f>VLOOKUP(R422,Insurance_Plans!$A:$C,3,0)</f>
        <v>Private</v>
      </c>
      <c r="AE422" s="13" t="str">
        <f t="shared" si="18"/>
        <v/>
      </c>
      <c r="AF422" s="13" t="str">
        <f t="shared" si="19"/>
        <v/>
      </c>
      <c r="AG422" s="4" t="str">
        <f t="shared" si="20"/>
        <v>Not Available</v>
      </c>
    </row>
    <row r="423" spans="1:33">
      <c r="A423" t="s">
        <v>958</v>
      </c>
      <c r="B423" t="s">
        <v>371</v>
      </c>
      <c r="C423" s="11">
        <v>46030</v>
      </c>
      <c r="D423" t="s">
        <v>469</v>
      </c>
      <c r="E423" t="s">
        <v>70</v>
      </c>
      <c r="F423" s="4">
        <v>46030</v>
      </c>
      <c r="G423" s="4">
        <v>46037</v>
      </c>
      <c r="H423" t="s">
        <v>103</v>
      </c>
      <c r="I423" t="s">
        <v>364</v>
      </c>
      <c r="J423" t="s">
        <v>244</v>
      </c>
      <c r="K423" t="s">
        <v>124</v>
      </c>
      <c r="L423" t="s">
        <v>74</v>
      </c>
      <c r="M423" s="5">
        <v>52600</v>
      </c>
      <c r="N423" s="5">
        <v>8350</v>
      </c>
      <c r="O423" s="5">
        <v>8300</v>
      </c>
      <c r="P423" s="5">
        <v>31500</v>
      </c>
      <c r="Q423" s="13">
        <v>101550</v>
      </c>
      <c r="R423" t="s">
        <v>106</v>
      </c>
      <c r="S423" t="s">
        <v>76</v>
      </c>
      <c r="T423" s="5">
        <v>36240</v>
      </c>
      <c r="U423" s="6">
        <v>4</v>
      </c>
      <c r="V423" t="s">
        <v>77</v>
      </c>
      <c r="W423" s="4">
        <v>46052</v>
      </c>
      <c r="X423" t="s">
        <v>77</v>
      </c>
      <c r="Y423" t="s">
        <v>64</v>
      </c>
      <c r="Z423" t="s">
        <v>107</v>
      </c>
      <c r="AA423" t="str">
        <f>VLOOKUP(H423,Departments!$A:$B,2,0)</f>
        <v>Nephrology</v>
      </c>
      <c r="AB423" t="str">
        <f>VLOOKUP(J423,Diagnosis_Guide!$A:$B,2,0)</f>
        <v>Chronic Kidney Disease</v>
      </c>
      <c r="AC423" s="4" t="str">
        <f>VLOOKUP(J423,Diagnosis_Guide!$A:$C,3,0)</f>
        <v>Renal</v>
      </c>
      <c r="AD423" s="4" t="str">
        <f>VLOOKUP(R423,Insurance_Plans!$A:$C,3,0)</f>
        <v>Private</v>
      </c>
      <c r="AE423" s="13">
        <f t="shared" si="18"/>
        <v>5077.5</v>
      </c>
      <c r="AF423" s="13">
        <f t="shared" si="19"/>
        <v>106627.5</v>
      </c>
      <c r="AG423" s="4" t="str">
        <f t="shared" si="20"/>
        <v>High</v>
      </c>
    </row>
    <row r="424" spans="1:33">
      <c r="A424" t="s">
        <v>959</v>
      </c>
      <c r="B424" t="s">
        <v>783</v>
      </c>
      <c r="C424" s="11">
        <v>46091</v>
      </c>
      <c r="D424" t="s">
        <v>432</v>
      </c>
      <c r="E424" t="s">
        <v>70</v>
      </c>
      <c r="F424" s="4">
        <v>46091</v>
      </c>
      <c r="G424" s="4">
        <v>46099</v>
      </c>
      <c r="H424" t="s">
        <v>82</v>
      </c>
      <c r="I424" t="s">
        <v>369</v>
      </c>
      <c r="J424" t="s">
        <v>156</v>
      </c>
      <c r="K424" t="s">
        <v>124</v>
      </c>
      <c r="L424" t="s">
        <v>74</v>
      </c>
      <c r="M424" s="5">
        <v>76900</v>
      </c>
      <c r="N424" s="5">
        <v>7850</v>
      </c>
      <c r="O424" s="5">
        <v>7750</v>
      </c>
      <c r="P424" s="5">
        <v>48000</v>
      </c>
      <c r="Q424" s="13">
        <v>141300</v>
      </c>
      <c r="R424" t="s">
        <v>141</v>
      </c>
      <c r="S424" t="s">
        <v>76</v>
      </c>
      <c r="T424" s="5">
        <v>22400</v>
      </c>
      <c r="U424" s="6">
        <v>4</v>
      </c>
      <c r="V424" t="s">
        <v>77</v>
      </c>
      <c r="W424" s="4">
        <v>46106</v>
      </c>
      <c r="X424" t="s">
        <v>77</v>
      </c>
      <c r="Y424" t="s">
        <v>64</v>
      </c>
      <c r="Z424" t="s">
        <v>96</v>
      </c>
      <c r="AA424" t="str">
        <f>VLOOKUP(H424,Departments!$A:$B,2,0)</f>
        <v>Orthopedics</v>
      </c>
      <c r="AB424" t="str">
        <f>VLOOKUP(J424,Diagnosis_Guide!$A:$B,2,0)</f>
        <v>Spinal Injury</v>
      </c>
      <c r="AC424" s="4" t="str">
        <f>VLOOKUP(J424,Diagnosis_Guide!$A:$C,3,0)</f>
        <v>Musculoskeletal</v>
      </c>
      <c r="AD424" s="4" t="str">
        <f>VLOOKUP(R424,Insurance_Plans!$A:$C,3,0)</f>
        <v>Private</v>
      </c>
      <c r="AE424" s="13">
        <f t="shared" si="18"/>
        <v>7065</v>
      </c>
      <c r="AF424" s="13">
        <f t="shared" si="19"/>
        <v>148365</v>
      </c>
      <c r="AG424" s="4" t="str">
        <f t="shared" si="20"/>
        <v>High</v>
      </c>
    </row>
    <row r="425" spans="1:33">
      <c r="A425" t="s">
        <v>960</v>
      </c>
      <c r="B425" t="s">
        <v>627</v>
      </c>
      <c r="C425" s="11">
        <v>46119</v>
      </c>
      <c r="D425" t="s">
        <v>419</v>
      </c>
      <c r="E425" t="s">
        <v>70</v>
      </c>
      <c r="F425" s="4">
        <v>46119</v>
      </c>
      <c r="G425" s="4">
        <v>46119</v>
      </c>
      <c r="H425" t="s">
        <v>90</v>
      </c>
      <c r="I425" t="s">
        <v>388</v>
      </c>
      <c r="J425" t="s">
        <v>92</v>
      </c>
      <c r="K425" t="s">
        <v>60</v>
      </c>
      <c r="L425" t="s">
        <v>74</v>
      </c>
      <c r="M425" s="5">
        <v>55800</v>
      </c>
      <c r="N425" s="5">
        <v>8800</v>
      </c>
      <c r="O425" s="5">
        <v>12800</v>
      </c>
      <c r="P425" s="5">
        <v>0</v>
      </c>
      <c r="Q425" s="13">
        <v>78900</v>
      </c>
      <c r="R425" t="s">
        <v>141</v>
      </c>
      <c r="S425" t="s">
        <v>86</v>
      </c>
      <c r="T425" s="5">
        <v>13040</v>
      </c>
      <c r="U425" s="6">
        <v>3</v>
      </c>
      <c r="V425" t="s">
        <v>64</v>
      </c>
      <c r="W425" s="4"/>
      <c r="X425" t="s">
        <v>65</v>
      </c>
      <c r="Y425" t="s">
        <v>64</v>
      </c>
      <c r="Z425" t="s">
        <v>96</v>
      </c>
      <c r="AA425" t="str">
        <f>VLOOKUP(H425,Departments!$A:$B,2,0)</f>
        <v>Cardiology</v>
      </c>
      <c r="AB425" t="str">
        <f>VLOOKUP(J425,Diagnosis_Guide!$A:$B,2,0)</f>
        <v>Heart Failure</v>
      </c>
      <c r="AC425" s="4" t="str">
        <f>VLOOKUP(J425,Diagnosis_Guide!$A:$C,3,0)</f>
        <v>Cardiovascular</v>
      </c>
      <c r="AD425" s="4" t="str">
        <f>VLOOKUP(R425,Insurance_Plans!$A:$C,3,0)</f>
        <v>Private</v>
      </c>
      <c r="AE425" s="13">
        <f t="shared" si="18"/>
        <v>3945</v>
      </c>
      <c r="AF425" s="13">
        <f t="shared" si="19"/>
        <v>82845</v>
      </c>
      <c r="AG425" s="4" t="str">
        <f t="shared" si="20"/>
        <v>Medium</v>
      </c>
    </row>
    <row r="426" spans="1:33">
      <c r="A426" t="s">
        <v>961</v>
      </c>
      <c r="B426" t="s">
        <v>962</v>
      </c>
      <c r="C426" s="11">
        <v>46064</v>
      </c>
      <c r="D426" t="s">
        <v>234</v>
      </c>
      <c r="E426" t="s">
        <v>56</v>
      </c>
      <c r="F426" s="4"/>
      <c r="G426" s="4"/>
      <c r="H426" t="s">
        <v>103</v>
      </c>
      <c r="I426" t="s">
        <v>207</v>
      </c>
      <c r="J426" t="s">
        <v>244</v>
      </c>
      <c r="K426" t="s">
        <v>124</v>
      </c>
      <c r="L426" t="s">
        <v>74</v>
      </c>
      <c r="M426" s="5"/>
      <c r="N426" s="5"/>
      <c r="O426" s="5"/>
      <c r="P426" s="5"/>
      <c r="R426" t="s">
        <v>106</v>
      </c>
      <c r="S426" t="s">
        <v>63</v>
      </c>
      <c r="T426" s="5"/>
      <c r="U426" s="6"/>
      <c r="V426" t="s">
        <v>64</v>
      </c>
      <c r="W426" s="4"/>
      <c r="X426" t="s">
        <v>65</v>
      </c>
      <c r="Z426" t="s">
        <v>66</v>
      </c>
      <c r="AA426" t="str">
        <f>VLOOKUP(H426,Departments!$A:$B,2,0)</f>
        <v>Nephrology</v>
      </c>
      <c r="AB426" t="str">
        <f>VLOOKUP(J426,Diagnosis_Guide!$A:$B,2,0)</f>
        <v>Chronic Kidney Disease</v>
      </c>
      <c r="AC426" s="4" t="str">
        <f>VLOOKUP(J426,Diagnosis_Guide!$A:$C,3,0)</f>
        <v>Renal</v>
      </c>
      <c r="AD426" s="4" t="str">
        <f>VLOOKUP(R426,Insurance_Plans!$A:$C,3,0)</f>
        <v>Private</v>
      </c>
      <c r="AE426" s="13" t="str">
        <f t="shared" si="18"/>
        <v/>
      </c>
      <c r="AF426" s="13" t="str">
        <f t="shared" si="19"/>
        <v/>
      </c>
      <c r="AG426" s="4" t="str">
        <f t="shared" si="20"/>
        <v>Not Available</v>
      </c>
    </row>
    <row r="427" spans="1:33">
      <c r="A427" t="s">
        <v>963</v>
      </c>
      <c r="B427" t="s">
        <v>964</v>
      </c>
      <c r="C427" s="11">
        <v>46046</v>
      </c>
      <c r="D427" t="s">
        <v>266</v>
      </c>
      <c r="E427" t="s">
        <v>56</v>
      </c>
      <c r="F427" s="4"/>
      <c r="G427" s="4"/>
      <c r="H427" t="s">
        <v>111</v>
      </c>
      <c r="I427" t="s">
        <v>397</v>
      </c>
      <c r="J427" t="s">
        <v>384</v>
      </c>
      <c r="K427" t="s">
        <v>93</v>
      </c>
      <c r="L427" t="s">
        <v>94</v>
      </c>
      <c r="M427" s="5"/>
      <c r="N427" s="5"/>
      <c r="O427" s="5"/>
      <c r="P427" s="5"/>
      <c r="R427" t="s">
        <v>95</v>
      </c>
      <c r="S427" t="s">
        <v>63</v>
      </c>
      <c r="T427" s="5"/>
      <c r="U427" s="6"/>
      <c r="V427" t="s">
        <v>64</v>
      </c>
      <c r="W427" s="4"/>
      <c r="X427" t="s">
        <v>65</v>
      </c>
      <c r="Z427" t="s">
        <v>66</v>
      </c>
      <c r="AA427" t="str">
        <f>VLOOKUP(H427,Departments!$A:$B,2,0)</f>
        <v>General Medicine</v>
      </c>
      <c r="AB427" t="str">
        <f>VLOOKUP(J427,Diagnosis_Guide!$A:$B,2,0)</f>
        <v>Severe Infection</v>
      </c>
      <c r="AC427" s="4" t="str">
        <f>VLOOKUP(J427,Diagnosis_Guide!$A:$C,3,0)</f>
        <v>Infectious/General</v>
      </c>
      <c r="AD427" s="4" t="str">
        <f>VLOOKUP(R427,Insurance_Plans!$A:$C,3,0)</f>
        <v>Self-Pay</v>
      </c>
      <c r="AE427" s="13" t="str">
        <f t="shared" si="18"/>
        <v/>
      </c>
      <c r="AF427" s="13" t="str">
        <f t="shared" si="19"/>
        <v/>
      </c>
      <c r="AG427" s="4" t="str">
        <f t="shared" si="20"/>
        <v>Not Available</v>
      </c>
    </row>
    <row r="428" spans="1:33">
      <c r="A428" t="s">
        <v>965</v>
      </c>
      <c r="B428" t="s">
        <v>881</v>
      </c>
      <c r="C428" s="11">
        <v>46028</v>
      </c>
      <c r="D428" t="s">
        <v>250</v>
      </c>
      <c r="E428" t="s">
        <v>70</v>
      </c>
      <c r="F428" s="4">
        <v>46028</v>
      </c>
      <c r="G428" s="4">
        <v>46028</v>
      </c>
      <c r="H428" t="s">
        <v>57</v>
      </c>
      <c r="I428" t="s">
        <v>184</v>
      </c>
      <c r="J428" t="s">
        <v>59</v>
      </c>
      <c r="K428" t="s">
        <v>60</v>
      </c>
      <c r="L428" t="s">
        <v>61</v>
      </c>
      <c r="M428" s="5">
        <v>71300</v>
      </c>
      <c r="N428" s="5">
        <v>7150</v>
      </c>
      <c r="O428" s="5">
        <v>16900</v>
      </c>
      <c r="P428" s="5">
        <v>0</v>
      </c>
      <c r="Q428" s="13">
        <v>96550</v>
      </c>
      <c r="R428" t="s">
        <v>141</v>
      </c>
      <c r="S428" t="s">
        <v>76</v>
      </c>
      <c r="T428" s="5">
        <v>15680</v>
      </c>
      <c r="U428" s="6">
        <v>4</v>
      </c>
      <c r="V428" t="s">
        <v>64</v>
      </c>
      <c r="W428" s="4"/>
      <c r="X428" t="s">
        <v>65</v>
      </c>
      <c r="Y428" t="s">
        <v>64</v>
      </c>
      <c r="Z428" t="s">
        <v>96</v>
      </c>
      <c r="AA428" t="str">
        <f>VLOOKUP(H428,Departments!$A:$B,2,0)</f>
        <v>Pulmonology</v>
      </c>
      <c r="AB428" t="str">
        <f>VLOOKUP(J428,Diagnosis_Guide!$A:$B,2,0)</f>
        <v>Pneumonia</v>
      </c>
      <c r="AC428" s="4" t="str">
        <f>VLOOKUP(J428,Diagnosis_Guide!$A:$C,3,0)</f>
        <v>Respiratory</v>
      </c>
      <c r="AD428" s="4" t="str">
        <f>VLOOKUP(R428,Insurance_Plans!$A:$C,3,0)</f>
        <v>Private</v>
      </c>
      <c r="AE428" s="13">
        <f t="shared" si="18"/>
        <v>4827.5</v>
      </c>
      <c r="AF428" s="13">
        <f t="shared" si="19"/>
        <v>101377.5</v>
      </c>
      <c r="AG428" s="4" t="str">
        <f t="shared" si="20"/>
        <v>High</v>
      </c>
    </row>
    <row r="429" spans="1:33">
      <c r="A429" t="s">
        <v>966</v>
      </c>
      <c r="B429" t="s">
        <v>233</v>
      </c>
      <c r="C429" s="11">
        <v>46104</v>
      </c>
      <c r="D429" t="s">
        <v>110</v>
      </c>
      <c r="E429" t="s">
        <v>70</v>
      </c>
      <c r="F429" s="4">
        <v>46104</v>
      </c>
      <c r="G429" s="4">
        <v>46106</v>
      </c>
      <c r="H429" t="s">
        <v>111</v>
      </c>
      <c r="I429" t="s">
        <v>397</v>
      </c>
      <c r="J429" t="s">
        <v>117</v>
      </c>
      <c r="K429" t="s">
        <v>73</v>
      </c>
      <c r="L429" t="s">
        <v>74</v>
      </c>
      <c r="M429" s="5">
        <v>5700</v>
      </c>
      <c r="N429" s="5">
        <v>700</v>
      </c>
      <c r="O429" s="5">
        <v>1350</v>
      </c>
      <c r="P429" s="5">
        <v>12000</v>
      </c>
      <c r="Q429" s="13">
        <v>21750</v>
      </c>
      <c r="R429" t="s">
        <v>106</v>
      </c>
      <c r="S429" t="s">
        <v>76</v>
      </c>
      <c r="T429" s="5">
        <v>8310</v>
      </c>
      <c r="U429" s="6">
        <v>3</v>
      </c>
      <c r="V429" t="s">
        <v>77</v>
      </c>
      <c r="W429" s="4">
        <v>46115</v>
      </c>
      <c r="X429" t="s">
        <v>64</v>
      </c>
      <c r="Y429" t="s">
        <v>64</v>
      </c>
      <c r="Z429" t="s">
        <v>96</v>
      </c>
      <c r="AA429" t="str">
        <f>VLOOKUP(H429,Departments!$A:$B,2,0)</f>
        <v>General Medicine</v>
      </c>
      <c r="AB429" t="str">
        <f>VLOOKUP(J429,Diagnosis_Guide!$A:$B,2,0)</f>
        <v>Fever Investigation</v>
      </c>
      <c r="AC429" s="4" t="str">
        <f>VLOOKUP(J429,Diagnosis_Guide!$A:$C,3,0)</f>
        <v>Infectious/General</v>
      </c>
      <c r="AD429" s="4" t="str">
        <f>VLOOKUP(R429,Insurance_Plans!$A:$C,3,0)</f>
        <v>Private</v>
      </c>
      <c r="AE429" s="13">
        <f t="shared" si="18"/>
        <v>1087.5</v>
      </c>
      <c r="AF429" s="13">
        <f t="shared" si="19"/>
        <v>22837.5</v>
      </c>
      <c r="AG429" s="4" t="str">
        <f t="shared" si="20"/>
        <v>Medium</v>
      </c>
    </row>
    <row r="430" spans="1:33">
      <c r="A430" t="s">
        <v>967</v>
      </c>
      <c r="B430" t="s">
        <v>968</v>
      </c>
      <c r="C430" s="11">
        <v>46138</v>
      </c>
      <c r="D430" t="s">
        <v>210</v>
      </c>
      <c r="E430" t="s">
        <v>314</v>
      </c>
      <c r="F430" s="4"/>
      <c r="G430" s="4"/>
      <c r="H430" t="s">
        <v>201</v>
      </c>
      <c r="I430" t="s">
        <v>449</v>
      </c>
      <c r="J430" t="s">
        <v>281</v>
      </c>
      <c r="K430" t="s">
        <v>60</v>
      </c>
      <c r="L430" t="s">
        <v>94</v>
      </c>
      <c r="M430" s="5"/>
      <c r="N430" s="5"/>
      <c r="O430" s="5"/>
      <c r="P430" s="5"/>
      <c r="R430" t="s">
        <v>62</v>
      </c>
      <c r="S430" t="s">
        <v>63</v>
      </c>
      <c r="T430" s="5"/>
      <c r="U430" s="6"/>
      <c r="V430" t="s">
        <v>64</v>
      </c>
      <c r="W430" s="4"/>
      <c r="X430" t="s">
        <v>65</v>
      </c>
      <c r="Z430" t="s">
        <v>66</v>
      </c>
      <c r="AA430" t="str">
        <f>VLOOKUP(H430,Departments!$A:$B,2,0)</f>
        <v>Emergency</v>
      </c>
      <c r="AB430" t="str">
        <f>VLOOKUP(J430,Diagnosis_Guide!$A:$B,2,0)</f>
        <v>Food Poisoning</v>
      </c>
      <c r="AC430" s="4" t="str">
        <f>VLOOKUP(J430,Diagnosis_Guide!$A:$C,3,0)</f>
        <v>Emergency</v>
      </c>
      <c r="AD430" s="4" t="str">
        <f>VLOOKUP(R430,Insurance_Plans!$A:$C,3,0)</f>
        <v>Public</v>
      </c>
      <c r="AE430" s="13" t="str">
        <f t="shared" si="18"/>
        <v/>
      </c>
      <c r="AF430" s="13" t="str">
        <f t="shared" si="19"/>
        <v/>
      </c>
      <c r="AG430" s="4" t="str">
        <f t="shared" si="20"/>
        <v>Not Available</v>
      </c>
    </row>
    <row r="431" spans="1:33">
      <c r="A431" t="s">
        <v>969</v>
      </c>
      <c r="B431" t="s">
        <v>970</v>
      </c>
      <c r="C431" s="11">
        <v>46070</v>
      </c>
      <c r="D431" t="s">
        <v>81</v>
      </c>
      <c r="E431" t="s">
        <v>314</v>
      </c>
      <c r="F431" s="4"/>
      <c r="G431" s="4"/>
      <c r="H431" t="s">
        <v>57</v>
      </c>
      <c r="I431" t="s">
        <v>71</v>
      </c>
      <c r="J431" t="s">
        <v>59</v>
      </c>
      <c r="K431" t="s">
        <v>124</v>
      </c>
      <c r="L431" t="s">
        <v>94</v>
      </c>
      <c r="M431" s="5"/>
      <c r="N431" s="5"/>
      <c r="O431" s="5"/>
      <c r="P431" s="5"/>
      <c r="R431" t="s">
        <v>95</v>
      </c>
      <c r="S431" t="s">
        <v>63</v>
      </c>
      <c r="T431" s="5"/>
      <c r="U431" s="6"/>
      <c r="V431" t="s">
        <v>64</v>
      </c>
      <c r="W431" s="4"/>
      <c r="X431" t="s">
        <v>65</v>
      </c>
      <c r="Z431" t="s">
        <v>66</v>
      </c>
      <c r="AA431" t="str">
        <f>VLOOKUP(H431,Departments!$A:$B,2,0)</f>
        <v>Pulmonology</v>
      </c>
      <c r="AB431" t="str">
        <f>VLOOKUP(J431,Diagnosis_Guide!$A:$B,2,0)</f>
        <v>Pneumonia</v>
      </c>
      <c r="AC431" s="4" t="str">
        <f>VLOOKUP(J431,Diagnosis_Guide!$A:$C,3,0)</f>
        <v>Respiratory</v>
      </c>
      <c r="AD431" s="4" t="str">
        <f>VLOOKUP(R431,Insurance_Plans!$A:$C,3,0)</f>
        <v>Self-Pay</v>
      </c>
      <c r="AE431" s="13" t="str">
        <f t="shared" si="18"/>
        <v/>
      </c>
      <c r="AF431" s="13" t="str">
        <f t="shared" si="19"/>
        <v/>
      </c>
      <c r="AG431" s="4" t="str">
        <f t="shared" si="20"/>
        <v>Not Available</v>
      </c>
    </row>
    <row r="432" spans="1:33">
      <c r="A432" t="s">
        <v>971</v>
      </c>
      <c r="B432" t="s">
        <v>80</v>
      </c>
      <c r="C432" s="11">
        <v>46072</v>
      </c>
      <c r="D432" t="s">
        <v>55</v>
      </c>
      <c r="E432" t="s">
        <v>70</v>
      </c>
      <c r="F432" s="4">
        <v>46073</v>
      </c>
      <c r="G432" s="4">
        <v>46075</v>
      </c>
      <c r="H432" t="s">
        <v>57</v>
      </c>
      <c r="I432" t="s">
        <v>100</v>
      </c>
      <c r="J432" t="s">
        <v>72</v>
      </c>
      <c r="K432" t="s">
        <v>73</v>
      </c>
      <c r="L432" t="s">
        <v>94</v>
      </c>
      <c r="M432" s="5">
        <v>7400</v>
      </c>
      <c r="N432" s="5">
        <v>1150</v>
      </c>
      <c r="O432" s="5">
        <v>1700</v>
      </c>
      <c r="P432" s="5">
        <v>6000</v>
      </c>
      <c r="Q432" s="13">
        <v>18250</v>
      </c>
      <c r="R432" t="s">
        <v>95</v>
      </c>
      <c r="S432" t="s">
        <v>63</v>
      </c>
      <c r="T432" s="5">
        <v>18250</v>
      </c>
      <c r="U432" s="6">
        <v>5</v>
      </c>
      <c r="V432" t="s">
        <v>64</v>
      </c>
      <c r="W432" s="4"/>
      <c r="X432" t="s">
        <v>65</v>
      </c>
      <c r="Y432" t="s">
        <v>64</v>
      </c>
      <c r="Z432" t="s">
        <v>78</v>
      </c>
      <c r="AA432" t="str">
        <f>VLOOKUP(H432,Departments!$A:$B,2,0)</f>
        <v>Pulmonology</v>
      </c>
      <c r="AB432" t="str">
        <f>VLOOKUP(J432,Diagnosis_Guide!$A:$B,2,0)</f>
        <v>Acute Bronchitis</v>
      </c>
      <c r="AC432" s="4" t="str">
        <f>VLOOKUP(J432,Diagnosis_Guide!$A:$C,3,0)</f>
        <v>Respiratory</v>
      </c>
      <c r="AD432" s="4" t="str">
        <f>VLOOKUP(R432,Insurance_Plans!$A:$C,3,0)</f>
        <v>Self-Pay</v>
      </c>
      <c r="AE432" s="13">
        <f t="shared" si="18"/>
        <v>912.5</v>
      </c>
      <c r="AF432" s="13">
        <f t="shared" si="19"/>
        <v>19162.5</v>
      </c>
      <c r="AG432" s="4" t="str">
        <f t="shared" si="20"/>
        <v>High</v>
      </c>
    </row>
    <row r="433" spans="1:33">
      <c r="A433" t="s">
        <v>972</v>
      </c>
      <c r="B433" t="s">
        <v>973</v>
      </c>
      <c r="C433" s="11">
        <v>46149</v>
      </c>
      <c r="D433" t="s">
        <v>242</v>
      </c>
      <c r="E433" t="s">
        <v>70</v>
      </c>
      <c r="F433" s="4">
        <v>46149</v>
      </c>
      <c r="G433" s="4">
        <v>46150</v>
      </c>
      <c r="H433" t="s">
        <v>201</v>
      </c>
      <c r="I433" t="s">
        <v>421</v>
      </c>
      <c r="J433" t="s">
        <v>295</v>
      </c>
      <c r="K433" t="s">
        <v>124</v>
      </c>
      <c r="L433" t="s">
        <v>74</v>
      </c>
      <c r="M433" s="5">
        <v>67800</v>
      </c>
      <c r="N433" s="5">
        <v>7000</v>
      </c>
      <c r="O433" s="5">
        <v>10900</v>
      </c>
      <c r="P433" s="5">
        <v>3000</v>
      </c>
      <c r="Q433" s="13">
        <v>89700</v>
      </c>
      <c r="R433" t="s">
        <v>95</v>
      </c>
      <c r="S433" t="s">
        <v>63</v>
      </c>
      <c r="T433" s="5">
        <v>89700</v>
      </c>
      <c r="U433" s="6">
        <v>3</v>
      </c>
      <c r="V433" t="s">
        <v>77</v>
      </c>
      <c r="W433" s="4">
        <v>46169</v>
      </c>
      <c r="X433" t="s">
        <v>77</v>
      </c>
      <c r="Y433" t="s">
        <v>64</v>
      </c>
      <c r="Z433" t="s">
        <v>96</v>
      </c>
      <c r="AA433" t="str">
        <f>VLOOKUP(H433,Departments!$A:$B,2,0)</f>
        <v>Emergency</v>
      </c>
      <c r="AB433" t="str">
        <f>VLOOKUP(J433,Diagnosis_Guide!$A:$B,2,0)</f>
        <v>Accident Injury</v>
      </c>
      <c r="AC433" s="4" t="str">
        <f>VLOOKUP(J433,Diagnosis_Guide!$A:$C,3,0)</f>
        <v>Emergency</v>
      </c>
      <c r="AD433" s="4" t="str">
        <f>VLOOKUP(R433,Insurance_Plans!$A:$C,3,0)</f>
        <v>Self-Pay</v>
      </c>
      <c r="AE433" s="13">
        <f t="shared" si="18"/>
        <v>4485</v>
      </c>
      <c r="AF433" s="13">
        <f t="shared" si="19"/>
        <v>94185</v>
      </c>
      <c r="AG433" s="4" t="str">
        <f t="shared" si="20"/>
        <v>Medium</v>
      </c>
    </row>
    <row r="434" spans="1:33">
      <c r="A434" t="s">
        <v>974</v>
      </c>
      <c r="B434" t="s">
        <v>903</v>
      </c>
      <c r="C434" s="11">
        <v>46116</v>
      </c>
      <c r="D434" t="s">
        <v>120</v>
      </c>
      <c r="E434" t="s">
        <v>70</v>
      </c>
      <c r="F434" s="4">
        <v>46116</v>
      </c>
      <c r="G434" s="4">
        <v>46117</v>
      </c>
      <c r="H434" t="s">
        <v>201</v>
      </c>
      <c r="I434" t="s">
        <v>515</v>
      </c>
      <c r="J434" t="s">
        <v>281</v>
      </c>
      <c r="K434" t="s">
        <v>124</v>
      </c>
      <c r="L434" t="s">
        <v>61</v>
      </c>
      <c r="M434" s="5">
        <v>7700</v>
      </c>
      <c r="N434" s="5">
        <v>750</v>
      </c>
      <c r="O434" s="5">
        <v>1900</v>
      </c>
      <c r="P434" s="5">
        <v>3000</v>
      </c>
      <c r="Q434" s="13">
        <v>14550</v>
      </c>
      <c r="R434" t="s">
        <v>106</v>
      </c>
      <c r="S434" t="s">
        <v>76</v>
      </c>
      <c r="T434" s="5">
        <v>5790</v>
      </c>
      <c r="U434" s="6">
        <v>3</v>
      </c>
      <c r="V434" t="s">
        <v>64</v>
      </c>
      <c r="W434" s="4"/>
      <c r="X434" t="s">
        <v>65</v>
      </c>
      <c r="Y434" t="s">
        <v>64</v>
      </c>
      <c r="Z434" t="s">
        <v>78</v>
      </c>
      <c r="AA434" t="str">
        <f>VLOOKUP(H434,Departments!$A:$B,2,0)</f>
        <v>Emergency</v>
      </c>
      <c r="AB434" t="str">
        <f>VLOOKUP(J434,Diagnosis_Guide!$A:$B,2,0)</f>
        <v>Food Poisoning</v>
      </c>
      <c r="AC434" s="4" t="str">
        <f>VLOOKUP(J434,Diagnosis_Guide!$A:$C,3,0)</f>
        <v>Emergency</v>
      </c>
      <c r="AD434" s="4" t="str">
        <f>VLOOKUP(R434,Insurance_Plans!$A:$C,3,0)</f>
        <v>Private</v>
      </c>
      <c r="AE434" s="13">
        <f t="shared" si="18"/>
        <v>727.5</v>
      </c>
      <c r="AF434" s="13">
        <f t="shared" si="19"/>
        <v>15277.5</v>
      </c>
      <c r="AG434" s="4" t="str">
        <f t="shared" si="20"/>
        <v>Medium</v>
      </c>
    </row>
    <row r="435" spans="1:33">
      <c r="A435" t="s">
        <v>975</v>
      </c>
      <c r="B435" t="s">
        <v>976</v>
      </c>
      <c r="C435" s="11">
        <v>46027</v>
      </c>
      <c r="D435" t="s">
        <v>298</v>
      </c>
      <c r="E435" t="s">
        <v>338</v>
      </c>
      <c r="F435" s="4"/>
      <c r="G435" s="4"/>
      <c r="H435" t="s">
        <v>121</v>
      </c>
      <c r="I435" t="s">
        <v>665</v>
      </c>
      <c r="J435" t="s">
        <v>252</v>
      </c>
      <c r="K435" t="s">
        <v>60</v>
      </c>
      <c r="L435" t="s">
        <v>61</v>
      </c>
      <c r="M435" s="5"/>
      <c r="N435" s="5"/>
      <c r="O435" s="5"/>
      <c r="P435" s="5"/>
      <c r="R435" t="s">
        <v>95</v>
      </c>
      <c r="S435" t="s">
        <v>63</v>
      </c>
      <c r="T435" s="5"/>
      <c r="U435" s="6"/>
      <c r="V435" t="s">
        <v>64</v>
      </c>
      <c r="W435" s="4"/>
      <c r="X435" t="s">
        <v>65</v>
      </c>
      <c r="Z435" t="s">
        <v>66</v>
      </c>
      <c r="AA435" t="str">
        <f>VLOOKUP(H435,Departments!$A:$B,2,0)</f>
        <v>Neurology</v>
      </c>
      <c r="AB435" t="str">
        <f>VLOOKUP(J435,Diagnosis_Guide!$A:$B,2,0)</f>
        <v>Stroke Assessment</v>
      </c>
      <c r="AC435" s="4" t="str">
        <f>VLOOKUP(J435,Diagnosis_Guide!$A:$C,3,0)</f>
        <v>Neurological</v>
      </c>
      <c r="AD435" s="4" t="str">
        <f>VLOOKUP(R435,Insurance_Plans!$A:$C,3,0)</f>
        <v>Self-Pay</v>
      </c>
      <c r="AE435" s="13" t="str">
        <f t="shared" si="18"/>
        <v/>
      </c>
      <c r="AF435" s="13" t="str">
        <f t="shared" si="19"/>
        <v/>
      </c>
      <c r="AG435" s="4" t="str">
        <f t="shared" si="20"/>
        <v>Not Available</v>
      </c>
    </row>
    <row r="436" spans="1:33">
      <c r="A436" t="s">
        <v>977</v>
      </c>
      <c r="B436" t="s">
        <v>978</v>
      </c>
      <c r="C436" s="11">
        <v>46133</v>
      </c>
      <c r="D436" t="s">
        <v>144</v>
      </c>
      <c r="E436" t="s">
        <v>70</v>
      </c>
      <c r="F436" s="4">
        <v>46133</v>
      </c>
      <c r="G436" s="4">
        <v>46134</v>
      </c>
      <c r="H436" t="s">
        <v>103</v>
      </c>
      <c r="I436" t="s">
        <v>243</v>
      </c>
      <c r="J436" t="s">
        <v>145</v>
      </c>
      <c r="K436" t="s">
        <v>60</v>
      </c>
      <c r="L436" t="s">
        <v>61</v>
      </c>
      <c r="M436" s="5">
        <v>31100</v>
      </c>
      <c r="N436" s="5">
        <v>4200</v>
      </c>
      <c r="O436" s="5">
        <v>3400</v>
      </c>
      <c r="P436" s="5">
        <v>2500</v>
      </c>
      <c r="Q436" s="13">
        <v>43000</v>
      </c>
      <c r="R436" t="s">
        <v>106</v>
      </c>
      <c r="S436" t="s">
        <v>76</v>
      </c>
      <c r="T436" s="5">
        <v>15750</v>
      </c>
      <c r="U436" s="6">
        <v>4</v>
      </c>
      <c r="V436" t="s">
        <v>64</v>
      </c>
      <c r="W436" s="4"/>
      <c r="X436" t="s">
        <v>65</v>
      </c>
      <c r="Y436" t="s">
        <v>64</v>
      </c>
      <c r="Z436" t="s">
        <v>78</v>
      </c>
      <c r="AA436" t="str">
        <f>VLOOKUP(H436,Departments!$A:$B,2,0)</f>
        <v>Nephrology</v>
      </c>
      <c r="AB436" t="str">
        <f>VLOOKUP(J436,Diagnosis_Guide!$A:$B,2,0)</f>
        <v>Kidney Stone</v>
      </c>
      <c r="AC436" s="4" t="str">
        <f>VLOOKUP(J436,Diagnosis_Guide!$A:$C,3,0)</f>
        <v>Renal</v>
      </c>
      <c r="AD436" s="4" t="str">
        <f>VLOOKUP(R436,Insurance_Plans!$A:$C,3,0)</f>
        <v>Private</v>
      </c>
      <c r="AE436" s="13">
        <f t="shared" si="18"/>
        <v>2150</v>
      </c>
      <c r="AF436" s="13">
        <f t="shared" si="19"/>
        <v>45150</v>
      </c>
      <c r="AG436" s="4" t="str">
        <f t="shared" si="20"/>
        <v>High</v>
      </c>
    </row>
    <row r="437" spans="1:33">
      <c r="A437" t="s">
        <v>979</v>
      </c>
      <c r="B437" t="s">
        <v>980</v>
      </c>
      <c r="C437" s="11">
        <v>46073</v>
      </c>
      <c r="D437" t="s">
        <v>469</v>
      </c>
      <c r="E437" t="s">
        <v>70</v>
      </c>
      <c r="F437" s="4">
        <v>46073</v>
      </c>
      <c r="G437" s="4">
        <v>46076</v>
      </c>
      <c r="H437" t="s">
        <v>138</v>
      </c>
      <c r="I437" t="s">
        <v>235</v>
      </c>
      <c r="J437" t="s">
        <v>140</v>
      </c>
      <c r="K437" t="s">
        <v>73</v>
      </c>
      <c r="L437" t="s">
        <v>61</v>
      </c>
      <c r="M437" s="5">
        <v>15900</v>
      </c>
      <c r="N437" s="5">
        <v>2800</v>
      </c>
      <c r="O437" s="5">
        <v>2750</v>
      </c>
      <c r="P437" s="5">
        <v>18000</v>
      </c>
      <c r="Q437" s="13">
        <v>40450</v>
      </c>
      <c r="R437" t="s">
        <v>141</v>
      </c>
      <c r="S437" t="s">
        <v>76</v>
      </c>
      <c r="T437" s="5">
        <v>7270</v>
      </c>
      <c r="U437" s="6">
        <v>4</v>
      </c>
      <c r="V437" t="s">
        <v>64</v>
      </c>
      <c r="W437" s="4"/>
      <c r="X437" t="s">
        <v>65</v>
      </c>
      <c r="Y437" t="s">
        <v>64</v>
      </c>
      <c r="Z437" t="s">
        <v>78</v>
      </c>
      <c r="AA437" t="str">
        <f>VLOOKUP(H437,Departments!$A:$B,2,0)</f>
        <v>Pediatrics</v>
      </c>
      <c r="AB437" t="str">
        <f>VLOOKUP(J437,Diagnosis_Guide!$A:$B,2,0)</f>
        <v>Pediatric Asthma</v>
      </c>
      <c r="AC437" s="4" t="str">
        <f>VLOOKUP(J437,Diagnosis_Guide!$A:$C,3,0)</f>
        <v>Pediatric</v>
      </c>
      <c r="AD437" s="4" t="str">
        <f>VLOOKUP(R437,Insurance_Plans!$A:$C,3,0)</f>
        <v>Private</v>
      </c>
      <c r="AE437" s="13">
        <f t="shared" si="18"/>
        <v>2022.5</v>
      </c>
      <c r="AF437" s="13">
        <f t="shared" si="19"/>
        <v>42472.5</v>
      </c>
      <c r="AG437" s="4" t="str">
        <f t="shared" si="20"/>
        <v>High</v>
      </c>
    </row>
    <row r="438" spans="1:33">
      <c r="A438" t="s">
        <v>981</v>
      </c>
      <c r="B438" t="s">
        <v>982</v>
      </c>
      <c r="C438" s="11">
        <v>46032</v>
      </c>
      <c r="D438" t="s">
        <v>337</v>
      </c>
      <c r="E438" t="s">
        <v>70</v>
      </c>
      <c r="F438" s="4">
        <v>46032</v>
      </c>
      <c r="G438" s="4">
        <v>46032</v>
      </c>
      <c r="H438" t="s">
        <v>82</v>
      </c>
      <c r="I438" t="s">
        <v>272</v>
      </c>
      <c r="J438" t="s">
        <v>156</v>
      </c>
      <c r="K438" t="s">
        <v>60</v>
      </c>
      <c r="L438" t="s">
        <v>94</v>
      </c>
      <c r="M438" s="5">
        <v>93100</v>
      </c>
      <c r="N438" s="5">
        <v>13650</v>
      </c>
      <c r="O438" s="5">
        <v>21450</v>
      </c>
      <c r="P438" s="5">
        <v>0</v>
      </c>
      <c r="Q438" s="13">
        <v>130000</v>
      </c>
      <c r="R438" t="s">
        <v>95</v>
      </c>
      <c r="S438" t="s">
        <v>63</v>
      </c>
      <c r="T438" s="5">
        <v>130000</v>
      </c>
      <c r="U438" s="6">
        <v>5</v>
      </c>
      <c r="V438" t="s">
        <v>77</v>
      </c>
      <c r="W438" s="4">
        <v>46050</v>
      </c>
      <c r="X438" t="s">
        <v>77</v>
      </c>
      <c r="Y438" t="s">
        <v>64</v>
      </c>
      <c r="Z438" t="s">
        <v>78</v>
      </c>
      <c r="AA438" t="str">
        <f>VLOOKUP(H438,Departments!$A:$B,2,0)</f>
        <v>Orthopedics</v>
      </c>
      <c r="AB438" t="str">
        <f>VLOOKUP(J438,Diagnosis_Guide!$A:$B,2,0)</f>
        <v>Spinal Injury</v>
      </c>
      <c r="AC438" s="4" t="str">
        <f>VLOOKUP(J438,Diagnosis_Guide!$A:$C,3,0)</f>
        <v>Musculoskeletal</v>
      </c>
      <c r="AD438" s="4" t="str">
        <f>VLOOKUP(R438,Insurance_Plans!$A:$C,3,0)</f>
        <v>Self-Pay</v>
      </c>
      <c r="AE438" s="13">
        <f t="shared" si="18"/>
        <v>6500</v>
      </c>
      <c r="AF438" s="13">
        <f t="shared" si="19"/>
        <v>136500</v>
      </c>
      <c r="AG438" s="4" t="str">
        <f t="shared" si="20"/>
        <v>High</v>
      </c>
    </row>
    <row r="439" spans="1:33">
      <c r="A439" t="s">
        <v>983</v>
      </c>
      <c r="B439" t="s">
        <v>984</v>
      </c>
      <c r="C439" s="11">
        <v>46087</v>
      </c>
      <c r="D439" t="s">
        <v>110</v>
      </c>
      <c r="E439" t="s">
        <v>70</v>
      </c>
      <c r="F439" s="4">
        <v>46087</v>
      </c>
      <c r="G439" s="4">
        <v>46088</v>
      </c>
      <c r="H439" t="s">
        <v>57</v>
      </c>
      <c r="I439" t="s">
        <v>184</v>
      </c>
      <c r="J439" t="s">
        <v>72</v>
      </c>
      <c r="K439" t="s">
        <v>60</v>
      </c>
      <c r="L439" t="s">
        <v>61</v>
      </c>
      <c r="M439" s="5">
        <v>8400</v>
      </c>
      <c r="N439" s="5">
        <v>1300</v>
      </c>
      <c r="O439" s="5">
        <v>1900</v>
      </c>
      <c r="P439" s="5">
        <v>4500</v>
      </c>
      <c r="Q439" s="13">
        <v>17300</v>
      </c>
      <c r="R439" t="s">
        <v>95</v>
      </c>
      <c r="S439" t="s">
        <v>63</v>
      </c>
      <c r="T439" s="5">
        <v>17300</v>
      </c>
      <c r="U439" s="6">
        <v>5</v>
      </c>
      <c r="V439" t="s">
        <v>77</v>
      </c>
      <c r="W439" s="4">
        <v>46098</v>
      </c>
      <c r="X439" t="s">
        <v>77</v>
      </c>
      <c r="Y439" t="s">
        <v>64</v>
      </c>
      <c r="Z439" t="s">
        <v>96</v>
      </c>
      <c r="AA439" t="str">
        <f>VLOOKUP(H439,Departments!$A:$B,2,0)</f>
        <v>Pulmonology</v>
      </c>
      <c r="AB439" t="str">
        <f>VLOOKUP(J439,Diagnosis_Guide!$A:$B,2,0)</f>
        <v>Acute Bronchitis</v>
      </c>
      <c r="AC439" s="4" t="str">
        <f>VLOOKUP(J439,Diagnosis_Guide!$A:$C,3,0)</f>
        <v>Respiratory</v>
      </c>
      <c r="AD439" s="4" t="str">
        <f>VLOOKUP(R439,Insurance_Plans!$A:$C,3,0)</f>
        <v>Self-Pay</v>
      </c>
      <c r="AE439" s="13">
        <f t="shared" si="18"/>
        <v>865</v>
      </c>
      <c r="AF439" s="13">
        <f t="shared" si="19"/>
        <v>18165</v>
      </c>
      <c r="AG439" s="4" t="str">
        <f t="shared" si="20"/>
        <v>High</v>
      </c>
    </row>
    <row r="440" spans="1:33">
      <c r="A440" t="s">
        <v>985</v>
      </c>
      <c r="B440" t="s">
        <v>986</v>
      </c>
      <c r="C440" s="11">
        <v>46146</v>
      </c>
      <c r="D440" t="s">
        <v>259</v>
      </c>
      <c r="E440" t="s">
        <v>70</v>
      </c>
      <c r="F440" s="4">
        <v>46146</v>
      </c>
      <c r="G440" s="4">
        <v>46150</v>
      </c>
      <c r="H440" t="s">
        <v>90</v>
      </c>
      <c r="I440" t="s">
        <v>162</v>
      </c>
      <c r="J440" t="s">
        <v>129</v>
      </c>
      <c r="K440" t="s">
        <v>93</v>
      </c>
      <c r="L440" t="s">
        <v>61</v>
      </c>
      <c r="M440" s="5">
        <v>30800</v>
      </c>
      <c r="N440" s="5">
        <v>4100</v>
      </c>
      <c r="O440" s="5">
        <v>6700</v>
      </c>
      <c r="P440" s="5">
        <v>14000</v>
      </c>
      <c r="Q440" s="13">
        <v>56800</v>
      </c>
      <c r="R440" t="s">
        <v>75</v>
      </c>
      <c r="S440" t="s">
        <v>86</v>
      </c>
      <c r="T440" s="5">
        <v>25860</v>
      </c>
      <c r="U440" s="6">
        <v>4</v>
      </c>
      <c r="V440" t="s">
        <v>77</v>
      </c>
      <c r="W440" s="4">
        <v>46168</v>
      </c>
      <c r="X440" t="s">
        <v>77</v>
      </c>
      <c r="Y440" t="s">
        <v>64</v>
      </c>
      <c r="Z440" t="s">
        <v>436</v>
      </c>
      <c r="AA440" t="str">
        <f>VLOOKUP(H440,Departments!$A:$B,2,0)</f>
        <v>Cardiology</v>
      </c>
      <c r="AB440" t="str">
        <f>VLOOKUP(J440,Diagnosis_Guide!$A:$B,2,0)</f>
        <v>Hypertension Crisis</v>
      </c>
      <c r="AC440" s="4" t="str">
        <f>VLOOKUP(J440,Diagnosis_Guide!$A:$C,3,0)</f>
        <v>Cardiovascular</v>
      </c>
      <c r="AD440" s="4" t="str">
        <f>VLOOKUP(R440,Insurance_Plans!$A:$C,3,0)</f>
        <v>Public</v>
      </c>
      <c r="AE440" s="13">
        <f t="shared" si="18"/>
        <v>2840</v>
      </c>
      <c r="AF440" s="13">
        <f t="shared" si="19"/>
        <v>59640</v>
      </c>
      <c r="AG440" s="4" t="str">
        <f t="shared" si="20"/>
        <v>High</v>
      </c>
    </row>
    <row r="441" spans="1:33">
      <c r="A441" t="s">
        <v>987</v>
      </c>
      <c r="B441" t="s">
        <v>988</v>
      </c>
      <c r="C441" s="11">
        <v>46096</v>
      </c>
      <c r="D441" t="s">
        <v>161</v>
      </c>
      <c r="E441" t="s">
        <v>70</v>
      </c>
      <c r="F441" s="4">
        <v>46096</v>
      </c>
      <c r="G441" s="4">
        <v>46096</v>
      </c>
      <c r="H441" t="s">
        <v>57</v>
      </c>
      <c r="I441" t="s">
        <v>169</v>
      </c>
      <c r="J441" t="s">
        <v>59</v>
      </c>
      <c r="K441" t="s">
        <v>60</v>
      </c>
      <c r="L441" t="s">
        <v>94</v>
      </c>
      <c r="M441" s="5">
        <v>44800</v>
      </c>
      <c r="N441" s="5">
        <v>5900</v>
      </c>
      <c r="O441" s="5">
        <v>9200</v>
      </c>
      <c r="P441" s="5">
        <v>0</v>
      </c>
      <c r="Q441" s="13">
        <v>60700</v>
      </c>
      <c r="R441" t="s">
        <v>85</v>
      </c>
      <c r="S441" t="s">
        <v>76</v>
      </c>
      <c r="T441" s="5">
        <v>16080</v>
      </c>
      <c r="U441" s="6">
        <v>4</v>
      </c>
      <c r="V441" t="s">
        <v>77</v>
      </c>
      <c r="W441" s="4">
        <v>46116</v>
      </c>
      <c r="X441" t="s">
        <v>77</v>
      </c>
      <c r="Y441" t="s">
        <v>64</v>
      </c>
      <c r="Z441" t="s">
        <v>78</v>
      </c>
      <c r="AA441" t="str">
        <f>VLOOKUP(H441,Departments!$A:$B,2,0)</f>
        <v>Pulmonology</v>
      </c>
      <c r="AB441" t="str">
        <f>VLOOKUP(J441,Diagnosis_Guide!$A:$B,2,0)</f>
        <v>Pneumonia</v>
      </c>
      <c r="AC441" s="4" t="str">
        <f>VLOOKUP(J441,Diagnosis_Guide!$A:$C,3,0)</f>
        <v>Respiratory</v>
      </c>
      <c r="AD441" s="4" t="str">
        <f>VLOOKUP(R441,Insurance_Plans!$A:$C,3,0)</f>
        <v>Employer</v>
      </c>
      <c r="AE441" s="13">
        <f t="shared" si="18"/>
        <v>3035</v>
      </c>
      <c r="AF441" s="13">
        <f t="shared" si="19"/>
        <v>63735</v>
      </c>
      <c r="AG441" s="4" t="str">
        <f t="shared" si="20"/>
        <v>High</v>
      </c>
    </row>
    <row r="442" spans="1:33">
      <c r="A442" t="s">
        <v>989</v>
      </c>
      <c r="B442" t="s">
        <v>990</v>
      </c>
      <c r="C442" s="11">
        <v>46130</v>
      </c>
      <c r="D442" t="s">
        <v>132</v>
      </c>
      <c r="E442" t="s">
        <v>70</v>
      </c>
      <c r="F442" s="4">
        <v>46130</v>
      </c>
      <c r="G442" s="4">
        <v>46133</v>
      </c>
      <c r="H442" t="s">
        <v>111</v>
      </c>
      <c r="I442" t="s">
        <v>112</v>
      </c>
      <c r="J442" t="s">
        <v>113</v>
      </c>
      <c r="K442" t="s">
        <v>73</v>
      </c>
      <c r="L442" t="s">
        <v>94</v>
      </c>
      <c r="M442" s="5">
        <v>21200</v>
      </c>
      <c r="N442" s="5">
        <v>3000</v>
      </c>
      <c r="O442" s="5">
        <v>5150</v>
      </c>
      <c r="P442" s="5">
        <v>9000</v>
      </c>
      <c r="Q442" s="13">
        <v>39150</v>
      </c>
      <c r="R442" t="s">
        <v>95</v>
      </c>
      <c r="S442" t="s">
        <v>63</v>
      </c>
      <c r="T442" s="5">
        <v>39150</v>
      </c>
      <c r="U442" s="6">
        <v>4</v>
      </c>
      <c r="V442" t="s">
        <v>77</v>
      </c>
      <c r="W442" s="4">
        <v>46141</v>
      </c>
      <c r="X442" t="s">
        <v>77</v>
      </c>
      <c r="Y442" t="s">
        <v>64</v>
      </c>
      <c r="Z442" t="s">
        <v>96</v>
      </c>
      <c r="AA442" t="str">
        <f>VLOOKUP(H442,Departments!$A:$B,2,0)</f>
        <v>General Medicine</v>
      </c>
      <c r="AB442" t="str">
        <f>VLOOKUP(J442,Diagnosis_Guide!$A:$B,2,0)</f>
        <v>Diabetes Complication</v>
      </c>
      <c r="AC442" s="4" t="str">
        <f>VLOOKUP(J442,Diagnosis_Guide!$A:$C,3,0)</f>
        <v>Endocrine/General</v>
      </c>
      <c r="AD442" s="4" t="str">
        <f>VLOOKUP(R442,Insurance_Plans!$A:$C,3,0)</f>
        <v>Self-Pay</v>
      </c>
      <c r="AE442" s="13">
        <f t="shared" si="18"/>
        <v>1957.5</v>
      </c>
      <c r="AF442" s="13">
        <f t="shared" si="19"/>
        <v>41107.5</v>
      </c>
      <c r="AG442" s="4" t="str">
        <f t="shared" si="20"/>
        <v>High</v>
      </c>
    </row>
    <row r="443" spans="1:33">
      <c r="A443" t="s">
        <v>991</v>
      </c>
      <c r="B443" t="s">
        <v>992</v>
      </c>
      <c r="C443" s="11">
        <v>46144</v>
      </c>
      <c r="D443" t="s">
        <v>419</v>
      </c>
      <c r="E443" t="s">
        <v>70</v>
      </c>
      <c r="F443" s="4">
        <v>46144</v>
      </c>
      <c r="G443" s="4">
        <v>46148</v>
      </c>
      <c r="H443" t="s">
        <v>103</v>
      </c>
      <c r="I443" t="s">
        <v>243</v>
      </c>
      <c r="J443" t="s">
        <v>105</v>
      </c>
      <c r="K443" t="s">
        <v>124</v>
      </c>
      <c r="L443" t="s">
        <v>94</v>
      </c>
      <c r="M443" s="5">
        <v>57900</v>
      </c>
      <c r="N443" s="5">
        <v>9600</v>
      </c>
      <c r="O443" s="5">
        <v>8800</v>
      </c>
      <c r="P443" s="5">
        <v>12000</v>
      </c>
      <c r="Q443" s="13">
        <v>90100</v>
      </c>
      <c r="R443" t="s">
        <v>62</v>
      </c>
      <c r="S443" t="s">
        <v>86</v>
      </c>
      <c r="T443" s="5">
        <v>27430</v>
      </c>
      <c r="U443" s="6">
        <v>2</v>
      </c>
      <c r="V443" t="s">
        <v>77</v>
      </c>
      <c r="W443" s="4">
        <v>46169</v>
      </c>
      <c r="X443" t="s">
        <v>64</v>
      </c>
      <c r="Y443" t="s">
        <v>64</v>
      </c>
      <c r="Z443" t="s">
        <v>107</v>
      </c>
      <c r="AA443" t="str">
        <f>VLOOKUP(H443,Departments!$A:$B,2,0)</f>
        <v>Nephrology</v>
      </c>
      <c r="AB443" t="str">
        <f>VLOOKUP(J443,Diagnosis_Guide!$A:$B,2,0)</f>
        <v>Dialysis Complication</v>
      </c>
      <c r="AC443" s="4" t="str">
        <f>VLOOKUP(J443,Diagnosis_Guide!$A:$C,3,0)</f>
        <v>Renal</v>
      </c>
      <c r="AD443" s="4" t="str">
        <f>VLOOKUP(R443,Insurance_Plans!$A:$C,3,0)</f>
        <v>Public</v>
      </c>
      <c r="AE443" s="13">
        <f t="shared" si="18"/>
        <v>4505</v>
      </c>
      <c r="AF443" s="13">
        <f t="shared" si="19"/>
        <v>94605</v>
      </c>
      <c r="AG443" s="4" t="str">
        <f t="shared" si="20"/>
        <v>Low</v>
      </c>
    </row>
    <row r="444" spans="1:33">
      <c r="A444" t="s">
        <v>993</v>
      </c>
      <c r="B444" t="s">
        <v>994</v>
      </c>
      <c r="C444" s="11">
        <v>46065</v>
      </c>
      <c r="D444" t="s">
        <v>110</v>
      </c>
      <c r="E444" t="s">
        <v>70</v>
      </c>
      <c r="F444" s="4">
        <v>46065</v>
      </c>
      <c r="G444" s="4">
        <v>46067</v>
      </c>
      <c r="H444" t="s">
        <v>138</v>
      </c>
      <c r="I444" t="s">
        <v>352</v>
      </c>
      <c r="J444" t="s">
        <v>261</v>
      </c>
      <c r="K444" t="s">
        <v>73</v>
      </c>
      <c r="L444" t="s">
        <v>146</v>
      </c>
      <c r="M444" s="5">
        <v>6400</v>
      </c>
      <c r="N444" s="5">
        <v>750</v>
      </c>
      <c r="O444" s="5">
        <v>1200</v>
      </c>
      <c r="P444" s="5">
        <v>7000</v>
      </c>
      <c r="Q444" s="13">
        <v>17150</v>
      </c>
      <c r="R444" t="s">
        <v>95</v>
      </c>
      <c r="S444" t="s">
        <v>63</v>
      </c>
      <c r="T444" s="5">
        <v>17150</v>
      </c>
      <c r="U444" s="6">
        <v>4</v>
      </c>
      <c r="V444" t="s">
        <v>77</v>
      </c>
      <c r="W444" s="4">
        <v>46085</v>
      </c>
      <c r="X444" t="s">
        <v>64</v>
      </c>
      <c r="Y444" t="s">
        <v>64</v>
      </c>
      <c r="Z444" t="s">
        <v>436</v>
      </c>
      <c r="AA444" t="str">
        <f>VLOOKUP(H444,Departments!$A:$B,2,0)</f>
        <v>Pediatrics</v>
      </c>
      <c r="AB444" t="str">
        <f>VLOOKUP(J444,Diagnosis_Guide!$A:$B,2,0)</f>
        <v>Child Fever</v>
      </c>
      <c r="AC444" s="4" t="str">
        <f>VLOOKUP(J444,Diagnosis_Guide!$A:$C,3,0)</f>
        <v>Pediatric</v>
      </c>
      <c r="AD444" s="4" t="str">
        <f>VLOOKUP(R444,Insurance_Plans!$A:$C,3,0)</f>
        <v>Self-Pay</v>
      </c>
      <c r="AE444" s="13">
        <f t="shared" si="18"/>
        <v>857.5</v>
      </c>
      <c r="AF444" s="13">
        <f t="shared" si="19"/>
        <v>18007.5</v>
      </c>
      <c r="AG444" s="4" t="str">
        <f t="shared" si="20"/>
        <v>High</v>
      </c>
    </row>
    <row r="445" spans="1:33">
      <c r="A445" t="s">
        <v>995</v>
      </c>
      <c r="B445" t="s">
        <v>996</v>
      </c>
      <c r="C445" s="11">
        <v>46057</v>
      </c>
      <c r="D445" t="s">
        <v>225</v>
      </c>
      <c r="E445" t="s">
        <v>70</v>
      </c>
      <c r="F445" s="4">
        <v>46057</v>
      </c>
      <c r="G445" s="4">
        <v>46059</v>
      </c>
      <c r="H445" t="s">
        <v>201</v>
      </c>
      <c r="I445" t="s">
        <v>421</v>
      </c>
      <c r="J445" t="s">
        <v>281</v>
      </c>
      <c r="K445" t="s">
        <v>124</v>
      </c>
      <c r="L445" t="s">
        <v>61</v>
      </c>
      <c r="M445" s="5">
        <v>7300</v>
      </c>
      <c r="N445" s="5">
        <v>1200</v>
      </c>
      <c r="O445" s="5">
        <v>1800</v>
      </c>
      <c r="P445" s="5">
        <v>5000</v>
      </c>
      <c r="Q445" s="13">
        <v>16300</v>
      </c>
      <c r="R445" t="s">
        <v>95</v>
      </c>
      <c r="S445" t="s">
        <v>63</v>
      </c>
      <c r="T445" s="5">
        <v>16300</v>
      </c>
      <c r="U445" s="6">
        <v>3</v>
      </c>
      <c r="V445" t="s">
        <v>64</v>
      </c>
      <c r="W445" s="4"/>
      <c r="X445" t="s">
        <v>65</v>
      </c>
      <c r="Y445" t="s">
        <v>64</v>
      </c>
      <c r="Z445" t="s">
        <v>78</v>
      </c>
      <c r="AA445" t="str">
        <f>VLOOKUP(H445,Departments!$A:$B,2,0)</f>
        <v>Emergency</v>
      </c>
      <c r="AB445" t="str">
        <f>VLOOKUP(J445,Diagnosis_Guide!$A:$B,2,0)</f>
        <v>Food Poisoning</v>
      </c>
      <c r="AC445" s="4" t="str">
        <f>VLOOKUP(J445,Diagnosis_Guide!$A:$C,3,0)</f>
        <v>Emergency</v>
      </c>
      <c r="AD445" s="4" t="str">
        <f>VLOOKUP(R445,Insurance_Plans!$A:$C,3,0)</f>
        <v>Self-Pay</v>
      </c>
      <c r="AE445" s="13">
        <f t="shared" si="18"/>
        <v>815</v>
      </c>
      <c r="AF445" s="13">
        <f t="shared" si="19"/>
        <v>17115</v>
      </c>
      <c r="AG445" s="4" t="str">
        <f t="shared" si="20"/>
        <v>Medium</v>
      </c>
    </row>
    <row r="446" spans="1:33">
      <c r="A446" t="s">
        <v>997</v>
      </c>
      <c r="B446" t="s">
        <v>752</v>
      </c>
      <c r="C446" s="11">
        <v>46100</v>
      </c>
      <c r="D446" t="s">
        <v>55</v>
      </c>
      <c r="E446" t="s">
        <v>70</v>
      </c>
      <c r="F446" s="4">
        <v>46100</v>
      </c>
      <c r="G446" s="4">
        <v>46106</v>
      </c>
      <c r="H446" t="s">
        <v>57</v>
      </c>
      <c r="I446" t="s">
        <v>184</v>
      </c>
      <c r="J446" t="s">
        <v>170</v>
      </c>
      <c r="K446" t="s">
        <v>73</v>
      </c>
      <c r="L446" t="s">
        <v>94</v>
      </c>
      <c r="M446" s="5">
        <v>62200</v>
      </c>
      <c r="N446" s="5">
        <v>11150</v>
      </c>
      <c r="O446" s="5">
        <v>8300</v>
      </c>
      <c r="P446" s="5">
        <v>27000</v>
      </c>
      <c r="Q446" s="13">
        <v>109850</v>
      </c>
      <c r="R446" t="s">
        <v>62</v>
      </c>
      <c r="S446" t="s">
        <v>86</v>
      </c>
      <c r="T446" s="5">
        <v>33360</v>
      </c>
      <c r="U446" s="6">
        <v>3</v>
      </c>
      <c r="V446" t="s">
        <v>77</v>
      </c>
      <c r="W446" s="4">
        <v>46117</v>
      </c>
      <c r="X446" t="s">
        <v>77</v>
      </c>
      <c r="Y446" t="s">
        <v>64</v>
      </c>
      <c r="Z446" t="s">
        <v>107</v>
      </c>
      <c r="AA446" t="str">
        <f>VLOOKUP(H446,Departments!$A:$B,2,0)</f>
        <v>Pulmonology</v>
      </c>
      <c r="AB446" t="str">
        <f>VLOOKUP(J446,Diagnosis_Guide!$A:$B,2,0)</f>
        <v>COPD Exacerbation</v>
      </c>
      <c r="AC446" s="4" t="str">
        <f>VLOOKUP(J446,Diagnosis_Guide!$A:$C,3,0)</f>
        <v>Respiratory</v>
      </c>
      <c r="AD446" s="4" t="str">
        <f>VLOOKUP(R446,Insurance_Plans!$A:$C,3,0)</f>
        <v>Public</v>
      </c>
      <c r="AE446" s="13">
        <f t="shared" si="18"/>
        <v>5492.5</v>
      </c>
      <c r="AF446" s="13">
        <f t="shared" si="19"/>
        <v>115342.5</v>
      </c>
      <c r="AG446" s="4" t="str">
        <f t="shared" si="20"/>
        <v>Medium</v>
      </c>
    </row>
    <row r="447" spans="1:33">
      <c r="A447" t="s">
        <v>998</v>
      </c>
      <c r="B447" t="s">
        <v>999</v>
      </c>
      <c r="C447" s="11">
        <v>46157</v>
      </c>
      <c r="D447" t="s">
        <v>127</v>
      </c>
      <c r="E447" t="s">
        <v>70</v>
      </c>
      <c r="F447" s="4">
        <v>46157</v>
      </c>
      <c r="G447" s="4">
        <v>46161</v>
      </c>
      <c r="H447" t="s">
        <v>82</v>
      </c>
      <c r="I447" t="s">
        <v>194</v>
      </c>
      <c r="J447" t="s">
        <v>291</v>
      </c>
      <c r="K447" t="s">
        <v>124</v>
      </c>
      <c r="L447" t="s">
        <v>61</v>
      </c>
      <c r="M447" s="5">
        <v>29500</v>
      </c>
      <c r="N447" s="5">
        <v>2800</v>
      </c>
      <c r="O447" s="5">
        <v>6650</v>
      </c>
      <c r="P447" s="5">
        <v>10000</v>
      </c>
      <c r="Q447" s="13">
        <v>50750</v>
      </c>
      <c r="R447" t="s">
        <v>85</v>
      </c>
      <c r="S447" t="s">
        <v>76</v>
      </c>
      <c r="T447" s="5">
        <v>13590</v>
      </c>
      <c r="U447" s="6">
        <v>5</v>
      </c>
      <c r="V447" t="s">
        <v>77</v>
      </c>
      <c r="W447" s="4">
        <v>46179</v>
      </c>
      <c r="X447" t="s">
        <v>77</v>
      </c>
      <c r="Y447" t="s">
        <v>64</v>
      </c>
      <c r="Z447" t="s">
        <v>78</v>
      </c>
      <c r="AA447" t="str">
        <f>VLOOKUP(H447,Departments!$A:$B,2,0)</f>
        <v>Orthopedics</v>
      </c>
      <c r="AB447" t="str">
        <f>VLOOKUP(J447,Diagnosis_Guide!$A:$B,2,0)</f>
        <v>Fracture Repair</v>
      </c>
      <c r="AC447" s="4" t="str">
        <f>VLOOKUP(J447,Diagnosis_Guide!$A:$C,3,0)</f>
        <v>Musculoskeletal</v>
      </c>
      <c r="AD447" s="4" t="str">
        <f>VLOOKUP(R447,Insurance_Plans!$A:$C,3,0)</f>
        <v>Employer</v>
      </c>
      <c r="AE447" s="13">
        <f t="shared" si="18"/>
        <v>2537.5</v>
      </c>
      <c r="AF447" s="13">
        <f t="shared" si="19"/>
        <v>53287.5</v>
      </c>
      <c r="AG447" s="4" t="str">
        <f t="shared" si="20"/>
        <v>High</v>
      </c>
    </row>
    <row r="448" spans="1:33">
      <c r="A448" t="s">
        <v>1000</v>
      </c>
      <c r="B448" t="s">
        <v>481</v>
      </c>
      <c r="C448" s="11">
        <v>46126</v>
      </c>
      <c r="D448" t="s">
        <v>419</v>
      </c>
      <c r="E448" t="s">
        <v>70</v>
      </c>
      <c r="F448" s="4">
        <v>46126</v>
      </c>
      <c r="G448" s="4">
        <v>46126</v>
      </c>
      <c r="H448" t="s">
        <v>82</v>
      </c>
      <c r="I448" t="s">
        <v>155</v>
      </c>
      <c r="J448" t="s">
        <v>84</v>
      </c>
      <c r="K448" t="s">
        <v>60</v>
      </c>
      <c r="L448" t="s">
        <v>61</v>
      </c>
      <c r="M448" s="5">
        <v>7400</v>
      </c>
      <c r="N448" s="5">
        <v>1150</v>
      </c>
      <c r="O448" s="5">
        <v>1150</v>
      </c>
      <c r="P448" s="5">
        <v>0</v>
      </c>
      <c r="Q448" s="13">
        <v>12200</v>
      </c>
      <c r="R448" t="s">
        <v>85</v>
      </c>
      <c r="S448" t="s">
        <v>76</v>
      </c>
      <c r="T448" s="5">
        <v>3950</v>
      </c>
      <c r="U448" s="6">
        <v>4</v>
      </c>
      <c r="V448" t="s">
        <v>64</v>
      </c>
      <c r="W448" s="4"/>
      <c r="X448" t="s">
        <v>65</v>
      </c>
      <c r="Y448" t="s">
        <v>64</v>
      </c>
      <c r="Z448" t="s">
        <v>78</v>
      </c>
      <c r="AA448" t="str">
        <f>VLOOKUP(H448,Departments!$A:$B,2,0)</f>
        <v>Orthopedics</v>
      </c>
      <c r="AB448" t="str">
        <f>VLOOKUP(J448,Diagnosis_Guide!$A:$B,2,0)</f>
        <v>Joint Pain</v>
      </c>
      <c r="AC448" s="4" t="str">
        <f>VLOOKUP(J448,Diagnosis_Guide!$A:$C,3,0)</f>
        <v>Musculoskeletal</v>
      </c>
      <c r="AD448" s="4" t="str">
        <f>VLOOKUP(R448,Insurance_Plans!$A:$C,3,0)</f>
        <v>Employer</v>
      </c>
      <c r="AE448" s="13">
        <f t="shared" si="18"/>
        <v>610</v>
      </c>
      <c r="AF448" s="13">
        <f t="shared" si="19"/>
        <v>12810</v>
      </c>
      <c r="AG448" s="4" t="str">
        <f t="shared" si="20"/>
        <v>High</v>
      </c>
    </row>
    <row r="449" spans="1:33">
      <c r="A449" t="s">
        <v>1001</v>
      </c>
      <c r="B449" t="s">
        <v>583</v>
      </c>
      <c r="C449" s="11">
        <v>46164</v>
      </c>
      <c r="D449" t="s">
        <v>69</v>
      </c>
      <c r="E449" t="s">
        <v>70</v>
      </c>
      <c r="F449" s="4">
        <v>46164</v>
      </c>
      <c r="G449" s="4">
        <v>46167</v>
      </c>
      <c r="H449" t="s">
        <v>178</v>
      </c>
      <c r="I449" t="s">
        <v>415</v>
      </c>
      <c r="J449" t="s">
        <v>358</v>
      </c>
      <c r="K449" t="s">
        <v>93</v>
      </c>
      <c r="L449" t="s">
        <v>74</v>
      </c>
      <c r="M449" s="5">
        <v>46800</v>
      </c>
      <c r="N449" s="5">
        <v>4750</v>
      </c>
      <c r="O449" s="5">
        <v>7800</v>
      </c>
      <c r="P449" s="5">
        <v>9000</v>
      </c>
      <c r="Q449" s="13">
        <v>69150</v>
      </c>
      <c r="R449" t="s">
        <v>62</v>
      </c>
      <c r="S449" t="s">
        <v>76</v>
      </c>
      <c r="T449" s="5">
        <v>21150</v>
      </c>
      <c r="U449" s="6">
        <v>4</v>
      </c>
      <c r="V449" t="s">
        <v>64</v>
      </c>
      <c r="W449" s="4"/>
      <c r="X449" t="s">
        <v>65</v>
      </c>
      <c r="Y449" t="s">
        <v>64</v>
      </c>
      <c r="Z449" t="s">
        <v>96</v>
      </c>
      <c r="AA449" t="str">
        <f>VLOOKUP(H449,Departments!$A:$B,2,0)</f>
        <v>Surgery</v>
      </c>
      <c r="AB449" t="str">
        <f>VLOOKUP(J449,Diagnosis_Guide!$A:$B,2,0)</f>
        <v>Gallbladder Surgery</v>
      </c>
      <c r="AC449" s="4" t="str">
        <f>VLOOKUP(J449,Diagnosis_Guide!$A:$C,3,0)</f>
        <v>Surgical</v>
      </c>
      <c r="AD449" s="4" t="str">
        <f>VLOOKUP(R449,Insurance_Plans!$A:$C,3,0)</f>
        <v>Public</v>
      </c>
      <c r="AE449" s="13">
        <f t="shared" si="18"/>
        <v>3457.5</v>
      </c>
      <c r="AF449" s="13">
        <f t="shared" si="19"/>
        <v>72607.5</v>
      </c>
      <c r="AG449" s="4" t="str">
        <f t="shared" si="20"/>
        <v>High</v>
      </c>
    </row>
    <row r="450" spans="1:33">
      <c r="A450" t="s">
        <v>1002</v>
      </c>
      <c r="B450" t="s">
        <v>547</v>
      </c>
      <c r="C450" s="11">
        <v>46132</v>
      </c>
      <c r="D450" t="s">
        <v>168</v>
      </c>
      <c r="E450" t="s">
        <v>70</v>
      </c>
      <c r="F450" s="4">
        <v>46132</v>
      </c>
      <c r="G450" s="4">
        <v>46136</v>
      </c>
      <c r="H450" t="s">
        <v>201</v>
      </c>
      <c r="I450" t="s">
        <v>421</v>
      </c>
      <c r="J450" t="s">
        <v>203</v>
      </c>
      <c r="K450" t="s">
        <v>124</v>
      </c>
      <c r="L450" t="s">
        <v>61</v>
      </c>
      <c r="M450" s="5">
        <v>39600</v>
      </c>
      <c r="N450" s="5">
        <v>4150</v>
      </c>
      <c r="O450" s="5">
        <v>7400</v>
      </c>
      <c r="P450" s="5">
        <v>24000</v>
      </c>
      <c r="Q450" s="13">
        <v>76150</v>
      </c>
      <c r="R450" t="s">
        <v>75</v>
      </c>
      <c r="S450" t="s">
        <v>76</v>
      </c>
      <c r="T450" s="5">
        <v>34570</v>
      </c>
      <c r="U450" s="6">
        <v>4</v>
      </c>
      <c r="V450" t="s">
        <v>77</v>
      </c>
      <c r="W450" s="4">
        <v>46149</v>
      </c>
      <c r="X450" t="s">
        <v>77</v>
      </c>
      <c r="Y450" t="s">
        <v>64</v>
      </c>
      <c r="Z450" t="s">
        <v>107</v>
      </c>
      <c r="AA450" t="str">
        <f>VLOOKUP(H450,Departments!$A:$B,2,0)</f>
        <v>Emergency</v>
      </c>
      <c r="AB450" t="str">
        <f>VLOOKUP(J450,Diagnosis_Guide!$A:$B,2,0)</f>
        <v>Trauma Observation</v>
      </c>
      <c r="AC450" s="4" t="str">
        <f>VLOOKUP(J450,Diagnosis_Guide!$A:$C,3,0)</f>
        <v>Emergency</v>
      </c>
      <c r="AD450" s="4" t="str">
        <f>VLOOKUP(R450,Insurance_Plans!$A:$C,3,0)</f>
        <v>Public</v>
      </c>
      <c r="AE450" s="13">
        <f t="shared" ref="AE450:AE513" si="21">IF(Q450="","",Q450*0.05)</f>
        <v>3807.5</v>
      </c>
      <c r="AF450" s="13">
        <f t="shared" ref="AF450:AF513" si="22">IF(Q450="","",Q450+AE450)</f>
        <v>79957.5</v>
      </c>
      <c r="AG450" s="4" t="str">
        <f t="shared" ref="AG450:AG513" si="23">IF(U450="","Not Available",IF(U450&gt;=4,"High",IF(U450=3,"Medium","Low")))</f>
        <v>High</v>
      </c>
    </row>
    <row r="451" spans="1:33">
      <c r="A451" t="s">
        <v>1003</v>
      </c>
      <c r="B451" t="s">
        <v>659</v>
      </c>
      <c r="C451" s="11">
        <v>46087</v>
      </c>
      <c r="D451" t="s">
        <v>242</v>
      </c>
      <c r="E451" t="s">
        <v>70</v>
      </c>
      <c r="F451" s="4">
        <v>46088</v>
      </c>
      <c r="G451" s="4">
        <v>46091</v>
      </c>
      <c r="H451" t="s">
        <v>103</v>
      </c>
      <c r="I451" t="s">
        <v>364</v>
      </c>
      <c r="J451" t="s">
        <v>244</v>
      </c>
      <c r="K451" t="s">
        <v>124</v>
      </c>
      <c r="L451" t="s">
        <v>61</v>
      </c>
      <c r="M451" s="5">
        <v>44500</v>
      </c>
      <c r="N451" s="5">
        <v>6100</v>
      </c>
      <c r="O451" s="5">
        <v>7400</v>
      </c>
      <c r="P451" s="5">
        <v>9000</v>
      </c>
      <c r="Q451" s="13">
        <v>67800</v>
      </c>
      <c r="R451" t="s">
        <v>75</v>
      </c>
      <c r="S451" t="s">
        <v>76</v>
      </c>
      <c r="T451" s="5">
        <v>30810</v>
      </c>
      <c r="U451" s="6">
        <v>5</v>
      </c>
      <c r="V451" t="s">
        <v>64</v>
      </c>
      <c r="W451" s="4"/>
      <c r="X451" t="s">
        <v>65</v>
      </c>
      <c r="Y451" t="s">
        <v>64</v>
      </c>
      <c r="Z451" t="s">
        <v>96</v>
      </c>
      <c r="AA451" t="str">
        <f>VLOOKUP(H451,Departments!$A:$B,2,0)</f>
        <v>Nephrology</v>
      </c>
      <c r="AB451" t="str">
        <f>VLOOKUP(J451,Diagnosis_Guide!$A:$B,2,0)</f>
        <v>Chronic Kidney Disease</v>
      </c>
      <c r="AC451" s="4" t="str">
        <f>VLOOKUP(J451,Diagnosis_Guide!$A:$C,3,0)</f>
        <v>Renal</v>
      </c>
      <c r="AD451" s="4" t="str">
        <f>VLOOKUP(R451,Insurance_Plans!$A:$C,3,0)</f>
        <v>Public</v>
      </c>
      <c r="AE451" s="13">
        <f t="shared" si="21"/>
        <v>3390</v>
      </c>
      <c r="AF451" s="13">
        <f t="shared" si="22"/>
        <v>71190</v>
      </c>
      <c r="AG451" s="4" t="str">
        <f t="shared" si="23"/>
        <v>High</v>
      </c>
    </row>
    <row r="452" spans="1:33">
      <c r="A452" t="s">
        <v>1004</v>
      </c>
      <c r="B452" t="s">
        <v>934</v>
      </c>
      <c r="C452" s="11">
        <v>46085</v>
      </c>
      <c r="D452" t="s">
        <v>298</v>
      </c>
      <c r="E452" t="s">
        <v>70</v>
      </c>
      <c r="F452" s="4">
        <v>46085</v>
      </c>
      <c r="G452" s="4">
        <v>46086</v>
      </c>
      <c r="H452" t="s">
        <v>201</v>
      </c>
      <c r="I452" t="s">
        <v>280</v>
      </c>
      <c r="J452" t="s">
        <v>295</v>
      </c>
      <c r="K452" t="s">
        <v>60</v>
      </c>
      <c r="L452" t="s">
        <v>61</v>
      </c>
      <c r="M452" s="5">
        <v>51100</v>
      </c>
      <c r="N452" s="5">
        <v>6900</v>
      </c>
      <c r="O452" s="5">
        <v>6450</v>
      </c>
      <c r="P452" s="5">
        <v>2500</v>
      </c>
      <c r="Q452" s="13">
        <v>67950</v>
      </c>
      <c r="R452" t="s">
        <v>106</v>
      </c>
      <c r="S452" t="s">
        <v>76</v>
      </c>
      <c r="T452" s="5">
        <v>24480</v>
      </c>
      <c r="U452" s="6">
        <v>4</v>
      </c>
      <c r="V452" t="s">
        <v>77</v>
      </c>
      <c r="W452" s="4">
        <v>46103</v>
      </c>
      <c r="X452" t="s">
        <v>64</v>
      </c>
      <c r="Y452" t="s">
        <v>64</v>
      </c>
      <c r="Z452" t="s">
        <v>78</v>
      </c>
      <c r="AA452" t="str">
        <f>VLOOKUP(H452,Departments!$A:$B,2,0)</f>
        <v>Emergency</v>
      </c>
      <c r="AB452" t="str">
        <f>VLOOKUP(J452,Diagnosis_Guide!$A:$B,2,0)</f>
        <v>Accident Injury</v>
      </c>
      <c r="AC452" s="4" t="str">
        <f>VLOOKUP(J452,Diagnosis_Guide!$A:$C,3,0)</f>
        <v>Emergency</v>
      </c>
      <c r="AD452" s="4" t="str">
        <f>VLOOKUP(R452,Insurance_Plans!$A:$C,3,0)</f>
        <v>Private</v>
      </c>
      <c r="AE452" s="13">
        <f t="shared" si="21"/>
        <v>3397.5</v>
      </c>
      <c r="AF452" s="13">
        <f t="shared" si="22"/>
        <v>71347.5</v>
      </c>
      <c r="AG452" s="4" t="str">
        <f t="shared" si="23"/>
        <v>High</v>
      </c>
    </row>
    <row r="453" spans="1:33">
      <c r="A453" t="s">
        <v>1005</v>
      </c>
      <c r="B453" t="s">
        <v>474</v>
      </c>
      <c r="C453" s="11">
        <v>46070</v>
      </c>
      <c r="D453" t="s">
        <v>363</v>
      </c>
      <c r="E453" t="s">
        <v>56</v>
      </c>
      <c r="F453" s="4"/>
      <c r="G453" s="4"/>
      <c r="H453" t="s">
        <v>57</v>
      </c>
      <c r="I453" t="s">
        <v>184</v>
      </c>
      <c r="J453" t="s">
        <v>72</v>
      </c>
      <c r="K453" t="s">
        <v>93</v>
      </c>
      <c r="L453" t="s">
        <v>94</v>
      </c>
      <c r="M453" s="5"/>
      <c r="N453" s="5"/>
      <c r="O453" s="5"/>
      <c r="P453" s="5"/>
      <c r="R453" t="s">
        <v>134</v>
      </c>
      <c r="S453" t="s">
        <v>63</v>
      </c>
      <c r="T453" s="5"/>
      <c r="U453" s="6"/>
      <c r="V453" t="s">
        <v>64</v>
      </c>
      <c r="W453" s="4"/>
      <c r="X453" t="s">
        <v>65</v>
      </c>
      <c r="Z453" t="s">
        <v>66</v>
      </c>
      <c r="AA453" t="str">
        <f>VLOOKUP(H453,Departments!$A:$B,2,0)</f>
        <v>Pulmonology</v>
      </c>
      <c r="AB453" t="str">
        <f>VLOOKUP(J453,Diagnosis_Guide!$A:$B,2,0)</f>
        <v>Acute Bronchitis</v>
      </c>
      <c r="AC453" s="4" t="str">
        <f>VLOOKUP(J453,Diagnosis_Guide!$A:$C,3,0)</f>
        <v>Respiratory</v>
      </c>
      <c r="AD453" s="4" t="str">
        <f>VLOOKUP(R453,Insurance_Plans!$A:$C,3,0)</f>
        <v>Community</v>
      </c>
      <c r="AE453" s="13" t="str">
        <f t="shared" si="21"/>
        <v/>
      </c>
      <c r="AF453" s="13" t="str">
        <f t="shared" si="22"/>
        <v/>
      </c>
      <c r="AG453" s="4" t="str">
        <f t="shared" si="23"/>
        <v>Not Available</v>
      </c>
    </row>
    <row r="454" spans="1:33">
      <c r="A454" t="s">
        <v>1006</v>
      </c>
      <c r="B454" t="s">
        <v>342</v>
      </c>
      <c r="C454" s="11">
        <v>46100</v>
      </c>
      <c r="D454" t="s">
        <v>363</v>
      </c>
      <c r="E454" t="s">
        <v>70</v>
      </c>
      <c r="F454" s="4">
        <v>46100</v>
      </c>
      <c r="G454" s="4">
        <v>46105</v>
      </c>
      <c r="H454" t="s">
        <v>82</v>
      </c>
      <c r="I454" t="s">
        <v>331</v>
      </c>
      <c r="J454" t="s">
        <v>291</v>
      </c>
      <c r="K454" t="s">
        <v>124</v>
      </c>
      <c r="L454" t="s">
        <v>94</v>
      </c>
      <c r="M454" s="5">
        <v>40900</v>
      </c>
      <c r="N454" s="5">
        <v>3950</v>
      </c>
      <c r="O454" s="5">
        <v>5400</v>
      </c>
      <c r="P454" s="5">
        <v>30000</v>
      </c>
      <c r="Q454" s="13">
        <v>81750</v>
      </c>
      <c r="R454" t="s">
        <v>62</v>
      </c>
      <c r="S454" t="s">
        <v>86</v>
      </c>
      <c r="T454" s="5">
        <v>24930</v>
      </c>
      <c r="U454" s="6">
        <v>5</v>
      </c>
      <c r="V454" t="s">
        <v>77</v>
      </c>
      <c r="W454" s="4">
        <v>46114</v>
      </c>
      <c r="X454" t="s">
        <v>77</v>
      </c>
      <c r="Y454" t="s">
        <v>64</v>
      </c>
      <c r="Z454" t="s">
        <v>78</v>
      </c>
      <c r="AA454" t="str">
        <f>VLOOKUP(H454,Departments!$A:$B,2,0)</f>
        <v>Orthopedics</v>
      </c>
      <c r="AB454" t="str">
        <f>VLOOKUP(J454,Diagnosis_Guide!$A:$B,2,0)</f>
        <v>Fracture Repair</v>
      </c>
      <c r="AC454" s="4" t="str">
        <f>VLOOKUP(J454,Diagnosis_Guide!$A:$C,3,0)</f>
        <v>Musculoskeletal</v>
      </c>
      <c r="AD454" s="4" t="str">
        <f>VLOOKUP(R454,Insurance_Plans!$A:$C,3,0)</f>
        <v>Public</v>
      </c>
      <c r="AE454" s="13">
        <f t="shared" si="21"/>
        <v>4087.5</v>
      </c>
      <c r="AF454" s="13">
        <f t="shared" si="22"/>
        <v>85837.5</v>
      </c>
      <c r="AG454" s="4" t="str">
        <f t="shared" si="23"/>
        <v>High</v>
      </c>
    </row>
    <row r="455" spans="1:33">
      <c r="A455" t="s">
        <v>1007</v>
      </c>
      <c r="B455" t="s">
        <v>715</v>
      </c>
      <c r="C455" s="11">
        <v>46073</v>
      </c>
      <c r="D455" t="s">
        <v>234</v>
      </c>
      <c r="E455" t="s">
        <v>177</v>
      </c>
      <c r="F455" s="4"/>
      <c r="G455" s="4"/>
      <c r="H455" t="s">
        <v>82</v>
      </c>
      <c r="I455" t="s">
        <v>83</v>
      </c>
      <c r="J455" t="s">
        <v>291</v>
      </c>
      <c r="K455" t="s">
        <v>60</v>
      </c>
      <c r="L455" t="s">
        <v>94</v>
      </c>
      <c r="M455" s="5"/>
      <c r="N455" s="5"/>
      <c r="O455" s="5"/>
      <c r="P455" s="5"/>
      <c r="R455" t="s">
        <v>85</v>
      </c>
      <c r="S455" t="s">
        <v>63</v>
      </c>
      <c r="T455" s="5"/>
      <c r="U455" s="6"/>
      <c r="V455" t="s">
        <v>64</v>
      </c>
      <c r="W455" s="4"/>
      <c r="X455" t="s">
        <v>65</v>
      </c>
      <c r="Z455" t="s">
        <v>66</v>
      </c>
      <c r="AA455" t="str">
        <f>VLOOKUP(H455,Departments!$A:$B,2,0)</f>
        <v>Orthopedics</v>
      </c>
      <c r="AB455" t="str">
        <f>VLOOKUP(J455,Diagnosis_Guide!$A:$B,2,0)</f>
        <v>Fracture Repair</v>
      </c>
      <c r="AC455" s="4" t="str">
        <f>VLOOKUP(J455,Diagnosis_Guide!$A:$C,3,0)</f>
        <v>Musculoskeletal</v>
      </c>
      <c r="AD455" s="4" t="str">
        <f>VLOOKUP(R455,Insurance_Plans!$A:$C,3,0)</f>
        <v>Employer</v>
      </c>
      <c r="AE455" s="13" t="str">
        <f t="shared" si="21"/>
        <v/>
      </c>
      <c r="AF455" s="13" t="str">
        <f t="shared" si="22"/>
        <v/>
      </c>
      <c r="AG455" s="4" t="str">
        <f t="shared" si="23"/>
        <v>Not Available</v>
      </c>
    </row>
    <row r="456" spans="1:33">
      <c r="A456" t="s">
        <v>1008</v>
      </c>
      <c r="B456" t="s">
        <v>909</v>
      </c>
      <c r="C456" s="11">
        <v>46060</v>
      </c>
      <c r="D456" t="s">
        <v>439</v>
      </c>
      <c r="E456" t="s">
        <v>70</v>
      </c>
      <c r="F456" s="4">
        <v>46060</v>
      </c>
      <c r="G456" s="4">
        <v>46069</v>
      </c>
      <c r="H456" t="s">
        <v>103</v>
      </c>
      <c r="I456" t="s">
        <v>214</v>
      </c>
      <c r="J456" t="s">
        <v>244</v>
      </c>
      <c r="K456" t="s">
        <v>124</v>
      </c>
      <c r="L456" t="s">
        <v>61</v>
      </c>
      <c r="M456" s="5">
        <v>72900</v>
      </c>
      <c r="N456" s="5">
        <v>12850</v>
      </c>
      <c r="O456" s="5">
        <v>11750</v>
      </c>
      <c r="P456" s="5">
        <v>27000</v>
      </c>
      <c r="Q456" s="13">
        <v>125300</v>
      </c>
      <c r="R456" t="s">
        <v>75</v>
      </c>
      <c r="S456" t="s">
        <v>76</v>
      </c>
      <c r="T456" s="5">
        <v>56680</v>
      </c>
      <c r="U456" s="6">
        <v>2</v>
      </c>
      <c r="V456" t="s">
        <v>77</v>
      </c>
      <c r="W456" s="4">
        <v>46077</v>
      </c>
      <c r="X456" t="s">
        <v>77</v>
      </c>
      <c r="Y456" t="s">
        <v>64</v>
      </c>
      <c r="Z456" t="s">
        <v>96</v>
      </c>
      <c r="AA456" t="str">
        <f>VLOOKUP(H456,Departments!$A:$B,2,0)</f>
        <v>Nephrology</v>
      </c>
      <c r="AB456" t="str">
        <f>VLOOKUP(J456,Diagnosis_Guide!$A:$B,2,0)</f>
        <v>Chronic Kidney Disease</v>
      </c>
      <c r="AC456" s="4" t="str">
        <f>VLOOKUP(J456,Diagnosis_Guide!$A:$C,3,0)</f>
        <v>Renal</v>
      </c>
      <c r="AD456" s="4" t="str">
        <f>VLOOKUP(R456,Insurance_Plans!$A:$C,3,0)</f>
        <v>Public</v>
      </c>
      <c r="AE456" s="13">
        <f t="shared" si="21"/>
        <v>6265</v>
      </c>
      <c r="AF456" s="13">
        <f t="shared" si="22"/>
        <v>131565</v>
      </c>
      <c r="AG456" s="4" t="str">
        <f t="shared" si="23"/>
        <v>Low</v>
      </c>
    </row>
    <row r="457" spans="1:33">
      <c r="A457" t="s">
        <v>1009</v>
      </c>
      <c r="B457" t="s">
        <v>224</v>
      </c>
      <c r="C457" s="11">
        <v>46135</v>
      </c>
      <c r="D457" t="s">
        <v>127</v>
      </c>
      <c r="E457" t="s">
        <v>56</v>
      </c>
      <c r="F457" s="4"/>
      <c r="G457" s="4"/>
      <c r="H457" t="s">
        <v>103</v>
      </c>
      <c r="I457" t="s">
        <v>243</v>
      </c>
      <c r="J457" t="s">
        <v>244</v>
      </c>
      <c r="K457" t="s">
        <v>60</v>
      </c>
      <c r="L457" t="s">
        <v>74</v>
      </c>
      <c r="M457" s="5"/>
      <c r="N457" s="5"/>
      <c r="O457" s="5"/>
      <c r="P457" s="5"/>
      <c r="R457" t="s">
        <v>106</v>
      </c>
      <c r="S457" t="s">
        <v>63</v>
      </c>
      <c r="T457" s="5"/>
      <c r="U457" s="6"/>
      <c r="V457" t="s">
        <v>64</v>
      </c>
      <c r="W457" s="4"/>
      <c r="X457" t="s">
        <v>65</v>
      </c>
      <c r="Z457" t="s">
        <v>66</v>
      </c>
      <c r="AA457" t="str">
        <f>VLOOKUP(H457,Departments!$A:$B,2,0)</f>
        <v>Nephrology</v>
      </c>
      <c r="AB457" t="str">
        <f>VLOOKUP(J457,Diagnosis_Guide!$A:$B,2,0)</f>
        <v>Chronic Kidney Disease</v>
      </c>
      <c r="AC457" s="4" t="str">
        <f>VLOOKUP(J457,Diagnosis_Guide!$A:$C,3,0)</f>
        <v>Renal</v>
      </c>
      <c r="AD457" s="4" t="str">
        <f>VLOOKUP(R457,Insurance_Plans!$A:$C,3,0)</f>
        <v>Private</v>
      </c>
      <c r="AE457" s="13" t="str">
        <f t="shared" si="21"/>
        <v/>
      </c>
      <c r="AF457" s="13" t="str">
        <f t="shared" si="22"/>
        <v/>
      </c>
      <c r="AG457" s="4" t="str">
        <f t="shared" si="23"/>
        <v>Not Available</v>
      </c>
    </row>
    <row r="458" spans="1:33">
      <c r="A458" t="s">
        <v>1010</v>
      </c>
      <c r="B458" t="s">
        <v>1011</v>
      </c>
      <c r="C458" s="11">
        <v>46160</v>
      </c>
      <c r="D458" t="s">
        <v>99</v>
      </c>
      <c r="E458" t="s">
        <v>70</v>
      </c>
      <c r="F458" s="4">
        <v>46160</v>
      </c>
      <c r="G458" s="4">
        <v>46166</v>
      </c>
      <c r="H458" t="s">
        <v>121</v>
      </c>
      <c r="I458" t="s">
        <v>334</v>
      </c>
      <c r="J458" t="s">
        <v>123</v>
      </c>
      <c r="K458" t="s">
        <v>124</v>
      </c>
      <c r="L458" t="s">
        <v>94</v>
      </c>
      <c r="M458" s="5">
        <v>42400</v>
      </c>
      <c r="N458" s="5">
        <v>6750</v>
      </c>
      <c r="O458" s="5">
        <v>8600</v>
      </c>
      <c r="P458" s="5">
        <v>36000</v>
      </c>
      <c r="Q458" s="13">
        <v>94750</v>
      </c>
      <c r="R458" t="s">
        <v>75</v>
      </c>
      <c r="S458" t="s">
        <v>76</v>
      </c>
      <c r="T458" s="5">
        <v>42940</v>
      </c>
      <c r="U458" s="6">
        <v>3</v>
      </c>
      <c r="V458" t="s">
        <v>77</v>
      </c>
      <c r="W458" s="4">
        <v>46183</v>
      </c>
      <c r="X458" t="s">
        <v>77</v>
      </c>
      <c r="Y458" t="s">
        <v>77</v>
      </c>
      <c r="Z458" t="s">
        <v>96</v>
      </c>
      <c r="AA458" t="str">
        <f>VLOOKUP(H458,Departments!$A:$B,2,0)</f>
        <v>Neurology</v>
      </c>
      <c r="AB458" t="str">
        <f>VLOOKUP(J458,Diagnosis_Guide!$A:$B,2,0)</f>
        <v>Seizure Episode</v>
      </c>
      <c r="AC458" s="4" t="str">
        <f>VLOOKUP(J458,Diagnosis_Guide!$A:$C,3,0)</f>
        <v>Neurological</v>
      </c>
      <c r="AD458" s="4" t="str">
        <f>VLOOKUP(R458,Insurance_Plans!$A:$C,3,0)</f>
        <v>Public</v>
      </c>
      <c r="AE458" s="13">
        <f t="shared" si="21"/>
        <v>4737.5</v>
      </c>
      <c r="AF458" s="13">
        <f t="shared" si="22"/>
        <v>99487.5</v>
      </c>
      <c r="AG458" s="4" t="str">
        <f t="shared" si="23"/>
        <v>Medium</v>
      </c>
    </row>
    <row r="459" spans="1:33">
      <c r="A459" t="s">
        <v>1012</v>
      </c>
      <c r="B459" t="s">
        <v>1013</v>
      </c>
      <c r="C459" s="11">
        <v>46120</v>
      </c>
      <c r="D459" t="s">
        <v>81</v>
      </c>
      <c r="E459" t="s">
        <v>255</v>
      </c>
      <c r="F459" s="4"/>
      <c r="G459" s="4"/>
      <c r="H459" t="s">
        <v>201</v>
      </c>
      <c r="I459" t="s">
        <v>327</v>
      </c>
      <c r="J459" t="s">
        <v>281</v>
      </c>
      <c r="K459" t="s">
        <v>124</v>
      </c>
      <c r="L459" t="s">
        <v>74</v>
      </c>
      <c r="M459" s="5"/>
      <c r="N459" s="5"/>
      <c r="O459" s="5"/>
      <c r="P459" s="5"/>
      <c r="R459" t="s">
        <v>75</v>
      </c>
      <c r="S459" t="s">
        <v>63</v>
      </c>
      <c r="T459" s="5"/>
      <c r="U459" s="6"/>
      <c r="V459" t="s">
        <v>64</v>
      </c>
      <c r="W459" s="4"/>
      <c r="X459" t="s">
        <v>65</v>
      </c>
      <c r="Z459" t="s">
        <v>66</v>
      </c>
      <c r="AA459" t="str">
        <f>VLOOKUP(H459,Departments!$A:$B,2,0)</f>
        <v>Emergency</v>
      </c>
      <c r="AB459" t="str">
        <f>VLOOKUP(J459,Diagnosis_Guide!$A:$B,2,0)</f>
        <v>Food Poisoning</v>
      </c>
      <c r="AC459" s="4" t="str">
        <f>VLOOKUP(J459,Diagnosis_Guide!$A:$C,3,0)</f>
        <v>Emergency</v>
      </c>
      <c r="AD459" s="4" t="str">
        <f>VLOOKUP(R459,Insurance_Plans!$A:$C,3,0)</f>
        <v>Public</v>
      </c>
      <c r="AE459" s="13" t="str">
        <f t="shared" si="21"/>
        <v/>
      </c>
      <c r="AF459" s="13" t="str">
        <f t="shared" si="22"/>
        <v/>
      </c>
      <c r="AG459" s="4" t="str">
        <f t="shared" si="23"/>
        <v>Not Available</v>
      </c>
    </row>
    <row r="460" spans="1:33">
      <c r="A460" t="s">
        <v>1014</v>
      </c>
      <c r="B460" t="s">
        <v>375</v>
      </c>
      <c r="C460" s="11">
        <v>46053</v>
      </c>
      <c r="D460" t="s">
        <v>259</v>
      </c>
      <c r="E460" t="s">
        <v>70</v>
      </c>
      <c r="F460" s="4">
        <v>46053</v>
      </c>
      <c r="G460" s="4">
        <v>46056</v>
      </c>
      <c r="H460" t="s">
        <v>121</v>
      </c>
      <c r="I460" t="s">
        <v>174</v>
      </c>
      <c r="J460" t="s">
        <v>256</v>
      </c>
      <c r="K460" t="s">
        <v>93</v>
      </c>
      <c r="L460" t="s">
        <v>74</v>
      </c>
      <c r="M460" s="5">
        <v>17100</v>
      </c>
      <c r="N460" s="5">
        <v>2650</v>
      </c>
      <c r="O460" s="5">
        <v>2050</v>
      </c>
      <c r="P460" s="5">
        <v>7500</v>
      </c>
      <c r="Q460" s="13">
        <v>31100</v>
      </c>
      <c r="R460" t="s">
        <v>106</v>
      </c>
      <c r="S460" t="s">
        <v>76</v>
      </c>
      <c r="T460" s="5">
        <v>11580</v>
      </c>
      <c r="U460" s="6">
        <v>4</v>
      </c>
      <c r="V460" t="s">
        <v>64</v>
      </c>
      <c r="W460" s="4"/>
      <c r="X460" t="s">
        <v>65</v>
      </c>
      <c r="Y460" t="s">
        <v>64</v>
      </c>
      <c r="Z460" t="s">
        <v>436</v>
      </c>
      <c r="AA460" t="str">
        <f>VLOOKUP(H460,Departments!$A:$B,2,0)</f>
        <v>Neurology</v>
      </c>
      <c r="AB460" t="str">
        <f>VLOOKUP(J460,Diagnosis_Guide!$A:$B,2,0)</f>
        <v>Migraine Complication</v>
      </c>
      <c r="AC460" s="4" t="str">
        <f>VLOOKUP(J460,Diagnosis_Guide!$A:$C,3,0)</f>
        <v>Neurological</v>
      </c>
      <c r="AD460" s="4" t="str">
        <f>VLOOKUP(R460,Insurance_Plans!$A:$C,3,0)</f>
        <v>Private</v>
      </c>
      <c r="AE460" s="13">
        <f t="shared" si="21"/>
        <v>1555</v>
      </c>
      <c r="AF460" s="13">
        <f t="shared" si="22"/>
        <v>32655</v>
      </c>
      <c r="AG460" s="4" t="str">
        <f t="shared" si="23"/>
        <v>High</v>
      </c>
    </row>
    <row r="461" spans="1:33">
      <c r="A461" t="s">
        <v>1015</v>
      </c>
      <c r="B461" t="s">
        <v>495</v>
      </c>
      <c r="C461" s="11">
        <v>46038</v>
      </c>
      <c r="D461" t="s">
        <v>217</v>
      </c>
      <c r="E461" t="s">
        <v>70</v>
      </c>
      <c r="F461" s="4">
        <v>46038</v>
      </c>
      <c r="G461" s="4">
        <v>46042</v>
      </c>
      <c r="H461" t="s">
        <v>178</v>
      </c>
      <c r="I461" t="s">
        <v>179</v>
      </c>
      <c r="J461" t="s">
        <v>180</v>
      </c>
      <c r="K461" t="s">
        <v>93</v>
      </c>
      <c r="L461" t="s">
        <v>74</v>
      </c>
      <c r="M461" s="5">
        <v>66900</v>
      </c>
      <c r="N461" s="5">
        <v>11700</v>
      </c>
      <c r="O461" s="5">
        <v>7750</v>
      </c>
      <c r="P461" s="5">
        <v>14000</v>
      </c>
      <c r="Q461" s="13">
        <v>101350</v>
      </c>
      <c r="R461" t="s">
        <v>106</v>
      </c>
      <c r="S461" t="s">
        <v>86</v>
      </c>
      <c r="T461" s="5">
        <v>36170</v>
      </c>
      <c r="U461" s="6">
        <v>4</v>
      </c>
      <c r="V461" t="s">
        <v>64</v>
      </c>
      <c r="W461" s="4"/>
      <c r="X461" t="s">
        <v>65</v>
      </c>
      <c r="Y461" t="s">
        <v>64</v>
      </c>
      <c r="Z461" t="s">
        <v>107</v>
      </c>
      <c r="AA461" t="str">
        <f>VLOOKUP(H461,Departments!$A:$B,2,0)</f>
        <v>Surgery</v>
      </c>
      <c r="AB461" t="str">
        <f>VLOOKUP(J461,Diagnosis_Guide!$A:$B,2,0)</f>
        <v>Appendicitis Surgery</v>
      </c>
      <c r="AC461" s="4" t="str">
        <f>VLOOKUP(J461,Diagnosis_Guide!$A:$C,3,0)</f>
        <v>Surgical</v>
      </c>
      <c r="AD461" s="4" t="str">
        <f>VLOOKUP(R461,Insurance_Plans!$A:$C,3,0)</f>
        <v>Private</v>
      </c>
      <c r="AE461" s="13">
        <f t="shared" si="21"/>
        <v>5067.5</v>
      </c>
      <c r="AF461" s="13">
        <f t="shared" si="22"/>
        <v>106417.5</v>
      </c>
      <c r="AG461" s="4" t="str">
        <f t="shared" si="23"/>
        <v>High</v>
      </c>
    </row>
    <row r="462" spans="1:33">
      <c r="A462" t="s">
        <v>1016</v>
      </c>
      <c r="B462" t="s">
        <v>528</v>
      </c>
      <c r="C462" s="11">
        <v>46150</v>
      </c>
      <c r="D462" t="s">
        <v>242</v>
      </c>
      <c r="E462" t="s">
        <v>70</v>
      </c>
      <c r="F462" s="4">
        <v>46151</v>
      </c>
      <c r="G462" s="4">
        <v>46154</v>
      </c>
      <c r="H462" t="s">
        <v>201</v>
      </c>
      <c r="I462" t="s">
        <v>202</v>
      </c>
      <c r="J462" t="s">
        <v>203</v>
      </c>
      <c r="K462" t="s">
        <v>124</v>
      </c>
      <c r="L462" t="s">
        <v>61</v>
      </c>
      <c r="M462" s="5">
        <v>46700</v>
      </c>
      <c r="N462" s="5">
        <v>5350</v>
      </c>
      <c r="O462" s="5">
        <v>6650</v>
      </c>
      <c r="P462" s="5">
        <v>9000</v>
      </c>
      <c r="Q462" s="13">
        <v>70200</v>
      </c>
      <c r="R462" t="s">
        <v>62</v>
      </c>
      <c r="S462" t="s">
        <v>76</v>
      </c>
      <c r="T462" s="5">
        <v>21460</v>
      </c>
      <c r="U462" s="6">
        <v>3</v>
      </c>
      <c r="V462" t="s">
        <v>77</v>
      </c>
      <c r="W462" s="4">
        <v>46173</v>
      </c>
      <c r="X462" t="s">
        <v>77</v>
      </c>
      <c r="Y462" t="s">
        <v>64</v>
      </c>
      <c r="Z462" t="s">
        <v>96</v>
      </c>
      <c r="AA462" t="str">
        <f>VLOOKUP(H462,Departments!$A:$B,2,0)</f>
        <v>Emergency</v>
      </c>
      <c r="AB462" t="str">
        <f>VLOOKUP(J462,Diagnosis_Guide!$A:$B,2,0)</f>
        <v>Trauma Observation</v>
      </c>
      <c r="AC462" s="4" t="str">
        <f>VLOOKUP(J462,Diagnosis_Guide!$A:$C,3,0)</f>
        <v>Emergency</v>
      </c>
      <c r="AD462" s="4" t="str">
        <f>VLOOKUP(R462,Insurance_Plans!$A:$C,3,0)</f>
        <v>Public</v>
      </c>
      <c r="AE462" s="13">
        <f t="shared" si="21"/>
        <v>3510</v>
      </c>
      <c r="AF462" s="13">
        <f t="shared" si="22"/>
        <v>73710</v>
      </c>
      <c r="AG462" s="4" t="str">
        <f t="shared" si="23"/>
        <v>Medium</v>
      </c>
    </row>
    <row r="463" spans="1:33">
      <c r="A463" t="s">
        <v>1017</v>
      </c>
      <c r="B463" t="s">
        <v>555</v>
      </c>
      <c r="C463" s="11">
        <v>46128</v>
      </c>
      <c r="D463" t="s">
        <v>469</v>
      </c>
      <c r="E463" t="s">
        <v>70</v>
      </c>
      <c r="F463" s="4">
        <v>46128</v>
      </c>
      <c r="G463" s="4">
        <v>46128</v>
      </c>
      <c r="H463" t="s">
        <v>90</v>
      </c>
      <c r="I463" t="s">
        <v>299</v>
      </c>
      <c r="J463" t="s">
        <v>197</v>
      </c>
      <c r="K463" t="s">
        <v>60</v>
      </c>
      <c r="L463" t="s">
        <v>94</v>
      </c>
      <c r="M463" s="5">
        <v>15300</v>
      </c>
      <c r="N463" s="5">
        <v>1350</v>
      </c>
      <c r="O463" s="5">
        <v>3200</v>
      </c>
      <c r="P463" s="5">
        <v>0</v>
      </c>
      <c r="Q463" s="13">
        <v>21350</v>
      </c>
      <c r="R463" t="s">
        <v>106</v>
      </c>
      <c r="S463" t="s">
        <v>76</v>
      </c>
      <c r="T463" s="5">
        <v>8170</v>
      </c>
      <c r="U463" s="6">
        <v>4</v>
      </c>
      <c r="V463" t="s">
        <v>64</v>
      </c>
      <c r="W463" s="4"/>
      <c r="X463" t="s">
        <v>65</v>
      </c>
      <c r="Y463" t="s">
        <v>64</v>
      </c>
      <c r="Z463" t="s">
        <v>78</v>
      </c>
      <c r="AA463" t="str">
        <f>VLOOKUP(H463,Departments!$A:$B,2,0)</f>
        <v>Cardiology</v>
      </c>
      <c r="AB463" t="str">
        <f>VLOOKUP(J463,Diagnosis_Guide!$A:$B,2,0)</f>
        <v>Chest Pain</v>
      </c>
      <c r="AC463" s="4" t="str">
        <f>VLOOKUP(J463,Diagnosis_Guide!$A:$C,3,0)</f>
        <v>Cardiovascular</v>
      </c>
      <c r="AD463" s="4" t="str">
        <f>VLOOKUP(R463,Insurance_Plans!$A:$C,3,0)</f>
        <v>Private</v>
      </c>
      <c r="AE463" s="13">
        <f t="shared" si="21"/>
        <v>1067.5</v>
      </c>
      <c r="AF463" s="13">
        <f t="shared" si="22"/>
        <v>22417.5</v>
      </c>
      <c r="AG463" s="4" t="str">
        <f t="shared" si="23"/>
        <v>High</v>
      </c>
    </row>
    <row r="464" spans="1:33">
      <c r="A464" t="s">
        <v>1018</v>
      </c>
      <c r="B464" t="s">
        <v>573</v>
      </c>
      <c r="C464" s="11">
        <v>46141</v>
      </c>
      <c r="D464" t="s">
        <v>210</v>
      </c>
      <c r="E464" t="s">
        <v>70</v>
      </c>
      <c r="F464" s="4">
        <v>46141</v>
      </c>
      <c r="G464" s="4">
        <v>46142</v>
      </c>
      <c r="H464" t="s">
        <v>121</v>
      </c>
      <c r="I464" t="s">
        <v>386</v>
      </c>
      <c r="J464" t="s">
        <v>252</v>
      </c>
      <c r="K464" t="s">
        <v>60</v>
      </c>
      <c r="L464" t="s">
        <v>94</v>
      </c>
      <c r="M464" s="5">
        <v>70500</v>
      </c>
      <c r="N464" s="5">
        <v>7050</v>
      </c>
      <c r="O464" s="5">
        <v>11300</v>
      </c>
      <c r="P464" s="5">
        <v>2500</v>
      </c>
      <c r="Q464" s="13">
        <v>93850</v>
      </c>
      <c r="R464" t="s">
        <v>95</v>
      </c>
      <c r="S464" t="s">
        <v>63</v>
      </c>
      <c r="T464" s="5">
        <v>93850</v>
      </c>
      <c r="U464" s="6">
        <v>5</v>
      </c>
      <c r="V464" t="s">
        <v>77</v>
      </c>
      <c r="W464" s="4">
        <v>46158</v>
      </c>
      <c r="X464" t="s">
        <v>77</v>
      </c>
      <c r="Y464" t="s">
        <v>64</v>
      </c>
      <c r="Z464" t="s">
        <v>78</v>
      </c>
      <c r="AA464" t="str">
        <f>VLOOKUP(H464,Departments!$A:$B,2,0)</f>
        <v>Neurology</v>
      </c>
      <c r="AB464" t="str">
        <f>VLOOKUP(J464,Diagnosis_Guide!$A:$B,2,0)</f>
        <v>Stroke Assessment</v>
      </c>
      <c r="AC464" s="4" t="str">
        <f>VLOOKUP(J464,Diagnosis_Guide!$A:$C,3,0)</f>
        <v>Neurological</v>
      </c>
      <c r="AD464" s="4" t="str">
        <f>VLOOKUP(R464,Insurance_Plans!$A:$C,3,0)</f>
        <v>Self-Pay</v>
      </c>
      <c r="AE464" s="13">
        <f t="shared" si="21"/>
        <v>4692.5</v>
      </c>
      <c r="AF464" s="13">
        <f t="shared" si="22"/>
        <v>98542.5</v>
      </c>
      <c r="AG464" s="4" t="str">
        <f t="shared" si="23"/>
        <v>High</v>
      </c>
    </row>
    <row r="465" spans="1:33">
      <c r="A465" t="s">
        <v>1019</v>
      </c>
      <c r="B465" t="s">
        <v>1020</v>
      </c>
      <c r="C465" s="11">
        <v>46108</v>
      </c>
      <c r="D465" t="s">
        <v>127</v>
      </c>
      <c r="E465" t="s">
        <v>70</v>
      </c>
      <c r="F465" s="4">
        <v>46109</v>
      </c>
      <c r="G465" s="4">
        <v>46110</v>
      </c>
      <c r="H465" t="s">
        <v>121</v>
      </c>
      <c r="I465" t="s">
        <v>386</v>
      </c>
      <c r="J465" t="s">
        <v>256</v>
      </c>
      <c r="K465" t="s">
        <v>60</v>
      </c>
      <c r="L465" t="s">
        <v>94</v>
      </c>
      <c r="M465" s="5">
        <v>15400</v>
      </c>
      <c r="N465" s="5">
        <v>1450</v>
      </c>
      <c r="O465" s="5">
        <v>2350</v>
      </c>
      <c r="P465" s="5">
        <v>2500</v>
      </c>
      <c r="Q465" s="13">
        <v>24200</v>
      </c>
      <c r="R465" t="s">
        <v>141</v>
      </c>
      <c r="S465" t="s">
        <v>86</v>
      </c>
      <c r="T465" s="5">
        <v>4830</v>
      </c>
      <c r="U465" s="6">
        <v>4</v>
      </c>
      <c r="V465" t="s">
        <v>64</v>
      </c>
      <c r="W465" s="4"/>
      <c r="X465" t="s">
        <v>65</v>
      </c>
      <c r="Y465" t="s">
        <v>64</v>
      </c>
      <c r="Z465" t="s">
        <v>96</v>
      </c>
      <c r="AA465" t="str">
        <f>VLOOKUP(H465,Departments!$A:$B,2,0)</f>
        <v>Neurology</v>
      </c>
      <c r="AB465" t="str">
        <f>VLOOKUP(J465,Diagnosis_Guide!$A:$B,2,0)</f>
        <v>Migraine Complication</v>
      </c>
      <c r="AC465" s="4" t="str">
        <f>VLOOKUP(J465,Diagnosis_Guide!$A:$C,3,0)</f>
        <v>Neurological</v>
      </c>
      <c r="AD465" s="4" t="str">
        <f>VLOOKUP(R465,Insurance_Plans!$A:$C,3,0)</f>
        <v>Private</v>
      </c>
      <c r="AE465" s="13">
        <f t="shared" si="21"/>
        <v>1210</v>
      </c>
      <c r="AF465" s="13">
        <f t="shared" si="22"/>
        <v>25410</v>
      </c>
      <c r="AG465" s="4" t="str">
        <f t="shared" si="23"/>
        <v>High</v>
      </c>
    </row>
    <row r="466" spans="1:33">
      <c r="A466" t="s">
        <v>1021</v>
      </c>
      <c r="B466" t="s">
        <v>1022</v>
      </c>
      <c r="C466" s="11">
        <v>46035</v>
      </c>
      <c r="D466" t="s">
        <v>266</v>
      </c>
      <c r="E466" t="s">
        <v>70</v>
      </c>
      <c r="F466" s="4">
        <v>46035</v>
      </c>
      <c r="G466" s="4">
        <v>46035</v>
      </c>
      <c r="H466" t="s">
        <v>150</v>
      </c>
      <c r="I466" t="s">
        <v>304</v>
      </c>
      <c r="J466" t="s">
        <v>152</v>
      </c>
      <c r="K466" t="s">
        <v>60</v>
      </c>
      <c r="L466" t="s">
        <v>61</v>
      </c>
      <c r="M466" s="5">
        <v>21000</v>
      </c>
      <c r="N466" s="5">
        <v>2200</v>
      </c>
      <c r="O466" s="5">
        <v>4500</v>
      </c>
      <c r="P466" s="5">
        <v>0</v>
      </c>
      <c r="Q466" s="13">
        <v>28900</v>
      </c>
      <c r="R466" t="s">
        <v>85</v>
      </c>
      <c r="S466" t="s">
        <v>86</v>
      </c>
      <c r="T466" s="5">
        <v>8120</v>
      </c>
      <c r="U466" s="6">
        <v>5</v>
      </c>
      <c r="V466" t="s">
        <v>64</v>
      </c>
      <c r="W466" s="4"/>
      <c r="X466" t="s">
        <v>65</v>
      </c>
      <c r="Y466" t="s">
        <v>64</v>
      </c>
      <c r="Z466" t="s">
        <v>96</v>
      </c>
      <c r="AA466" t="str">
        <f>VLOOKUP(H466,Departments!$A:$B,2,0)</f>
        <v>Obstetrics</v>
      </c>
      <c r="AB466" t="str">
        <f>VLOOKUP(J466,Diagnosis_Guide!$A:$B,2,0)</f>
        <v>Antenatal Complication</v>
      </c>
      <c r="AC466" s="4" t="str">
        <f>VLOOKUP(J466,Diagnosis_Guide!$A:$C,3,0)</f>
        <v>Maternal Health</v>
      </c>
      <c r="AD466" s="4" t="str">
        <f>VLOOKUP(R466,Insurance_Plans!$A:$C,3,0)</f>
        <v>Employer</v>
      </c>
      <c r="AE466" s="13">
        <f t="shared" si="21"/>
        <v>1445</v>
      </c>
      <c r="AF466" s="13">
        <f t="shared" si="22"/>
        <v>30345</v>
      </c>
      <c r="AG466" s="4" t="str">
        <f t="shared" si="23"/>
        <v>High</v>
      </c>
    </row>
    <row r="467" spans="1:33">
      <c r="A467" t="s">
        <v>1023</v>
      </c>
      <c r="B467" t="s">
        <v>690</v>
      </c>
      <c r="C467" s="11">
        <v>46151</v>
      </c>
      <c r="D467" t="s">
        <v>120</v>
      </c>
      <c r="E467" t="s">
        <v>70</v>
      </c>
      <c r="F467" s="4">
        <v>46152</v>
      </c>
      <c r="G467" s="4">
        <v>46156</v>
      </c>
      <c r="H467" t="s">
        <v>90</v>
      </c>
      <c r="I467" t="s">
        <v>133</v>
      </c>
      <c r="J467" t="s">
        <v>129</v>
      </c>
      <c r="K467" t="s">
        <v>73</v>
      </c>
      <c r="L467" t="s">
        <v>74</v>
      </c>
      <c r="M467" s="5">
        <v>30800</v>
      </c>
      <c r="N467" s="5">
        <v>2650</v>
      </c>
      <c r="O467" s="5">
        <v>5200</v>
      </c>
      <c r="P467" s="5">
        <v>18000</v>
      </c>
      <c r="Q467" s="13">
        <v>58650</v>
      </c>
      <c r="R467" t="s">
        <v>95</v>
      </c>
      <c r="S467" t="s">
        <v>63</v>
      </c>
      <c r="T467" s="5">
        <v>58650</v>
      </c>
      <c r="U467" s="6">
        <v>4</v>
      </c>
      <c r="V467" t="s">
        <v>64</v>
      </c>
      <c r="W467" s="4"/>
      <c r="X467" t="s">
        <v>65</v>
      </c>
      <c r="Y467" t="s">
        <v>64</v>
      </c>
      <c r="Z467" t="s">
        <v>107</v>
      </c>
      <c r="AA467" t="str">
        <f>VLOOKUP(H467,Departments!$A:$B,2,0)</f>
        <v>Cardiology</v>
      </c>
      <c r="AB467" t="str">
        <f>VLOOKUP(J467,Diagnosis_Guide!$A:$B,2,0)</f>
        <v>Hypertension Crisis</v>
      </c>
      <c r="AC467" s="4" t="str">
        <f>VLOOKUP(J467,Diagnosis_Guide!$A:$C,3,0)</f>
        <v>Cardiovascular</v>
      </c>
      <c r="AD467" s="4" t="str">
        <f>VLOOKUP(R467,Insurance_Plans!$A:$C,3,0)</f>
        <v>Self-Pay</v>
      </c>
      <c r="AE467" s="13">
        <f t="shared" si="21"/>
        <v>2932.5</v>
      </c>
      <c r="AF467" s="13">
        <f t="shared" si="22"/>
        <v>61582.5</v>
      </c>
      <c r="AG467" s="4" t="str">
        <f t="shared" si="23"/>
        <v>High</v>
      </c>
    </row>
    <row r="468" spans="1:33">
      <c r="A468" t="s">
        <v>1024</v>
      </c>
      <c r="B468" t="s">
        <v>655</v>
      </c>
      <c r="C468" s="11">
        <v>46091</v>
      </c>
      <c r="D468" t="s">
        <v>127</v>
      </c>
      <c r="E468" t="s">
        <v>314</v>
      </c>
      <c r="F468" s="4"/>
      <c r="G468" s="4"/>
      <c r="H468" t="s">
        <v>138</v>
      </c>
      <c r="I468" t="s">
        <v>444</v>
      </c>
      <c r="J468" t="s">
        <v>236</v>
      </c>
      <c r="K468" t="s">
        <v>73</v>
      </c>
      <c r="L468" t="s">
        <v>61</v>
      </c>
      <c r="M468" s="5"/>
      <c r="N468" s="5"/>
      <c r="O468" s="5"/>
      <c r="P468" s="5"/>
      <c r="R468" t="s">
        <v>62</v>
      </c>
      <c r="S468" t="s">
        <v>63</v>
      </c>
      <c r="T468" s="5"/>
      <c r="U468" s="6"/>
      <c r="V468" t="s">
        <v>64</v>
      </c>
      <c r="W468" s="4"/>
      <c r="X468" t="s">
        <v>65</v>
      </c>
      <c r="Z468" t="s">
        <v>66</v>
      </c>
      <c r="AA468" t="str">
        <f>VLOOKUP(H468,Departments!$A:$B,2,0)</f>
        <v>Pediatrics</v>
      </c>
      <c r="AB468" t="str">
        <f>VLOOKUP(J468,Diagnosis_Guide!$A:$B,2,0)</f>
        <v>Neonatal Observation</v>
      </c>
      <c r="AC468" s="4" t="str">
        <f>VLOOKUP(J468,Diagnosis_Guide!$A:$C,3,0)</f>
        <v>Pediatric</v>
      </c>
      <c r="AD468" s="4" t="str">
        <f>VLOOKUP(R468,Insurance_Plans!$A:$C,3,0)</f>
        <v>Public</v>
      </c>
      <c r="AE468" s="13" t="str">
        <f t="shared" si="21"/>
        <v/>
      </c>
      <c r="AF468" s="13" t="str">
        <f t="shared" si="22"/>
        <v/>
      </c>
      <c r="AG468" s="4" t="str">
        <f t="shared" si="23"/>
        <v>Not Available</v>
      </c>
    </row>
    <row r="469" spans="1:33">
      <c r="A469" t="s">
        <v>1025</v>
      </c>
      <c r="B469" t="s">
        <v>1026</v>
      </c>
      <c r="C469" s="11">
        <v>46097</v>
      </c>
      <c r="D469" t="s">
        <v>173</v>
      </c>
      <c r="E469" t="s">
        <v>177</v>
      </c>
      <c r="F469" s="4"/>
      <c r="G469" s="4"/>
      <c r="H469" t="s">
        <v>57</v>
      </c>
      <c r="I469" t="s">
        <v>211</v>
      </c>
      <c r="J469" t="s">
        <v>72</v>
      </c>
      <c r="K469" t="s">
        <v>73</v>
      </c>
      <c r="L469" t="s">
        <v>61</v>
      </c>
      <c r="M469" s="5"/>
      <c r="N469" s="5"/>
      <c r="O469" s="5"/>
      <c r="P469" s="5"/>
      <c r="R469" t="s">
        <v>62</v>
      </c>
      <c r="S469" t="s">
        <v>63</v>
      </c>
      <c r="T469" s="5"/>
      <c r="U469" s="6"/>
      <c r="V469" t="s">
        <v>64</v>
      </c>
      <c r="W469" s="4"/>
      <c r="X469" t="s">
        <v>65</v>
      </c>
      <c r="Z469" t="s">
        <v>66</v>
      </c>
      <c r="AA469" t="str">
        <f>VLOOKUP(H469,Departments!$A:$B,2,0)</f>
        <v>Pulmonology</v>
      </c>
      <c r="AB469" t="str">
        <f>VLOOKUP(J469,Diagnosis_Guide!$A:$B,2,0)</f>
        <v>Acute Bronchitis</v>
      </c>
      <c r="AC469" s="4" t="str">
        <f>VLOOKUP(J469,Diagnosis_Guide!$A:$C,3,0)</f>
        <v>Respiratory</v>
      </c>
      <c r="AD469" s="4" t="str">
        <f>VLOOKUP(R469,Insurance_Plans!$A:$C,3,0)</f>
        <v>Public</v>
      </c>
      <c r="AE469" s="13" t="str">
        <f t="shared" si="21"/>
        <v/>
      </c>
      <c r="AF469" s="13" t="str">
        <f t="shared" si="22"/>
        <v/>
      </c>
      <c r="AG469" s="4" t="str">
        <f t="shared" si="23"/>
        <v>Not Available</v>
      </c>
    </row>
    <row r="470" spans="1:33">
      <c r="A470" t="s">
        <v>1027</v>
      </c>
      <c r="B470" t="s">
        <v>549</v>
      </c>
      <c r="C470" s="11">
        <v>46058</v>
      </c>
      <c r="D470" t="s">
        <v>99</v>
      </c>
      <c r="E470" t="s">
        <v>70</v>
      </c>
      <c r="F470" s="4">
        <v>46058</v>
      </c>
      <c r="G470" s="4">
        <v>46061</v>
      </c>
      <c r="H470" t="s">
        <v>121</v>
      </c>
      <c r="I470" t="s">
        <v>174</v>
      </c>
      <c r="J470" t="s">
        <v>123</v>
      </c>
      <c r="K470" t="s">
        <v>73</v>
      </c>
      <c r="L470" t="s">
        <v>94</v>
      </c>
      <c r="M470" s="5">
        <v>28600</v>
      </c>
      <c r="N470" s="5">
        <v>2750</v>
      </c>
      <c r="O470" s="5">
        <v>5700</v>
      </c>
      <c r="P470" s="5">
        <v>7500</v>
      </c>
      <c r="Q470" s="13">
        <v>46350</v>
      </c>
      <c r="R470" t="s">
        <v>85</v>
      </c>
      <c r="S470" t="s">
        <v>76</v>
      </c>
      <c r="T470" s="5">
        <v>12490</v>
      </c>
      <c r="U470" s="6">
        <v>3</v>
      </c>
      <c r="V470" t="s">
        <v>77</v>
      </c>
      <c r="W470" s="4">
        <v>46081</v>
      </c>
      <c r="X470" t="s">
        <v>64</v>
      </c>
      <c r="Y470" t="s">
        <v>64</v>
      </c>
      <c r="Z470" t="s">
        <v>78</v>
      </c>
      <c r="AA470" t="str">
        <f>VLOOKUP(H470,Departments!$A:$B,2,0)</f>
        <v>Neurology</v>
      </c>
      <c r="AB470" t="str">
        <f>VLOOKUP(J470,Diagnosis_Guide!$A:$B,2,0)</f>
        <v>Seizure Episode</v>
      </c>
      <c r="AC470" s="4" t="str">
        <f>VLOOKUP(J470,Diagnosis_Guide!$A:$C,3,0)</f>
        <v>Neurological</v>
      </c>
      <c r="AD470" s="4" t="str">
        <f>VLOOKUP(R470,Insurance_Plans!$A:$C,3,0)</f>
        <v>Employer</v>
      </c>
      <c r="AE470" s="13">
        <f t="shared" si="21"/>
        <v>2317.5</v>
      </c>
      <c r="AF470" s="13">
        <f t="shared" si="22"/>
        <v>48667.5</v>
      </c>
      <c r="AG470" s="4" t="str">
        <f t="shared" si="23"/>
        <v>Medium</v>
      </c>
    </row>
    <row r="471" spans="1:33">
      <c r="A471" t="s">
        <v>1028</v>
      </c>
      <c r="B471" t="s">
        <v>589</v>
      </c>
      <c r="C471" s="11">
        <v>46051</v>
      </c>
      <c r="D471" t="s">
        <v>137</v>
      </c>
      <c r="E471" t="s">
        <v>177</v>
      </c>
      <c r="F471" s="4"/>
      <c r="G471" s="4"/>
      <c r="H471" t="s">
        <v>178</v>
      </c>
      <c r="I471" t="s">
        <v>462</v>
      </c>
      <c r="J471" t="s">
        <v>180</v>
      </c>
      <c r="K471" t="s">
        <v>93</v>
      </c>
      <c r="L471" t="s">
        <v>94</v>
      </c>
      <c r="M471" s="5"/>
      <c r="N471" s="5"/>
      <c r="O471" s="5"/>
      <c r="P471" s="5"/>
      <c r="R471" t="s">
        <v>141</v>
      </c>
      <c r="S471" t="s">
        <v>63</v>
      </c>
      <c r="T471" s="5"/>
      <c r="U471" s="6"/>
      <c r="V471" t="s">
        <v>64</v>
      </c>
      <c r="W471" s="4"/>
      <c r="X471" t="s">
        <v>65</v>
      </c>
      <c r="Z471" t="s">
        <v>66</v>
      </c>
      <c r="AA471" t="str">
        <f>VLOOKUP(H471,Departments!$A:$B,2,0)</f>
        <v>Surgery</v>
      </c>
      <c r="AB471" t="str">
        <f>VLOOKUP(J471,Diagnosis_Guide!$A:$B,2,0)</f>
        <v>Appendicitis Surgery</v>
      </c>
      <c r="AC471" s="4" t="str">
        <f>VLOOKUP(J471,Diagnosis_Guide!$A:$C,3,0)</f>
        <v>Surgical</v>
      </c>
      <c r="AD471" s="4" t="str">
        <f>VLOOKUP(R471,Insurance_Plans!$A:$C,3,0)</f>
        <v>Private</v>
      </c>
      <c r="AE471" s="13" t="str">
        <f t="shared" si="21"/>
        <v/>
      </c>
      <c r="AF471" s="13" t="str">
        <f t="shared" si="22"/>
        <v/>
      </c>
      <c r="AG471" s="4" t="str">
        <f t="shared" si="23"/>
        <v>Not Available</v>
      </c>
    </row>
    <row r="472" spans="1:33">
      <c r="A472" t="s">
        <v>1029</v>
      </c>
      <c r="B472" t="s">
        <v>394</v>
      </c>
      <c r="C472" s="11">
        <v>46162</v>
      </c>
      <c r="D472" t="s">
        <v>250</v>
      </c>
      <c r="E472" t="s">
        <v>70</v>
      </c>
      <c r="F472" s="4">
        <v>46163</v>
      </c>
      <c r="G472" s="4">
        <v>46163</v>
      </c>
      <c r="H472" t="s">
        <v>90</v>
      </c>
      <c r="I472" t="s">
        <v>388</v>
      </c>
      <c r="J472" t="s">
        <v>92</v>
      </c>
      <c r="K472" t="s">
        <v>60</v>
      </c>
      <c r="L472" t="s">
        <v>94</v>
      </c>
      <c r="M472" s="5">
        <v>49300</v>
      </c>
      <c r="N472" s="5">
        <v>8800</v>
      </c>
      <c r="O472" s="5">
        <v>12100</v>
      </c>
      <c r="P472" s="5">
        <v>0</v>
      </c>
      <c r="Q472" s="13">
        <v>71700</v>
      </c>
      <c r="R472" t="s">
        <v>106</v>
      </c>
      <c r="S472" t="s">
        <v>86</v>
      </c>
      <c r="T472" s="5">
        <v>25800</v>
      </c>
      <c r="U472" s="6">
        <v>3</v>
      </c>
      <c r="V472" t="s">
        <v>77</v>
      </c>
      <c r="W472" s="4">
        <v>46170</v>
      </c>
      <c r="X472" t="s">
        <v>64</v>
      </c>
      <c r="Y472" t="s">
        <v>64</v>
      </c>
      <c r="Z472" t="s">
        <v>96</v>
      </c>
      <c r="AA472" t="str">
        <f>VLOOKUP(H472,Departments!$A:$B,2,0)</f>
        <v>Cardiology</v>
      </c>
      <c r="AB472" t="str">
        <f>VLOOKUP(J472,Diagnosis_Guide!$A:$B,2,0)</f>
        <v>Heart Failure</v>
      </c>
      <c r="AC472" s="4" t="str">
        <f>VLOOKUP(J472,Diagnosis_Guide!$A:$C,3,0)</f>
        <v>Cardiovascular</v>
      </c>
      <c r="AD472" s="4" t="str">
        <f>VLOOKUP(R472,Insurance_Plans!$A:$C,3,0)</f>
        <v>Private</v>
      </c>
      <c r="AE472" s="13">
        <f t="shared" si="21"/>
        <v>3585</v>
      </c>
      <c r="AF472" s="13">
        <f t="shared" si="22"/>
        <v>75285</v>
      </c>
      <c r="AG472" s="4" t="str">
        <f t="shared" si="23"/>
        <v>Medium</v>
      </c>
    </row>
    <row r="473" spans="1:33">
      <c r="A473" t="s">
        <v>1030</v>
      </c>
      <c r="B473" t="s">
        <v>779</v>
      </c>
      <c r="C473" s="11">
        <v>46099</v>
      </c>
      <c r="D473" t="s">
        <v>242</v>
      </c>
      <c r="E473" t="s">
        <v>70</v>
      </c>
      <c r="F473" s="4">
        <v>46099</v>
      </c>
      <c r="G473" s="4">
        <v>46103</v>
      </c>
      <c r="H473" t="s">
        <v>111</v>
      </c>
      <c r="I473" t="s">
        <v>267</v>
      </c>
      <c r="J473" t="s">
        <v>384</v>
      </c>
      <c r="K473" t="s">
        <v>73</v>
      </c>
      <c r="L473" t="s">
        <v>61</v>
      </c>
      <c r="M473" s="5">
        <v>69200</v>
      </c>
      <c r="N473" s="5">
        <v>11200</v>
      </c>
      <c r="O473" s="5">
        <v>9750</v>
      </c>
      <c r="P473" s="5">
        <v>12000</v>
      </c>
      <c r="Q473" s="13">
        <v>103350</v>
      </c>
      <c r="R473" t="s">
        <v>85</v>
      </c>
      <c r="S473" t="s">
        <v>76</v>
      </c>
      <c r="T473" s="5">
        <v>26740</v>
      </c>
      <c r="U473" s="6">
        <v>3</v>
      </c>
      <c r="V473" t="s">
        <v>77</v>
      </c>
      <c r="W473" s="4">
        <v>46121</v>
      </c>
      <c r="X473" t="s">
        <v>64</v>
      </c>
      <c r="Y473" t="s">
        <v>64</v>
      </c>
      <c r="Z473" t="s">
        <v>96</v>
      </c>
      <c r="AA473" t="str">
        <f>VLOOKUP(H473,Departments!$A:$B,2,0)</f>
        <v>General Medicine</v>
      </c>
      <c r="AB473" t="str">
        <f>VLOOKUP(J473,Diagnosis_Guide!$A:$B,2,0)</f>
        <v>Severe Infection</v>
      </c>
      <c r="AC473" s="4" t="str">
        <f>VLOOKUP(J473,Diagnosis_Guide!$A:$C,3,0)</f>
        <v>Infectious/General</v>
      </c>
      <c r="AD473" s="4" t="str">
        <f>VLOOKUP(R473,Insurance_Plans!$A:$C,3,0)</f>
        <v>Employer</v>
      </c>
      <c r="AE473" s="13">
        <f t="shared" si="21"/>
        <v>5167.5</v>
      </c>
      <c r="AF473" s="13">
        <f t="shared" si="22"/>
        <v>108517.5</v>
      </c>
      <c r="AG473" s="4" t="str">
        <f t="shared" si="23"/>
        <v>Medium</v>
      </c>
    </row>
    <row r="474" spans="1:33">
      <c r="A474" t="s">
        <v>1031</v>
      </c>
      <c r="B474" t="s">
        <v>190</v>
      </c>
      <c r="C474" s="11">
        <v>46171</v>
      </c>
      <c r="D474" t="s">
        <v>439</v>
      </c>
      <c r="E474" t="s">
        <v>70</v>
      </c>
      <c r="F474" s="4">
        <v>46171</v>
      </c>
      <c r="G474" s="4">
        <v>46172</v>
      </c>
      <c r="H474" t="s">
        <v>201</v>
      </c>
      <c r="I474" t="s">
        <v>421</v>
      </c>
      <c r="J474" t="s">
        <v>295</v>
      </c>
      <c r="K474" t="s">
        <v>73</v>
      </c>
      <c r="L474" t="s">
        <v>94</v>
      </c>
      <c r="M474" s="5">
        <v>44300</v>
      </c>
      <c r="N474" s="5">
        <v>4550</v>
      </c>
      <c r="O474" s="5">
        <v>9250</v>
      </c>
      <c r="P474" s="5">
        <v>3500</v>
      </c>
      <c r="Q474" s="13">
        <v>62600</v>
      </c>
      <c r="R474" t="s">
        <v>75</v>
      </c>
      <c r="S474" t="s">
        <v>86</v>
      </c>
      <c r="T474" s="5">
        <v>28470</v>
      </c>
      <c r="U474" s="6">
        <v>4</v>
      </c>
      <c r="V474" t="s">
        <v>77</v>
      </c>
      <c r="W474" s="4">
        <v>46192</v>
      </c>
      <c r="X474" t="s">
        <v>64</v>
      </c>
      <c r="Y474" t="s">
        <v>64</v>
      </c>
      <c r="Z474" t="s">
        <v>78</v>
      </c>
      <c r="AA474" t="str">
        <f>VLOOKUP(H474,Departments!$A:$B,2,0)</f>
        <v>Emergency</v>
      </c>
      <c r="AB474" t="str">
        <f>VLOOKUP(J474,Diagnosis_Guide!$A:$B,2,0)</f>
        <v>Accident Injury</v>
      </c>
      <c r="AC474" s="4" t="str">
        <f>VLOOKUP(J474,Diagnosis_Guide!$A:$C,3,0)</f>
        <v>Emergency</v>
      </c>
      <c r="AD474" s="4" t="str">
        <f>VLOOKUP(R474,Insurance_Plans!$A:$C,3,0)</f>
        <v>Public</v>
      </c>
      <c r="AE474" s="13">
        <f t="shared" si="21"/>
        <v>3130</v>
      </c>
      <c r="AF474" s="13">
        <f t="shared" si="22"/>
        <v>65730</v>
      </c>
      <c r="AG474" s="4" t="str">
        <f t="shared" si="23"/>
        <v>High</v>
      </c>
    </row>
    <row r="475" spans="1:33">
      <c r="A475" t="s">
        <v>1032</v>
      </c>
      <c r="B475" t="s">
        <v>692</v>
      </c>
      <c r="C475" s="11">
        <v>46121</v>
      </c>
      <c r="D475" t="s">
        <v>469</v>
      </c>
      <c r="E475" t="s">
        <v>70</v>
      </c>
      <c r="F475" s="4">
        <v>46121</v>
      </c>
      <c r="G475" s="4">
        <v>46126</v>
      </c>
      <c r="H475" t="s">
        <v>57</v>
      </c>
      <c r="J475" t="s">
        <v>170</v>
      </c>
      <c r="K475" t="s">
        <v>93</v>
      </c>
      <c r="L475" t="s">
        <v>74</v>
      </c>
      <c r="M475" s="5">
        <v>54100</v>
      </c>
      <c r="N475" s="5">
        <v>4700</v>
      </c>
      <c r="O475" s="5">
        <v>5500</v>
      </c>
      <c r="P475" s="5">
        <v>30000</v>
      </c>
      <c r="Q475" s="13">
        <v>96800</v>
      </c>
      <c r="R475" t="s">
        <v>106</v>
      </c>
      <c r="S475" t="s">
        <v>76</v>
      </c>
      <c r="T475" s="5">
        <v>34580</v>
      </c>
      <c r="U475" s="6">
        <v>4</v>
      </c>
      <c r="V475" t="s">
        <v>77</v>
      </c>
      <c r="W475" s="4">
        <v>46147</v>
      </c>
      <c r="X475" t="s">
        <v>77</v>
      </c>
      <c r="Y475" t="s">
        <v>64</v>
      </c>
      <c r="Z475" t="s">
        <v>78</v>
      </c>
      <c r="AA475" t="str">
        <f>VLOOKUP(H475,Departments!$A:$B,2,0)</f>
        <v>Pulmonology</v>
      </c>
      <c r="AB475" t="str">
        <f>VLOOKUP(J475,Diagnosis_Guide!$A:$B,2,0)</f>
        <v>COPD Exacerbation</v>
      </c>
      <c r="AC475" s="4" t="str">
        <f>VLOOKUP(J475,Diagnosis_Guide!$A:$C,3,0)</f>
        <v>Respiratory</v>
      </c>
      <c r="AD475" s="4" t="str">
        <f>VLOOKUP(R475,Insurance_Plans!$A:$C,3,0)</f>
        <v>Private</v>
      </c>
      <c r="AE475" s="13">
        <f t="shared" si="21"/>
        <v>4840</v>
      </c>
      <c r="AF475" s="13">
        <f t="shared" si="22"/>
        <v>101640</v>
      </c>
      <c r="AG475" s="4" t="str">
        <f t="shared" si="23"/>
        <v>High</v>
      </c>
    </row>
    <row r="476" spans="1:33">
      <c r="A476" t="s">
        <v>1033</v>
      </c>
      <c r="B476" t="s">
        <v>941</v>
      </c>
      <c r="C476" s="11">
        <v>46159</v>
      </c>
      <c r="D476" t="s">
        <v>469</v>
      </c>
      <c r="E476" t="s">
        <v>70</v>
      </c>
      <c r="F476" s="4">
        <v>46160</v>
      </c>
      <c r="G476" s="4">
        <v>46169</v>
      </c>
      <c r="H476" t="s">
        <v>178</v>
      </c>
      <c r="I476" t="s">
        <v>622</v>
      </c>
      <c r="J476" t="s">
        <v>340</v>
      </c>
      <c r="K476" t="s">
        <v>93</v>
      </c>
      <c r="L476" t="s">
        <v>61</v>
      </c>
      <c r="M476" s="5">
        <v>75600</v>
      </c>
      <c r="N476" s="5">
        <v>6550</v>
      </c>
      <c r="O476" s="5">
        <v>7800</v>
      </c>
      <c r="P476" s="5">
        <v>22500</v>
      </c>
      <c r="Q476" s="13">
        <v>113950</v>
      </c>
      <c r="R476" t="s">
        <v>75</v>
      </c>
      <c r="S476" t="s">
        <v>76</v>
      </c>
      <c r="T476" s="5">
        <v>51580</v>
      </c>
      <c r="U476" s="6">
        <v>2</v>
      </c>
      <c r="V476" t="s">
        <v>77</v>
      </c>
      <c r="W476" s="4">
        <v>46190</v>
      </c>
      <c r="X476" t="s">
        <v>64</v>
      </c>
      <c r="Y476" t="s">
        <v>64</v>
      </c>
      <c r="Z476" t="s">
        <v>219</v>
      </c>
      <c r="AA476" t="str">
        <f>VLOOKUP(H476,Departments!$A:$B,2,0)</f>
        <v>Surgery</v>
      </c>
      <c r="AB476" t="str">
        <f>VLOOKUP(J476,Diagnosis_Guide!$A:$B,2,0)</f>
        <v>Post-Operative Infection</v>
      </c>
      <c r="AC476" s="4" t="str">
        <f>VLOOKUP(J476,Diagnosis_Guide!$A:$C,3,0)</f>
        <v>Surgical</v>
      </c>
      <c r="AD476" s="4" t="str">
        <f>VLOOKUP(R476,Insurance_Plans!$A:$C,3,0)</f>
        <v>Public</v>
      </c>
      <c r="AE476" s="13">
        <f t="shared" si="21"/>
        <v>5697.5</v>
      </c>
      <c r="AF476" s="13">
        <f t="shared" si="22"/>
        <v>119647.5</v>
      </c>
      <c r="AG476" s="4" t="str">
        <f t="shared" si="23"/>
        <v>Low</v>
      </c>
    </row>
    <row r="477" spans="1:33">
      <c r="A477" t="s">
        <v>1034</v>
      </c>
      <c r="B477" t="s">
        <v>1020</v>
      </c>
      <c r="C477" s="11">
        <v>46082</v>
      </c>
      <c r="D477" t="s">
        <v>363</v>
      </c>
      <c r="E477" t="s">
        <v>70</v>
      </c>
      <c r="F477" s="4">
        <v>46082</v>
      </c>
      <c r="G477" s="4">
        <v>46088</v>
      </c>
      <c r="H477" t="s">
        <v>150</v>
      </c>
      <c r="I477" t="s">
        <v>304</v>
      </c>
      <c r="J477" t="s">
        <v>152</v>
      </c>
      <c r="K477" t="s">
        <v>124</v>
      </c>
      <c r="L477" t="s">
        <v>74</v>
      </c>
      <c r="M477" s="5">
        <v>18300</v>
      </c>
      <c r="N477" s="5">
        <v>1950</v>
      </c>
      <c r="O477" s="5">
        <v>3350</v>
      </c>
      <c r="P477" s="5">
        <v>15000</v>
      </c>
      <c r="Q477" s="13">
        <v>39800</v>
      </c>
      <c r="R477" t="s">
        <v>141</v>
      </c>
      <c r="S477" t="s">
        <v>76</v>
      </c>
      <c r="T477" s="5">
        <v>7170</v>
      </c>
      <c r="U477" s="6">
        <v>4</v>
      </c>
      <c r="V477" t="s">
        <v>77</v>
      </c>
      <c r="W477" s="4">
        <v>46109</v>
      </c>
      <c r="X477" t="s">
        <v>77</v>
      </c>
      <c r="Y477" t="s">
        <v>64</v>
      </c>
      <c r="Z477" t="s">
        <v>78</v>
      </c>
      <c r="AA477" t="str">
        <f>VLOOKUP(H477,Departments!$A:$B,2,0)</f>
        <v>Obstetrics</v>
      </c>
      <c r="AB477" t="str">
        <f>VLOOKUP(J477,Diagnosis_Guide!$A:$B,2,0)</f>
        <v>Antenatal Complication</v>
      </c>
      <c r="AC477" s="4" t="str">
        <f>VLOOKUP(J477,Diagnosis_Guide!$A:$C,3,0)</f>
        <v>Maternal Health</v>
      </c>
      <c r="AD477" s="4" t="str">
        <f>VLOOKUP(R477,Insurance_Plans!$A:$C,3,0)</f>
        <v>Private</v>
      </c>
      <c r="AE477" s="13">
        <f t="shared" si="21"/>
        <v>1990</v>
      </c>
      <c r="AF477" s="13">
        <f t="shared" si="22"/>
        <v>41790</v>
      </c>
      <c r="AG477" s="4" t="str">
        <f t="shared" si="23"/>
        <v>High</v>
      </c>
    </row>
    <row r="478" spans="1:33">
      <c r="A478" t="s">
        <v>1035</v>
      </c>
      <c r="B478" t="s">
        <v>890</v>
      </c>
      <c r="C478" s="11">
        <v>46097</v>
      </c>
      <c r="D478" t="s">
        <v>206</v>
      </c>
      <c r="E478" t="s">
        <v>314</v>
      </c>
      <c r="F478" s="4"/>
      <c r="G478" s="4"/>
      <c r="H478" t="s">
        <v>201</v>
      </c>
      <c r="I478" t="s">
        <v>515</v>
      </c>
      <c r="J478" t="s">
        <v>203</v>
      </c>
      <c r="K478" t="s">
        <v>124</v>
      </c>
      <c r="L478" t="s">
        <v>94</v>
      </c>
      <c r="M478" s="5"/>
      <c r="N478" s="5"/>
      <c r="O478" s="5"/>
      <c r="P478" s="5"/>
      <c r="R478" t="s">
        <v>62</v>
      </c>
      <c r="S478" t="s">
        <v>63</v>
      </c>
      <c r="T478" s="5"/>
      <c r="U478" s="6"/>
      <c r="V478" t="s">
        <v>64</v>
      </c>
      <c r="W478" s="4"/>
      <c r="X478" t="s">
        <v>65</v>
      </c>
      <c r="Z478" t="s">
        <v>66</v>
      </c>
      <c r="AA478" t="str">
        <f>VLOOKUP(H478,Departments!$A:$B,2,0)</f>
        <v>Emergency</v>
      </c>
      <c r="AB478" t="str">
        <f>VLOOKUP(J478,Diagnosis_Guide!$A:$B,2,0)</f>
        <v>Trauma Observation</v>
      </c>
      <c r="AC478" s="4" t="str">
        <f>VLOOKUP(J478,Diagnosis_Guide!$A:$C,3,0)</f>
        <v>Emergency</v>
      </c>
      <c r="AD478" s="4" t="str">
        <f>VLOOKUP(R478,Insurance_Plans!$A:$C,3,0)</f>
        <v>Public</v>
      </c>
      <c r="AE478" s="13" t="str">
        <f t="shared" si="21"/>
        <v/>
      </c>
      <c r="AF478" s="13" t="str">
        <f t="shared" si="22"/>
        <v/>
      </c>
      <c r="AG478" s="4" t="str">
        <f t="shared" si="23"/>
        <v>Not Available</v>
      </c>
    </row>
    <row r="479" spans="1:33">
      <c r="A479" t="s">
        <v>1036</v>
      </c>
      <c r="B479" t="s">
        <v>740</v>
      </c>
      <c r="C479" s="11">
        <v>46089</v>
      </c>
      <c r="D479" t="s">
        <v>173</v>
      </c>
      <c r="E479" t="s">
        <v>70</v>
      </c>
      <c r="F479" s="4">
        <v>46090</v>
      </c>
      <c r="G479" s="4">
        <v>46091</v>
      </c>
      <c r="H479" t="s">
        <v>150</v>
      </c>
      <c r="I479" t="s">
        <v>151</v>
      </c>
      <c r="J479" t="s">
        <v>229</v>
      </c>
      <c r="K479" t="s">
        <v>93</v>
      </c>
      <c r="L479" t="s">
        <v>94</v>
      </c>
      <c r="M479" s="5">
        <v>34200</v>
      </c>
      <c r="N479" s="5">
        <v>3000</v>
      </c>
      <c r="O479" s="5">
        <v>4800</v>
      </c>
      <c r="P479" s="5">
        <v>6000</v>
      </c>
      <c r="Q479" s="13">
        <v>50500</v>
      </c>
      <c r="R479" t="s">
        <v>95</v>
      </c>
      <c r="S479" t="s">
        <v>63</v>
      </c>
      <c r="T479" s="5">
        <v>50500</v>
      </c>
      <c r="U479" s="6">
        <v>4</v>
      </c>
      <c r="V479" t="s">
        <v>77</v>
      </c>
      <c r="W479" s="4">
        <v>46101</v>
      </c>
      <c r="X479" t="s">
        <v>64</v>
      </c>
      <c r="Y479" t="s">
        <v>64</v>
      </c>
      <c r="Z479" t="s">
        <v>436</v>
      </c>
      <c r="AA479" t="str">
        <f>VLOOKUP(H479,Departments!$A:$B,2,0)</f>
        <v>Obstetrics</v>
      </c>
      <c r="AB479" t="str">
        <f>VLOOKUP(J479,Diagnosis_Guide!$A:$B,2,0)</f>
        <v>Delivery Care</v>
      </c>
      <c r="AC479" s="4" t="str">
        <f>VLOOKUP(J479,Diagnosis_Guide!$A:$C,3,0)</f>
        <v>Maternal Health</v>
      </c>
      <c r="AD479" s="4" t="str">
        <f>VLOOKUP(R479,Insurance_Plans!$A:$C,3,0)</f>
        <v>Self-Pay</v>
      </c>
      <c r="AE479" s="13">
        <f t="shared" si="21"/>
        <v>2525</v>
      </c>
      <c r="AF479" s="13">
        <f t="shared" si="22"/>
        <v>53025</v>
      </c>
      <c r="AG479" s="4" t="str">
        <f t="shared" si="23"/>
        <v>High</v>
      </c>
    </row>
    <row r="480" spans="1:33">
      <c r="A480" t="s">
        <v>1037</v>
      </c>
      <c r="B480" t="s">
        <v>427</v>
      </c>
      <c r="C480" s="11">
        <v>46124</v>
      </c>
      <c r="D480" t="s">
        <v>242</v>
      </c>
      <c r="E480" t="s">
        <v>70</v>
      </c>
      <c r="F480" s="4">
        <v>46124</v>
      </c>
      <c r="G480" s="4">
        <v>46133</v>
      </c>
      <c r="H480" t="s">
        <v>103</v>
      </c>
      <c r="I480" t="s">
        <v>243</v>
      </c>
      <c r="J480" t="s">
        <v>244</v>
      </c>
      <c r="K480" t="s">
        <v>73</v>
      </c>
      <c r="L480" t="s">
        <v>94</v>
      </c>
      <c r="M480" s="5">
        <v>59700</v>
      </c>
      <c r="N480" s="5">
        <v>6650</v>
      </c>
      <c r="O480" s="5">
        <v>11900</v>
      </c>
      <c r="P480" s="5">
        <v>22500</v>
      </c>
      <c r="Q480" s="13">
        <v>102550</v>
      </c>
      <c r="R480" t="s">
        <v>75</v>
      </c>
      <c r="S480" t="s">
        <v>76</v>
      </c>
      <c r="T480" s="5">
        <v>46450</v>
      </c>
      <c r="U480" s="6">
        <v>3</v>
      </c>
      <c r="V480" t="s">
        <v>77</v>
      </c>
      <c r="W480" s="4">
        <v>46142</v>
      </c>
      <c r="X480" t="s">
        <v>77</v>
      </c>
      <c r="Y480" t="s">
        <v>64</v>
      </c>
      <c r="Z480" t="s">
        <v>96</v>
      </c>
      <c r="AA480" t="str">
        <f>VLOOKUP(H480,Departments!$A:$B,2,0)</f>
        <v>Nephrology</v>
      </c>
      <c r="AB480" t="str">
        <f>VLOOKUP(J480,Diagnosis_Guide!$A:$B,2,0)</f>
        <v>Chronic Kidney Disease</v>
      </c>
      <c r="AC480" s="4" t="str">
        <f>VLOOKUP(J480,Diagnosis_Guide!$A:$C,3,0)</f>
        <v>Renal</v>
      </c>
      <c r="AD480" s="4" t="str">
        <f>VLOOKUP(R480,Insurance_Plans!$A:$C,3,0)</f>
        <v>Public</v>
      </c>
      <c r="AE480" s="13">
        <f t="shared" si="21"/>
        <v>5127.5</v>
      </c>
      <c r="AF480" s="13">
        <f t="shared" si="22"/>
        <v>107677.5</v>
      </c>
      <c r="AG480" s="4" t="str">
        <f t="shared" si="23"/>
        <v>Medium</v>
      </c>
    </row>
    <row r="481" spans="1:33">
      <c r="A481" t="s">
        <v>1038</v>
      </c>
      <c r="B481" t="s">
        <v>667</v>
      </c>
      <c r="C481" s="11">
        <v>46131</v>
      </c>
      <c r="D481" t="s">
        <v>99</v>
      </c>
      <c r="E481" t="s">
        <v>314</v>
      </c>
      <c r="F481" s="4"/>
      <c r="G481" s="4"/>
      <c r="H481" t="s">
        <v>90</v>
      </c>
      <c r="I481" t="s">
        <v>388</v>
      </c>
      <c r="J481" t="s">
        <v>197</v>
      </c>
      <c r="K481" t="s">
        <v>124</v>
      </c>
      <c r="L481" t="s">
        <v>94</v>
      </c>
      <c r="M481" s="5"/>
      <c r="N481" s="5"/>
      <c r="O481" s="5"/>
      <c r="P481" s="5"/>
      <c r="R481" t="s">
        <v>106</v>
      </c>
      <c r="S481" t="s">
        <v>63</v>
      </c>
      <c r="T481" s="5"/>
      <c r="U481" s="6"/>
      <c r="V481" t="s">
        <v>64</v>
      </c>
      <c r="W481" s="4"/>
      <c r="X481" t="s">
        <v>65</v>
      </c>
      <c r="Z481" t="s">
        <v>66</v>
      </c>
      <c r="AA481" t="str">
        <f>VLOOKUP(H481,Departments!$A:$B,2,0)</f>
        <v>Cardiology</v>
      </c>
      <c r="AB481" t="str">
        <f>VLOOKUP(J481,Diagnosis_Guide!$A:$B,2,0)</f>
        <v>Chest Pain</v>
      </c>
      <c r="AC481" s="4" t="str">
        <f>VLOOKUP(J481,Diagnosis_Guide!$A:$C,3,0)</f>
        <v>Cardiovascular</v>
      </c>
      <c r="AD481" s="4" t="str">
        <f>VLOOKUP(R481,Insurance_Plans!$A:$C,3,0)</f>
        <v>Private</v>
      </c>
      <c r="AE481" s="13" t="str">
        <f t="shared" si="21"/>
        <v/>
      </c>
      <c r="AF481" s="13" t="str">
        <f t="shared" si="22"/>
        <v/>
      </c>
      <c r="AG481" s="4" t="str">
        <f t="shared" si="23"/>
        <v>Not Available</v>
      </c>
    </row>
    <row r="482" spans="1:33">
      <c r="A482" t="s">
        <v>1039</v>
      </c>
      <c r="B482" t="s">
        <v>1040</v>
      </c>
      <c r="C482" s="11">
        <v>46055</v>
      </c>
      <c r="D482" t="s">
        <v>294</v>
      </c>
      <c r="E482" t="s">
        <v>70</v>
      </c>
      <c r="F482" s="4">
        <v>46055</v>
      </c>
      <c r="G482" s="4">
        <v>46060</v>
      </c>
      <c r="H482" t="s">
        <v>111</v>
      </c>
      <c r="I482" t="s">
        <v>222</v>
      </c>
      <c r="J482" t="s">
        <v>113</v>
      </c>
      <c r="K482" t="s">
        <v>73</v>
      </c>
      <c r="L482" t="s">
        <v>74</v>
      </c>
      <c r="M482" s="5">
        <v>26900</v>
      </c>
      <c r="N482" s="5">
        <v>2950</v>
      </c>
      <c r="O482" s="5">
        <v>3250</v>
      </c>
      <c r="P482" s="5">
        <v>30000</v>
      </c>
      <c r="Q482" s="13">
        <v>64100</v>
      </c>
      <c r="R482" t="s">
        <v>134</v>
      </c>
      <c r="S482" t="s">
        <v>76</v>
      </c>
      <c r="T482" s="5">
        <v>35460</v>
      </c>
      <c r="U482" s="6">
        <v>4</v>
      </c>
      <c r="V482" t="s">
        <v>77</v>
      </c>
      <c r="W482" s="4">
        <v>46081</v>
      </c>
      <c r="X482" t="s">
        <v>77</v>
      </c>
      <c r="Y482" t="s">
        <v>64</v>
      </c>
      <c r="Z482" t="s">
        <v>107</v>
      </c>
      <c r="AA482" t="str">
        <f>VLOOKUP(H482,Departments!$A:$B,2,0)</f>
        <v>General Medicine</v>
      </c>
      <c r="AB482" t="str">
        <f>VLOOKUP(J482,Diagnosis_Guide!$A:$B,2,0)</f>
        <v>Diabetes Complication</v>
      </c>
      <c r="AC482" s="4" t="str">
        <f>VLOOKUP(J482,Diagnosis_Guide!$A:$C,3,0)</f>
        <v>Endocrine/General</v>
      </c>
      <c r="AD482" s="4" t="str">
        <f>VLOOKUP(R482,Insurance_Plans!$A:$C,3,0)</f>
        <v>Community</v>
      </c>
      <c r="AE482" s="13">
        <f t="shared" si="21"/>
        <v>3205</v>
      </c>
      <c r="AF482" s="13">
        <f t="shared" si="22"/>
        <v>67305</v>
      </c>
      <c r="AG482" s="4" t="str">
        <f t="shared" si="23"/>
        <v>High</v>
      </c>
    </row>
    <row r="483" spans="1:33">
      <c r="A483" t="s">
        <v>1041</v>
      </c>
      <c r="B483" t="s">
        <v>929</v>
      </c>
      <c r="C483" s="11">
        <v>46090</v>
      </c>
      <c r="D483" t="s">
        <v>217</v>
      </c>
      <c r="E483" t="s">
        <v>314</v>
      </c>
      <c r="F483" s="4"/>
      <c r="G483" s="4"/>
      <c r="H483" t="s">
        <v>111</v>
      </c>
      <c r="I483" t="s">
        <v>222</v>
      </c>
      <c r="J483" t="s">
        <v>113</v>
      </c>
      <c r="K483" t="s">
        <v>60</v>
      </c>
      <c r="L483" t="s">
        <v>94</v>
      </c>
      <c r="M483" s="5"/>
      <c r="N483" s="5"/>
      <c r="O483" s="5"/>
      <c r="P483" s="5"/>
      <c r="R483" t="s">
        <v>85</v>
      </c>
      <c r="S483" t="s">
        <v>63</v>
      </c>
      <c r="T483" s="5"/>
      <c r="U483" s="6"/>
      <c r="V483" t="s">
        <v>64</v>
      </c>
      <c r="W483" s="4"/>
      <c r="X483" t="s">
        <v>65</v>
      </c>
      <c r="Z483" t="s">
        <v>66</v>
      </c>
      <c r="AA483" t="str">
        <f>VLOOKUP(H483,Departments!$A:$B,2,0)</f>
        <v>General Medicine</v>
      </c>
      <c r="AB483" t="str">
        <f>VLOOKUP(J483,Diagnosis_Guide!$A:$B,2,0)</f>
        <v>Diabetes Complication</v>
      </c>
      <c r="AC483" s="4" t="str">
        <f>VLOOKUP(J483,Diagnosis_Guide!$A:$C,3,0)</f>
        <v>Endocrine/General</v>
      </c>
      <c r="AD483" s="4" t="str">
        <f>VLOOKUP(R483,Insurance_Plans!$A:$C,3,0)</f>
        <v>Employer</v>
      </c>
      <c r="AE483" s="13" t="str">
        <f t="shared" si="21"/>
        <v/>
      </c>
      <c r="AF483" s="13" t="str">
        <f t="shared" si="22"/>
        <v/>
      </c>
      <c r="AG483" s="4" t="str">
        <f t="shared" si="23"/>
        <v>Not Available</v>
      </c>
    </row>
    <row r="484" spans="1:33">
      <c r="A484" t="s">
        <v>1042</v>
      </c>
      <c r="B484" t="s">
        <v>962</v>
      </c>
      <c r="C484" s="11">
        <v>46169</v>
      </c>
      <c r="D484" t="s">
        <v>383</v>
      </c>
      <c r="E484" t="s">
        <v>70</v>
      </c>
      <c r="F484" s="4">
        <v>46169</v>
      </c>
      <c r="G484" s="4">
        <v>46175</v>
      </c>
      <c r="H484" t="s">
        <v>111</v>
      </c>
      <c r="I484" t="s">
        <v>267</v>
      </c>
      <c r="J484" t="s">
        <v>384</v>
      </c>
      <c r="K484" t="s">
        <v>93</v>
      </c>
      <c r="L484" t="s">
        <v>61</v>
      </c>
      <c r="M484" s="5">
        <v>46700</v>
      </c>
      <c r="N484" s="5">
        <v>7400</v>
      </c>
      <c r="O484" s="5">
        <v>6500</v>
      </c>
      <c r="P484" s="5">
        <v>27000</v>
      </c>
      <c r="Q484" s="13">
        <v>88800</v>
      </c>
      <c r="R484" t="s">
        <v>95</v>
      </c>
      <c r="S484" t="s">
        <v>63</v>
      </c>
      <c r="T484" s="5">
        <v>88800</v>
      </c>
      <c r="U484" s="6">
        <v>4</v>
      </c>
      <c r="V484" t="s">
        <v>64</v>
      </c>
      <c r="W484" s="4"/>
      <c r="X484" t="s">
        <v>65</v>
      </c>
      <c r="Y484" t="s">
        <v>64</v>
      </c>
      <c r="Z484" t="s">
        <v>96</v>
      </c>
      <c r="AA484" t="str">
        <f>VLOOKUP(H484,Departments!$A:$B,2,0)</f>
        <v>General Medicine</v>
      </c>
      <c r="AB484" t="str">
        <f>VLOOKUP(J484,Diagnosis_Guide!$A:$B,2,0)</f>
        <v>Severe Infection</v>
      </c>
      <c r="AC484" s="4" t="str">
        <f>VLOOKUP(J484,Diagnosis_Guide!$A:$C,3,0)</f>
        <v>Infectious/General</v>
      </c>
      <c r="AD484" s="4" t="str">
        <f>VLOOKUP(R484,Insurance_Plans!$A:$C,3,0)</f>
        <v>Self-Pay</v>
      </c>
      <c r="AE484" s="13">
        <f t="shared" si="21"/>
        <v>4440</v>
      </c>
      <c r="AF484" s="13">
        <f t="shared" si="22"/>
        <v>93240</v>
      </c>
      <c r="AG484" s="4" t="str">
        <f t="shared" si="23"/>
        <v>High</v>
      </c>
    </row>
    <row r="485" spans="1:33">
      <c r="A485" t="s">
        <v>1043</v>
      </c>
      <c r="B485" t="s">
        <v>1044</v>
      </c>
      <c r="C485" s="11">
        <v>46025</v>
      </c>
      <c r="D485" t="s">
        <v>432</v>
      </c>
      <c r="E485" t="s">
        <v>191</v>
      </c>
      <c r="F485" s="4"/>
      <c r="G485" s="4"/>
      <c r="H485" t="s">
        <v>121</v>
      </c>
      <c r="I485" t="s">
        <v>386</v>
      </c>
      <c r="J485" t="s">
        <v>256</v>
      </c>
      <c r="K485" t="s">
        <v>60</v>
      </c>
      <c r="L485" t="s">
        <v>146</v>
      </c>
      <c r="M485" s="5"/>
      <c r="N485" s="5"/>
      <c r="O485" s="5"/>
      <c r="P485" s="5"/>
      <c r="R485" t="s">
        <v>134</v>
      </c>
      <c r="S485" t="s">
        <v>63</v>
      </c>
      <c r="T485" s="5"/>
      <c r="U485" s="6"/>
      <c r="V485" t="s">
        <v>64</v>
      </c>
      <c r="W485" s="4"/>
      <c r="X485" t="s">
        <v>65</v>
      </c>
      <c r="Z485" t="s">
        <v>66</v>
      </c>
      <c r="AA485" t="str">
        <f>VLOOKUP(H485,Departments!$A:$B,2,0)</f>
        <v>Neurology</v>
      </c>
      <c r="AB485" t="str">
        <f>VLOOKUP(J485,Diagnosis_Guide!$A:$B,2,0)</f>
        <v>Migraine Complication</v>
      </c>
      <c r="AC485" s="4" t="str">
        <f>VLOOKUP(J485,Diagnosis_Guide!$A:$C,3,0)</f>
        <v>Neurological</v>
      </c>
      <c r="AD485" s="4" t="str">
        <f>VLOOKUP(R485,Insurance_Plans!$A:$C,3,0)</f>
        <v>Community</v>
      </c>
      <c r="AE485" s="13" t="str">
        <f t="shared" si="21"/>
        <v/>
      </c>
      <c r="AF485" s="13" t="str">
        <f t="shared" si="22"/>
        <v/>
      </c>
      <c r="AG485" s="4" t="str">
        <f t="shared" si="23"/>
        <v>Not Available</v>
      </c>
    </row>
    <row r="486" spans="1:33">
      <c r="A486" t="s">
        <v>1045</v>
      </c>
      <c r="B486" t="s">
        <v>851</v>
      </c>
      <c r="C486" s="11">
        <v>46144</v>
      </c>
      <c r="D486" t="s">
        <v>55</v>
      </c>
      <c r="E486" t="s">
        <v>70</v>
      </c>
      <c r="F486" s="4">
        <v>46144</v>
      </c>
      <c r="G486" s="4">
        <v>46153</v>
      </c>
      <c r="H486" t="s">
        <v>178</v>
      </c>
      <c r="I486" t="s">
        <v>622</v>
      </c>
      <c r="J486" t="s">
        <v>340</v>
      </c>
      <c r="K486" t="s">
        <v>93</v>
      </c>
      <c r="L486" t="s">
        <v>61</v>
      </c>
      <c r="M486" s="5">
        <v>87000</v>
      </c>
      <c r="N486" s="5">
        <v>14350</v>
      </c>
      <c r="O486" s="5">
        <v>19350</v>
      </c>
      <c r="P486" s="5">
        <v>31500</v>
      </c>
      <c r="Q486" s="13">
        <v>153700</v>
      </c>
      <c r="R486" t="s">
        <v>141</v>
      </c>
      <c r="S486" t="s">
        <v>76</v>
      </c>
      <c r="T486" s="5">
        <v>24260</v>
      </c>
      <c r="U486" s="6"/>
      <c r="V486" t="s">
        <v>77</v>
      </c>
      <c r="W486" s="4">
        <v>46160</v>
      </c>
      <c r="X486" t="s">
        <v>77</v>
      </c>
      <c r="Y486" t="s">
        <v>64</v>
      </c>
      <c r="Z486" t="s">
        <v>78</v>
      </c>
      <c r="AA486" t="str">
        <f>VLOOKUP(H486,Departments!$A:$B,2,0)</f>
        <v>Surgery</v>
      </c>
      <c r="AB486" t="str">
        <f>VLOOKUP(J486,Diagnosis_Guide!$A:$B,2,0)</f>
        <v>Post-Operative Infection</v>
      </c>
      <c r="AC486" s="4" t="str">
        <f>VLOOKUP(J486,Diagnosis_Guide!$A:$C,3,0)</f>
        <v>Surgical</v>
      </c>
      <c r="AD486" s="4" t="str">
        <f>VLOOKUP(R486,Insurance_Plans!$A:$C,3,0)</f>
        <v>Private</v>
      </c>
      <c r="AE486" s="13">
        <f t="shared" si="21"/>
        <v>7685</v>
      </c>
      <c r="AF486" s="13">
        <f t="shared" si="22"/>
        <v>161385</v>
      </c>
      <c r="AG486" s="4" t="str">
        <f t="shared" si="23"/>
        <v>Not Available</v>
      </c>
    </row>
    <row r="487" spans="1:33">
      <c r="A487" t="s">
        <v>1046</v>
      </c>
      <c r="B487" t="s">
        <v>1047</v>
      </c>
      <c r="C487" s="11">
        <v>46067</v>
      </c>
      <c r="D487" t="s">
        <v>144</v>
      </c>
      <c r="E487" t="s">
        <v>70</v>
      </c>
      <c r="F487" s="4">
        <v>46067</v>
      </c>
      <c r="G487" s="4">
        <v>46072</v>
      </c>
      <c r="H487" t="s">
        <v>121</v>
      </c>
      <c r="I487" t="s">
        <v>386</v>
      </c>
      <c r="J487" t="s">
        <v>123</v>
      </c>
      <c r="K487" t="s">
        <v>124</v>
      </c>
      <c r="L487" t="s">
        <v>61</v>
      </c>
      <c r="M487" s="5">
        <v>59800</v>
      </c>
      <c r="N487" s="5">
        <v>7250</v>
      </c>
      <c r="O487" s="5">
        <v>8350</v>
      </c>
      <c r="P487" s="5">
        <v>15000</v>
      </c>
      <c r="Q487" s="13">
        <v>92900</v>
      </c>
      <c r="R487" t="s">
        <v>85</v>
      </c>
      <c r="S487" t="s">
        <v>76</v>
      </c>
      <c r="T487" s="5">
        <v>24120</v>
      </c>
      <c r="U487" s="6">
        <v>3</v>
      </c>
      <c r="V487" t="s">
        <v>77</v>
      </c>
      <c r="W487" s="4">
        <v>46080</v>
      </c>
      <c r="X487" t="s">
        <v>64</v>
      </c>
      <c r="Y487" t="s">
        <v>77</v>
      </c>
      <c r="Z487" t="s">
        <v>78</v>
      </c>
      <c r="AA487" t="str">
        <f>VLOOKUP(H487,Departments!$A:$B,2,0)</f>
        <v>Neurology</v>
      </c>
      <c r="AB487" t="str">
        <f>VLOOKUP(J487,Diagnosis_Guide!$A:$B,2,0)</f>
        <v>Seizure Episode</v>
      </c>
      <c r="AC487" s="4" t="str">
        <f>VLOOKUP(J487,Diagnosis_Guide!$A:$C,3,0)</f>
        <v>Neurological</v>
      </c>
      <c r="AD487" s="4" t="str">
        <f>VLOOKUP(R487,Insurance_Plans!$A:$C,3,0)</f>
        <v>Employer</v>
      </c>
      <c r="AE487" s="13">
        <f t="shared" si="21"/>
        <v>4645</v>
      </c>
      <c r="AF487" s="13">
        <f t="shared" si="22"/>
        <v>97545</v>
      </c>
      <c r="AG487" s="4" t="str">
        <f t="shared" si="23"/>
        <v>Medium</v>
      </c>
    </row>
    <row r="488" spans="1:33">
      <c r="A488" t="s">
        <v>1048</v>
      </c>
      <c r="B488" t="s">
        <v>176</v>
      </c>
      <c r="C488" s="11">
        <v>46035</v>
      </c>
      <c r="D488" t="s">
        <v>383</v>
      </c>
      <c r="E488" t="s">
        <v>177</v>
      </c>
      <c r="F488" s="4"/>
      <c r="G488" s="4"/>
      <c r="H488" t="s">
        <v>201</v>
      </c>
      <c r="I488" t="s">
        <v>280</v>
      </c>
      <c r="J488" t="s">
        <v>203</v>
      </c>
      <c r="K488" t="s">
        <v>124</v>
      </c>
      <c r="L488" t="s">
        <v>61</v>
      </c>
      <c r="M488" s="5"/>
      <c r="N488" s="5"/>
      <c r="O488" s="5"/>
      <c r="P488" s="5"/>
      <c r="R488" t="s">
        <v>95</v>
      </c>
      <c r="S488" t="s">
        <v>63</v>
      </c>
      <c r="T488" s="5"/>
      <c r="U488" s="6"/>
      <c r="V488" t="s">
        <v>64</v>
      </c>
      <c r="W488" s="4"/>
      <c r="X488" t="s">
        <v>65</v>
      </c>
      <c r="Z488" t="s">
        <v>66</v>
      </c>
      <c r="AA488" t="str">
        <f>VLOOKUP(H488,Departments!$A:$B,2,0)</f>
        <v>Emergency</v>
      </c>
      <c r="AB488" t="str">
        <f>VLOOKUP(J488,Diagnosis_Guide!$A:$B,2,0)</f>
        <v>Trauma Observation</v>
      </c>
      <c r="AC488" s="4" t="str">
        <f>VLOOKUP(J488,Diagnosis_Guide!$A:$C,3,0)</f>
        <v>Emergency</v>
      </c>
      <c r="AD488" s="4" t="str">
        <f>VLOOKUP(R488,Insurance_Plans!$A:$C,3,0)</f>
        <v>Self-Pay</v>
      </c>
      <c r="AE488" s="13" t="str">
        <f t="shared" si="21"/>
        <v/>
      </c>
      <c r="AF488" s="13" t="str">
        <f t="shared" si="22"/>
        <v/>
      </c>
      <c r="AG488" s="4" t="str">
        <f t="shared" si="23"/>
        <v>Not Available</v>
      </c>
    </row>
    <row r="489" spans="1:33">
      <c r="A489" t="s">
        <v>1049</v>
      </c>
      <c r="B489" t="s">
        <v>1050</v>
      </c>
      <c r="C489" s="11">
        <v>46165</v>
      </c>
      <c r="D489" t="s">
        <v>210</v>
      </c>
      <c r="E489" t="s">
        <v>56</v>
      </c>
      <c r="F489" s="4"/>
      <c r="G489" s="4"/>
      <c r="H489" t="s">
        <v>121</v>
      </c>
      <c r="I489" t="s">
        <v>386</v>
      </c>
      <c r="J489" t="s">
        <v>252</v>
      </c>
      <c r="K489" t="s">
        <v>124</v>
      </c>
      <c r="L489" t="s">
        <v>146</v>
      </c>
      <c r="M489" s="5"/>
      <c r="N489" s="5"/>
      <c r="O489" s="5"/>
      <c r="P489" s="5"/>
      <c r="R489" t="s">
        <v>75</v>
      </c>
      <c r="S489" t="s">
        <v>63</v>
      </c>
      <c r="T489" s="5"/>
      <c r="U489" s="6"/>
      <c r="V489" t="s">
        <v>64</v>
      </c>
      <c r="W489" s="4"/>
      <c r="X489" t="s">
        <v>65</v>
      </c>
      <c r="Z489" t="s">
        <v>66</v>
      </c>
      <c r="AA489" t="str">
        <f>VLOOKUP(H489,Departments!$A:$B,2,0)</f>
        <v>Neurology</v>
      </c>
      <c r="AB489" t="str">
        <f>VLOOKUP(J489,Diagnosis_Guide!$A:$B,2,0)</f>
        <v>Stroke Assessment</v>
      </c>
      <c r="AC489" s="4" t="str">
        <f>VLOOKUP(J489,Diagnosis_Guide!$A:$C,3,0)</f>
        <v>Neurological</v>
      </c>
      <c r="AD489" s="4" t="str">
        <f>VLOOKUP(R489,Insurance_Plans!$A:$C,3,0)</f>
        <v>Public</v>
      </c>
      <c r="AE489" s="13" t="str">
        <f t="shared" si="21"/>
        <v/>
      </c>
      <c r="AF489" s="13" t="str">
        <f t="shared" si="22"/>
        <v/>
      </c>
      <c r="AG489" s="4" t="str">
        <f t="shared" si="23"/>
        <v>Not Available</v>
      </c>
    </row>
    <row r="490" spans="1:33">
      <c r="A490" t="s">
        <v>1051</v>
      </c>
      <c r="B490" t="s">
        <v>890</v>
      </c>
      <c r="C490" s="11">
        <v>46088</v>
      </c>
      <c r="D490" t="s">
        <v>200</v>
      </c>
      <c r="E490" t="s">
        <v>70</v>
      </c>
      <c r="F490" s="4">
        <v>46088</v>
      </c>
      <c r="G490" s="4">
        <v>46090</v>
      </c>
      <c r="H490" t="s">
        <v>57</v>
      </c>
      <c r="I490" t="s">
        <v>58</v>
      </c>
      <c r="J490" t="s">
        <v>72</v>
      </c>
      <c r="K490" t="s">
        <v>73</v>
      </c>
      <c r="L490" t="s">
        <v>94</v>
      </c>
      <c r="M490" s="5">
        <v>6200</v>
      </c>
      <c r="N490" s="5">
        <v>600</v>
      </c>
      <c r="O490" s="5">
        <v>1500</v>
      </c>
      <c r="P490" s="5">
        <v>9000</v>
      </c>
      <c r="Q490" s="13">
        <v>19800</v>
      </c>
      <c r="R490" t="s">
        <v>106</v>
      </c>
      <c r="S490" t="s">
        <v>76</v>
      </c>
      <c r="T490" s="5">
        <v>7630</v>
      </c>
      <c r="U490" s="6">
        <v>4</v>
      </c>
      <c r="V490" t="s">
        <v>64</v>
      </c>
      <c r="W490" s="4"/>
      <c r="X490" t="s">
        <v>65</v>
      </c>
      <c r="Y490" t="s">
        <v>64</v>
      </c>
      <c r="Z490" t="s">
        <v>78</v>
      </c>
      <c r="AA490" t="str">
        <f>VLOOKUP(H490,Departments!$A:$B,2,0)</f>
        <v>Pulmonology</v>
      </c>
      <c r="AB490" t="str">
        <f>VLOOKUP(J490,Diagnosis_Guide!$A:$B,2,0)</f>
        <v>Acute Bronchitis</v>
      </c>
      <c r="AC490" s="4" t="str">
        <f>VLOOKUP(J490,Diagnosis_Guide!$A:$C,3,0)</f>
        <v>Respiratory</v>
      </c>
      <c r="AD490" s="4" t="str">
        <f>VLOOKUP(R490,Insurance_Plans!$A:$C,3,0)</f>
        <v>Private</v>
      </c>
      <c r="AE490" s="13">
        <f t="shared" si="21"/>
        <v>990</v>
      </c>
      <c r="AF490" s="13">
        <f t="shared" si="22"/>
        <v>20790</v>
      </c>
      <c r="AG490" s="4" t="str">
        <f t="shared" si="23"/>
        <v>High</v>
      </c>
    </row>
    <row r="491" spans="1:33">
      <c r="A491" t="s">
        <v>1052</v>
      </c>
      <c r="B491" t="s">
        <v>441</v>
      </c>
      <c r="C491" s="11">
        <v>46098</v>
      </c>
      <c r="D491" t="s">
        <v>110</v>
      </c>
      <c r="E491" t="s">
        <v>70</v>
      </c>
      <c r="F491" s="4">
        <v>46099</v>
      </c>
      <c r="G491" s="4">
        <v>46100</v>
      </c>
      <c r="H491" t="s">
        <v>57</v>
      </c>
      <c r="I491" t="s">
        <v>71</v>
      </c>
      <c r="J491" t="s">
        <v>170</v>
      </c>
      <c r="K491" t="s">
        <v>60</v>
      </c>
      <c r="L491" t="s">
        <v>94</v>
      </c>
      <c r="M491" s="5">
        <v>72100</v>
      </c>
      <c r="N491" s="5">
        <v>8300</v>
      </c>
      <c r="O491" s="5">
        <v>7350</v>
      </c>
      <c r="P491" s="5">
        <v>6000</v>
      </c>
      <c r="Q491" s="13">
        <v>95550</v>
      </c>
      <c r="R491" t="s">
        <v>75</v>
      </c>
      <c r="S491" t="s">
        <v>86</v>
      </c>
      <c r="T491" s="5">
        <v>43300</v>
      </c>
      <c r="U491" s="6">
        <v>3</v>
      </c>
      <c r="V491" t="s">
        <v>77</v>
      </c>
      <c r="W491" s="4">
        <v>46113</v>
      </c>
      <c r="X491" t="s">
        <v>64</v>
      </c>
      <c r="Y491" t="s">
        <v>64</v>
      </c>
      <c r="Z491" t="s">
        <v>78</v>
      </c>
      <c r="AA491" t="str">
        <f>VLOOKUP(H491,Departments!$A:$B,2,0)</f>
        <v>Pulmonology</v>
      </c>
      <c r="AB491" t="str">
        <f>VLOOKUP(J491,Diagnosis_Guide!$A:$B,2,0)</f>
        <v>COPD Exacerbation</v>
      </c>
      <c r="AC491" s="4" t="str">
        <f>VLOOKUP(J491,Diagnosis_Guide!$A:$C,3,0)</f>
        <v>Respiratory</v>
      </c>
      <c r="AD491" s="4" t="str">
        <f>VLOOKUP(R491,Insurance_Plans!$A:$C,3,0)</f>
        <v>Public</v>
      </c>
      <c r="AE491" s="13">
        <f t="shared" si="21"/>
        <v>4777.5</v>
      </c>
      <c r="AF491" s="13">
        <f t="shared" si="22"/>
        <v>100327.5</v>
      </c>
      <c r="AG491" s="4" t="str">
        <f t="shared" si="23"/>
        <v>Medium</v>
      </c>
    </row>
    <row r="492" spans="1:33">
      <c r="A492" t="s">
        <v>1053</v>
      </c>
      <c r="B492" t="s">
        <v>978</v>
      </c>
      <c r="C492" s="11">
        <v>46151</v>
      </c>
      <c r="D492" t="s">
        <v>259</v>
      </c>
      <c r="E492" t="s">
        <v>70</v>
      </c>
      <c r="F492" s="4">
        <v>46151</v>
      </c>
      <c r="G492" s="4">
        <v>46152</v>
      </c>
      <c r="H492" t="s">
        <v>121</v>
      </c>
      <c r="I492" t="s">
        <v>665</v>
      </c>
      <c r="J492" t="s">
        <v>256</v>
      </c>
      <c r="K492" t="s">
        <v>60</v>
      </c>
      <c r="L492" t="s">
        <v>94</v>
      </c>
      <c r="M492" s="5">
        <v>20800</v>
      </c>
      <c r="N492" s="5">
        <v>3200</v>
      </c>
      <c r="O492" s="5">
        <v>3700</v>
      </c>
      <c r="P492" s="5">
        <v>4500</v>
      </c>
      <c r="Q492" s="13">
        <v>33200</v>
      </c>
      <c r="R492" t="s">
        <v>141</v>
      </c>
      <c r="S492" t="s">
        <v>76</v>
      </c>
      <c r="T492" s="5">
        <v>6180</v>
      </c>
      <c r="U492" s="6">
        <v>4</v>
      </c>
      <c r="V492" t="s">
        <v>64</v>
      </c>
      <c r="W492" s="4"/>
      <c r="X492" t="s">
        <v>65</v>
      </c>
      <c r="Y492" t="s">
        <v>64</v>
      </c>
      <c r="Z492" t="s">
        <v>96</v>
      </c>
      <c r="AA492" t="str">
        <f>VLOOKUP(H492,Departments!$A:$B,2,0)</f>
        <v>Neurology</v>
      </c>
      <c r="AB492" t="str">
        <f>VLOOKUP(J492,Diagnosis_Guide!$A:$B,2,0)</f>
        <v>Migraine Complication</v>
      </c>
      <c r="AC492" s="4" t="str">
        <f>VLOOKUP(J492,Diagnosis_Guide!$A:$C,3,0)</f>
        <v>Neurological</v>
      </c>
      <c r="AD492" s="4" t="str">
        <f>VLOOKUP(R492,Insurance_Plans!$A:$C,3,0)</f>
        <v>Private</v>
      </c>
      <c r="AE492" s="13">
        <f t="shared" si="21"/>
        <v>1660</v>
      </c>
      <c r="AF492" s="13">
        <f t="shared" si="22"/>
        <v>34860</v>
      </c>
      <c r="AG492" s="4" t="str">
        <f t="shared" si="23"/>
        <v>High</v>
      </c>
    </row>
    <row r="493" spans="1:33">
      <c r="A493" t="s">
        <v>1054</v>
      </c>
      <c r="B493" t="s">
        <v>828</v>
      </c>
      <c r="C493" s="11">
        <v>46159</v>
      </c>
      <c r="D493" t="s">
        <v>210</v>
      </c>
      <c r="E493" t="s">
        <v>70</v>
      </c>
      <c r="F493" s="4">
        <v>46160</v>
      </c>
      <c r="G493" s="4">
        <v>46162</v>
      </c>
      <c r="H493" t="s">
        <v>121</v>
      </c>
      <c r="I493" t="s">
        <v>386</v>
      </c>
      <c r="J493" t="s">
        <v>256</v>
      </c>
      <c r="K493" t="s">
        <v>73</v>
      </c>
      <c r="L493" t="s">
        <v>94</v>
      </c>
      <c r="M493" s="5">
        <v>20100</v>
      </c>
      <c r="N493" s="5">
        <v>2700</v>
      </c>
      <c r="O493" s="5">
        <v>2050</v>
      </c>
      <c r="P493" s="5">
        <v>7000</v>
      </c>
      <c r="Q493" s="13">
        <v>34350</v>
      </c>
      <c r="R493" t="s">
        <v>106</v>
      </c>
      <c r="S493" t="s">
        <v>76</v>
      </c>
      <c r="T493" s="5">
        <v>12720</v>
      </c>
      <c r="U493" s="6">
        <v>3</v>
      </c>
      <c r="V493" t="s">
        <v>77</v>
      </c>
      <c r="W493" s="4">
        <v>46176</v>
      </c>
      <c r="X493" t="s">
        <v>64</v>
      </c>
      <c r="Y493" t="s">
        <v>64</v>
      </c>
      <c r="Z493" t="s">
        <v>78</v>
      </c>
      <c r="AA493" t="str">
        <f>VLOOKUP(H493,Departments!$A:$B,2,0)</f>
        <v>Neurology</v>
      </c>
      <c r="AB493" t="str">
        <f>VLOOKUP(J493,Diagnosis_Guide!$A:$B,2,0)</f>
        <v>Migraine Complication</v>
      </c>
      <c r="AC493" s="4" t="str">
        <f>VLOOKUP(J493,Diagnosis_Guide!$A:$C,3,0)</f>
        <v>Neurological</v>
      </c>
      <c r="AD493" s="4" t="str">
        <f>VLOOKUP(R493,Insurance_Plans!$A:$C,3,0)</f>
        <v>Private</v>
      </c>
      <c r="AE493" s="13">
        <f t="shared" si="21"/>
        <v>1717.5</v>
      </c>
      <c r="AF493" s="13">
        <f t="shared" si="22"/>
        <v>36067.5</v>
      </c>
      <c r="AG493" s="4" t="str">
        <f t="shared" si="23"/>
        <v>Medium</v>
      </c>
    </row>
    <row r="494" spans="1:33">
      <c r="A494" t="s">
        <v>1055</v>
      </c>
      <c r="B494" t="s">
        <v>322</v>
      </c>
      <c r="C494" s="11">
        <v>46038</v>
      </c>
      <c r="D494" t="s">
        <v>200</v>
      </c>
      <c r="E494" t="s">
        <v>70</v>
      </c>
      <c r="F494" s="4">
        <v>46038</v>
      </c>
      <c r="G494" s="4">
        <v>46044</v>
      </c>
      <c r="H494" t="s">
        <v>138</v>
      </c>
      <c r="I494" t="s">
        <v>260</v>
      </c>
      <c r="J494" t="s">
        <v>236</v>
      </c>
      <c r="K494" t="s">
        <v>124</v>
      </c>
      <c r="L494" t="s">
        <v>94</v>
      </c>
      <c r="M494" s="5">
        <v>28900</v>
      </c>
      <c r="N494" s="5">
        <v>4650</v>
      </c>
      <c r="O494" s="5">
        <v>6650</v>
      </c>
      <c r="P494" s="5">
        <v>36000</v>
      </c>
      <c r="Q494" s="13">
        <v>78700</v>
      </c>
      <c r="R494" t="s">
        <v>85</v>
      </c>
      <c r="S494" t="s">
        <v>163</v>
      </c>
      <c r="T494" s="5">
        <v>20580</v>
      </c>
      <c r="U494" s="6">
        <v>5</v>
      </c>
      <c r="V494" t="s">
        <v>77</v>
      </c>
      <c r="W494" s="4">
        <v>46053</v>
      </c>
      <c r="X494" t="s">
        <v>77</v>
      </c>
      <c r="Y494" t="s">
        <v>64</v>
      </c>
      <c r="Z494" t="s">
        <v>78</v>
      </c>
      <c r="AA494" t="str">
        <f>VLOOKUP(H494,Departments!$A:$B,2,0)</f>
        <v>Pediatrics</v>
      </c>
      <c r="AB494" t="str">
        <f>VLOOKUP(J494,Diagnosis_Guide!$A:$B,2,0)</f>
        <v>Neonatal Observation</v>
      </c>
      <c r="AC494" s="4" t="str">
        <f>VLOOKUP(J494,Diagnosis_Guide!$A:$C,3,0)</f>
        <v>Pediatric</v>
      </c>
      <c r="AD494" s="4" t="str">
        <f>VLOOKUP(R494,Insurance_Plans!$A:$C,3,0)</f>
        <v>Employer</v>
      </c>
      <c r="AE494" s="13">
        <f t="shared" si="21"/>
        <v>3935</v>
      </c>
      <c r="AF494" s="13">
        <f t="shared" si="22"/>
        <v>82635</v>
      </c>
      <c r="AG494" s="4" t="str">
        <f t="shared" si="23"/>
        <v>High</v>
      </c>
    </row>
    <row r="495" spans="1:33">
      <c r="A495" t="s">
        <v>1056</v>
      </c>
      <c r="B495" t="s">
        <v>921</v>
      </c>
      <c r="C495" s="11">
        <v>46163</v>
      </c>
      <c r="D495" t="s">
        <v>132</v>
      </c>
      <c r="E495" t="s">
        <v>70</v>
      </c>
      <c r="F495" s="4">
        <v>46163</v>
      </c>
      <c r="G495" s="4">
        <v>46168</v>
      </c>
      <c r="H495" t="s">
        <v>90</v>
      </c>
      <c r="I495" t="s">
        <v>388</v>
      </c>
      <c r="J495" t="s">
        <v>129</v>
      </c>
      <c r="K495" t="s">
        <v>124</v>
      </c>
      <c r="L495" t="s">
        <v>146</v>
      </c>
      <c r="M495" s="5">
        <v>41200</v>
      </c>
      <c r="N495" s="5">
        <v>5400</v>
      </c>
      <c r="O495" s="5">
        <v>4450</v>
      </c>
      <c r="P495" s="5">
        <v>30000</v>
      </c>
      <c r="Q495" s="13">
        <v>82550</v>
      </c>
      <c r="R495" t="s">
        <v>85</v>
      </c>
      <c r="S495" t="s">
        <v>76</v>
      </c>
      <c r="T495" s="5">
        <v>21540</v>
      </c>
      <c r="U495" s="6">
        <v>2</v>
      </c>
      <c r="V495" t="s">
        <v>77</v>
      </c>
      <c r="W495" s="4">
        <v>46175</v>
      </c>
      <c r="X495" t="s">
        <v>64</v>
      </c>
      <c r="Y495" t="s">
        <v>77</v>
      </c>
      <c r="Z495" t="s">
        <v>96</v>
      </c>
      <c r="AA495" t="str">
        <f>VLOOKUP(H495,Departments!$A:$B,2,0)</f>
        <v>Cardiology</v>
      </c>
      <c r="AB495" t="str">
        <f>VLOOKUP(J495,Diagnosis_Guide!$A:$B,2,0)</f>
        <v>Hypertension Crisis</v>
      </c>
      <c r="AC495" s="4" t="str">
        <f>VLOOKUP(J495,Diagnosis_Guide!$A:$C,3,0)</f>
        <v>Cardiovascular</v>
      </c>
      <c r="AD495" s="4" t="str">
        <f>VLOOKUP(R495,Insurance_Plans!$A:$C,3,0)</f>
        <v>Employer</v>
      </c>
      <c r="AE495" s="13">
        <f t="shared" si="21"/>
        <v>4127.5</v>
      </c>
      <c r="AF495" s="13">
        <f t="shared" si="22"/>
        <v>86677.5</v>
      </c>
      <c r="AG495" s="4" t="str">
        <f t="shared" si="23"/>
        <v>Low</v>
      </c>
    </row>
    <row r="496" spans="1:33">
      <c r="A496" t="s">
        <v>1057</v>
      </c>
      <c r="B496" t="s">
        <v>1058</v>
      </c>
      <c r="C496" s="11">
        <v>46153</v>
      </c>
      <c r="D496" t="s">
        <v>242</v>
      </c>
      <c r="E496" t="s">
        <v>70</v>
      </c>
      <c r="F496" s="4">
        <v>46153</v>
      </c>
      <c r="G496" s="4">
        <v>46154</v>
      </c>
      <c r="H496" t="s">
        <v>90</v>
      </c>
      <c r="I496" t="s">
        <v>388</v>
      </c>
      <c r="J496" t="s">
        <v>92</v>
      </c>
      <c r="K496" t="s">
        <v>60</v>
      </c>
      <c r="L496" t="s">
        <v>74</v>
      </c>
      <c r="M496" s="5">
        <v>49400</v>
      </c>
      <c r="N496" s="5">
        <v>6700</v>
      </c>
      <c r="O496" s="5">
        <v>11800</v>
      </c>
      <c r="P496" s="5">
        <v>3000</v>
      </c>
      <c r="Q496" s="13">
        <v>72400</v>
      </c>
      <c r="R496" t="s">
        <v>85</v>
      </c>
      <c r="S496" t="s">
        <v>76</v>
      </c>
      <c r="T496" s="5">
        <v>19000</v>
      </c>
      <c r="U496" s="6">
        <v>5</v>
      </c>
      <c r="V496" t="s">
        <v>77</v>
      </c>
      <c r="W496" s="4">
        <v>46161</v>
      </c>
      <c r="X496" t="s">
        <v>64</v>
      </c>
      <c r="Y496" t="s">
        <v>64</v>
      </c>
      <c r="Z496" t="s">
        <v>96</v>
      </c>
      <c r="AA496" t="str">
        <f>VLOOKUP(H496,Departments!$A:$B,2,0)</f>
        <v>Cardiology</v>
      </c>
      <c r="AB496" t="str">
        <f>VLOOKUP(J496,Diagnosis_Guide!$A:$B,2,0)</f>
        <v>Heart Failure</v>
      </c>
      <c r="AC496" s="4" t="str">
        <f>VLOOKUP(J496,Diagnosis_Guide!$A:$C,3,0)</f>
        <v>Cardiovascular</v>
      </c>
      <c r="AD496" s="4" t="str">
        <f>VLOOKUP(R496,Insurance_Plans!$A:$C,3,0)</f>
        <v>Employer</v>
      </c>
      <c r="AE496" s="13">
        <f t="shared" si="21"/>
        <v>3620</v>
      </c>
      <c r="AF496" s="13">
        <f t="shared" si="22"/>
        <v>76020</v>
      </c>
      <c r="AG496" s="4" t="str">
        <f t="shared" si="23"/>
        <v>High</v>
      </c>
    </row>
    <row r="497" spans="1:33">
      <c r="A497" t="s">
        <v>1059</v>
      </c>
      <c r="B497" t="s">
        <v>762</v>
      </c>
      <c r="C497" s="11">
        <v>46027</v>
      </c>
      <c r="D497" t="s">
        <v>266</v>
      </c>
      <c r="E497" t="s">
        <v>338</v>
      </c>
      <c r="F497" s="4"/>
      <c r="G497" s="4"/>
      <c r="H497" t="s">
        <v>90</v>
      </c>
      <c r="I497" t="s">
        <v>91</v>
      </c>
      <c r="J497" t="s">
        <v>92</v>
      </c>
      <c r="K497" t="s">
        <v>124</v>
      </c>
      <c r="L497" t="s">
        <v>61</v>
      </c>
      <c r="M497" s="5"/>
      <c r="N497" s="5"/>
      <c r="O497" s="5"/>
      <c r="P497" s="5"/>
      <c r="R497" t="s">
        <v>141</v>
      </c>
      <c r="S497" t="s">
        <v>63</v>
      </c>
      <c r="T497" s="5"/>
      <c r="U497" s="6"/>
      <c r="V497" t="s">
        <v>64</v>
      </c>
      <c r="W497" s="4"/>
      <c r="X497" t="s">
        <v>65</v>
      </c>
      <c r="Z497" t="s">
        <v>66</v>
      </c>
      <c r="AA497" t="str">
        <f>VLOOKUP(H497,Departments!$A:$B,2,0)</f>
        <v>Cardiology</v>
      </c>
      <c r="AB497" t="str">
        <f>VLOOKUP(J497,Diagnosis_Guide!$A:$B,2,0)</f>
        <v>Heart Failure</v>
      </c>
      <c r="AC497" s="4" t="str">
        <f>VLOOKUP(J497,Diagnosis_Guide!$A:$C,3,0)</f>
        <v>Cardiovascular</v>
      </c>
      <c r="AD497" s="4" t="str">
        <f>VLOOKUP(R497,Insurance_Plans!$A:$C,3,0)</f>
        <v>Private</v>
      </c>
      <c r="AE497" s="13" t="str">
        <f t="shared" si="21"/>
        <v/>
      </c>
      <c r="AF497" s="13" t="str">
        <f t="shared" si="22"/>
        <v/>
      </c>
      <c r="AG497" s="4" t="str">
        <f t="shared" si="23"/>
        <v>Not Available</v>
      </c>
    </row>
    <row r="498" spans="1:33">
      <c r="A498" t="s">
        <v>1060</v>
      </c>
      <c r="B498" t="s">
        <v>1058</v>
      </c>
      <c r="C498" s="11">
        <v>46107</v>
      </c>
      <c r="D498" t="s">
        <v>225</v>
      </c>
      <c r="E498" t="s">
        <v>70</v>
      </c>
      <c r="F498" s="4">
        <v>46108</v>
      </c>
      <c r="G498" s="4">
        <v>46118</v>
      </c>
      <c r="H498" t="s">
        <v>82</v>
      </c>
      <c r="I498" t="s">
        <v>194</v>
      </c>
      <c r="J498" t="s">
        <v>156</v>
      </c>
      <c r="K498" t="s">
        <v>93</v>
      </c>
      <c r="L498" t="s">
        <v>94</v>
      </c>
      <c r="M498" s="5">
        <v>66300</v>
      </c>
      <c r="N498" s="5">
        <v>9600</v>
      </c>
      <c r="O498" s="5">
        <v>15750</v>
      </c>
      <c r="P498" s="5">
        <v>35000</v>
      </c>
      <c r="Q498" s="13">
        <v>128450</v>
      </c>
      <c r="R498" t="s">
        <v>95</v>
      </c>
      <c r="S498" t="s">
        <v>63</v>
      </c>
      <c r="T498" s="5">
        <v>128450</v>
      </c>
      <c r="U498" s="6">
        <v>2</v>
      </c>
      <c r="V498" t="s">
        <v>77</v>
      </c>
      <c r="W498" s="4">
        <v>46136</v>
      </c>
      <c r="X498" t="s">
        <v>64</v>
      </c>
      <c r="Y498" t="s">
        <v>64</v>
      </c>
      <c r="Z498" t="s">
        <v>96</v>
      </c>
      <c r="AA498" t="str">
        <f>VLOOKUP(H498,Departments!$A:$B,2,0)</f>
        <v>Orthopedics</v>
      </c>
      <c r="AB498" t="str">
        <f>VLOOKUP(J498,Diagnosis_Guide!$A:$B,2,0)</f>
        <v>Spinal Injury</v>
      </c>
      <c r="AC498" s="4" t="str">
        <f>VLOOKUP(J498,Diagnosis_Guide!$A:$C,3,0)</f>
        <v>Musculoskeletal</v>
      </c>
      <c r="AD498" s="4" t="str">
        <f>VLOOKUP(R498,Insurance_Plans!$A:$C,3,0)</f>
        <v>Self-Pay</v>
      </c>
      <c r="AE498" s="13">
        <f t="shared" si="21"/>
        <v>6422.5</v>
      </c>
      <c r="AF498" s="13">
        <f t="shared" si="22"/>
        <v>134872.5</v>
      </c>
      <c r="AG498" s="4" t="str">
        <f t="shared" si="23"/>
        <v>Low</v>
      </c>
    </row>
    <row r="499" spans="1:33">
      <c r="A499" t="s">
        <v>1061</v>
      </c>
      <c r="B499" t="s">
        <v>288</v>
      </c>
      <c r="C499" s="11">
        <v>46033</v>
      </c>
      <c r="D499" t="s">
        <v>419</v>
      </c>
      <c r="E499" t="s">
        <v>70</v>
      </c>
      <c r="F499" s="4">
        <v>46034</v>
      </c>
      <c r="G499" s="4">
        <v>46036</v>
      </c>
      <c r="H499" t="s">
        <v>150</v>
      </c>
      <c r="I499" t="s">
        <v>228</v>
      </c>
      <c r="J499" t="s">
        <v>229</v>
      </c>
      <c r="K499" t="s">
        <v>73</v>
      </c>
      <c r="L499" t="s">
        <v>61</v>
      </c>
      <c r="M499" s="5">
        <v>30900</v>
      </c>
      <c r="N499" s="5">
        <v>4100</v>
      </c>
      <c r="O499" s="5">
        <v>5700</v>
      </c>
      <c r="P499" s="5">
        <v>12000</v>
      </c>
      <c r="Q499" s="13">
        <v>54200</v>
      </c>
      <c r="R499" t="s">
        <v>141</v>
      </c>
      <c r="S499" t="s">
        <v>76</v>
      </c>
      <c r="T499" s="5">
        <v>9330</v>
      </c>
      <c r="U499" s="6">
        <v>4</v>
      </c>
      <c r="V499" t="s">
        <v>64</v>
      </c>
      <c r="W499" s="4"/>
      <c r="X499" t="s">
        <v>65</v>
      </c>
      <c r="Y499" t="s">
        <v>77</v>
      </c>
      <c r="Z499" t="s">
        <v>78</v>
      </c>
      <c r="AA499" t="str">
        <f>VLOOKUP(H499,Departments!$A:$B,2,0)</f>
        <v>Obstetrics</v>
      </c>
      <c r="AB499" t="str">
        <f>VLOOKUP(J499,Diagnosis_Guide!$A:$B,2,0)</f>
        <v>Delivery Care</v>
      </c>
      <c r="AC499" s="4" t="str">
        <f>VLOOKUP(J499,Diagnosis_Guide!$A:$C,3,0)</f>
        <v>Maternal Health</v>
      </c>
      <c r="AD499" s="4" t="str">
        <f>VLOOKUP(R499,Insurance_Plans!$A:$C,3,0)</f>
        <v>Private</v>
      </c>
      <c r="AE499" s="13">
        <f t="shared" si="21"/>
        <v>2710</v>
      </c>
      <c r="AF499" s="13">
        <f t="shared" si="22"/>
        <v>56910</v>
      </c>
      <c r="AG499" s="4" t="str">
        <f t="shared" si="23"/>
        <v>High</v>
      </c>
    </row>
    <row r="500" spans="1:33">
      <c r="A500" t="s">
        <v>1062</v>
      </c>
      <c r="B500" t="s">
        <v>794</v>
      </c>
      <c r="C500" s="11">
        <v>46147</v>
      </c>
      <c r="D500" t="s">
        <v>173</v>
      </c>
      <c r="E500" t="s">
        <v>70</v>
      </c>
      <c r="F500" s="4">
        <v>46148</v>
      </c>
      <c r="G500" s="4">
        <v>46149</v>
      </c>
      <c r="H500" t="s">
        <v>201</v>
      </c>
      <c r="I500" t="s">
        <v>515</v>
      </c>
      <c r="J500" t="s">
        <v>281</v>
      </c>
      <c r="K500" t="s">
        <v>124</v>
      </c>
      <c r="L500" t="s">
        <v>61</v>
      </c>
      <c r="M500" s="5">
        <v>9100</v>
      </c>
      <c r="N500" s="5">
        <v>1250</v>
      </c>
      <c r="O500" s="5">
        <v>2150</v>
      </c>
      <c r="P500" s="5">
        <v>2500</v>
      </c>
      <c r="Q500" s="13">
        <v>16200</v>
      </c>
      <c r="R500" t="s">
        <v>95</v>
      </c>
      <c r="S500" t="s">
        <v>63</v>
      </c>
      <c r="T500" s="5">
        <v>16200</v>
      </c>
      <c r="U500" s="6">
        <v>3</v>
      </c>
      <c r="V500" t="s">
        <v>77</v>
      </c>
      <c r="W500" s="4">
        <v>46156</v>
      </c>
      <c r="X500" t="s">
        <v>64</v>
      </c>
      <c r="Y500" t="s">
        <v>64</v>
      </c>
      <c r="Z500" t="s">
        <v>436</v>
      </c>
      <c r="AA500" t="str">
        <f>VLOOKUP(H500,Departments!$A:$B,2,0)</f>
        <v>Emergency</v>
      </c>
      <c r="AB500" t="str">
        <f>VLOOKUP(J500,Diagnosis_Guide!$A:$B,2,0)</f>
        <v>Food Poisoning</v>
      </c>
      <c r="AC500" s="4" t="str">
        <f>VLOOKUP(J500,Diagnosis_Guide!$A:$C,3,0)</f>
        <v>Emergency</v>
      </c>
      <c r="AD500" s="4" t="str">
        <f>VLOOKUP(R500,Insurance_Plans!$A:$C,3,0)</f>
        <v>Self-Pay</v>
      </c>
      <c r="AE500" s="13">
        <f t="shared" si="21"/>
        <v>810</v>
      </c>
      <c r="AF500" s="13">
        <f t="shared" si="22"/>
        <v>17010</v>
      </c>
      <c r="AG500" s="4" t="str">
        <f t="shared" si="23"/>
        <v>Medium</v>
      </c>
    </row>
    <row r="501" spans="1:33">
      <c r="A501" t="s">
        <v>1063</v>
      </c>
      <c r="B501" t="s">
        <v>1064</v>
      </c>
      <c r="C501" s="11">
        <v>46164</v>
      </c>
      <c r="D501" t="s">
        <v>120</v>
      </c>
      <c r="E501" t="s">
        <v>56</v>
      </c>
      <c r="F501" s="4"/>
      <c r="G501" s="4"/>
      <c r="H501" t="s">
        <v>90</v>
      </c>
      <c r="I501" t="s">
        <v>388</v>
      </c>
      <c r="J501" t="s">
        <v>197</v>
      </c>
      <c r="K501" t="s">
        <v>124</v>
      </c>
      <c r="L501" t="s">
        <v>74</v>
      </c>
      <c r="M501" s="5"/>
      <c r="N501" s="5"/>
      <c r="O501" s="5"/>
      <c r="P501" s="5"/>
      <c r="R501" t="s">
        <v>95</v>
      </c>
      <c r="S501" t="s">
        <v>63</v>
      </c>
      <c r="T501" s="5"/>
      <c r="U501" s="6"/>
      <c r="V501" t="s">
        <v>64</v>
      </c>
      <c r="W501" s="4"/>
      <c r="X501" t="s">
        <v>65</v>
      </c>
      <c r="Z501" t="s">
        <v>66</v>
      </c>
      <c r="AA501" t="str">
        <f>VLOOKUP(H501,Departments!$A:$B,2,0)</f>
        <v>Cardiology</v>
      </c>
      <c r="AB501" t="str">
        <f>VLOOKUP(J501,Diagnosis_Guide!$A:$B,2,0)</f>
        <v>Chest Pain</v>
      </c>
      <c r="AC501" s="4" t="str">
        <f>VLOOKUP(J501,Diagnosis_Guide!$A:$C,3,0)</f>
        <v>Cardiovascular</v>
      </c>
      <c r="AD501" s="4" t="str">
        <f>VLOOKUP(R501,Insurance_Plans!$A:$C,3,0)</f>
        <v>Self-Pay</v>
      </c>
      <c r="AE501" s="13" t="str">
        <f t="shared" si="21"/>
        <v/>
      </c>
      <c r="AF501" s="13" t="str">
        <f t="shared" si="22"/>
        <v/>
      </c>
      <c r="AG501" s="4" t="str">
        <f t="shared" si="23"/>
        <v>Not Available</v>
      </c>
    </row>
    <row r="502" spans="1:33">
      <c r="A502" t="s">
        <v>1065</v>
      </c>
      <c r="B502" t="s">
        <v>719</v>
      </c>
      <c r="C502" s="11">
        <v>46140</v>
      </c>
      <c r="D502" t="s">
        <v>266</v>
      </c>
      <c r="E502" t="s">
        <v>70</v>
      </c>
      <c r="F502" s="4">
        <v>46141</v>
      </c>
      <c r="G502" s="4">
        <v>46141</v>
      </c>
      <c r="H502" t="s">
        <v>201</v>
      </c>
      <c r="I502" t="s">
        <v>421</v>
      </c>
      <c r="J502" t="s">
        <v>281</v>
      </c>
      <c r="K502" t="s">
        <v>73</v>
      </c>
      <c r="L502" t="s">
        <v>74</v>
      </c>
      <c r="M502" s="5">
        <v>6100</v>
      </c>
      <c r="N502" s="5">
        <v>900</v>
      </c>
      <c r="O502" s="5">
        <v>1350</v>
      </c>
      <c r="P502" s="5">
        <v>0</v>
      </c>
      <c r="Q502" s="13">
        <v>9350</v>
      </c>
      <c r="R502" t="s">
        <v>85</v>
      </c>
      <c r="S502" t="s">
        <v>76</v>
      </c>
      <c r="T502" s="5">
        <v>3240</v>
      </c>
      <c r="U502" s="6">
        <v>5</v>
      </c>
      <c r="V502" t="s">
        <v>64</v>
      </c>
      <c r="W502" s="4"/>
      <c r="X502" t="s">
        <v>65</v>
      </c>
      <c r="Y502" t="s">
        <v>64</v>
      </c>
      <c r="Z502" t="s">
        <v>96</v>
      </c>
      <c r="AA502" t="str">
        <f>VLOOKUP(H502,Departments!$A:$B,2,0)</f>
        <v>Emergency</v>
      </c>
      <c r="AB502" t="str">
        <f>VLOOKUP(J502,Diagnosis_Guide!$A:$B,2,0)</f>
        <v>Food Poisoning</v>
      </c>
      <c r="AC502" s="4" t="str">
        <f>VLOOKUP(J502,Diagnosis_Guide!$A:$C,3,0)</f>
        <v>Emergency</v>
      </c>
      <c r="AD502" s="4" t="str">
        <f>VLOOKUP(R502,Insurance_Plans!$A:$C,3,0)</f>
        <v>Employer</v>
      </c>
      <c r="AE502" s="13">
        <f t="shared" si="21"/>
        <v>467.5</v>
      </c>
      <c r="AF502" s="13">
        <f t="shared" si="22"/>
        <v>9817.5</v>
      </c>
      <c r="AG502" s="4" t="str">
        <f t="shared" si="23"/>
        <v>High</v>
      </c>
    </row>
    <row r="503" spans="1:33">
      <c r="A503" t="s">
        <v>1066</v>
      </c>
      <c r="B503" t="s">
        <v>1067</v>
      </c>
      <c r="C503" s="11">
        <v>46090</v>
      </c>
      <c r="D503" t="s">
        <v>149</v>
      </c>
      <c r="E503" t="s">
        <v>338</v>
      </c>
      <c r="F503" s="4"/>
      <c r="G503" s="4"/>
      <c r="H503" t="s">
        <v>138</v>
      </c>
      <c r="I503" t="s">
        <v>139</v>
      </c>
      <c r="J503" t="s">
        <v>140</v>
      </c>
      <c r="K503" t="s">
        <v>73</v>
      </c>
      <c r="L503" t="s">
        <v>94</v>
      </c>
      <c r="M503" s="5"/>
      <c r="N503" s="5"/>
      <c r="O503" s="5"/>
      <c r="P503" s="5"/>
      <c r="R503" t="s">
        <v>141</v>
      </c>
      <c r="S503" t="s">
        <v>63</v>
      </c>
      <c r="T503" s="5"/>
      <c r="U503" s="6"/>
      <c r="V503" t="s">
        <v>64</v>
      </c>
      <c r="W503" s="4"/>
      <c r="X503" t="s">
        <v>65</v>
      </c>
      <c r="Z503" t="s">
        <v>66</v>
      </c>
      <c r="AA503" t="str">
        <f>VLOOKUP(H503,Departments!$A:$B,2,0)</f>
        <v>Pediatrics</v>
      </c>
      <c r="AB503" t="str">
        <f>VLOOKUP(J503,Diagnosis_Guide!$A:$B,2,0)</f>
        <v>Pediatric Asthma</v>
      </c>
      <c r="AC503" s="4" t="str">
        <f>VLOOKUP(J503,Diagnosis_Guide!$A:$C,3,0)</f>
        <v>Pediatric</v>
      </c>
      <c r="AD503" s="4" t="str">
        <f>VLOOKUP(R503,Insurance_Plans!$A:$C,3,0)</f>
        <v>Private</v>
      </c>
      <c r="AE503" s="13" t="str">
        <f t="shared" si="21"/>
        <v/>
      </c>
      <c r="AF503" s="13" t="str">
        <f t="shared" si="22"/>
        <v/>
      </c>
      <c r="AG503" s="4" t="str">
        <f t="shared" si="23"/>
        <v>Not Available</v>
      </c>
    </row>
    <row r="504" spans="1:33">
      <c r="A504" t="s">
        <v>1068</v>
      </c>
      <c r="B504" t="s">
        <v>446</v>
      </c>
      <c r="C504" s="11">
        <v>46104</v>
      </c>
      <c r="D504" t="s">
        <v>432</v>
      </c>
      <c r="E504" t="s">
        <v>70</v>
      </c>
      <c r="F504" s="4">
        <v>46105</v>
      </c>
      <c r="G504" s="4">
        <v>46106</v>
      </c>
      <c r="H504" t="s">
        <v>201</v>
      </c>
      <c r="I504" t="s">
        <v>421</v>
      </c>
      <c r="J504" t="s">
        <v>203</v>
      </c>
      <c r="K504" t="s">
        <v>124</v>
      </c>
      <c r="L504" t="s">
        <v>94</v>
      </c>
      <c r="M504" s="5">
        <v>39800</v>
      </c>
      <c r="N504" s="5">
        <v>3250</v>
      </c>
      <c r="O504" s="5">
        <v>8350</v>
      </c>
      <c r="P504" s="5">
        <v>2500</v>
      </c>
      <c r="Q504" s="13">
        <v>54900</v>
      </c>
      <c r="R504" t="s">
        <v>85</v>
      </c>
      <c r="S504" t="s">
        <v>76</v>
      </c>
      <c r="T504" s="5">
        <v>14620</v>
      </c>
      <c r="U504" s="6">
        <v>4</v>
      </c>
      <c r="V504" t="s">
        <v>77</v>
      </c>
      <c r="W504" s="4">
        <v>46118</v>
      </c>
      <c r="X504" t="s">
        <v>77</v>
      </c>
      <c r="Y504" t="s">
        <v>64</v>
      </c>
      <c r="Z504" t="s">
        <v>107</v>
      </c>
      <c r="AA504" t="str">
        <f>VLOOKUP(H504,Departments!$A:$B,2,0)</f>
        <v>Emergency</v>
      </c>
      <c r="AB504" t="str">
        <f>VLOOKUP(J504,Diagnosis_Guide!$A:$B,2,0)</f>
        <v>Trauma Observation</v>
      </c>
      <c r="AC504" s="4" t="str">
        <f>VLOOKUP(J504,Diagnosis_Guide!$A:$C,3,0)</f>
        <v>Emergency</v>
      </c>
      <c r="AD504" s="4" t="str">
        <f>VLOOKUP(R504,Insurance_Plans!$A:$C,3,0)</f>
        <v>Employer</v>
      </c>
      <c r="AE504" s="13">
        <f t="shared" si="21"/>
        <v>2745</v>
      </c>
      <c r="AF504" s="13">
        <f t="shared" si="22"/>
        <v>57645</v>
      </c>
      <c r="AG504" s="4" t="str">
        <f t="shared" si="23"/>
        <v>High</v>
      </c>
    </row>
    <row r="505" spans="1:33">
      <c r="A505" t="s">
        <v>1069</v>
      </c>
      <c r="B505" t="s">
        <v>297</v>
      </c>
      <c r="C505" s="11">
        <v>46106</v>
      </c>
      <c r="D505" t="s">
        <v>206</v>
      </c>
      <c r="E505" t="s">
        <v>70</v>
      </c>
      <c r="F505" s="4">
        <v>46106</v>
      </c>
      <c r="G505" s="4">
        <v>46114</v>
      </c>
      <c r="H505" t="s">
        <v>82</v>
      </c>
      <c r="I505" t="s">
        <v>83</v>
      </c>
      <c r="J505" t="s">
        <v>156</v>
      </c>
      <c r="K505" t="s">
        <v>73</v>
      </c>
      <c r="L505" t="s">
        <v>94</v>
      </c>
      <c r="M505" s="5">
        <v>69800</v>
      </c>
      <c r="N505" s="5">
        <v>12500</v>
      </c>
      <c r="O505" s="5">
        <v>7750</v>
      </c>
      <c r="P505" s="5">
        <v>48000</v>
      </c>
      <c r="Q505" s="13">
        <v>139850</v>
      </c>
      <c r="R505" t="s">
        <v>62</v>
      </c>
      <c r="S505" t="s">
        <v>86</v>
      </c>
      <c r="T505" s="5">
        <v>42360</v>
      </c>
      <c r="U505" s="6">
        <v>5</v>
      </c>
      <c r="V505" t="s">
        <v>77</v>
      </c>
      <c r="W505" s="4">
        <v>46128</v>
      </c>
      <c r="X505" t="s">
        <v>77</v>
      </c>
      <c r="Y505" t="s">
        <v>64</v>
      </c>
      <c r="Z505" t="s">
        <v>107</v>
      </c>
      <c r="AA505" t="str">
        <f>VLOOKUP(H505,Departments!$A:$B,2,0)</f>
        <v>Orthopedics</v>
      </c>
      <c r="AB505" t="str">
        <f>VLOOKUP(J505,Diagnosis_Guide!$A:$B,2,0)</f>
        <v>Spinal Injury</v>
      </c>
      <c r="AC505" s="4" t="str">
        <f>VLOOKUP(J505,Diagnosis_Guide!$A:$C,3,0)</f>
        <v>Musculoskeletal</v>
      </c>
      <c r="AD505" s="4" t="str">
        <f>VLOOKUP(R505,Insurance_Plans!$A:$C,3,0)</f>
        <v>Public</v>
      </c>
      <c r="AE505" s="13">
        <f t="shared" si="21"/>
        <v>6992.5</v>
      </c>
      <c r="AF505" s="13">
        <f t="shared" si="22"/>
        <v>146842.5</v>
      </c>
      <c r="AG505" s="4" t="str">
        <f t="shared" si="23"/>
        <v>High</v>
      </c>
    </row>
    <row r="506" spans="1:33">
      <c r="A506" t="s">
        <v>1070</v>
      </c>
      <c r="B506" t="s">
        <v>838</v>
      </c>
      <c r="C506" s="11">
        <v>46050</v>
      </c>
      <c r="D506" t="s">
        <v>294</v>
      </c>
      <c r="E506" t="s">
        <v>70</v>
      </c>
      <c r="F506" s="4">
        <v>46050</v>
      </c>
      <c r="G506" s="4">
        <v>46050</v>
      </c>
      <c r="H506" t="s">
        <v>103</v>
      </c>
      <c r="I506" t="s">
        <v>207</v>
      </c>
      <c r="J506" t="s">
        <v>244</v>
      </c>
      <c r="K506" t="s">
        <v>60</v>
      </c>
      <c r="L506" t="s">
        <v>94</v>
      </c>
      <c r="M506" s="5">
        <v>79600</v>
      </c>
      <c r="N506" s="5">
        <v>7950</v>
      </c>
      <c r="O506" s="5">
        <v>8350</v>
      </c>
      <c r="P506" s="5">
        <v>0</v>
      </c>
      <c r="Q506" s="13">
        <v>97400</v>
      </c>
      <c r="R506" t="s">
        <v>75</v>
      </c>
      <c r="S506" t="s">
        <v>76</v>
      </c>
      <c r="T506" s="5">
        <v>44130</v>
      </c>
      <c r="U506" s="6">
        <v>3</v>
      </c>
      <c r="V506" t="s">
        <v>77</v>
      </c>
      <c r="W506" s="4">
        <v>46057</v>
      </c>
      <c r="X506" t="s">
        <v>77</v>
      </c>
      <c r="Y506" t="s">
        <v>64</v>
      </c>
      <c r="Z506" t="s">
        <v>78</v>
      </c>
      <c r="AA506" t="str">
        <f>VLOOKUP(H506,Departments!$A:$B,2,0)</f>
        <v>Nephrology</v>
      </c>
      <c r="AB506" t="str">
        <f>VLOOKUP(J506,Diagnosis_Guide!$A:$B,2,0)</f>
        <v>Chronic Kidney Disease</v>
      </c>
      <c r="AC506" s="4" t="str">
        <f>VLOOKUP(J506,Diagnosis_Guide!$A:$C,3,0)</f>
        <v>Renal</v>
      </c>
      <c r="AD506" s="4" t="str">
        <f>VLOOKUP(R506,Insurance_Plans!$A:$C,3,0)</f>
        <v>Public</v>
      </c>
      <c r="AE506" s="13">
        <f t="shared" si="21"/>
        <v>4870</v>
      </c>
      <c r="AF506" s="13">
        <f t="shared" si="22"/>
        <v>102270</v>
      </c>
      <c r="AG506" s="4" t="str">
        <f t="shared" si="23"/>
        <v>Medium</v>
      </c>
    </row>
    <row r="507" spans="1:33">
      <c r="A507" t="s">
        <v>1071</v>
      </c>
      <c r="B507" t="s">
        <v>1072</v>
      </c>
      <c r="C507" s="11">
        <v>46168</v>
      </c>
      <c r="D507" t="s">
        <v>284</v>
      </c>
      <c r="E507" t="s">
        <v>70</v>
      </c>
      <c r="F507" s="4">
        <v>46169</v>
      </c>
      <c r="G507" s="4">
        <v>46171</v>
      </c>
      <c r="H507" t="s">
        <v>150</v>
      </c>
      <c r="I507" t="s">
        <v>151</v>
      </c>
      <c r="J507" t="s">
        <v>229</v>
      </c>
      <c r="K507" t="s">
        <v>73</v>
      </c>
      <c r="L507" t="s">
        <v>61</v>
      </c>
      <c r="M507" s="5">
        <v>33600</v>
      </c>
      <c r="N507" s="5">
        <v>4250</v>
      </c>
      <c r="O507" s="5">
        <v>3950</v>
      </c>
      <c r="P507" s="5">
        <v>5000</v>
      </c>
      <c r="Q507" s="13">
        <v>49300</v>
      </c>
      <c r="R507" t="s">
        <v>134</v>
      </c>
      <c r="S507" t="s">
        <v>86</v>
      </c>
      <c r="T507" s="5">
        <v>27320</v>
      </c>
      <c r="U507" s="6">
        <v>5</v>
      </c>
      <c r="V507" t="s">
        <v>64</v>
      </c>
      <c r="W507" s="4"/>
      <c r="X507" t="s">
        <v>65</v>
      </c>
      <c r="Y507" t="s">
        <v>64</v>
      </c>
      <c r="Z507" t="s">
        <v>96</v>
      </c>
      <c r="AA507" t="str">
        <f>VLOOKUP(H507,Departments!$A:$B,2,0)</f>
        <v>Obstetrics</v>
      </c>
      <c r="AB507" t="str">
        <f>VLOOKUP(J507,Diagnosis_Guide!$A:$B,2,0)</f>
        <v>Delivery Care</v>
      </c>
      <c r="AC507" s="4" t="str">
        <f>VLOOKUP(J507,Diagnosis_Guide!$A:$C,3,0)</f>
        <v>Maternal Health</v>
      </c>
      <c r="AD507" s="4" t="str">
        <f>VLOOKUP(R507,Insurance_Plans!$A:$C,3,0)</f>
        <v>Community</v>
      </c>
      <c r="AE507" s="13">
        <f t="shared" si="21"/>
        <v>2465</v>
      </c>
      <c r="AF507" s="13">
        <f t="shared" si="22"/>
        <v>51765</v>
      </c>
      <c r="AG507" s="4" t="str">
        <f t="shared" si="23"/>
        <v>High</v>
      </c>
    </row>
    <row r="508" spans="1:33">
      <c r="A508" t="s">
        <v>1073</v>
      </c>
      <c r="B508" t="s">
        <v>1074</v>
      </c>
      <c r="C508" s="11">
        <v>46034</v>
      </c>
      <c r="D508" t="s">
        <v>259</v>
      </c>
      <c r="E508" t="s">
        <v>70</v>
      </c>
      <c r="F508" s="4">
        <v>46034</v>
      </c>
      <c r="G508" s="4">
        <v>46043</v>
      </c>
      <c r="H508" t="s">
        <v>90</v>
      </c>
      <c r="I508" t="s">
        <v>162</v>
      </c>
      <c r="J508" t="s">
        <v>92</v>
      </c>
      <c r="K508" t="s">
        <v>73</v>
      </c>
      <c r="L508" t="s">
        <v>74</v>
      </c>
      <c r="M508" s="5">
        <v>48700</v>
      </c>
      <c r="N508" s="5">
        <v>8200</v>
      </c>
      <c r="O508" s="5">
        <v>10650</v>
      </c>
      <c r="P508" s="5">
        <v>31500</v>
      </c>
      <c r="Q508" s="13">
        <v>100250</v>
      </c>
      <c r="R508" t="s">
        <v>141</v>
      </c>
      <c r="S508" t="s">
        <v>76</v>
      </c>
      <c r="T508" s="5">
        <v>16240</v>
      </c>
      <c r="U508" s="6">
        <v>1</v>
      </c>
      <c r="V508" t="s">
        <v>77</v>
      </c>
      <c r="W508" s="4">
        <v>46063</v>
      </c>
      <c r="X508" t="s">
        <v>64</v>
      </c>
      <c r="Y508" t="s">
        <v>64</v>
      </c>
      <c r="Z508" t="s">
        <v>96</v>
      </c>
      <c r="AA508" t="str">
        <f>VLOOKUP(H508,Departments!$A:$B,2,0)</f>
        <v>Cardiology</v>
      </c>
      <c r="AB508" t="str">
        <f>VLOOKUP(J508,Diagnosis_Guide!$A:$B,2,0)</f>
        <v>Heart Failure</v>
      </c>
      <c r="AC508" s="4" t="str">
        <f>VLOOKUP(J508,Diagnosis_Guide!$A:$C,3,0)</f>
        <v>Cardiovascular</v>
      </c>
      <c r="AD508" s="4" t="str">
        <f>VLOOKUP(R508,Insurance_Plans!$A:$C,3,0)</f>
        <v>Private</v>
      </c>
      <c r="AE508" s="13">
        <f t="shared" si="21"/>
        <v>5012.5</v>
      </c>
      <c r="AF508" s="13">
        <f t="shared" si="22"/>
        <v>105262.5</v>
      </c>
      <c r="AG508" s="4" t="str">
        <f t="shared" si="23"/>
        <v>Low</v>
      </c>
    </row>
    <row r="509" spans="1:33">
      <c r="A509" t="s">
        <v>1075</v>
      </c>
      <c r="B509" t="s">
        <v>1076</v>
      </c>
      <c r="C509" s="11">
        <v>46087</v>
      </c>
      <c r="D509" t="s">
        <v>161</v>
      </c>
      <c r="E509" t="s">
        <v>70</v>
      </c>
      <c r="F509" s="4">
        <v>46087</v>
      </c>
      <c r="G509" s="4">
        <v>46089</v>
      </c>
      <c r="H509" t="s">
        <v>103</v>
      </c>
      <c r="I509" t="s">
        <v>104</v>
      </c>
      <c r="J509" t="s">
        <v>244</v>
      </c>
      <c r="K509" t="s">
        <v>93</v>
      </c>
      <c r="L509" t="s">
        <v>74</v>
      </c>
      <c r="M509" s="5">
        <v>74300</v>
      </c>
      <c r="N509" s="5">
        <v>8150</v>
      </c>
      <c r="O509" s="5">
        <v>17650</v>
      </c>
      <c r="P509" s="5">
        <v>12000</v>
      </c>
      <c r="Q509" s="13">
        <v>113900</v>
      </c>
      <c r="R509" t="s">
        <v>75</v>
      </c>
      <c r="S509" t="s">
        <v>76</v>
      </c>
      <c r="T509" s="5">
        <v>51550</v>
      </c>
      <c r="U509" s="6">
        <v>3</v>
      </c>
      <c r="V509" t="s">
        <v>77</v>
      </c>
      <c r="W509" s="4">
        <v>46103</v>
      </c>
      <c r="X509" t="s">
        <v>64</v>
      </c>
      <c r="Y509" t="s">
        <v>64</v>
      </c>
      <c r="Z509" t="s">
        <v>78</v>
      </c>
      <c r="AA509" t="str">
        <f>VLOOKUP(H509,Departments!$A:$B,2,0)</f>
        <v>Nephrology</v>
      </c>
      <c r="AB509" t="str">
        <f>VLOOKUP(J509,Diagnosis_Guide!$A:$B,2,0)</f>
        <v>Chronic Kidney Disease</v>
      </c>
      <c r="AC509" s="4" t="str">
        <f>VLOOKUP(J509,Diagnosis_Guide!$A:$C,3,0)</f>
        <v>Renal</v>
      </c>
      <c r="AD509" s="4" t="str">
        <f>VLOOKUP(R509,Insurance_Plans!$A:$C,3,0)</f>
        <v>Public</v>
      </c>
      <c r="AE509" s="13">
        <f t="shared" si="21"/>
        <v>5695</v>
      </c>
      <c r="AF509" s="13">
        <f t="shared" si="22"/>
        <v>119595</v>
      </c>
      <c r="AG509" s="4" t="str">
        <f t="shared" si="23"/>
        <v>Medium</v>
      </c>
    </row>
    <row r="510" spans="1:33">
      <c r="A510" t="s">
        <v>1077</v>
      </c>
      <c r="B510" t="s">
        <v>571</v>
      </c>
      <c r="C510" s="11">
        <v>46025</v>
      </c>
      <c r="D510" t="s">
        <v>173</v>
      </c>
      <c r="E510" t="s">
        <v>70</v>
      </c>
      <c r="F510" s="4">
        <v>46025</v>
      </c>
      <c r="G510" s="4">
        <v>46025</v>
      </c>
      <c r="H510" t="s">
        <v>103</v>
      </c>
      <c r="I510" t="s">
        <v>412</v>
      </c>
      <c r="J510" t="s">
        <v>244</v>
      </c>
      <c r="K510" t="s">
        <v>60</v>
      </c>
      <c r="L510" t="s">
        <v>94</v>
      </c>
      <c r="M510" s="5">
        <v>66900</v>
      </c>
      <c r="N510" s="5">
        <v>9800</v>
      </c>
      <c r="O510" s="5">
        <v>12700</v>
      </c>
      <c r="P510" s="5">
        <v>0</v>
      </c>
      <c r="Q510" s="13">
        <v>90600</v>
      </c>
      <c r="R510" t="s">
        <v>62</v>
      </c>
      <c r="S510" t="s">
        <v>76</v>
      </c>
      <c r="T510" s="5">
        <v>27580</v>
      </c>
      <c r="U510" s="6">
        <v>4</v>
      </c>
      <c r="V510" t="s">
        <v>77</v>
      </c>
      <c r="W510" s="4">
        <v>46033</v>
      </c>
      <c r="X510" t="s">
        <v>77</v>
      </c>
      <c r="Y510" t="s">
        <v>64</v>
      </c>
      <c r="Z510" t="s">
        <v>219</v>
      </c>
      <c r="AA510" t="str">
        <f>VLOOKUP(H510,Departments!$A:$B,2,0)</f>
        <v>Nephrology</v>
      </c>
      <c r="AB510" t="str">
        <f>VLOOKUP(J510,Diagnosis_Guide!$A:$B,2,0)</f>
        <v>Chronic Kidney Disease</v>
      </c>
      <c r="AC510" s="4" t="str">
        <f>VLOOKUP(J510,Diagnosis_Guide!$A:$C,3,0)</f>
        <v>Renal</v>
      </c>
      <c r="AD510" s="4" t="str">
        <f>VLOOKUP(R510,Insurance_Plans!$A:$C,3,0)</f>
        <v>Public</v>
      </c>
      <c r="AE510" s="13">
        <f t="shared" si="21"/>
        <v>4530</v>
      </c>
      <c r="AF510" s="13">
        <f t="shared" si="22"/>
        <v>95130</v>
      </c>
      <c r="AG510" s="4" t="str">
        <f t="shared" si="23"/>
        <v>High</v>
      </c>
    </row>
    <row r="511" spans="1:33">
      <c r="A511" t="s">
        <v>1078</v>
      </c>
      <c r="B511" t="s">
        <v>306</v>
      </c>
      <c r="C511" s="11">
        <v>46068</v>
      </c>
      <c r="D511" t="s">
        <v>217</v>
      </c>
      <c r="E511" t="s">
        <v>70</v>
      </c>
      <c r="F511" s="4">
        <v>46068</v>
      </c>
      <c r="G511" s="4">
        <v>46075</v>
      </c>
      <c r="H511" t="s">
        <v>103</v>
      </c>
      <c r="I511" t="s">
        <v>214</v>
      </c>
      <c r="J511" t="s">
        <v>244</v>
      </c>
      <c r="K511" t="s">
        <v>73</v>
      </c>
      <c r="L511" t="s">
        <v>94</v>
      </c>
      <c r="M511" s="5">
        <v>60400</v>
      </c>
      <c r="N511" s="5">
        <v>5900</v>
      </c>
      <c r="O511" s="5">
        <v>6050</v>
      </c>
      <c r="P511" s="5">
        <v>17500</v>
      </c>
      <c r="Q511" s="13">
        <v>90650</v>
      </c>
      <c r="R511" t="s">
        <v>85</v>
      </c>
      <c r="S511" t="s">
        <v>76</v>
      </c>
      <c r="T511" s="5">
        <v>23560</v>
      </c>
      <c r="U511" s="6">
        <v>4</v>
      </c>
      <c r="V511" t="s">
        <v>64</v>
      </c>
      <c r="W511" s="4"/>
      <c r="X511" t="s">
        <v>65</v>
      </c>
      <c r="Y511" t="s">
        <v>64</v>
      </c>
      <c r="Z511" t="s">
        <v>96</v>
      </c>
      <c r="AA511" t="str">
        <f>VLOOKUP(H511,Departments!$A:$B,2,0)</f>
        <v>Nephrology</v>
      </c>
      <c r="AB511" t="str">
        <f>VLOOKUP(J511,Diagnosis_Guide!$A:$B,2,0)</f>
        <v>Chronic Kidney Disease</v>
      </c>
      <c r="AC511" s="4" t="str">
        <f>VLOOKUP(J511,Diagnosis_Guide!$A:$C,3,0)</f>
        <v>Renal</v>
      </c>
      <c r="AD511" s="4" t="str">
        <f>VLOOKUP(R511,Insurance_Plans!$A:$C,3,0)</f>
        <v>Employer</v>
      </c>
      <c r="AE511" s="13">
        <f t="shared" si="21"/>
        <v>4532.5</v>
      </c>
      <c r="AF511" s="13">
        <f t="shared" si="22"/>
        <v>95182.5</v>
      </c>
      <c r="AG511" s="4" t="str">
        <f t="shared" si="23"/>
        <v>High</v>
      </c>
    </row>
    <row r="512" spans="1:33">
      <c r="A512" t="s">
        <v>1079</v>
      </c>
      <c r="B512" t="s">
        <v>929</v>
      </c>
      <c r="C512" s="11">
        <v>46109</v>
      </c>
      <c r="D512" t="s">
        <v>127</v>
      </c>
      <c r="E512" t="s">
        <v>56</v>
      </c>
      <c r="F512" s="4"/>
      <c r="G512" s="4"/>
      <c r="H512" t="s">
        <v>90</v>
      </c>
      <c r="I512" t="s">
        <v>388</v>
      </c>
      <c r="J512" t="s">
        <v>129</v>
      </c>
      <c r="K512" t="s">
        <v>124</v>
      </c>
      <c r="L512" t="s">
        <v>94</v>
      </c>
      <c r="M512" s="5"/>
      <c r="N512" s="5"/>
      <c r="O512" s="5"/>
      <c r="P512" s="5"/>
      <c r="R512" t="s">
        <v>95</v>
      </c>
      <c r="S512" t="s">
        <v>63</v>
      </c>
      <c r="T512" s="5"/>
      <c r="U512" s="6"/>
      <c r="V512" t="s">
        <v>64</v>
      </c>
      <c r="W512" s="4"/>
      <c r="X512" t="s">
        <v>65</v>
      </c>
      <c r="Z512" t="s">
        <v>66</v>
      </c>
      <c r="AA512" t="str">
        <f>VLOOKUP(H512,Departments!$A:$B,2,0)</f>
        <v>Cardiology</v>
      </c>
      <c r="AB512" t="str">
        <f>VLOOKUP(J512,Diagnosis_Guide!$A:$B,2,0)</f>
        <v>Hypertension Crisis</v>
      </c>
      <c r="AC512" s="4" t="str">
        <f>VLOOKUP(J512,Diagnosis_Guide!$A:$C,3,0)</f>
        <v>Cardiovascular</v>
      </c>
      <c r="AD512" s="4" t="str">
        <f>VLOOKUP(R512,Insurance_Plans!$A:$C,3,0)</f>
        <v>Self-Pay</v>
      </c>
      <c r="AE512" s="13" t="str">
        <f t="shared" si="21"/>
        <v/>
      </c>
      <c r="AF512" s="13" t="str">
        <f t="shared" si="22"/>
        <v/>
      </c>
      <c r="AG512" s="4" t="str">
        <f t="shared" si="23"/>
        <v>Not Available</v>
      </c>
    </row>
    <row r="513" spans="1:33">
      <c r="A513" t="s">
        <v>1080</v>
      </c>
      <c r="B513" t="s">
        <v>1081</v>
      </c>
      <c r="C513" s="11">
        <v>46109</v>
      </c>
      <c r="D513" t="s">
        <v>234</v>
      </c>
      <c r="E513" t="s">
        <v>70</v>
      </c>
      <c r="F513" s="4">
        <v>46109</v>
      </c>
      <c r="G513" s="4">
        <v>46112</v>
      </c>
      <c r="H513" t="s">
        <v>178</v>
      </c>
      <c r="I513" t="s">
        <v>218</v>
      </c>
      <c r="J513" t="s">
        <v>340</v>
      </c>
      <c r="K513" t="s">
        <v>93</v>
      </c>
      <c r="L513" t="s">
        <v>94</v>
      </c>
      <c r="M513" s="5">
        <v>70500</v>
      </c>
      <c r="N513" s="5">
        <v>9500</v>
      </c>
      <c r="O513" s="5">
        <v>16900</v>
      </c>
      <c r="P513" s="5">
        <v>18000</v>
      </c>
      <c r="Q513" s="13">
        <v>116400</v>
      </c>
      <c r="R513" t="s">
        <v>85</v>
      </c>
      <c r="S513" t="s">
        <v>76</v>
      </c>
      <c r="T513" s="5">
        <v>30000</v>
      </c>
      <c r="U513" s="6"/>
      <c r="V513" t="s">
        <v>64</v>
      </c>
      <c r="W513" s="4"/>
      <c r="X513" t="s">
        <v>65</v>
      </c>
      <c r="Y513" t="s">
        <v>64</v>
      </c>
      <c r="Z513" t="s">
        <v>96</v>
      </c>
      <c r="AA513" t="str">
        <f>VLOOKUP(H513,Departments!$A:$B,2,0)</f>
        <v>Surgery</v>
      </c>
      <c r="AB513" t="str">
        <f>VLOOKUP(J513,Diagnosis_Guide!$A:$B,2,0)</f>
        <v>Post-Operative Infection</v>
      </c>
      <c r="AC513" s="4" t="str">
        <f>VLOOKUP(J513,Diagnosis_Guide!$A:$C,3,0)</f>
        <v>Surgical</v>
      </c>
      <c r="AD513" s="4" t="str">
        <f>VLOOKUP(R513,Insurance_Plans!$A:$C,3,0)</f>
        <v>Employer</v>
      </c>
      <c r="AE513" s="13">
        <f t="shared" si="21"/>
        <v>5820</v>
      </c>
      <c r="AF513" s="13">
        <f t="shared" si="22"/>
        <v>122220</v>
      </c>
      <c r="AG513" s="4" t="str">
        <f t="shared" si="23"/>
        <v>Not Available</v>
      </c>
    </row>
    <row r="514" spans="1:33">
      <c r="A514" t="s">
        <v>1082</v>
      </c>
      <c r="B514" t="s">
        <v>1083</v>
      </c>
      <c r="C514" s="11">
        <v>46053</v>
      </c>
      <c r="D514" t="s">
        <v>120</v>
      </c>
      <c r="E514" t="s">
        <v>70</v>
      </c>
      <c r="F514" s="4">
        <v>46054</v>
      </c>
      <c r="G514" s="4">
        <v>46057</v>
      </c>
      <c r="H514" t="s">
        <v>111</v>
      </c>
      <c r="I514" t="s">
        <v>397</v>
      </c>
      <c r="J514" t="s">
        <v>117</v>
      </c>
      <c r="K514" t="s">
        <v>93</v>
      </c>
      <c r="L514" t="s">
        <v>94</v>
      </c>
      <c r="M514" s="5">
        <v>8400</v>
      </c>
      <c r="N514" s="5">
        <v>900</v>
      </c>
      <c r="O514" s="5">
        <v>950</v>
      </c>
      <c r="P514" s="5">
        <v>10500</v>
      </c>
      <c r="Q514" s="13">
        <v>22750</v>
      </c>
      <c r="R514" t="s">
        <v>85</v>
      </c>
      <c r="S514" t="s">
        <v>86</v>
      </c>
      <c r="T514" s="5">
        <v>6590</v>
      </c>
      <c r="U514" s="6">
        <v>4</v>
      </c>
      <c r="V514" t="s">
        <v>64</v>
      </c>
      <c r="W514" s="4"/>
      <c r="X514" t="s">
        <v>65</v>
      </c>
      <c r="Y514" t="s">
        <v>64</v>
      </c>
      <c r="Z514" t="s">
        <v>78</v>
      </c>
      <c r="AA514" t="str">
        <f>VLOOKUP(H514,Departments!$A:$B,2,0)</f>
        <v>General Medicine</v>
      </c>
      <c r="AB514" t="str">
        <f>VLOOKUP(J514,Diagnosis_Guide!$A:$B,2,0)</f>
        <v>Fever Investigation</v>
      </c>
      <c r="AC514" s="4" t="str">
        <f>VLOOKUP(J514,Diagnosis_Guide!$A:$C,3,0)</f>
        <v>Infectious/General</v>
      </c>
      <c r="AD514" s="4" t="str">
        <f>VLOOKUP(R514,Insurance_Plans!$A:$C,3,0)</f>
        <v>Employer</v>
      </c>
      <c r="AE514" s="13">
        <f t="shared" ref="AE514:AE577" si="24">IF(Q514="","",Q514*0.05)</f>
        <v>1137.5</v>
      </c>
      <c r="AF514" s="13">
        <f t="shared" ref="AF514:AF577" si="25">IF(Q514="","",Q514+AE514)</f>
        <v>23887.5</v>
      </c>
      <c r="AG514" s="4" t="str">
        <f t="shared" ref="AG514:AG577" si="26">IF(U514="","Not Available",IF(U514&gt;=4,"High",IF(U514=3,"Medium","Low")))</f>
        <v>High</v>
      </c>
    </row>
    <row r="515" spans="1:33">
      <c r="A515" t="s">
        <v>1084</v>
      </c>
      <c r="B515" t="s">
        <v>1085</v>
      </c>
      <c r="C515" s="11">
        <v>46168</v>
      </c>
      <c r="D515" t="s">
        <v>302</v>
      </c>
      <c r="E515" t="s">
        <v>70</v>
      </c>
      <c r="F515" s="4">
        <v>46169</v>
      </c>
      <c r="G515" s="4">
        <v>46172</v>
      </c>
      <c r="H515" t="s">
        <v>201</v>
      </c>
      <c r="I515" t="s">
        <v>515</v>
      </c>
      <c r="J515" t="s">
        <v>203</v>
      </c>
      <c r="K515" t="s">
        <v>124</v>
      </c>
      <c r="L515" t="s">
        <v>74</v>
      </c>
      <c r="M515" s="5">
        <v>42500</v>
      </c>
      <c r="N515" s="5">
        <v>6150</v>
      </c>
      <c r="O515" s="5">
        <v>6800</v>
      </c>
      <c r="P515" s="5">
        <v>13500</v>
      </c>
      <c r="Q515" s="13">
        <v>70150</v>
      </c>
      <c r="R515" t="s">
        <v>62</v>
      </c>
      <c r="S515" t="s">
        <v>86</v>
      </c>
      <c r="T515" s="5">
        <v>21450</v>
      </c>
      <c r="U515" s="6">
        <v>4</v>
      </c>
      <c r="V515" t="s">
        <v>77</v>
      </c>
      <c r="W515" s="4">
        <v>46180</v>
      </c>
      <c r="X515" t="s">
        <v>77</v>
      </c>
      <c r="Y515" t="s">
        <v>64</v>
      </c>
      <c r="Z515" t="s">
        <v>107</v>
      </c>
      <c r="AA515" t="str">
        <f>VLOOKUP(H515,Departments!$A:$B,2,0)</f>
        <v>Emergency</v>
      </c>
      <c r="AB515" t="str">
        <f>VLOOKUP(J515,Diagnosis_Guide!$A:$B,2,0)</f>
        <v>Trauma Observation</v>
      </c>
      <c r="AC515" s="4" t="str">
        <f>VLOOKUP(J515,Diagnosis_Guide!$A:$C,3,0)</f>
        <v>Emergency</v>
      </c>
      <c r="AD515" s="4" t="str">
        <f>VLOOKUP(R515,Insurance_Plans!$A:$C,3,0)</f>
        <v>Public</v>
      </c>
      <c r="AE515" s="13">
        <f t="shared" si="24"/>
        <v>3507.5</v>
      </c>
      <c r="AF515" s="13">
        <f t="shared" si="25"/>
        <v>73657.5</v>
      </c>
      <c r="AG515" s="4" t="str">
        <f t="shared" si="26"/>
        <v>High</v>
      </c>
    </row>
    <row r="516" spans="1:33">
      <c r="A516" t="s">
        <v>1086</v>
      </c>
      <c r="B516" t="s">
        <v>1087</v>
      </c>
      <c r="C516" s="11">
        <v>46072</v>
      </c>
      <c r="D516" t="s">
        <v>144</v>
      </c>
      <c r="E516" t="s">
        <v>70</v>
      </c>
      <c r="F516" s="4">
        <v>46072</v>
      </c>
      <c r="G516" s="4">
        <v>46075</v>
      </c>
      <c r="H516" t="s">
        <v>57</v>
      </c>
      <c r="I516" t="s">
        <v>71</v>
      </c>
      <c r="J516" t="s">
        <v>72</v>
      </c>
      <c r="K516" t="s">
        <v>124</v>
      </c>
      <c r="L516" t="s">
        <v>146</v>
      </c>
      <c r="M516" s="5">
        <v>7500</v>
      </c>
      <c r="N516" s="5">
        <v>1150</v>
      </c>
      <c r="O516" s="5">
        <v>1700</v>
      </c>
      <c r="P516" s="5">
        <v>10500</v>
      </c>
      <c r="Q516" s="13">
        <v>22650</v>
      </c>
      <c r="R516" t="s">
        <v>106</v>
      </c>
      <c r="S516" t="s">
        <v>76</v>
      </c>
      <c r="T516" s="5">
        <v>8630</v>
      </c>
      <c r="U516" s="6">
        <v>3</v>
      </c>
      <c r="V516" t="s">
        <v>64</v>
      </c>
      <c r="W516" s="4"/>
      <c r="X516" t="s">
        <v>65</v>
      </c>
      <c r="Y516" t="s">
        <v>64</v>
      </c>
      <c r="Z516" t="s">
        <v>219</v>
      </c>
      <c r="AA516" t="str">
        <f>VLOOKUP(H516,Departments!$A:$B,2,0)</f>
        <v>Pulmonology</v>
      </c>
      <c r="AB516" t="str">
        <f>VLOOKUP(J516,Diagnosis_Guide!$A:$B,2,0)</f>
        <v>Acute Bronchitis</v>
      </c>
      <c r="AC516" s="4" t="str">
        <f>VLOOKUP(J516,Diagnosis_Guide!$A:$C,3,0)</f>
        <v>Respiratory</v>
      </c>
      <c r="AD516" s="4" t="str">
        <f>VLOOKUP(R516,Insurance_Plans!$A:$C,3,0)</f>
        <v>Private</v>
      </c>
      <c r="AE516" s="13">
        <f t="shared" si="24"/>
        <v>1132.5</v>
      </c>
      <c r="AF516" s="13">
        <f t="shared" si="25"/>
        <v>23782.5</v>
      </c>
      <c r="AG516" s="4" t="str">
        <f t="shared" si="26"/>
        <v>Medium</v>
      </c>
    </row>
    <row r="517" spans="1:33">
      <c r="A517" t="s">
        <v>1088</v>
      </c>
      <c r="B517" t="s">
        <v>1089</v>
      </c>
      <c r="C517" s="11">
        <v>46088</v>
      </c>
      <c r="D517" t="s">
        <v>217</v>
      </c>
      <c r="E517" t="s">
        <v>70</v>
      </c>
      <c r="F517" s="4">
        <v>46088</v>
      </c>
      <c r="G517" s="4">
        <v>46095</v>
      </c>
      <c r="H517" t="s">
        <v>121</v>
      </c>
      <c r="I517" t="s">
        <v>665</v>
      </c>
      <c r="J517" t="s">
        <v>252</v>
      </c>
      <c r="K517" t="s">
        <v>73</v>
      </c>
      <c r="L517" t="s">
        <v>94</v>
      </c>
      <c r="M517" s="5">
        <v>63800</v>
      </c>
      <c r="N517" s="5">
        <v>10550</v>
      </c>
      <c r="O517" s="5">
        <v>7050</v>
      </c>
      <c r="P517" s="5">
        <v>17500</v>
      </c>
      <c r="Q517" s="13">
        <v>99900</v>
      </c>
      <c r="R517" t="s">
        <v>85</v>
      </c>
      <c r="S517" t="s">
        <v>76</v>
      </c>
      <c r="T517" s="5">
        <v>25880</v>
      </c>
      <c r="U517" s="6"/>
      <c r="V517" t="s">
        <v>64</v>
      </c>
      <c r="W517" s="4"/>
      <c r="X517" t="s">
        <v>65</v>
      </c>
      <c r="Y517" t="s">
        <v>77</v>
      </c>
      <c r="Z517" t="s">
        <v>107</v>
      </c>
      <c r="AA517" t="str">
        <f>VLOOKUP(H517,Departments!$A:$B,2,0)</f>
        <v>Neurology</v>
      </c>
      <c r="AB517" t="str">
        <f>VLOOKUP(J517,Diagnosis_Guide!$A:$B,2,0)</f>
        <v>Stroke Assessment</v>
      </c>
      <c r="AC517" s="4" t="str">
        <f>VLOOKUP(J517,Diagnosis_Guide!$A:$C,3,0)</f>
        <v>Neurological</v>
      </c>
      <c r="AD517" s="4" t="str">
        <f>VLOOKUP(R517,Insurance_Plans!$A:$C,3,0)</f>
        <v>Employer</v>
      </c>
      <c r="AE517" s="13">
        <f t="shared" si="24"/>
        <v>4995</v>
      </c>
      <c r="AF517" s="13">
        <f t="shared" si="25"/>
        <v>104895</v>
      </c>
      <c r="AG517" s="4" t="str">
        <f t="shared" si="26"/>
        <v>Not Available</v>
      </c>
    </row>
    <row r="518" spans="1:33">
      <c r="A518" t="s">
        <v>1090</v>
      </c>
      <c r="B518" t="s">
        <v>1091</v>
      </c>
      <c r="C518" s="11">
        <v>46045</v>
      </c>
      <c r="D518" t="s">
        <v>183</v>
      </c>
      <c r="E518" t="s">
        <v>70</v>
      </c>
      <c r="F518" s="4">
        <v>46045</v>
      </c>
      <c r="G518" s="4">
        <v>46047</v>
      </c>
      <c r="H518" t="s">
        <v>90</v>
      </c>
      <c r="I518" t="s">
        <v>388</v>
      </c>
      <c r="J518" t="s">
        <v>197</v>
      </c>
      <c r="K518" t="s">
        <v>124</v>
      </c>
      <c r="L518" t="s">
        <v>94</v>
      </c>
      <c r="M518" s="5">
        <v>22200</v>
      </c>
      <c r="N518" s="5">
        <v>3850</v>
      </c>
      <c r="O518" s="5">
        <v>3750</v>
      </c>
      <c r="P518" s="5">
        <v>12000</v>
      </c>
      <c r="Q518" s="13">
        <v>43300</v>
      </c>
      <c r="R518" t="s">
        <v>85</v>
      </c>
      <c r="S518" t="s">
        <v>163</v>
      </c>
      <c r="T518" s="5">
        <v>11720</v>
      </c>
      <c r="U518" s="6">
        <v>4</v>
      </c>
      <c r="V518" t="s">
        <v>64</v>
      </c>
      <c r="W518" s="4"/>
      <c r="X518" t="s">
        <v>65</v>
      </c>
      <c r="Y518" t="s">
        <v>64</v>
      </c>
      <c r="Z518" t="s">
        <v>78</v>
      </c>
      <c r="AA518" t="str">
        <f>VLOOKUP(H518,Departments!$A:$B,2,0)</f>
        <v>Cardiology</v>
      </c>
      <c r="AB518" t="str">
        <f>VLOOKUP(J518,Diagnosis_Guide!$A:$B,2,0)</f>
        <v>Chest Pain</v>
      </c>
      <c r="AC518" s="4" t="str">
        <f>VLOOKUP(J518,Diagnosis_Guide!$A:$C,3,0)</f>
        <v>Cardiovascular</v>
      </c>
      <c r="AD518" s="4" t="str">
        <f>VLOOKUP(R518,Insurance_Plans!$A:$C,3,0)</f>
        <v>Employer</v>
      </c>
      <c r="AE518" s="13">
        <f t="shared" si="24"/>
        <v>2165</v>
      </c>
      <c r="AF518" s="13">
        <f t="shared" si="25"/>
        <v>45465</v>
      </c>
      <c r="AG518" s="4" t="str">
        <f t="shared" si="26"/>
        <v>High</v>
      </c>
    </row>
    <row r="519" spans="1:33">
      <c r="A519" t="s">
        <v>1092</v>
      </c>
      <c r="B519" t="s">
        <v>1093</v>
      </c>
      <c r="C519" s="11">
        <v>46130</v>
      </c>
      <c r="D519" t="s">
        <v>217</v>
      </c>
      <c r="E519" t="s">
        <v>338</v>
      </c>
      <c r="F519" s="4"/>
      <c r="G519" s="4"/>
      <c r="H519" t="s">
        <v>82</v>
      </c>
      <c r="I519" t="s">
        <v>369</v>
      </c>
      <c r="J519" t="s">
        <v>84</v>
      </c>
      <c r="K519" t="s">
        <v>60</v>
      </c>
      <c r="L519" t="s">
        <v>74</v>
      </c>
      <c r="M519" s="5"/>
      <c r="N519" s="5"/>
      <c r="O519" s="5"/>
      <c r="P519" s="5"/>
      <c r="R519" t="s">
        <v>75</v>
      </c>
      <c r="S519" t="s">
        <v>63</v>
      </c>
      <c r="T519" s="5"/>
      <c r="U519" s="6"/>
      <c r="V519" t="s">
        <v>64</v>
      </c>
      <c r="W519" s="4"/>
      <c r="X519" t="s">
        <v>65</v>
      </c>
      <c r="Z519" t="s">
        <v>66</v>
      </c>
      <c r="AA519" t="str">
        <f>VLOOKUP(H519,Departments!$A:$B,2,0)</f>
        <v>Orthopedics</v>
      </c>
      <c r="AB519" t="str">
        <f>VLOOKUP(J519,Diagnosis_Guide!$A:$B,2,0)</f>
        <v>Joint Pain</v>
      </c>
      <c r="AC519" s="4" t="str">
        <f>VLOOKUP(J519,Diagnosis_Guide!$A:$C,3,0)</f>
        <v>Musculoskeletal</v>
      </c>
      <c r="AD519" s="4" t="str">
        <f>VLOOKUP(R519,Insurance_Plans!$A:$C,3,0)</f>
        <v>Public</v>
      </c>
      <c r="AE519" s="13" t="str">
        <f t="shared" si="24"/>
        <v/>
      </c>
      <c r="AF519" s="13" t="str">
        <f t="shared" si="25"/>
        <v/>
      </c>
      <c r="AG519" s="4" t="str">
        <f t="shared" si="26"/>
        <v>Not Available</v>
      </c>
    </row>
    <row r="520" spans="1:33">
      <c r="A520" t="s">
        <v>1094</v>
      </c>
      <c r="B520" t="s">
        <v>263</v>
      </c>
      <c r="C520" s="11">
        <v>46029</v>
      </c>
      <c r="D520" t="s">
        <v>279</v>
      </c>
      <c r="E520" t="s">
        <v>70</v>
      </c>
      <c r="F520" s="4">
        <v>46029</v>
      </c>
      <c r="G520" s="4">
        <v>46041</v>
      </c>
      <c r="H520" t="s">
        <v>178</v>
      </c>
      <c r="I520" t="s">
        <v>622</v>
      </c>
      <c r="J520" t="s">
        <v>340</v>
      </c>
      <c r="K520" t="s">
        <v>93</v>
      </c>
      <c r="L520" t="s">
        <v>74</v>
      </c>
      <c r="M520" s="5">
        <v>53600</v>
      </c>
      <c r="N520" s="5">
        <v>5300</v>
      </c>
      <c r="O520" s="5">
        <v>11000</v>
      </c>
      <c r="P520" s="5">
        <v>36000</v>
      </c>
      <c r="Q520" s="13">
        <v>107400</v>
      </c>
      <c r="R520" t="s">
        <v>75</v>
      </c>
      <c r="S520" t="s">
        <v>86</v>
      </c>
      <c r="T520" s="5">
        <v>48630</v>
      </c>
      <c r="U520" s="6">
        <v>5</v>
      </c>
      <c r="V520" t="s">
        <v>77</v>
      </c>
      <c r="W520" s="4">
        <v>46050</v>
      </c>
      <c r="X520" t="s">
        <v>77</v>
      </c>
      <c r="Y520" t="s">
        <v>64</v>
      </c>
      <c r="Z520" t="s">
        <v>78</v>
      </c>
      <c r="AA520" t="str">
        <f>VLOOKUP(H520,Departments!$A:$B,2,0)</f>
        <v>Surgery</v>
      </c>
      <c r="AB520" t="str">
        <f>VLOOKUP(J520,Diagnosis_Guide!$A:$B,2,0)</f>
        <v>Post-Operative Infection</v>
      </c>
      <c r="AC520" s="4" t="str">
        <f>VLOOKUP(J520,Diagnosis_Guide!$A:$C,3,0)</f>
        <v>Surgical</v>
      </c>
      <c r="AD520" s="4" t="str">
        <f>VLOOKUP(R520,Insurance_Plans!$A:$C,3,0)</f>
        <v>Public</v>
      </c>
      <c r="AE520" s="13">
        <f t="shared" si="24"/>
        <v>5370</v>
      </c>
      <c r="AF520" s="13">
        <f t="shared" si="25"/>
        <v>112770</v>
      </c>
      <c r="AG520" s="4" t="str">
        <f t="shared" si="26"/>
        <v>High</v>
      </c>
    </row>
    <row r="521" spans="1:33">
      <c r="A521" t="s">
        <v>1095</v>
      </c>
      <c r="B521" t="s">
        <v>371</v>
      </c>
      <c r="C521" s="11">
        <v>46051</v>
      </c>
      <c r="D521" t="s">
        <v>284</v>
      </c>
      <c r="E521" t="s">
        <v>70</v>
      </c>
      <c r="F521" s="4">
        <v>46051</v>
      </c>
      <c r="G521" s="4">
        <v>46051</v>
      </c>
      <c r="H521" t="s">
        <v>121</v>
      </c>
      <c r="I521" t="s">
        <v>386</v>
      </c>
      <c r="J521" t="s">
        <v>252</v>
      </c>
      <c r="K521" t="s">
        <v>60</v>
      </c>
      <c r="L521" t="s">
        <v>94</v>
      </c>
      <c r="M521" s="5">
        <v>77400</v>
      </c>
      <c r="N521" s="5">
        <v>7500</v>
      </c>
      <c r="O521" s="5">
        <v>15750</v>
      </c>
      <c r="P521" s="5">
        <v>0</v>
      </c>
      <c r="Q521" s="13">
        <v>103150</v>
      </c>
      <c r="R521" t="s">
        <v>106</v>
      </c>
      <c r="S521" t="s">
        <v>76</v>
      </c>
      <c r="T521" s="5">
        <v>36800</v>
      </c>
      <c r="U521" s="6">
        <v>3</v>
      </c>
      <c r="V521" t="s">
        <v>77</v>
      </c>
      <c r="W521" s="4">
        <v>46070</v>
      </c>
      <c r="X521" t="s">
        <v>64</v>
      </c>
      <c r="Y521" t="s">
        <v>64</v>
      </c>
      <c r="Z521" t="s">
        <v>107</v>
      </c>
      <c r="AA521" t="str">
        <f>VLOOKUP(H521,Departments!$A:$B,2,0)</f>
        <v>Neurology</v>
      </c>
      <c r="AB521" t="str">
        <f>VLOOKUP(J521,Diagnosis_Guide!$A:$B,2,0)</f>
        <v>Stroke Assessment</v>
      </c>
      <c r="AC521" s="4" t="str">
        <f>VLOOKUP(J521,Diagnosis_Guide!$A:$C,3,0)</f>
        <v>Neurological</v>
      </c>
      <c r="AD521" s="4" t="str">
        <f>VLOOKUP(R521,Insurance_Plans!$A:$C,3,0)</f>
        <v>Private</v>
      </c>
      <c r="AE521" s="13">
        <f t="shared" si="24"/>
        <v>5157.5</v>
      </c>
      <c r="AF521" s="13">
        <f t="shared" si="25"/>
        <v>108307.5</v>
      </c>
      <c r="AG521" s="4" t="str">
        <f t="shared" si="26"/>
        <v>Medium</v>
      </c>
    </row>
    <row r="522" spans="1:33">
      <c r="A522" t="s">
        <v>1096</v>
      </c>
      <c r="B522" t="s">
        <v>434</v>
      </c>
      <c r="C522" s="11">
        <v>46153</v>
      </c>
      <c r="D522" t="s">
        <v>242</v>
      </c>
      <c r="E522" t="s">
        <v>56</v>
      </c>
      <c r="F522" s="4"/>
      <c r="G522" s="4"/>
      <c r="H522" t="s">
        <v>103</v>
      </c>
      <c r="I522" t="s">
        <v>104</v>
      </c>
      <c r="J522" t="s">
        <v>244</v>
      </c>
      <c r="K522" t="s">
        <v>60</v>
      </c>
      <c r="L522" t="s">
        <v>146</v>
      </c>
      <c r="M522" s="5"/>
      <c r="N522" s="5"/>
      <c r="O522" s="5"/>
      <c r="P522" s="5"/>
      <c r="R522" t="s">
        <v>141</v>
      </c>
      <c r="S522" t="s">
        <v>63</v>
      </c>
      <c r="T522" s="5"/>
      <c r="U522" s="6"/>
      <c r="V522" t="s">
        <v>64</v>
      </c>
      <c r="W522" s="4"/>
      <c r="X522" t="s">
        <v>65</v>
      </c>
      <c r="Z522" t="s">
        <v>66</v>
      </c>
      <c r="AA522" t="str">
        <f>VLOOKUP(H522,Departments!$A:$B,2,0)</f>
        <v>Nephrology</v>
      </c>
      <c r="AB522" t="str">
        <f>VLOOKUP(J522,Diagnosis_Guide!$A:$B,2,0)</f>
        <v>Chronic Kidney Disease</v>
      </c>
      <c r="AC522" s="4" t="str">
        <f>VLOOKUP(J522,Diagnosis_Guide!$A:$C,3,0)</f>
        <v>Renal</v>
      </c>
      <c r="AD522" s="4" t="str">
        <f>VLOOKUP(R522,Insurance_Plans!$A:$C,3,0)</f>
        <v>Private</v>
      </c>
      <c r="AE522" s="13" t="str">
        <f t="shared" si="24"/>
        <v/>
      </c>
      <c r="AF522" s="13" t="str">
        <f t="shared" si="25"/>
        <v/>
      </c>
      <c r="AG522" s="4" t="str">
        <f t="shared" si="26"/>
        <v>Not Available</v>
      </c>
    </row>
    <row r="523" spans="1:33">
      <c r="A523" t="s">
        <v>1097</v>
      </c>
      <c r="B523" t="s">
        <v>835</v>
      </c>
      <c r="C523" s="11">
        <v>46058</v>
      </c>
      <c r="D523" t="s">
        <v>110</v>
      </c>
      <c r="E523" t="s">
        <v>70</v>
      </c>
      <c r="F523" s="4">
        <v>46058</v>
      </c>
      <c r="G523" s="4">
        <v>46058</v>
      </c>
      <c r="H523" t="s">
        <v>103</v>
      </c>
      <c r="I523" t="s">
        <v>243</v>
      </c>
      <c r="J523" t="s">
        <v>105</v>
      </c>
      <c r="K523" t="s">
        <v>60</v>
      </c>
      <c r="L523" t="s">
        <v>94</v>
      </c>
      <c r="M523" s="5">
        <v>59000</v>
      </c>
      <c r="N523" s="5">
        <v>6050</v>
      </c>
      <c r="O523" s="5">
        <v>11750</v>
      </c>
      <c r="P523" s="5">
        <v>0</v>
      </c>
      <c r="Q523" s="13">
        <v>78600</v>
      </c>
      <c r="R523" t="s">
        <v>75</v>
      </c>
      <c r="S523" t="s">
        <v>76</v>
      </c>
      <c r="T523" s="5">
        <v>35670</v>
      </c>
      <c r="U523" s="6">
        <v>3</v>
      </c>
      <c r="V523" t="s">
        <v>77</v>
      </c>
      <c r="W523" s="4">
        <v>46072</v>
      </c>
      <c r="X523" t="s">
        <v>64</v>
      </c>
      <c r="Y523" t="s">
        <v>64</v>
      </c>
      <c r="Z523" t="s">
        <v>107</v>
      </c>
      <c r="AA523" t="str">
        <f>VLOOKUP(H523,Departments!$A:$B,2,0)</f>
        <v>Nephrology</v>
      </c>
      <c r="AB523" t="str">
        <f>VLOOKUP(J523,Diagnosis_Guide!$A:$B,2,0)</f>
        <v>Dialysis Complication</v>
      </c>
      <c r="AC523" s="4" t="str">
        <f>VLOOKUP(J523,Diagnosis_Guide!$A:$C,3,0)</f>
        <v>Renal</v>
      </c>
      <c r="AD523" s="4" t="str">
        <f>VLOOKUP(R523,Insurance_Plans!$A:$C,3,0)</f>
        <v>Public</v>
      </c>
      <c r="AE523" s="13">
        <f t="shared" si="24"/>
        <v>3930</v>
      </c>
      <c r="AF523" s="13">
        <f t="shared" si="25"/>
        <v>82530</v>
      </c>
      <c r="AG523" s="4" t="str">
        <f t="shared" si="26"/>
        <v>Medium</v>
      </c>
    </row>
    <row r="524" spans="1:33">
      <c r="A524" t="s">
        <v>1098</v>
      </c>
      <c r="B524" t="s">
        <v>311</v>
      </c>
      <c r="C524" s="11">
        <v>46073</v>
      </c>
      <c r="D524" t="s">
        <v>99</v>
      </c>
      <c r="E524" t="s">
        <v>70</v>
      </c>
      <c r="F524" s="4">
        <v>46073</v>
      </c>
      <c r="G524" s="4">
        <v>46078</v>
      </c>
      <c r="H524" t="s">
        <v>103</v>
      </c>
      <c r="I524" t="s">
        <v>412</v>
      </c>
      <c r="J524" t="s">
        <v>105</v>
      </c>
      <c r="K524" t="s">
        <v>124</v>
      </c>
      <c r="L524" t="s">
        <v>61</v>
      </c>
      <c r="M524" s="5">
        <v>41200</v>
      </c>
      <c r="N524" s="5">
        <v>6800</v>
      </c>
      <c r="O524" s="5">
        <v>4950</v>
      </c>
      <c r="P524" s="5">
        <v>22500</v>
      </c>
      <c r="Q524" s="13">
        <v>76650</v>
      </c>
      <c r="R524" t="s">
        <v>141</v>
      </c>
      <c r="S524" t="s">
        <v>86</v>
      </c>
      <c r="T524" s="5">
        <v>12700</v>
      </c>
      <c r="U524" s="6">
        <v>4</v>
      </c>
      <c r="V524" t="s">
        <v>77</v>
      </c>
      <c r="W524" s="4">
        <v>46099</v>
      </c>
      <c r="X524" t="s">
        <v>77</v>
      </c>
      <c r="Y524" t="s">
        <v>64</v>
      </c>
      <c r="Z524" t="s">
        <v>107</v>
      </c>
      <c r="AA524" t="str">
        <f>VLOOKUP(H524,Departments!$A:$B,2,0)</f>
        <v>Nephrology</v>
      </c>
      <c r="AB524" t="str">
        <f>VLOOKUP(J524,Diagnosis_Guide!$A:$B,2,0)</f>
        <v>Dialysis Complication</v>
      </c>
      <c r="AC524" s="4" t="str">
        <f>VLOOKUP(J524,Diagnosis_Guide!$A:$C,3,0)</f>
        <v>Renal</v>
      </c>
      <c r="AD524" s="4" t="str">
        <f>VLOOKUP(R524,Insurance_Plans!$A:$C,3,0)</f>
        <v>Private</v>
      </c>
      <c r="AE524" s="13">
        <f t="shared" si="24"/>
        <v>3832.5</v>
      </c>
      <c r="AF524" s="13">
        <f t="shared" si="25"/>
        <v>80482.5</v>
      </c>
      <c r="AG524" s="4" t="str">
        <f t="shared" si="26"/>
        <v>High</v>
      </c>
    </row>
    <row r="525" spans="1:33">
      <c r="A525" t="s">
        <v>1099</v>
      </c>
      <c r="B525" t="s">
        <v>1100</v>
      </c>
      <c r="C525" s="11">
        <v>46073</v>
      </c>
      <c r="D525" t="s">
        <v>225</v>
      </c>
      <c r="E525" t="s">
        <v>70</v>
      </c>
      <c r="F525" s="4">
        <v>46074</v>
      </c>
      <c r="G525" s="4">
        <v>46076</v>
      </c>
      <c r="H525" t="s">
        <v>138</v>
      </c>
      <c r="I525" t="s">
        <v>235</v>
      </c>
      <c r="J525" t="s">
        <v>140</v>
      </c>
      <c r="K525" t="s">
        <v>124</v>
      </c>
      <c r="L525" t="s">
        <v>61</v>
      </c>
      <c r="M525" s="5">
        <v>18800</v>
      </c>
      <c r="N525" s="5">
        <v>2150</v>
      </c>
      <c r="O525" s="5">
        <v>4450</v>
      </c>
      <c r="P525" s="5">
        <v>5000</v>
      </c>
      <c r="Q525" s="13">
        <v>31400</v>
      </c>
      <c r="R525" t="s">
        <v>85</v>
      </c>
      <c r="S525" t="s">
        <v>76</v>
      </c>
      <c r="T525" s="5">
        <v>8750</v>
      </c>
      <c r="U525" s="6">
        <v>5</v>
      </c>
      <c r="V525" t="s">
        <v>77</v>
      </c>
      <c r="W525" s="4">
        <v>46093</v>
      </c>
      <c r="X525" t="s">
        <v>77</v>
      </c>
      <c r="Y525" t="s">
        <v>64</v>
      </c>
      <c r="Z525" t="s">
        <v>78</v>
      </c>
      <c r="AA525" t="str">
        <f>VLOOKUP(H525,Departments!$A:$B,2,0)</f>
        <v>Pediatrics</v>
      </c>
      <c r="AB525" t="str">
        <f>VLOOKUP(J525,Diagnosis_Guide!$A:$B,2,0)</f>
        <v>Pediatric Asthma</v>
      </c>
      <c r="AC525" s="4" t="str">
        <f>VLOOKUP(J525,Diagnosis_Guide!$A:$C,3,0)</f>
        <v>Pediatric</v>
      </c>
      <c r="AD525" s="4" t="str">
        <f>VLOOKUP(R525,Insurance_Plans!$A:$C,3,0)</f>
        <v>Employer</v>
      </c>
      <c r="AE525" s="13">
        <f t="shared" si="24"/>
        <v>1570</v>
      </c>
      <c r="AF525" s="13">
        <f t="shared" si="25"/>
        <v>32970</v>
      </c>
      <c r="AG525" s="4" t="str">
        <f t="shared" si="26"/>
        <v>High</v>
      </c>
    </row>
    <row r="526" spans="1:33">
      <c r="A526" t="s">
        <v>1101</v>
      </c>
      <c r="B526" t="s">
        <v>1102</v>
      </c>
      <c r="C526" s="11">
        <v>46033</v>
      </c>
      <c r="D526" t="s">
        <v>298</v>
      </c>
      <c r="E526" t="s">
        <v>70</v>
      </c>
      <c r="F526" s="4">
        <v>46033</v>
      </c>
      <c r="G526" s="4">
        <v>46041</v>
      </c>
      <c r="H526" t="s">
        <v>121</v>
      </c>
      <c r="I526" t="s">
        <v>665</v>
      </c>
      <c r="J526" t="s">
        <v>123</v>
      </c>
      <c r="K526" t="s">
        <v>124</v>
      </c>
      <c r="L526" t="s">
        <v>61</v>
      </c>
      <c r="M526" s="5">
        <v>37400</v>
      </c>
      <c r="N526" s="5">
        <v>6250</v>
      </c>
      <c r="O526" s="5">
        <v>9000</v>
      </c>
      <c r="P526" s="5">
        <v>36000</v>
      </c>
      <c r="Q526" s="13">
        <v>89650</v>
      </c>
      <c r="R526" t="s">
        <v>141</v>
      </c>
      <c r="S526" t="s">
        <v>76</v>
      </c>
      <c r="T526" s="5">
        <v>14650</v>
      </c>
      <c r="U526" s="6">
        <v>2</v>
      </c>
      <c r="V526" t="s">
        <v>77</v>
      </c>
      <c r="W526" s="4">
        <v>46056</v>
      </c>
      <c r="X526" t="s">
        <v>64</v>
      </c>
      <c r="Y526" t="s">
        <v>64</v>
      </c>
      <c r="Z526" t="s">
        <v>107</v>
      </c>
      <c r="AA526" t="str">
        <f>VLOOKUP(H526,Departments!$A:$B,2,0)</f>
        <v>Neurology</v>
      </c>
      <c r="AB526" t="str">
        <f>VLOOKUP(J526,Diagnosis_Guide!$A:$B,2,0)</f>
        <v>Seizure Episode</v>
      </c>
      <c r="AC526" s="4" t="str">
        <f>VLOOKUP(J526,Diagnosis_Guide!$A:$C,3,0)</f>
        <v>Neurological</v>
      </c>
      <c r="AD526" s="4" t="str">
        <f>VLOOKUP(R526,Insurance_Plans!$A:$C,3,0)</f>
        <v>Private</v>
      </c>
      <c r="AE526" s="13">
        <f t="shared" si="24"/>
        <v>4482.5</v>
      </c>
      <c r="AF526" s="13">
        <f t="shared" si="25"/>
        <v>94132.5</v>
      </c>
      <c r="AG526" s="4" t="str">
        <f t="shared" si="26"/>
        <v>Low</v>
      </c>
    </row>
    <row r="527" spans="1:33">
      <c r="A527" t="s">
        <v>1103</v>
      </c>
      <c r="B527" t="s">
        <v>1104</v>
      </c>
      <c r="C527" s="11">
        <v>46062</v>
      </c>
      <c r="D527" t="s">
        <v>137</v>
      </c>
      <c r="E527" t="s">
        <v>70</v>
      </c>
      <c r="F527" s="4">
        <v>46062</v>
      </c>
      <c r="G527" s="4">
        <v>46062</v>
      </c>
      <c r="H527" t="s">
        <v>82</v>
      </c>
      <c r="I527" t="s">
        <v>155</v>
      </c>
      <c r="J527" t="s">
        <v>84</v>
      </c>
      <c r="K527" t="s">
        <v>60</v>
      </c>
      <c r="L527" t="s">
        <v>94</v>
      </c>
      <c r="M527" s="5">
        <v>5500</v>
      </c>
      <c r="N527" s="5">
        <v>950</v>
      </c>
      <c r="O527" s="5">
        <v>850</v>
      </c>
      <c r="P527" s="5">
        <v>0</v>
      </c>
      <c r="Q527" s="13">
        <v>9800</v>
      </c>
      <c r="R527" t="s">
        <v>75</v>
      </c>
      <c r="S527" t="s">
        <v>76</v>
      </c>
      <c r="T527" s="5">
        <v>4710</v>
      </c>
      <c r="U527" s="6">
        <v>5</v>
      </c>
      <c r="V527" t="s">
        <v>64</v>
      </c>
      <c r="W527" s="4"/>
      <c r="X527" t="s">
        <v>65</v>
      </c>
      <c r="Y527" t="s">
        <v>64</v>
      </c>
      <c r="Z527" t="s">
        <v>96</v>
      </c>
      <c r="AA527" t="str">
        <f>VLOOKUP(H527,Departments!$A:$B,2,0)</f>
        <v>Orthopedics</v>
      </c>
      <c r="AB527" t="str">
        <f>VLOOKUP(J527,Diagnosis_Guide!$A:$B,2,0)</f>
        <v>Joint Pain</v>
      </c>
      <c r="AC527" s="4" t="str">
        <f>VLOOKUP(J527,Diagnosis_Guide!$A:$C,3,0)</f>
        <v>Musculoskeletal</v>
      </c>
      <c r="AD527" s="4" t="str">
        <f>VLOOKUP(R527,Insurance_Plans!$A:$C,3,0)</f>
        <v>Public</v>
      </c>
      <c r="AE527" s="13">
        <f t="shared" si="24"/>
        <v>490</v>
      </c>
      <c r="AF527" s="13">
        <f t="shared" si="25"/>
        <v>10290</v>
      </c>
      <c r="AG527" s="4" t="str">
        <f t="shared" si="26"/>
        <v>High</v>
      </c>
    </row>
    <row r="528" spans="1:33">
      <c r="A528" t="s">
        <v>1105</v>
      </c>
      <c r="B528" t="s">
        <v>535</v>
      </c>
      <c r="C528" s="11">
        <v>46057</v>
      </c>
      <c r="D528" t="s">
        <v>439</v>
      </c>
      <c r="E528" t="s">
        <v>70</v>
      </c>
      <c r="F528" s="4">
        <v>46057</v>
      </c>
      <c r="G528" s="4">
        <v>46061</v>
      </c>
      <c r="H528" t="s">
        <v>201</v>
      </c>
      <c r="I528" t="s">
        <v>202</v>
      </c>
      <c r="J528" t="s">
        <v>203</v>
      </c>
      <c r="K528" t="s">
        <v>124</v>
      </c>
      <c r="L528" t="s">
        <v>94</v>
      </c>
      <c r="M528" s="5">
        <v>36900</v>
      </c>
      <c r="N528" s="5">
        <v>4150</v>
      </c>
      <c r="O528" s="5">
        <v>7400</v>
      </c>
      <c r="P528" s="5">
        <v>10000</v>
      </c>
      <c r="Q528" s="13">
        <v>60950</v>
      </c>
      <c r="R528" t="s">
        <v>85</v>
      </c>
      <c r="S528" t="s">
        <v>86</v>
      </c>
      <c r="T528" s="5">
        <v>16140</v>
      </c>
      <c r="U528" s="6">
        <v>5</v>
      </c>
      <c r="V528" t="s">
        <v>77</v>
      </c>
      <c r="W528" s="4">
        <v>46068</v>
      </c>
      <c r="X528" t="s">
        <v>77</v>
      </c>
      <c r="Y528" t="s">
        <v>64</v>
      </c>
      <c r="Z528" t="s">
        <v>78</v>
      </c>
      <c r="AA528" t="str">
        <f>VLOOKUP(H528,Departments!$A:$B,2,0)</f>
        <v>Emergency</v>
      </c>
      <c r="AB528" t="str">
        <f>VLOOKUP(J528,Diagnosis_Guide!$A:$B,2,0)</f>
        <v>Trauma Observation</v>
      </c>
      <c r="AC528" s="4" t="str">
        <f>VLOOKUP(J528,Diagnosis_Guide!$A:$C,3,0)</f>
        <v>Emergency</v>
      </c>
      <c r="AD528" s="4" t="str">
        <f>VLOOKUP(R528,Insurance_Plans!$A:$C,3,0)</f>
        <v>Employer</v>
      </c>
      <c r="AE528" s="13">
        <f t="shared" si="24"/>
        <v>3047.5</v>
      </c>
      <c r="AF528" s="13">
        <f t="shared" si="25"/>
        <v>63997.5</v>
      </c>
      <c r="AG528" s="4" t="str">
        <f t="shared" si="26"/>
        <v>High</v>
      </c>
    </row>
    <row r="529" spans="1:33">
      <c r="A529" t="s">
        <v>1106</v>
      </c>
      <c r="B529" t="s">
        <v>1107</v>
      </c>
      <c r="C529" s="11">
        <v>46044</v>
      </c>
      <c r="D529" t="s">
        <v>242</v>
      </c>
      <c r="E529" t="s">
        <v>70</v>
      </c>
      <c r="F529" s="4">
        <v>46044</v>
      </c>
      <c r="G529" s="4">
        <v>46045</v>
      </c>
      <c r="H529" t="s">
        <v>57</v>
      </c>
      <c r="I529" t="s">
        <v>169</v>
      </c>
      <c r="J529" t="s">
        <v>72</v>
      </c>
      <c r="K529" t="s">
        <v>60</v>
      </c>
      <c r="L529" t="s">
        <v>74</v>
      </c>
      <c r="M529" s="5">
        <v>8500</v>
      </c>
      <c r="N529" s="5">
        <v>1500</v>
      </c>
      <c r="O529" s="5">
        <v>1200</v>
      </c>
      <c r="P529" s="5">
        <v>4500</v>
      </c>
      <c r="Q529" s="13">
        <v>16500</v>
      </c>
      <c r="R529" t="s">
        <v>134</v>
      </c>
      <c r="S529" t="s">
        <v>76</v>
      </c>
      <c r="T529" s="5">
        <v>9280</v>
      </c>
      <c r="U529" s="6">
        <v>5</v>
      </c>
      <c r="V529" t="s">
        <v>64</v>
      </c>
      <c r="W529" s="4"/>
      <c r="X529" t="s">
        <v>65</v>
      </c>
      <c r="Y529" t="s">
        <v>64</v>
      </c>
      <c r="Z529" t="s">
        <v>96</v>
      </c>
      <c r="AA529" t="str">
        <f>VLOOKUP(H529,Departments!$A:$B,2,0)</f>
        <v>Pulmonology</v>
      </c>
      <c r="AB529" t="str">
        <f>VLOOKUP(J529,Diagnosis_Guide!$A:$B,2,0)</f>
        <v>Acute Bronchitis</v>
      </c>
      <c r="AC529" s="4" t="str">
        <f>VLOOKUP(J529,Diagnosis_Guide!$A:$C,3,0)</f>
        <v>Respiratory</v>
      </c>
      <c r="AD529" s="4" t="str">
        <f>VLOOKUP(R529,Insurance_Plans!$A:$C,3,0)</f>
        <v>Community</v>
      </c>
      <c r="AE529" s="13">
        <f t="shared" si="24"/>
        <v>825</v>
      </c>
      <c r="AF529" s="13">
        <f t="shared" si="25"/>
        <v>17325</v>
      </c>
      <c r="AG529" s="4" t="str">
        <f t="shared" si="26"/>
        <v>High</v>
      </c>
    </row>
    <row r="530" spans="1:33">
      <c r="A530" t="s">
        <v>1108</v>
      </c>
      <c r="B530" t="s">
        <v>466</v>
      </c>
      <c r="C530" s="11">
        <v>46116</v>
      </c>
      <c r="D530" t="s">
        <v>284</v>
      </c>
      <c r="E530" t="s">
        <v>70</v>
      </c>
      <c r="F530" s="4">
        <v>46116</v>
      </c>
      <c r="G530" s="4">
        <v>46116</v>
      </c>
      <c r="H530" t="s">
        <v>90</v>
      </c>
      <c r="I530" t="s">
        <v>299</v>
      </c>
      <c r="J530" t="s">
        <v>92</v>
      </c>
      <c r="K530" t="s">
        <v>60</v>
      </c>
      <c r="L530" t="s">
        <v>94</v>
      </c>
      <c r="M530" s="5">
        <v>62300</v>
      </c>
      <c r="N530" s="5">
        <v>8100</v>
      </c>
      <c r="O530" s="5">
        <v>13650</v>
      </c>
      <c r="P530" s="5">
        <v>0</v>
      </c>
      <c r="Q530" s="13">
        <v>85550</v>
      </c>
      <c r="R530" t="s">
        <v>141</v>
      </c>
      <c r="S530" t="s">
        <v>76</v>
      </c>
      <c r="T530" s="5">
        <v>14030</v>
      </c>
      <c r="U530" s="6">
        <v>3</v>
      </c>
      <c r="V530" t="s">
        <v>77</v>
      </c>
      <c r="W530" s="4">
        <v>46127</v>
      </c>
      <c r="X530" t="s">
        <v>64</v>
      </c>
      <c r="Y530" t="s">
        <v>64</v>
      </c>
      <c r="Z530" t="s">
        <v>96</v>
      </c>
      <c r="AA530" t="str">
        <f>VLOOKUP(H530,Departments!$A:$B,2,0)</f>
        <v>Cardiology</v>
      </c>
      <c r="AB530" t="str">
        <f>VLOOKUP(J530,Diagnosis_Guide!$A:$B,2,0)</f>
        <v>Heart Failure</v>
      </c>
      <c r="AC530" s="4" t="str">
        <f>VLOOKUP(J530,Diagnosis_Guide!$A:$C,3,0)</f>
        <v>Cardiovascular</v>
      </c>
      <c r="AD530" s="4" t="str">
        <f>VLOOKUP(R530,Insurance_Plans!$A:$C,3,0)</f>
        <v>Private</v>
      </c>
      <c r="AE530" s="13">
        <f t="shared" si="24"/>
        <v>4277.5</v>
      </c>
      <c r="AF530" s="13">
        <f t="shared" si="25"/>
        <v>89827.5</v>
      </c>
      <c r="AG530" s="4" t="str">
        <f t="shared" si="26"/>
        <v>Medium</v>
      </c>
    </row>
    <row r="531" spans="1:33">
      <c r="A531" t="s">
        <v>1109</v>
      </c>
      <c r="B531" t="s">
        <v>1110</v>
      </c>
      <c r="C531" s="11">
        <v>46151</v>
      </c>
      <c r="D531" t="s">
        <v>439</v>
      </c>
      <c r="E531" t="s">
        <v>70</v>
      </c>
      <c r="F531" s="4">
        <v>46151</v>
      </c>
      <c r="G531" s="4">
        <v>46153</v>
      </c>
      <c r="H531" t="s">
        <v>178</v>
      </c>
      <c r="I531" t="s">
        <v>415</v>
      </c>
      <c r="J531" t="s">
        <v>180</v>
      </c>
      <c r="K531" t="s">
        <v>93</v>
      </c>
      <c r="L531" t="s">
        <v>61</v>
      </c>
      <c r="M531" s="5">
        <v>67000</v>
      </c>
      <c r="N531" s="5">
        <v>11450</v>
      </c>
      <c r="O531" s="5">
        <v>12450</v>
      </c>
      <c r="P531" s="5">
        <v>12000</v>
      </c>
      <c r="Q531" s="13">
        <v>103700</v>
      </c>
      <c r="R531" t="s">
        <v>62</v>
      </c>
      <c r="S531" t="s">
        <v>76</v>
      </c>
      <c r="T531" s="5">
        <v>31510</v>
      </c>
      <c r="U531" s="6">
        <v>4</v>
      </c>
      <c r="V531" t="s">
        <v>77</v>
      </c>
      <c r="W531" s="4">
        <v>46165</v>
      </c>
      <c r="X531" t="s">
        <v>77</v>
      </c>
      <c r="Y531" t="s">
        <v>64</v>
      </c>
      <c r="Z531" t="s">
        <v>436</v>
      </c>
      <c r="AA531" t="str">
        <f>VLOOKUP(H531,Departments!$A:$B,2,0)</f>
        <v>Surgery</v>
      </c>
      <c r="AB531" t="str">
        <f>VLOOKUP(J531,Diagnosis_Guide!$A:$B,2,0)</f>
        <v>Appendicitis Surgery</v>
      </c>
      <c r="AC531" s="4" t="str">
        <f>VLOOKUP(J531,Diagnosis_Guide!$A:$C,3,0)</f>
        <v>Surgical</v>
      </c>
      <c r="AD531" s="4" t="str">
        <f>VLOOKUP(R531,Insurance_Plans!$A:$C,3,0)</f>
        <v>Public</v>
      </c>
      <c r="AE531" s="13">
        <f t="shared" si="24"/>
        <v>5185</v>
      </c>
      <c r="AF531" s="13">
        <f t="shared" si="25"/>
        <v>108885</v>
      </c>
      <c r="AG531" s="4" t="str">
        <f t="shared" si="26"/>
        <v>High</v>
      </c>
    </row>
    <row r="532" spans="1:33">
      <c r="A532" t="s">
        <v>1111</v>
      </c>
      <c r="B532" t="s">
        <v>752</v>
      </c>
      <c r="C532" s="11">
        <v>46026</v>
      </c>
      <c r="D532" t="s">
        <v>383</v>
      </c>
      <c r="E532" t="s">
        <v>70</v>
      </c>
      <c r="F532" s="4">
        <v>46026</v>
      </c>
      <c r="G532" s="4">
        <v>46026</v>
      </c>
      <c r="H532" t="s">
        <v>121</v>
      </c>
      <c r="I532" t="s">
        <v>334</v>
      </c>
      <c r="J532" t="s">
        <v>252</v>
      </c>
      <c r="K532" t="s">
        <v>60</v>
      </c>
      <c r="L532" t="s">
        <v>94</v>
      </c>
      <c r="M532" s="5">
        <v>78200</v>
      </c>
      <c r="N532" s="5">
        <v>13700</v>
      </c>
      <c r="O532" s="5">
        <v>15450</v>
      </c>
      <c r="P532" s="5">
        <v>0</v>
      </c>
      <c r="Q532" s="13">
        <v>108350</v>
      </c>
      <c r="R532" t="s">
        <v>85</v>
      </c>
      <c r="S532" t="s">
        <v>76</v>
      </c>
      <c r="T532" s="5">
        <v>27990</v>
      </c>
      <c r="U532" s="6">
        <v>4</v>
      </c>
      <c r="V532" t="s">
        <v>64</v>
      </c>
      <c r="W532" s="4"/>
      <c r="X532" t="s">
        <v>65</v>
      </c>
      <c r="Y532" t="s">
        <v>64</v>
      </c>
      <c r="Z532" t="s">
        <v>107</v>
      </c>
      <c r="AA532" t="str">
        <f>VLOOKUP(H532,Departments!$A:$B,2,0)</f>
        <v>Neurology</v>
      </c>
      <c r="AB532" t="str">
        <f>VLOOKUP(J532,Diagnosis_Guide!$A:$B,2,0)</f>
        <v>Stroke Assessment</v>
      </c>
      <c r="AC532" s="4" t="str">
        <f>VLOOKUP(J532,Diagnosis_Guide!$A:$C,3,0)</f>
        <v>Neurological</v>
      </c>
      <c r="AD532" s="4" t="str">
        <f>VLOOKUP(R532,Insurance_Plans!$A:$C,3,0)</f>
        <v>Employer</v>
      </c>
      <c r="AE532" s="13">
        <f t="shared" si="24"/>
        <v>5417.5</v>
      </c>
      <c r="AF532" s="13">
        <f t="shared" si="25"/>
        <v>113767.5</v>
      </c>
      <c r="AG532" s="4" t="str">
        <f t="shared" si="26"/>
        <v>High</v>
      </c>
    </row>
    <row r="533" spans="1:33">
      <c r="A533" t="s">
        <v>1112</v>
      </c>
      <c r="B533" t="s">
        <v>609</v>
      </c>
      <c r="C533" s="11">
        <v>46080</v>
      </c>
      <c r="D533" t="s">
        <v>81</v>
      </c>
      <c r="E533" t="s">
        <v>70</v>
      </c>
      <c r="F533" s="4">
        <v>46081</v>
      </c>
      <c r="G533" s="4">
        <v>46089</v>
      </c>
      <c r="H533" t="s">
        <v>121</v>
      </c>
      <c r="I533" t="s">
        <v>174</v>
      </c>
      <c r="J533" t="s">
        <v>252</v>
      </c>
      <c r="K533" t="s">
        <v>73</v>
      </c>
      <c r="L533" t="s">
        <v>94</v>
      </c>
      <c r="M533" s="5">
        <v>82500</v>
      </c>
      <c r="N533" s="5">
        <v>14200</v>
      </c>
      <c r="O533" s="5">
        <v>10000</v>
      </c>
      <c r="P533" s="5">
        <v>20000</v>
      </c>
      <c r="Q533" s="13">
        <v>128500</v>
      </c>
      <c r="R533" t="s">
        <v>75</v>
      </c>
      <c r="S533" t="s">
        <v>76</v>
      </c>
      <c r="T533" s="5">
        <v>58120</v>
      </c>
      <c r="U533" s="6">
        <v>3</v>
      </c>
      <c r="V533" t="s">
        <v>77</v>
      </c>
      <c r="W533" s="4">
        <v>46110</v>
      </c>
      <c r="X533" t="s">
        <v>64</v>
      </c>
      <c r="Y533" t="s">
        <v>64</v>
      </c>
      <c r="Z533" t="s">
        <v>107</v>
      </c>
      <c r="AA533" t="str">
        <f>VLOOKUP(H533,Departments!$A:$B,2,0)</f>
        <v>Neurology</v>
      </c>
      <c r="AB533" t="str">
        <f>VLOOKUP(J533,Diagnosis_Guide!$A:$B,2,0)</f>
        <v>Stroke Assessment</v>
      </c>
      <c r="AC533" s="4" t="str">
        <f>VLOOKUP(J533,Diagnosis_Guide!$A:$C,3,0)</f>
        <v>Neurological</v>
      </c>
      <c r="AD533" s="4" t="str">
        <f>VLOOKUP(R533,Insurance_Plans!$A:$C,3,0)</f>
        <v>Public</v>
      </c>
      <c r="AE533" s="13">
        <f t="shared" si="24"/>
        <v>6425</v>
      </c>
      <c r="AF533" s="13">
        <f t="shared" si="25"/>
        <v>134925</v>
      </c>
      <c r="AG533" s="4" t="str">
        <f t="shared" si="26"/>
        <v>Medium</v>
      </c>
    </row>
    <row r="534" spans="1:33">
      <c r="A534" t="s">
        <v>1113</v>
      </c>
      <c r="B534" t="s">
        <v>943</v>
      </c>
      <c r="C534" s="11">
        <v>46091</v>
      </c>
      <c r="D534" t="s">
        <v>132</v>
      </c>
      <c r="E534" t="s">
        <v>70</v>
      </c>
      <c r="F534" s="4">
        <v>46091</v>
      </c>
      <c r="G534" s="4">
        <v>46091</v>
      </c>
      <c r="H534" t="s">
        <v>150</v>
      </c>
      <c r="I534" t="s">
        <v>187</v>
      </c>
      <c r="J534" t="s">
        <v>152</v>
      </c>
      <c r="K534" t="s">
        <v>60</v>
      </c>
      <c r="L534" t="s">
        <v>146</v>
      </c>
      <c r="M534" s="5">
        <v>34600</v>
      </c>
      <c r="N534" s="5">
        <v>3300</v>
      </c>
      <c r="O534" s="5">
        <v>8150</v>
      </c>
      <c r="P534" s="5">
        <v>0</v>
      </c>
      <c r="Q534" s="13">
        <v>48550</v>
      </c>
      <c r="R534" t="s">
        <v>141</v>
      </c>
      <c r="S534" t="s">
        <v>76</v>
      </c>
      <c r="T534" s="5">
        <v>8480</v>
      </c>
      <c r="U534" s="6"/>
      <c r="V534" t="s">
        <v>77</v>
      </c>
      <c r="W534" s="4">
        <v>46108</v>
      </c>
      <c r="X534" t="s">
        <v>77</v>
      </c>
      <c r="Y534" t="s">
        <v>64</v>
      </c>
      <c r="Z534" t="s">
        <v>96</v>
      </c>
      <c r="AA534" t="str">
        <f>VLOOKUP(H534,Departments!$A:$B,2,0)</f>
        <v>Obstetrics</v>
      </c>
      <c r="AB534" t="str">
        <f>VLOOKUP(J534,Diagnosis_Guide!$A:$B,2,0)</f>
        <v>Antenatal Complication</v>
      </c>
      <c r="AC534" s="4" t="str">
        <f>VLOOKUP(J534,Diagnosis_Guide!$A:$C,3,0)</f>
        <v>Maternal Health</v>
      </c>
      <c r="AD534" s="4" t="str">
        <f>VLOOKUP(R534,Insurance_Plans!$A:$C,3,0)</f>
        <v>Private</v>
      </c>
      <c r="AE534" s="13">
        <f t="shared" si="24"/>
        <v>2427.5</v>
      </c>
      <c r="AF534" s="13">
        <f t="shared" si="25"/>
        <v>50977.5</v>
      </c>
      <c r="AG534" s="4" t="str">
        <f t="shared" si="26"/>
        <v>Not Available</v>
      </c>
    </row>
    <row r="535" spans="1:33">
      <c r="A535" t="s">
        <v>1114</v>
      </c>
      <c r="B535" t="s">
        <v>530</v>
      </c>
      <c r="C535" s="11">
        <v>46160</v>
      </c>
      <c r="D535" t="s">
        <v>81</v>
      </c>
      <c r="E535" t="s">
        <v>56</v>
      </c>
      <c r="F535" s="4"/>
      <c r="G535" s="4"/>
      <c r="H535" t="s">
        <v>150</v>
      </c>
      <c r="I535" t="s">
        <v>228</v>
      </c>
      <c r="J535" t="s">
        <v>188</v>
      </c>
      <c r="K535" t="s">
        <v>73</v>
      </c>
      <c r="L535" t="s">
        <v>94</v>
      </c>
      <c r="M535" s="5"/>
      <c r="N535" s="5"/>
      <c r="O535" s="5"/>
      <c r="P535" s="5"/>
      <c r="R535" t="s">
        <v>75</v>
      </c>
      <c r="S535" t="s">
        <v>63</v>
      </c>
      <c r="T535" s="5"/>
      <c r="U535" s="6"/>
      <c r="V535" t="s">
        <v>64</v>
      </c>
      <c r="W535" s="4"/>
      <c r="X535" t="s">
        <v>65</v>
      </c>
      <c r="Z535" t="s">
        <v>66</v>
      </c>
      <c r="AA535" t="str">
        <f>VLOOKUP(H535,Departments!$A:$B,2,0)</f>
        <v>Obstetrics</v>
      </c>
      <c r="AB535" t="str">
        <f>VLOOKUP(J535,Diagnosis_Guide!$A:$B,2,0)</f>
        <v>Emergency C-Section</v>
      </c>
      <c r="AC535" s="4" t="str">
        <f>VLOOKUP(J535,Diagnosis_Guide!$A:$C,3,0)</f>
        <v>Maternal Health</v>
      </c>
      <c r="AD535" s="4" t="str">
        <f>VLOOKUP(R535,Insurance_Plans!$A:$C,3,0)</f>
        <v>Public</v>
      </c>
      <c r="AE535" s="13" t="str">
        <f t="shared" si="24"/>
        <v/>
      </c>
      <c r="AF535" s="13" t="str">
        <f t="shared" si="25"/>
        <v/>
      </c>
      <c r="AG535" s="4" t="str">
        <f t="shared" si="26"/>
        <v>Not Available</v>
      </c>
    </row>
    <row r="536" spans="1:33">
      <c r="A536" t="s">
        <v>1115</v>
      </c>
      <c r="B536" t="s">
        <v>664</v>
      </c>
      <c r="C536" s="11">
        <v>46146</v>
      </c>
      <c r="D536" t="s">
        <v>298</v>
      </c>
      <c r="E536" t="s">
        <v>70</v>
      </c>
      <c r="F536" s="4">
        <v>46146</v>
      </c>
      <c r="G536" s="4">
        <v>46146</v>
      </c>
      <c r="H536" t="s">
        <v>90</v>
      </c>
      <c r="I536" t="s">
        <v>91</v>
      </c>
      <c r="J536" t="s">
        <v>197</v>
      </c>
      <c r="K536" t="s">
        <v>60</v>
      </c>
      <c r="L536" t="s">
        <v>74</v>
      </c>
      <c r="M536" s="5">
        <v>13600</v>
      </c>
      <c r="N536" s="5">
        <v>1500</v>
      </c>
      <c r="O536" s="5">
        <v>3350</v>
      </c>
      <c r="P536" s="5">
        <v>0</v>
      </c>
      <c r="Q536" s="13">
        <v>19650</v>
      </c>
      <c r="R536" t="s">
        <v>95</v>
      </c>
      <c r="S536" t="s">
        <v>63</v>
      </c>
      <c r="T536" s="5">
        <v>19650</v>
      </c>
      <c r="U536" s="6">
        <v>4</v>
      </c>
      <c r="V536" t="s">
        <v>77</v>
      </c>
      <c r="W536" s="4">
        <v>46167</v>
      </c>
      <c r="X536" t="s">
        <v>77</v>
      </c>
      <c r="Y536" t="s">
        <v>64</v>
      </c>
      <c r="Z536" t="s">
        <v>96</v>
      </c>
      <c r="AA536" t="str">
        <f>VLOOKUP(H536,Departments!$A:$B,2,0)</f>
        <v>Cardiology</v>
      </c>
      <c r="AB536" t="str">
        <f>VLOOKUP(J536,Diagnosis_Guide!$A:$B,2,0)</f>
        <v>Chest Pain</v>
      </c>
      <c r="AC536" s="4" t="str">
        <f>VLOOKUP(J536,Diagnosis_Guide!$A:$C,3,0)</f>
        <v>Cardiovascular</v>
      </c>
      <c r="AD536" s="4" t="str">
        <f>VLOOKUP(R536,Insurance_Plans!$A:$C,3,0)</f>
        <v>Self-Pay</v>
      </c>
      <c r="AE536" s="13">
        <f t="shared" si="24"/>
        <v>982.5</v>
      </c>
      <c r="AF536" s="13">
        <f t="shared" si="25"/>
        <v>20632.5</v>
      </c>
      <c r="AG536" s="4" t="str">
        <f t="shared" si="26"/>
        <v>High</v>
      </c>
    </row>
    <row r="537" spans="1:33">
      <c r="A537" t="s">
        <v>1116</v>
      </c>
      <c r="B537" t="s">
        <v>704</v>
      </c>
      <c r="C537" s="11">
        <v>46155</v>
      </c>
      <c r="D537" t="s">
        <v>432</v>
      </c>
      <c r="E537" t="s">
        <v>338</v>
      </c>
      <c r="F537" s="4"/>
      <c r="G537" s="4"/>
      <c r="H537" t="s">
        <v>111</v>
      </c>
      <c r="I537" t="s">
        <v>112</v>
      </c>
      <c r="J537" t="s">
        <v>384</v>
      </c>
      <c r="K537" t="s">
        <v>73</v>
      </c>
      <c r="L537" t="s">
        <v>94</v>
      </c>
      <c r="M537" s="5"/>
      <c r="N537" s="5"/>
      <c r="O537" s="5"/>
      <c r="P537" s="5"/>
      <c r="R537" t="s">
        <v>62</v>
      </c>
      <c r="S537" t="s">
        <v>63</v>
      </c>
      <c r="T537" s="5"/>
      <c r="U537" s="6"/>
      <c r="V537" t="s">
        <v>64</v>
      </c>
      <c r="W537" s="4"/>
      <c r="X537" t="s">
        <v>65</v>
      </c>
      <c r="Z537" t="s">
        <v>66</v>
      </c>
      <c r="AA537" t="str">
        <f>VLOOKUP(H537,Departments!$A:$B,2,0)</f>
        <v>General Medicine</v>
      </c>
      <c r="AB537" t="str">
        <f>VLOOKUP(J537,Diagnosis_Guide!$A:$B,2,0)</f>
        <v>Severe Infection</v>
      </c>
      <c r="AC537" s="4" t="str">
        <f>VLOOKUP(J537,Diagnosis_Guide!$A:$C,3,0)</f>
        <v>Infectious/General</v>
      </c>
      <c r="AD537" s="4" t="str">
        <f>VLOOKUP(R537,Insurance_Plans!$A:$C,3,0)</f>
        <v>Public</v>
      </c>
      <c r="AE537" s="13" t="str">
        <f t="shared" si="24"/>
        <v/>
      </c>
      <c r="AF537" s="13" t="str">
        <f t="shared" si="25"/>
        <v/>
      </c>
      <c r="AG537" s="4" t="str">
        <f t="shared" si="26"/>
        <v>Not Available</v>
      </c>
    </row>
    <row r="538" spans="1:33">
      <c r="A538" t="s">
        <v>1117</v>
      </c>
      <c r="B538" t="s">
        <v>1118</v>
      </c>
      <c r="C538" s="11">
        <v>46055</v>
      </c>
      <c r="D538" t="s">
        <v>149</v>
      </c>
      <c r="E538" t="s">
        <v>314</v>
      </c>
      <c r="F538" s="4"/>
      <c r="G538" s="4"/>
      <c r="H538" t="s">
        <v>57</v>
      </c>
      <c r="I538" t="s">
        <v>184</v>
      </c>
      <c r="J538" t="s">
        <v>170</v>
      </c>
      <c r="K538" t="s">
        <v>73</v>
      </c>
      <c r="L538" t="s">
        <v>94</v>
      </c>
      <c r="M538" s="5"/>
      <c r="N538" s="5"/>
      <c r="O538" s="5"/>
      <c r="P538" s="5"/>
      <c r="R538" t="s">
        <v>106</v>
      </c>
      <c r="S538" t="s">
        <v>63</v>
      </c>
      <c r="T538" s="5"/>
      <c r="U538" s="6"/>
      <c r="V538" t="s">
        <v>64</v>
      </c>
      <c r="W538" s="4"/>
      <c r="X538" t="s">
        <v>65</v>
      </c>
      <c r="Z538" t="s">
        <v>66</v>
      </c>
      <c r="AA538" t="str">
        <f>VLOOKUP(H538,Departments!$A:$B,2,0)</f>
        <v>Pulmonology</v>
      </c>
      <c r="AB538" t="str">
        <f>VLOOKUP(J538,Diagnosis_Guide!$A:$B,2,0)</f>
        <v>COPD Exacerbation</v>
      </c>
      <c r="AC538" s="4" t="str">
        <f>VLOOKUP(J538,Diagnosis_Guide!$A:$C,3,0)</f>
        <v>Respiratory</v>
      </c>
      <c r="AD538" s="4" t="str">
        <f>VLOOKUP(R538,Insurance_Plans!$A:$C,3,0)</f>
        <v>Private</v>
      </c>
      <c r="AE538" s="13" t="str">
        <f t="shared" si="24"/>
        <v/>
      </c>
      <c r="AF538" s="13" t="str">
        <f t="shared" si="25"/>
        <v/>
      </c>
      <c r="AG538" s="4" t="str">
        <f t="shared" si="26"/>
        <v>Not Available</v>
      </c>
    </row>
    <row r="539" spans="1:33">
      <c r="A539" t="s">
        <v>1119</v>
      </c>
      <c r="B539" t="s">
        <v>682</v>
      </c>
      <c r="C539" s="11">
        <v>46136</v>
      </c>
      <c r="D539" t="s">
        <v>127</v>
      </c>
      <c r="E539" t="s">
        <v>56</v>
      </c>
      <c r="F539" s="4"/>
      <c r="G539" s="4"/>
      <c r="H539" t="s">
        <v>90</v>
      </c>
      <c r="I539" t="s">
        <v>299</v>
      </c>
      <c r="J539" t="s">
        <v>129</v>
      </c>
      <c r="K539" t="s">
        <v>60</v>
      </c>
      <c r="L539" t="s">
        <v>74</v>
      </c>
      <c r="M539" s="5"/>
      <c r="N539" s="5"/>
      <c r="O539" s="5"/>
      <c r="P539" s="5"/>
      <c r="R539" t="s">
        <v>134</v>
      </c>
      <c r="S539" t="s">
        <v>63</v>
      </c>
      <c r="T539" s="5"/>
      <c r="U539" s="6"/>
      <c r="V539" t="s">
        <v>64</v>
      </c>
      <c r="W539" s="4"/>
      <c r="X539" t="s">
        <v>65</v>
      </c>
      <c r="Z539" t="s">
        <v>66</v>
      </c>
      <c r="AA539" t="str">
        <f>VLOOKUP(H539,Departments!$A:$B,2,0)</f>
        <v>Cardiology</v>
      </c>
      <c r="AB539" t="str">
        <f>VLOOKUP(J539,Diagnosis_Guide!$A:$B,2,0)</f>
        <v>Hypertension Crisis</v>
      </c>
      <c r="AC539" s="4" t="str">
        <f>VLOOKUP(J539,Diagnosis_Guide!$A:$C,3,0)</f>
        <v>Cardiovascular</v>
      </c>
      <c r="AD539" s="4" t="str">
        <f>VLOOKUP(R539,Insurance_Plans!$A:$C,3,0)</f>
        <v>Community</v>
      </c>
      <c r="AE539" s="13" t="str">
        <f t="shared" si="24"/>
        <v/>
      </c>
      <c r="AF539" s="13" t="str">
        <f t="shared" si="25"/>
        <v/>
      </c>
      <c r="AG539" s="4" t="str">
        <f t="shared" si="26"/>
        <v>Not Available</v>
      </c>
    </row>
    <row r="540" spans="1:33">
      <c r="A540" t="s">
        <v>1120</v>
      </c>
      <c r="B540" t="s">
        <v>1121</v>
      </c>
      <c r="C540" s="11">
        <v>46113</v>
      </c>
      <c r="D540" t="s">
        <v>127</v>
      </c>
      <c r="E540" t="s">
        <v>70</v>
      </c>
      <c r="F540" s="4">
        <v>46113</v>
      </c>
      <c r="G540" s="4">
        <v>46115</v>
      </c>
      <c r="H540" t="s">
        <v>103</v>
      </c>
      <c r="I540" t="s">
        <v>104</v>
      </c>
      <c r="J540" t="s">
        <v>145</v>
      </c>
      <c r="K540" t="s">
        <v>73</v>
      </c>
      <c r="L540" t="s">
        <v>74</v>
      </c>
      <c r="M540" s="5">
        <v>19900</v>
      </c>
      <c r="N540" s="5">
        <v>3550</v>
      </c>
      <c r="O540" s="5">
        <v>2150</v>
      </c>
      <c r="P540" s="5">
        <v>6000</v>
      </c>
      <c r="Q540" s="13">
        <v>33400</v>
      </c>
      <c r="R540" t="s">
        <v>106</v>
      </c>
      <c r="S540" t="s">
        <v>76</v>
      </c>
      <c r="T540" s="5">
        <v>12390</v>
      </c>
      <c r="U540" s="6">
        <v>5</v>
      </c>
      <c r="V540" t="s">
        <v>64</v>
      </c>
      <c r="W540" s="4"/>
      <c r="X540" t="s">
        <v>65</v>
      </c>
      <c r="Y540" t="s">
        <v>64</v>
      </c>
      <c r="Z540" t="s">
        <v>96</v>
      </c>
      <c r="AA540" t="str">
        <f>VLOOKUP(H540,Departments!$A:$B,2,0)</f>
        <v>Nephrology</v>
      </c>
      <c r="AB540" t="str">
        <f>VLOOKUP(J540,Diagnosis_Guide!$A:$B,2,0)</f>
        <v>Kidney Stone</v>
      </c>
      <c r="AC540" s="4" t="str">
        <f>VLOOKUP(J540,Diagnosis_Guide!$A:$C,3,0)</f>
        <v>Renal</v>
      </c>
      <c r="AD540" s="4" t="str">
        <f>VLOOKUP(R540,Insurance_Plans!$A:$C,3,0)</f>
        <v>Private</v>
      </c>
      <c r="AE540" s="13">
        <f t="shared" si="24"/>
        <v>1670</v>
      </c>
      <c r="AF540" s="13">
        <f t="shared" si="25"/>
        <v>35070</v>
      </c>
      <c r="AG540" s="4" t="str">
        <f t="shared" si="26"/>
        <v>High</v>
      </c>
    </row>
    <row r="541" spans="1:33">
      <c r="A541" t="s">
        <v>1122</v>
      </c>
      <c r="B541" t="s">
        <v>1123</v>
      </c>
      <c r="C541" s="11">
        <v>46164</v>
      </c>
      <c r="D541" t="s">
        <v>127</v>
      </c>
      <c r="E541" t="s">
        <v>70</v>
      </c>
      <c r="F541" s="4">
        <v>46165</v>
      </c>
      <c r="G541" s="4">
        <v>46168</v>
      </c>
      <c r="H541" t="s">
        <v>90</v>
      </c>
      <c r="I541" t="s">
        <v>299</v>
      </c>
      <c r="J541" t="s">
        <v>129</v>
      </c>
      <c r="K541" t="s">
        <v>93</v>
      </c>
      <c r="L541" t="s">
        <v>74</v>
      </c>
      <c r="M541" s="5">
        <v>52300</v>
      </c>
      <c r="N541" s="5">
        <v>7000</v>
      </c>
      <c r="O541" s="5">
        <v>7250</v>
      </c>
      <c r="P541" s="5">
        <v>13500</v>
      </c>
      <c r="Q541" s="13">
        <v>81550</v>
      </c>
      <c r="R541" t="s">
        <v>141</v>
      </c>
      <c r="S541" t="s">
        <v>76</v>
      </c>
      <c r="T541" s="5">
        <v>13430</v>
      </c>
      <c r="U541" s="6">
        <v>4</v>
      </c>
      <c r="V541" t="s">
        <v>77</v>
      </c>
      <c r="W541" s="4">
        <v>46177</v>
      </c>
      <c r="X541" t="s">
        <v>77</v>
      </c>
      <c r="Y541" t="s">
        <v>64</v>
      </c>
      <c r="Z541" t="s">
        <v>219</v>
      </c>
      <c r="AA541" t="str">
        <f>VLOOKUP(H541,Departments!$A:$B,2,0)</f>
        <v>Cardiology</v>
      </c>
      <c r="AB541" t="str">
        <f>VLOOKUP(J541,Diagnosis_Guide!$A:$B,2,0)</f>
        <v>Hypertension Crisis</v>
      </c>
      <c r="AC541" s="4" t="str">
        <f>VLOOKUP(J541,Diagnosis_Guide!$A:$C,3,0)</f>
        <v>Cardiovascular</v>
      </c>
      <c r="AD541" s="4" t="str">
        <f>VLOOKUP(R541,Insurance_Plans!$A:$C,3,0)</f>
        <v>Private</v>
      </c>
      <c r="AE541" s="13">
        <f t="shared" si="24"/>
        <v>4077.5</v>
      </c>
      <c r="AF541" s="13">
        <f t="shared" si="25"/>
        <v>85627.5</v>
      </c>
      <c r="AG541" s="4" t="str">
        <f t="shared" si="26"/>
        <v>High</v>
      </c>
    </row>
    <row r="542" spans="1:33">
      <c r="A542" t="s">
        <v>1124</v>
      </c>
      <c r="B542" t="s">
        <v>1125</v>
      </c>
      <c r="C542" s="11">
        <v>46097</v>
      </c>
      <c r="D542" t="s">
        <v>161</v>
      </c>
      <c r="E542" t="s">
        <v>70</v>
      </c>
      <c r="F542" s="4">
        <v>46097</v>
      </c>
      <c r="G542" s="4">
        <v>46101</v>
      </c>
      <c r="H542" t="s">
        <v>138</v>
      </c>
      <c r="I542" t="s">
        <v>444</v>
      </c>
      <c r="J542" t="s">
        <v>236</v>
      </c>
      <c r="K542" t="s">
        <v>93</v>
      </c>
      <c r="L542" t="s">
        <v>94</v>
      </c>
      <c r="M542" s="5">
        <v>39700</v>
      </c>
      <c r="N542" s="5">
        <v>3900</v>
      </c>
      <c r="O542" s="5">
        <v>9700</v>
      </c>
      <c r="P542" s="5">
        <v>18000</v>
      </c>
      <c r="Q542" s="13">
        <v>72800</v>
      </c>
      <c r="R542" t="s">
        <v>75</v>
      </c>
      <c r="S542" t="s">
        <v>76</v>
      </c>
      <c r="T542" s="5">
        <v>33060</v>
      </c>
      <c r="U542" s="6">
        <v>4</v>
      </c>
      <c r="V542" t="s">
        <v>64</v>
      </c>
      <c r="W542" s="4"/>
      <c r="X542" t="s">
        <v>65</v>
      </c>
      <c r="Y542" t="s">
        <v>64</v>
      </c>
      <c r="Z542" t="s">
        <v>107</v>
      </c>
      <c r="AA542" t="str">
        <f>VLOOKUP(H542,Departments!$A:$B,2,0)</f>
        <v>Pediatrics</v>
      </c>
      <c r="AB542" t="str">
        <f>VLOOKUP(J542,Diagnosis_Guide!$A:$B,2,0)</f>
        <v>Neonatal Observation</v>
      </c>
      <c r="AC542" s="4" t="str">
        <f>VLOOKUP(J542,Diagnosis_Guide!$A:$C,3,0)</f>
        <v>Pediatric</v>
      </c>
      <c r="AD542" s="4" t="str">
        <f>VLOOKUP(R542,Insurance_Plans!$A:$C,3,0)</f>
        <v>Public</v>
      </c>
      <c r="AE542" s="13">
        <f t="shared" si="24"/>
        <v>3640</v>
      </c>
      <c r="AF542" s="13">
        <f t="shared" si="25"/>
        <v>76440</v>
      </c>
      <c r="AG542" s="4" t="str">
        <f t="shared" si="26"/>
        <v>High</v>
      </c>
    </row>
    <row r="543" spans="1:33">
      <c r="A543" t="s">
        <v>1126</v>
      </c>
      <c r="B543" t="s">
        <v>1127</v>
      </c>
      <c r="C543" s="11">
        <v>46040</v>
      </c>
      <c r="D543" t="s">
        <v>81</v>
      </c>
      <c r="E543" t="s">
        <v>70</v>
      </c>
      <c r="F543" s="4">
        <v>46040</v>
      </c>
      <c r="G543" s="4">
        <v>46040</v>
      </c>
      <c r="H543" t="s">
        <v>57</v>
      </c>
      <c r="I543" t="s">
        <v>71</v>
      </c>
      <c r="J543" t="s">
        <v>72</v>
      </c>
      <c r="K543" t="s">
        <v>73</v>
      </c>
      <c r="L543" t="s">
        <v>74</v>
      </c>
      <c r="M543" s="5">
        <v>10100</v>
      </c>
      <c r="N543" s="5">
        <v>800</v>
      </c>
      <c r="O543" s="5">
        <v>2000</v>
      </c>
      <c r="P543" s="5">
        <v>0</v>
      </c>
      <c r="Q543" s="13">
        <v>14700</v>
      </c>
      <c r="R543" t="s">
        <v>75</v>
      </c>
      <c r="S543" t="s">
        <v>76</v>
      </c>
      <c r="T543" s="5">
        <v>6910</v>
      </c>
      <c r="U543" s="6">
        <v>4</v>
      </c>
      <c r="V543" t="s">
        <v>77</v>
      </c>
      <c r="W543" s="4">
        <v>46048</v>
      </c>
      <c r="X543" t="s">
        <v>77</v>
      </c>
      <c r="Y543" t="s">
        <v>64</v>
      </c>
      <c r="Z543" t="s">
        <v>96</v>
      </c>
      <c r="AA543" t="str">
        <f>VLOOKUP(H543,Departments!$A:$B,2,0)</f>
        <v>Pulmonology</v>
      </c>
      <c r="AB543" t="str">
        <f>VLOOKUP(J543,Diagnosis_Guide!$A:$B,2,0)</f>
        <v>Acute Bronchitis</v>
      </c>
      <c r="AC543" s="4" t="str">
        <f>VLOOKUP(J543,Diagnosis_Guide!$A:$C,3,0)</f>
        <v>Respiratory</v>
      </c>
      <c r="AD543" s="4" t="str">
        <f>VLOOKUP(R543,Insurance_Plans!$A:$C,3,0)</f>
        <v>Public</v>
      </c>
      <c r="AE543" s="13">
        <f t="shared" si="24"/>
        <v>735</v>
      </c>
      <c r="AF543" s="13">
        <f t="shared" si="25"/>
        <v>15435</v>
      </c>
      <c r="AG543" s="4" t="str">
        <f t="shared" si="26"/>
        <v>High</v>
      </c>
    </row>
    <row r="544" spans="1:33">
      <c r="A544" t="s">
        <v>1128</v>
      </c>
      <c r="B544" t="s">
        <v>394</v>
      </c>
      <c r="C544" s="11">
        <v>46125</v>
      </c>
      <c r="D544" t="s">
        <v>363</v>
      </c>
      <c r="E544" t="s">
        <v>70</v>
      </c>
      <c r="F544" s="4">
        <v>46125</v>
      </c>
      <c r="G544" s="4">
        <v>46125</v>
      </c>
      <c r="H544" t="s">
        <v>57</v>
      </c>
      <c r="I544" t="s">
        <v>169</v>
      </c>
      <c r="J544" t="s">
        <v>72</v>
      </c>
      <c r="K544" t="s">
        <v>60</v>
      </c>
      <c r="L544" t="s">
        <v>74</v>
      </c>
      <c r="M544" s="5">
        <v>9000</v>
      </c>
      <c r="N544" s="5">
        <v>1450</v>
      </c>
      <c r="O544" s="5">
        <v>2150</v>
      </c>
      <c r="P544" s="5">
        <v>0</v>
      </c>
      <c r="Q544" s="13">
        <v>13400</v>
      </c>
      <c r="R544" t="s">
        <v>85</v>
      </c>
      <c r="S544" t="s">
        <v>76</v>
      </c>
      <c r="T544" s="5">
        <v>4250</v>
      </c>
      <c r="U544" s="6">
        <v>4</v>
      </c>
      <c r="V544" t="s">
        <v>64</v>
      </c>
      <c r="W544" s="4"/>
      <c r="X544" t="s">
        <v>65</v>
      </c>
      <c r="Y544" t="s">
        <v>64</v>
      </c>
      <c r="Z544" t="s">
        <v>107</v>
      </c>
      <c r="AA544" t="str">
        <f>VLOOKUP(H544,Departments!$A:$B,2,0)</f>
        <v>Pulmonology</v>
      </c>
      <c r="AB544" t="str">
        <f>VLOOKUP(J544,Diagnosis_Guide!$A:$B,2,0)</f>
        <v>Acute Bronchitis</v>
      </c>
      <c r="AC544" s="4" t="str">
        <f>VLOOKUP(J544,Diagnosis_Guide!$A:$C,3,0)</f>
        <v>Respiratory</v>
      </c>
      <c r="AD544" s="4" t="str">
        <f>VLOOKUP(R544,Insurance_Plans!$A:$C,3,0)</f>
        <v>Employer</v>
      </c>
      <c r="AE544" s="13">
        <f t="shared" si="24"/>
        <v>670</v>
      </c>
      <c r="AF544" s="13">
        <f t="shared" si="25"/>
        <v>14070</v>
      </c>
      <c r="AG544" s="4" t="str">
        <f t="shared" si="26"/>
        <v>High</v>
      </c>
    </row>
    <row r="545" spans="1:33">
      <c r="A545" t="s">
        <v>1129</v>
      </c>
      <c r="B545" t="s">
        <v>1130</v>
      </c>
      <c r="C545" s="11">
        <v>46170</v>
      </c>
      <c r="D545" t="s">
        <v>432</v>
      </c>
      <c r="E545" t="s">
        <v>70</v>
      </c>
      <c r="F545" s="4">
        <v>46170</v>
      </c>
      <c r="G545" s="4">
        <v>46173</v>
      </c>
      <c r="H545" t="s">
        <v>201</v>
      </c>
      <c r="I545" t="s">
        <v>421</v>
      </c>
      <c r="J545" t="s">
        <v>295</v>
      </c>
      <c r="K545" t="s">
        <v>124</v>
      </c>
      <c r="L545" t="s">
        <v>94</v>
      </c>
      <c r="M545" s="5">
        <v>32000</v>
      </c>
      <c r="N545" s="5">
        <v>3000</v>
      </c>
      <c r="O545" s="5">
        <v>4400</v>
      </c>
      <c r="P545" s="5">
        <v>13500</v>
      </c>
      <c r="Q545" s="13">
        <v>53900</v>
      </c>
      <c r="R545" t="s">
        <v>134</v>
      </c>
      <c r="S545" t="s">
        <v>76</v>
      </c>
      <c r="T545" s="5">
        <v>29850</v>
      </c>
      <c r="U545" s="6">
        <v>3</v>
      </c>
      <c r="V545" t="s">
        <v>77</v>
      </c>
      <c r="W545" s="4">
        <v>46193</v>
      </c>
      <c r="X545" t="s">
        <v>77</v>
      </c>
      <c r="Y545" t="s">
        <v>77</v>
      </c>
      <c r="Z545" t="s">
        <v>96</v>
      </c>
      <c r="AA545" t="str">
        <f>VLOOKUP(H545,Departments!$A:$B,2,0)</f>
        <v>Emergency</v>
      </c>
      <c r="AB545" t="str">
        <f>VLOOKUP(J545,Diagnosis_Guide!$A:$B,2,0)</f>
        <v>Accident Injury</v>
      </c>
      <c r="AC545" s="4" t="str">
        <f>VLOOKUP(J545,Diagnosis_Guide!$A:$C,3,0)</f>
        <v>Emergency</v>
      </c>
      <c r="AD545" s="4" t="str">
        <f>VLOOKUP(R545,Insurance_Plans!$A:$C,3,0)</f>
        <v>Community</v>
      </c>
      <c r="AE545" s="13">
        <f t="shared" si="24"/>
        <v>2695</v>
      </c>
      <c r="AF545" s="13">
        <f t="shared" si="25"/>
        <v>56595</v>
      </c>
      <c r="AG545" s="4" t="str">
        <f t="shared" si="26"/>
        <v>Medium</v>
      </c>
    </row>
    <row r="546" spans="1:33">
      <c r="A546" t="s">
        <v>1131</v>
      </c>
      <c r="B546" t="s">
        <v>743</v>
      </c>
      <c r="C546" s="11">
        <v>46139</v>
      </c>
      <c r="D546" t="s">
        <v>439</v>
      </c>
      <c r="E546" t="s">
        <v>70</v>
      </c>
      <c r="F546" s="4">
        <v>46140</v>
      </c>
      <c r="G546" s="4">
        <v>46147</v>
      </c>
      <c r="H546" t="s">
        <v>178</v>
      </c>
      <c r="I546" t="s">
        <v>218</v>
      </c>
      <c r="J546" t="s">
        <v>340</v>
      </c>
      <c r="K546" t="s">
        <v>93</v>
      </c>
      <c r="L546" t="s">
        <v>61</v>
      </c>
      <c r="M546" s="5">
        <v>89700</v>
      </c>
      <c r="N546" s="5">
        <v>8850</v>
      </c>
      <c r="O546" s="5">
        <v>14850</v>
      </c>
      <c r="P546" s="5">
        <v>31500</v>
      </c>
      <c r="Q546" s="13">
        <v>146400</v>
      </c>
      <c r="R546" t="s">
        <v>85</v>
      </c>
      <c r="S546" t="s">
        <v>76</v>
      </c>
      <c r="T546" s="5">
        <v>37500</v>
      </c>
      <c r="U546" s="6">
        <v>5</v>
      </c>
      <c r="V546" t="s">
        <v>64</v>
      </c>
      <c r="W546" s="4"/>
      <c r="X546" t="s">
        <v>65</v>
      </c>
      <c r="Y546" t="s">
        <v>64</v>
      </c>
      <c r="Z546" t="s">
        <v>78</v>
      </c>
      <c r="AA546" t="str">
        <f>VLOOKUP(H546,Departments!$A:$B,2,0)</f>
        <v>Surgery</v>
      </c>
      <c r="AB546" t="str">
        <f>VLOOKUP(J546,Diagnosis_Guide!$A:$B,2,0)</f>
        <v>Post-Operative Infection</v>
      </c>
      <c r="AC546" s="4" t="str">
        <f>VLOOKUP(J546,Diagnosis_Guide!$A:$C,3,0)</f>
        <v>Surgical</v>
      </c>
      <c r="AD546" s="4" t="str">
        <f>VLOOKUP(R546,Insurance_Plans!$A:$C,3,0)</f>
        <v>Employer</v>
      </c>
      <c r="AE546" s="13">
        <f t="shared" si="24"/>
        <v>7320</v>
      </c>
      <c r="AF546" s="13">
        <f t="shared" si="25"/>
        <v>153720</v>
      </c>
      <c r="AG546" s="4" t="str">
        <f t="shared" si="26"/>
        <v>High</v>
      </c>
    </row>
    <row r="547" spans="1:33">
      <c r="A547" t="s">
        <v>1132</v>
      </c>
      <c r="B547" t="s">
        <v>555</v>
      </c>
      <c r="C547" s="11">
        <v>46169</v>
      </c>
      <c r="D547" t="s">
        <v>161</v>
      </c>
      <c r="E547" t="s">
        <v>70</v>
      </c>
      <c r="F547" s="4">
        <v>46169</v>
      </c>
      <c r="G547" s="4">
        <v>46175</v>
      </c>
      <c r="H547" t="s">
        <v>201</v>
      </c>
      <c r="I547" t="s">
        <v>515</v>
      </c>
      <c r="J547" t="s">
        <v>295</v>
      </c>
      <c r="K547" t="s">
        <v>73</v>
      </c>
      <c r="L547" t="s">
        <v>74</v>
      </c>
      <c r="M547" s="5">
        <v>53300</v>
      </c>
      <c r="N547" s="5">
        <v>8450</v>
      </c>
      <c r="O547" s="5">
        <v>10400</v>
      </c>
      <c r="P547" s="5">
        <v>18000</v>
      </c>
      <c r="Q547" s="13">
        <v>91350</v>
      </c>
      <c r="R547" t="s">
        <v>106</v>
      </c>
      <c r="S547" t="s">
        <v>76</v>
      </c>
      <c r="T547" s="5">
        <v>32670</v>
      </c>
      <c r="U547" s="6">
        <v>3</v>
      </c>
      <c r="V547" t="s">
        <v>77</v>
      </c>
      <c r="W547" s="4">
        <v>46191</v>
      </c>
      <c r="X547" t="s">
        <v>77</v>
      </c>
      <c r="Y547" t="s">
        <v>64</v>
      </c>
      <c r="Z547" t="s">
        <v>96</v>
      </c>
      <c r="AA547" t="str">
        <f>VLOOKUP(H547,Departments!$A:$B,2,0)</f>
        <v>Emergency</v>
      </c>
      <c r="AB547" t="str">
        <f>VLOOKUP(J547,Diagnosis_Guide!$A:$B,2,0)</f>
        <v>Accident Injury</v>
      </c>
      <c r="AC547" s="4" t="str">
        <f>VLOOKUP(J547,Diagnosis_Guide!$A:$C,3,0)</f>
        <v>Emergency</v>
      </c>
      <c r="AD547" s="4" t="str">
        <f>VLOOKUP(R547,Insurance_Plans!$A:$C,3,0)</f>
        <v>Private</v>
      </c>
      <c r="AE547" s="13">
        <f t="shared" si="24"/>
        <v>4567.5</v>
      </c>
      <c r="AF547" s="13">
        <f t="shared" si="25"/>
        <v>95917.5</v>
      </c>
      <c r="AG547" s="4" t="str">
        <f t="shared" si="26"/>
        <v>Medium</v>
      </c>
    </row>
    <row r="548" spans="1:33">
      <c r="A548" t="s">
        <v>1133</v>
      </c>
      <c r="B548" t="s">
        <v>1134</v>
      </c>
      <c r="C548" s="11">
        <v>46035</v>
      </c>
      <c r="D548" t="s">
        <v>99</v>
      </c>
      <c r="E548" t="s">
        <v>70</v>
      </c>
      <c r="F548" s="4">
        <v>46036</v>
      </c>
      <c r="G548" s="4">
        <v>46041</v>
      </c>
      <c r="H548" t="s">
        <v>178</v>
      </c>
      <c r="I548" t="s">
        <v>415</v>
      </c>
      <c r="J548" t="s">
        <v>340</v>
      </c>
      <c r="K548" t="s">
        <v>93</v>
      </c>
      <c r="L548" t="s">
        <v>74</v>
      </c>
      <c r="M548" s="5">
        <v>79600</v>
      </c>
      <c r="N548" s="5">
        <v>8850</v>
      </c>
      <c r="O548" s="5">
        <v>19200</v>
      </c>
      <c r="P548" s="5">
        <v>22500</v>
      </c>
      <c r="Q548" s="13">
        <v>130950</v>
      </c>
      <c r="R548" t="s">
        <v>95</v>
      </c>
      <c r="S548" t="s">
        <v>63</v>
      </c>
      <c r="T548" s="5">
        <v>130950</v>
      </c>
      <c r="U548" s="6">
        <v>4</v>
      </c>
      <c r="V548" t="s">
        <v>77</v>
      </c>
      <c r="W548" s="4">
        <v>46053</v>
      </c>
      <c r="X548" t="s">
        <v>77</v>
      </c>
      <c r="Y548" t="s">
        <v>64</v>
      </c>
      <c r="Z548" t="s">
        <v>96</v>
      </c>
      <c r="AA548" t="str">
        <f>VLOOKUP(H548,Departments!$A:$B,2,0)</f>
        <v>Surgery</v>
      </c>
      <c r="AB548" t="str">
        <f>VLOOKUP(J548,Diagnosis_Guide!$A:$B,2,0)</f>
        <v>Post-Operative Infection</v>
      </c>
      <c r="AC548" s="4" t="str">
        <f>VLOOKUP(J548,Diagnosis_Guide!$A:$C,3,0)</f>
        <v>Surgical</v>
      </c>
      <c r="AD548" s="4" t="str">
        <f>VLOOKUP(R548,Insurance_Plans!$A:$C,3,0)</f>
        <v>Self-Pay</v>
      </c>
      <c r="AE548" s="13">
        <f t="shared" si="24"/>
        <v>6547.5</v>
      </c>
      <c r="AF548" s="13">
        <f t="shared" si="25"/>
        <v>137497.5</v>
      </c>
      <c r="AG548" s="4" t="str">
        <f t="shared" si="26"/>
        <v>High</v>
      </c>
    </row>
    <row r="549" spans="1:33">
      <c r="A549" t="s">
        <v>1135</v>
      </c>
      <c r="B549" t="s">
        <v>1136</v>
      </c>
      <c r="C549" s="11">
        <v>46121</v>
      </c>
      <c r="D549" t="s">
        <v>55</v>
      </c>
      <c r="E549" t="s">
        <v>70</v>
      </c>
      <c r="F549" s="4">
        <v>46121</v>
      </c>
      <c r="G549" s="4">
        <v>46128</v>
      </c>
      <c r="H549" t="s">
        <v>82</v>
      </c>
      <c r="I549" t="s">
        <v>83</v>
      </c>
      <c r="J549" t="s">
        <v>156</v>
      </c>
      <c r="K549" t="s">
        <v>93</v>
      </c>
      <c r="L549" t="s">
        <v>74</v>
      </c>
      <c r="M549" s="5">
        <v>91400</v>
      </c>
      <c r="N549" s="5">
        <v>10600</v>
      </c>
      <c r="O549" s="5">
        <v>16950</v>
      </c>
      <c r="P549" s="5">
        <v>31500</v>
      </c>
      <c r="Q549" s="13">
        <v>152250</v>
      </c>
      <c r="R549" t="s">
        <v>75</v>
      </c>
      <c r="S549" t="s">
        <v>76</v>
      </c>
      <c r="T549" s="5">
        <v>68810</v>
      </c>
      <c r="U549" s="6">
        <v>3</v>
      </c>
      <c r="V549" t="s">
        <v>77</v>
      </c>
      <c r="W549" s="4">
        <v>46144</v>
      </c>
      <c r="X549" t="s">
        <v>77</v>
      </c>
      <c r="Y549" t="s">
        <v>77</v>
      </c>
      <c r="Z549" t="s">
        <v>96</v>
      </c>
      <c r="AA549" t="str">
        <f>VLOOKUP(H549,Departments!$A:$B,2,0)</f>
        <v>Orthopedics</v>
      </c>
      <c r="AB549" t="str">
        <f>VLOOKUP(J549,Diagnosis_Guide!$A:$B,2,0)</f>
        <v>Spinal Injury</v>
      </c>
      <c r="AC549" s="4" t="str">
        <f>VLOOKUP(J549,Diagnosis_Guide!$A:$C,3,0)</f>
        <v>Musculoskeletal</v>
      </c>
      <c r="AD549" s="4" t="str">
        <f>VLOOKUP(R549,Insurance_Plans!$A:$C,3,0)</f>
        <v>Public</v>
      </c>
      <c r="AE549" s="13">
        <f t="shared" si="24"/>
        <v>7612.5</v>
      </c>
      <c r="AF549" s="13">
        <f t="shared" si="25"/>
        <v>159862.5</v>
      </c>
      <c r="AG549" s="4" t="str">
        <f t="shared" si="26"/>
        <v>Medium</v>
      </c>
    </row>
    <row r="550" spans="1:33">
      <c r="A550" t="s">
        <v>1137</v>
      </c>
      <c r="B550" t="s">
        <v>405</v>
      </c>
      <c r="C550" s="11">
        <v>46103</v>
      </c>
      <c r="D550" t="s">
        <v>144</v>
      </c>
      <c r="E550" t="s">
        <v>56</v>
      </c>
      <c r="F550" s="4"/>
      <c r="G550" s="4"/>
      <c r="H550" t="s">
        <v>82</v>
      </c>
      <c r="I550" t="s">
        <v>194</v>
      </c>
      <c r="J550" t="s">
        <v>84</v>
      </c>
      <c r="K550" t="s">
        <v>73</v>
      </c>
      <c r="L550" t="s">
        <v>94</v>
      </c>
      <c r="M550" s="5"/>
      <c r="N550" s="5"/>
      <c r="O550" s="5"/>
      <c r="P550" s="5"/>
      <c r="R550" t="s">
        <v>141</v>
      </c>
      <c r="S550" t="s">
        <v>63</v>
      </c>
      <c r="T550" s="5"/>
      <c r="U550" s="6"/>
      <c r="V550" t="s">
        <v>64</v>
      </c>
      <c r="W550" s="4"/>
      <c r="X550" t="s">
        <v>65</v>
      </c>
      <c r="Z550" t="s">
        <v>66</v>
      </c>
      <c r="AA550" t="str">
        <f>VLOOKUP(H550,Departments!$A:$B,2,0)</f>
        <v>Orthopedics</v>
      </c>
      <c r="AB550" t="str">
        <f>VLOOKUP(J550,Diagnosis_Guide!$A:$B,2,0)</f>
        <v>Joint Pain</v>
      </c>
      <c r="AC550" s="4" t="str">
        <f>VLOOKUP(J550,Diagnosis_Guide!$A:$C,3,0)</f>
        <v>Musculoskeletal</v>
      </c>
      <c r="AD550" s="4" t="str">
        <f>VLOOKUP(R550,Insurance_Plans!$A:$C,3,0)</f>
        <v>Private</v>
      </c>
      <c r="AE550" s="13" t="str">
        <f t="shared" si="24"/>
        <v/>
      </c>
      <c r="AF550" s="13" t="str">
        <f t="shared" si="25"/>
        <v/>
      </c>
      <c r="AG550" s="4" t="str">
        <f t="shared" si="26"/>
        <v>Not Available</v>
      </c>
    </row>
    <row r="551" spans="1:33">
      <c r="A551" t="s">
        <v>1138</v>
      </c>
      <c r="B551" t="s">
        <v>1139</v>
      </c>
      <c r="C551" s="11">
        <v>46128</v>
      </c>
      <c r="D551" t="s">
        <v>432</v>
      </c>
      <c r="E551" t="s">
        <v>70</v>
      </c>
      <c r="F551" s="4">
        <v>46128</v>
      </c>
      <c r="G551" s="4">
        <v>46128</v>
      </c>
      <c r="H551" t="s">
        <v>121</v>
      </c>
      <c r="I551" t="s">
        <v>251</v>
      </c>
      <c r="J551" t="s">
        <v>256</v>
      </c>
      <c r="K551" t="s">
        <v>60</v>
      </c>
      <c r="L551" t="s">
        <v>61</v>
      </c>
      <c r="M551" s="5">
        <v>14200</v>
      </c>
      <c r="N551" s="5">
        <v>2400</v>
      </c>
      <c r="O551" s="5">
        <v>2700</v>
      </c>
      <c r="P551" s="5">
        <v>0</v>
      </c>
      <c r="Q551" s="13">
        <v>21300</v>
      </c>
      <c r="R551" t="s">
        <v>106</v>
      </c>
      <c r="S551" t="s">
        <v>86</v>
      </c>
      <c r="T551" s="5">
        <v>8150</v>
      </c>
      <c r="U551" s="6">
        <v>5</v>
      </c>
      <c r="V551" t="s">
        <v>64</v>
      </c>
      <c r="W551" s="4"/>
      <c r="X551" t="s">
        <v>65</v>
      </c>
      <c r="Y551" t="s">
        <v>64</v>
      </c>
      <c r="Z551" t="s">
        <v>436</v>
      </c>
      <c r="AA551" t="str">
        <f>VLOOKUP(H551,Departments!$A:$B,2,0)</f>
        <v>Neurology</v>
      </c>
      <c r="AB551" t="str">
        <f>VLOOKUP(J551,Diagnosis_Guide!$A:$B,2,0)</f>
        <v>Migraine Complication</v>
      </c>
      <c r="AC551" s="4" t="str">
        <f>VLOOKUP(J551,Diagnosis_Guide!$A:$C,3,0)</f>
        <v>Neurological</v>
      </c>
      <c r="AD551" s="4" t="str">
        <f>VLOOKUP(R551,Insurance_Plans!$A:$C,3,0)</f>
        <v>Private</v>
      </c>
      <c r="AE551" s="13">
        <f t="shared" si="24"/>
        <v>1065</v>
      </c>
      <c r="AF551" s="13">
        <f t="shared" si="25"/>
        <v>22365</v>
      </c>
      <c r="AG551" s="4" t="str">
        <f t="shared" si="26"/>
        <v>High</v>
      </c>
    </row>
    <row r="552" spans="1:33">
      <c r="A552" t="s">
        <v>1140</v>
      </c>
      <c r="B552" t="s">
        <v>1141</v>
      </c>
      <c r="C552" s="11">
        <v>46090</v>
      </c>
      <c r="D552" t="s">
        <v>99</v>
      </c>
      <c r="E552" t="s">
        <v>70</v>
      </c>
      <c r="F552" s="4">
        <v>46091</v>
      </c>
      <c r="G552" s="4">
        <v>46092</v>
      </c>
      <c r="H552" t="s">
        <v>201</v>
      </c>
      <c r="I552" t="s">
        <v>202</v>
      </c>
      <c r="J552" t="s">
        <v>203</v>
      </c>
      <c r="K552" t="s">
        <v>124</v>
      </c>
      <c r="L552" t="s">
        <v>74</v>
      </c>
      <c r="M552" s="5">
        <v>30700</v>
      </c>
      <c r="N552" s="5">
        <v>4200</v>
      </c>
      <c r="O552" s="5">
        <v>6850</v>
      </c>
      <c r="P552" s="5">
        <v>6000</v>
      </c>
      <c r="Q552" s="13">
        <v>50250</v>
      </c>
      <c r="R552" t="s">
        <v>85</v>
      </c>
      <c r="S552" t="s">
        <v>86</v>
      </c>
      <c r="T552" s="5">
        <v>13460</v>
      </c>
      <c r="U552" s="6">
        <v>5</v>
      </c>
      <c r="V552" t="s">
        <v>77</v>
      </c>
      <c r="W552" s="4">
        <v>46101</v>
      </c>
      <c r="X552" t="s">
        <v>77</v>
      </c>
      <c r="Y552" t="s">
        <v>77</v>
      </c>
      <c r="Z552" t="s">
        <v>96</v>
      </c>
      <c r="AA552" t="str">
        <f>VLOOKUP(H552,Departments!$A:$B,2,0)</f>
        <v>Emergency</v>
      </c>
      <c r="AB552" t="str">
        <f>VLOOKUP(J552,Diagnosis_Guide!$A:$B,2,0)</f>
        <v>Trauma Observation</v>
      </c>
      <c r="AC552" s="4" t="str">
        <f>VLOOKUP(J552,Diagnosis_Guide!$A:$C,3,0)</f>
        <v>Emergency</v>
      </c>
      <c r="AD552" s="4" t="str">
        <f>VLOOKUP(R552,Insurance_Plans!$A:$C,3,0)</f>
        <v>Employer</v>
      </c>
      <c r="AE552" s="13">
        <f t="shared" si="24"/>
        <v>2512.5</v>
      </c>
      <c r="AF552" s="13">
        <f t="shared" si="25"/>
        <v>52762.5</v>
      </c>
      <c r="AG552" s="4" t="str">
        <f t="shared" si="26"/>
        <v>High</v>
      </c>
    </row>
    <row r="553" spans="1:33">
      <c r="A553" t="s">
        <v>1142</v>
      </c>
      <c r="B553" t="s">
        <v>1127</v>
      </c>
      <c r="C553" s="11">
        <v>46112</v>
      </c>
      <c r="D553" t="s">
        <v>210</v>
      </c>
      <c r="E553" t="s">
        <v>70</v>
      </c>
      <c r="F553" s="4">
        <v>46113</v>
      </c>
      <c r="G553" s="4">
        <v>46117</v>
      </c>
      <c r="H553" t="s">
        <v>121</v>
      </c>
      <c r="I553" t="s">
        <v>665</v>
      </c>
      <c r="J553" t="s">
        <v>123</v>
      </c>
      <c r="K553" t="s">
        <v>124</v>
      </c>
      <c r="L553" t="s">
        <v>74</v>
      </c>
      <c r="M553" s="5">
        <v>32100</v>
      </c>
      <c r="N553" s="5">
        <v>2600</v>
      </c>
      <c r="O553" s="5">
        <v>4650</v>
      </c>
      <c r="P553" s="5">
        <v>24000</v>
      </c>
      <c r="Q553" s="13">
        <v>64350</v>
      </c>
      <c r="R553" t="s">
        <v>141</v>
      </c>
      <c r="S553" t="s">
        <v>76</v>
      </c>
      <c r="T553" s="5">
        <v>10850</v>
      </c>
      <c r="U553" s="6">
        <v>2</v>
      </c>
      <c r="V553" t="s">
        <v>77</v>
      </c>
      <c r="W553" s="4">
        <v>46133</v>
      </c>
      <c r="X553" t="s">
        <v>77</v>
      </c>
      <c r="Y553" t="s">
        <v>77</v>
      </c>
      <c r="Z553" t="s">
        <v>78</v>
      </c>
      <c r="AA553" t="str">
        <f>VLOOKUP(H553,Departments!$A:$B,2,0)</f>
        <v>Neurology</v>
      </c>
      <c r="AB553" t="str">
        <f>VLOOKUP(J553,Diagnosis_Guide!$A:$B,2,0)</f>
        <v>Seizure Episode</v>
      </c>
      <c r="AC553" s="4" t="str">
        <f>VLOOKUP(J553,Diagnosis_Guide!$A:$C,3,0)</f>
        <v>Neurological</v>
      </c>
      <c r="AD553" s="4" t="str">
        <f>VLOOKUP(R553,Insurance_Plans!$A:$C,3,0)</f>
        <v>Private</v>
      </c>
      <c r="AE553" s="13">
        <f t="shared" si="24"/>
        <v>3217.5</v>
      </c>
      <c r="AF553" s="13">
        <f t="shared" si="25"/>
        <v>67567.5</v>
      </c>
      <c r="AG553" s="4" t="str">
        <f t="shared" si="26"/>
        <v>Low</v>
      </c>
    </row>
    <row r="554" spans="1:33">
      <c r="A554" t="s">
        <v>1143</v>
      </c>
      <c r="B554" t="s">
        <v>414</v>
      </c>
      <c r="C554" s="11">
        <v>46114</v>
      </c>
      <c r="D554" t="s">
        <v>284</v>
      </c>
      <c r="E554" t="s">
        <v>70</v>
      </c>
      <c r="F554" s="4">
        <v>46115</v>
      </c>
      <c r="G554" s="4">
        <v>46118</v>
      </c>
      <c r="H554" t="s">
        <v>111</v>
      </c>
      <c r="I554" t="s">
        <v>222</v>
      </c>
      <c r="J554" t="s">
        <v>113</v>
      </c>
      <c r="K554" t="s">
        <v>73</v>
      </c>
      <c r="L554" t="s">
        <v>94</v>
      </c>
      <c r="M554" s="5">
        <v>27200</v>
      </c>
      <c r="N554" s="5">
        <v>3700</v>
      </c>
      <c r="O554" s="5">
        <v>4500</v>
      </c>
      <c r="P554" s="5">
        <v>7500</v>
      </c>
      <c r="Q554" s="13">
        <v>43900</v>
      </c>
      <c r="R554" t="s">
        <v>62</v>
      </c>
      <c r="S554" t="s">
        <v>76</v>
      </c>
      <c r="T554" s="5">
        <v>13570</v>
      </c>
      <c r="U554" s="6">
        <v>4</v>
      </c>
      <c r="V554" t="s">
        <v>64</v>
      </c>
      <c r="W554" s="4"/>
      <c r="X554" t="s">
        <v>65</v>
      </c>
      <c r="Y554" t="s">
        <v>64</v>
      </c>
      <c r="Z554" t="s">
        <v>96</v>
      </c>
      <c r="AA554" t="str">
        <f>VLOOKUP(H554,Departments!$A:$B,2,0)</f>
        <v>General Medicine</v>
      </c>
      <c r="AB554" t="str">
        <f>VLOOKUP(J554,Diagnosis_Guide!$A:$B,2,0)</f>
        <v>Diabetes Complication</v>
      </c>
      <c r="AC554" s="4" t="str">
        <f>VLOOKUP(J554,Diagnosis_Guide!$A:$C,3,0)</f>
        <v>Endocrine/General</v>
      </c>
      <c r="AD554" s="4" t="str">
        <f>VLOOKUP(R554,Insurance_Plans!$A:$C,3,0)</f>
        <v>Public</v>
      </c>
      <c r="AE554" s="13">
        <f t="shared" si="24"/>
        <v>2195</v>
      </c>
      <c r="AF554" s="13">
        <f t="shared" si="25"/>
        <v>46095</v>
      </c>
      <c r="AG554" s="4" t="str">
        <f t="shared" si="26"/>
        <v>High</v>
      </c>
    </row>
    <row r="555" spans="1:33">
      <c r="A555" t="s">
        <v>1144</v>
      </c>
      <c r="B555" t="s">
        <v>1145</v>
      </c>
      <c r="C555" s="11">
        <v>46163</v>
      </c>
      <c r="D555" t="s">
        <v>168</v>
      </c>
      <c r="E555" t="s">
        <v>56</v>
      </c>
      <c r="F555" s="4"/>
      <c r="G555" s="4"/>
      <c r="H555" t="s">
        <v>121</v>
      </c>
      <c r="I555" t="s">
        <v>665</v>
      </c>
      <c r="J555" t="s">
        <v>252</v>
      </c>
      <c r="K555" t="s">
        <v>60</v>
      </c>
      <c r="L555" t="s">
        <v>94</v>
      </c>
      <c r="M555" s="5"/>
      <c r="N555" s="5"/>
      <c r="O555" s="5"/>
      <c r="P555" s="5"/>
      <c r="R555" t="s">
        <v>106</v>
      </c>
      <c r="S555" t="s">
        <v>63</v>
      </c>
      <c r="T555" s="5"/>
      <c r="U555" s="6"/>
      <c r="V555" t="s">
        <v>64</v>
      </c>
      <c r="W555" s="4"/>
      <c r="X555" t="s">
        <v>65</v>
      </c>
      <c r="Z555" t="s">
        <v>66</v>
      </c>
      <c r="AA555" t="str">
        <f>VLOOKUP(H555,Departments!$A:$B,2,0)</f>
        <v>Neurology</v>
      </c>
      <c r="AB555" t="str">
        <f>VLOOKUP(J555,Diagnosis_Guide!$A:$B,2,0)</f>
        <v>Stroke Assessment</v>
      </c>
      <c r="AC555" s="4" t="str">
        <f>VLOOKUP(J555,Diagnosis_Guide!$A:$C,3,0)</f>
        <v>Neurological</v>
      </c>
      <c r="AD555" s="4" t="str">
        <f>VLOOKUP(R555,Insurance_Plans!$A:$C,3,0)</f>
        <v>Private</v>
      </c>
      <c r="AE555" s="13" t="str">
        <f t="shared" si="24"/>
        <v/>
      </c>
      <c r="AF555" s="13" t="str">
        <f t="shared" si="25"/>
        <v/>
      </c>
      <c r="AG555" s="4" t="str">
        <f t="shared" si="26"/>
        <v>Not Available</v>
      </c>
    </row>
    <row r="556" spans="1:33">
      <c r="A556" t="s">
        <v>1146</v>
      </c>
      <c r="B556" t="s">
        <v>193</v>
      </c>
      <c r="C556" s="11">
        <v>46072</v>
      </c>
      <c r="D556" t="s">
        <v>55</v>
      </c>
      <c r="E556" t="s">
        <v>70</v>
      </c>
      <c r="F556" s="4">
        <v>46072</v>
      </c>
      <c r="G556" s="4">
        <v>46072</v>
      </c>
      <c r="H556" t="s">
        <v>90</v>
      </c>
      <c r="I556" t="s">
        <v>91</v>
      </c>
      <c r="J556" t="s">
        <v>197</v>
      </c>
      <c r="K556" t="s">
        <v>60</v>
      </c>
      <c r="L556" t="s">
        <v>61</v>
      </c>
      <c r="M556" s="5">
        <v>18700</v>
      </c>
      <c r="N556" s="5">
        <v>2450</v>
      </c>
      <c r="O556" s="5">
        <v>3800</v>
      </c>
      <c r="P556" s="5">
        <v>0</v>
      </c>
      <c r="Q556" s="13">
        <v>26150</v>
      </c>
      <c r="R556" t="s">
        <v>95</v>
      </c>
      <c r="S556" t="s">
        <v>63</v>
      </c>
      <c r="T556" s="5">
        <v>26150</v>
      </c>
      <c r="U556" s="6"/>
      <c r="V556" t="s">
        <v>64</v>
      </c>
      <c r="W556" s="4"/>
      <c r="X556" t="s">
        <v>65</v>
      </c>
      <c r="Y556" t="s">
        <v>64</v>
      </c>
      <c r="Z556" t="s">
        <v>107</v>
      </c>
      <c r="AA556" t="str">
        <f>VLOOKUP(H556,Departments!$A:$B,2,0)</f>
        <v>Cardiology</v>
      </c>
      <c r="AB556" t="str">
        <f>VLOOKUP(J556,Diagnosis_Guide!$A:$B,2,0)</f>
        <v>Chest Pain</v>
      </c>
      <c r="AC556" s="4" t="str">
        <f>VLOOKUP(J556,Diagnosis_Guide!$A:$C,3,0)</f>
        <v>Cardiovascular</v>
      </c>
      <c r="AD556" s="4" t="str">
        <f>VLOOKUP(R556,Insurance_Plans!$A:$C,3,0)</f>
        <v>Self-Pay</v>
      </c>
      <c r="AE556" s="13">
        <f t="shared" si="24"/>
        <v>1307.5</v>
      </c>
      <c r="AF556" s="13">
        <f t="shared" si="25"/>
        <v>27457.5</v>
      </c>
      <c r="AG556" s="4" t="str">
        <f t="shared" si="26"/>
        <v>Not Available</v>
      </c>
    </row>
    <row r="557" spans="1:33">
      <c r="A557" t="s">
        <v>1147</v>
      </c>
      <c r="B557" t="s">
        <v>1148</v>
      </c>
      <c r="C557" s="11">
        <v>46120</v>
      </c>
      <c r="D557" t="s">
        <v>173</v>
      </c>
      <c r="E557" t="s">
        <v>70</v>
      </c>
      <c r="F557" s="4">
        <v>46121</v>
      </c>
      <c r="G557" s="4">
        <v>46123</v>
      </c>
      <c r="H557" t="s">
        <v>103</v>
      </c>
      <c r="I557" t="s">
        <v>364</v>
      </c>
      <c r="J557" t="s">
        <v>145</v>
      </c>
      <c r="K557" t="s">
        <v>124</v>
      </c>
      <c r="L557" t="s">
        <v>61</v>
      </c>
      <c r="M557" s="5">
        <v>28500</v>
      </c>
      <c r="N557" s="5">
        <v>3100</v>
      </c>
      <c r="O557" s="5">
        <v>4850</v>
      </c>
      <c r="P557" s="5">
        <v>6000</v>
      </c>
      <c r="Q557" s="13">
        <v>43250</v>
      </c>
      <c r="R557" t="s">
        <v>134</v>
      </c>
      <c r="S557" t="s">
        <v>76</v>
      </c>
      <c r="T557" s="5">
        <v>23990</v>
      </c>
      <c r="U557" s="6">
        <v>5</v>
      </c>
      <c r="V557" t="s">
        <v>64</v>
      </c>
      <c r="W557" s="4"/>
      <c r="X557" t="s">
        <v>65</v>
      </c>
      <c r="Y557" t="s">
        <v>64</v>
      </c>
      <c r="Z557" t="s">
        <v>107</v>
      </c>
      <c r="AA557" t="str">
        <f>VLOOKUP(H557,Departments!$A:$B,2,0)</f>
        <v>Nephrology</v>
      </c>
      <c r="AB557" t="str">
        <f>VLOOKUP(J557,Diagnosis_Guide!$A:$B,2,0)</f>
        <v>Kidney Stone</v>
      </c>
      <c r="AC557" s="4" t="str">
        <f>VLOOKUP(J557,Diagnosis_Guide!$A:$C,3,0)</f>
        <v>Renal</v>
      </c>
      <c r="AD557" s="4" t="str">
        <f>VLOOKUP(R557,Insurance_Plans!$A:$C,3,0)</f>
        <v>Community</v>
      </c>
      <c r="AE557" s="13">
        <f t="shared" si="24"/>
        <v>2162.5</v>
      </c>
      <c r="AF557" s="13">
        <f t="shared" si="25"/>
        <v>45412.5</v>
      </c>
      <c r="AG557" s="4" t="str">
        <f t="shared" si="26"/>
        <v>High</v>
      </c>
    </row>
    <row r="558" spans="1:33">
      <c r="A558" t="s">
        <v>1149</v>
      </c>
      <c r="B558" t="s">
        <v>1047</v>
      </c>
      <c r="C558" s="11">
        <v>46131</v>
      </c>
      <c r="D558" t="s">
        <v>250</v>
      </c>
      <c r="E558" t="s">
        <v>70</v>
      </c>
      <c r="F558" s="4">
        <v>46131</v>
      </c>
      <c r="G558" s="4">
        <v>46137</v>
      </c>
      <c r="H558" t="s">
        <v>57</v>
      </c>
      <c r="I558" t="s">
        <v>184</v>
      </c>
      <c r="J558" t="s">
        <v>170</v>
      </c>
      <c r="K558" t="s">
        <v>124</v>
      </c>
      <c r="L558" t="s">
        <v>94</v>
      </c>
      <c r="M558" s="5">
        <v>71900</v>
      </c>
      <c r="N558" s="5">
        <v>7450</v>
      </c>
      <c r="O558" s="5">
        <v>8650</v>
      </c>
      <c r="P558" s="5">
        <v>18000</v>
      </c>
      <c r="Q558" s="13">
        <v>107200</v>
      </c>
      <c r="R558" t="s">
        <v>106</v>
      </c>
      <c r="S558" t="s">
        <v>76</v>
      </c>
      <c r="T558" s="5">
        <v>38220</v>
      </c>
      <c r="U558" s="6">
        <v>2</v>
      </c>
      <c r="V558" t="s">
        <v>77</v>
      </c>
      <c r="W558" s="4">
        <v>46147</v>
      </c>
      <c r="X558" t="s">
        <v>64</v>
      </c>
      <c r="Y558" t="s">
        <v>77</v>
      </c>
      <c r="Z558" t="s">
        <v>96</v>
      </c>
      <c r="AA558" t="str">
        <f>VLOOKUP(H558,Departments!$A:$B,2,0)</f>
        <v>Pulmonology</v>
      </c>
      <c r="AB558" t="str">
        <f>VLOOKUP(J558,Diagnosis_Guide!$A:$B,2,0)</f>
        <v>COPD Exacerbation</v>
      </c>
      <c r="AC558" s="4" t="str">
        <f>VLOOKUP(J558,Diagnosis_Guide!$A:$C,3,0)</f>
        <v>Respiratory</v>
      </c>
      <c r="AD558" s="4" t="str">
        <f>VLOOKUP(R558,Insurance_Plans!$A:$C,3,0)</f>
        <v>Private</v>
      </c>
      <c r="AE558" s="13">
        <f t="shared" si="24"/>
        <v>5360</v>
      </c>
      <c r="AF558" s="13">
        <f t="shared" si="25"/>
        <v>112560</v>
      </c>
      <c r="AG558" s="4" t="str">
        <f t="shared" si="26"/>
        <v>Low</v>
      </c>
    </row>
    <row r="559" spans="1:33">
      <c r="A559" t="s">
        <v>1150</v>
      </c>
      <c r="B559" t="s">
        <v>996</v>
      </c>
      <c r="C559" s="11">
        <v>46025</v>
      </c>
      <c r="D559" t="s">
        <v>266</v>
      </c>
      <c r="E559" t="s">
        <v>70</v>
      </c>
      <c r="F559" s="4">
        <v>46025</v>
      </c>
      <c r="G559" s="4">
        <v>46027</v>
      </c>
      <c r="H559" t="s">
        <v>57</v>
      </c>
      <c r="I559" t="s">
        <v>184</v>
      </c>
      <c r="J559" t="s">
        <v>72</v>
      </c>
      <c r="K559" t="s">
        <v>73</v>
      </c>
      <c r="L559" t="s">
        <v>94</v>
      </c>
      <c r="M559" s="5">
        <v>6600</v>
      </c>
      <c r="N559" s="5">
        <v>1000</v>
      </c>
      <c r="O559" s="5">
        <v>850</v>
      </c>
      <c r="P559" s="5">
        <v>7000</v>
      </c>
      <c r="Q559" s="13">
        <v>16650</v>
      </c>
      <c r="R559" t="s">
        <v>75</v>
      </c>
      <c r="S559" t="s">
        <v>76</v>
      </c>
      <c r="T559" s="5">
        <v>7790</v>
      </c>
      <c r="U559" s="6">
        <v>5</v>
      </c>
      <c r="V559" t="s">
        <v>64</v>
      </c>
      <c r="W559" s="4"/>
      <c r="X559" t="s">
        <v>65</v>
      </c>
      <c r="Y559" t="s">
        <v>64</v>
      </c>
      <c r="Z559" t="s">
        <v>96</v>
      </c>
      <c r="AA559" t="str">
        <f>VLOOKUP(H559,Departments!$A:$B,2,0)</f>
        <v>Pulmonology</v>
      </c>
      <c r="AB559" t="str">
        <f>VLOOKUP(J559,Diagnosis_Guide!$A:$B,2,0)</f>
        <v>Acute Bronchitis</v>
      </c>
      <c r="AC559" s="4" t="str">
        <f>VLOOKUP(J559,Diagnosis_Guide!$A:$C,3,0)</f>
        <v>Respiratory</v>
      </c>
      <c r="AD559" s="4" t="str">
        <f>VLOOKUP(R559,Insurance_Plans!$A:$C,3,0)</f>
        <v>Public</v>
      </c>
      <c r="AE559" s="13">
        <f t="shared" si="24"/>
        <v>832.5</v>
      </c>
      <c r="AF559" s="13">
        <f t="shared" si="25"/>
        <v>17482.5</v>
      </c>
      <c r="AG559" s="4" t="str">
        <f t="shared" si="26"/>
        <v>High</v>
      </c>
    </row>
    <row r="560" spans="1:33">
      <c r="A560" t="s">
        <v>1151</v>
      </c>
      <c r="B560" t="s">
        <v>199</v>
      </c>
      <c r="C560" s="11">
        <v>46098</v>
      </c>
      <c r="D560" t="s">
        <v>132</v>
      </c>
      <c r="E560" t="s">
        <v>177</v>
      </c>
      <c r="F560" s="4"/>
      <c r="G560" s="4"/>
      <c r="H560" t="s">
        <v>90</v>
      </c>
      <c r="I560" t="s">
        <v>133</v>
      </c>
      <c r="J560" t="s">
        <v>129</v>
      </c>
      <c r="K560" t="s">
        <v>124</v>
      </c>
      <c r="L560" t="s">
        <v>94</v>
      </c>
      <c r="M560" s="5"/>
      <c r="N560" s="5"/>
      <c r="O560" s="5"/>
      <c r="P560" s="5"/>
      <c r="R560" t="s">
        <v>134</v>
      </c>
      <c r="S560" t="s">
        <v>63</v>
      </c>
      <c r="T560" s="5"/>
      <c r="U560" s="6"/>
      <c r="V560" t="s">
        <v>64</v>
      </c>
      <c r="W560" s="4"/>
      <c r="X560" t="s">
        <v>65</v>
      </c>
      <c r="Z560" t="s">
        <v>66</v>
      </c>
      <c r="AA560" t="str">
        <f>VLOOKUP(H560,Departments!$A:$B,2,0)</f>
        <v>Cardiology</v>
      </c>
      <c r="AB560" t="str">
        <f>VLOOKUP(J560,Diagnosis_Guide!$A:$B,2,0)</f>
        <v>Hypertension Crisis</v>
      </c>
      <c r="AC560" s="4" t="str">
        <f>VLOOKUP(J560,Diagnosis_Guide!$A:$C,3,0)</f>
        <v>Cardiovascular</v>
      </c>
      <c r="AD560" s="4" t="str">
        <f>VLOOKUP(R560,Insurance_Plans!$A:$C,3,0)</f>
        <v>Community</v>
      </c>
      <c r="AE560" s="13" t="str">
        <f t="shared" si="24"/>
        <v/>
      </c>
      <c r="AF560" s="13" t="str">
        <f t="shared" si="25"/>
        <v/>
      </c>
      <c r="AG560" s="4" t="str">
        <f t="shared" si="26"/>
        <v>Not Available</v>
      </c>
    </row>
    <row r="561" spans="1:33">
      <c r="A561" t="s">
        <v>1152</v>
      </c>
      <c r="B561" t="s">
        <v>98</v>
      </c>
      <c r="C561" s="11">
        <v>46064</v>
      </c>
      <c r="D561" t="s">
        <v>298</v>
      </c>
      <c r="E561" t="s">
        <v>70</v>
      </c>
      <c r="F561" s="4">
        <v>46065</v>
      </c>
      <c r="G561" s="4">
        <v>46069</v>
      </c>
      <c r="H561" t="s">
        <v>90</v>
      </c>
      <c r="I561" t="s">
        <v>299</v>
      </c>
      <c r="J561" t="s">
        <v>129</v>
      </c>
      <c r="K561" t="s">
        <v>124</v>
      </c>
      <c r="L561" t="s">
        <v>61</v>
      </c>
      <c r="M561" s="5">
        <v>45200</v>
      </c>
      <c r="N561" s="5">
        <v>7100</v>
      </c>
      <c r="O561" s="5">
        <v>5200</v>
      </c>
      <c r="P561" s="5">
        <v>18000</v>
      </c>
      <c r="Q561" s="13">
        <v>77000</v>
      </c>
      <c r="R561" t="s">
        <v>85</v>
      </c>
      <c r="S561" t="s">
        <v>76</v>
      </c>
      <c r="T561" s="5">
        <v>20150</v>
      </c>
      <c r="U561" s="6">
        <v>5</v>
      </c>
      <c r="V561" t="s">
        <v>77</v>
      </c>
      <c r="W561" s="4">
        <v>46080</v>
      </c>
      <c r="X561" t="s">
        <v>77</v>
      </c>
      <c r="Y561" t="s">
        <v>64</v>
      </c>
      <c r="Z561" t="s">
        <v>96</v>
      </c>
      <c r="AA561" t="str">
        <f>VLOOKUP(H561,Departments!$A:$B,2,0)</f>
        <v>Cardiology</v>
      </c>
      <c r="AB561" t="str">
        <f>VLOOKUP(J561,Diagnosis_Guide!$A:$B,2,0)</f>
        <v>Hypertension Crisis</v>
      </c>
      <c r="AC561" s="4" t="str">
        <f>VLOOKUP(J561,Diagnosis_Guide!$A:$C,3,0)</f>
        <v>Cardiovascular</v>
      </c>
      <c r="AD561" s="4" t="str">
        <f>VLOOKUP(R561,Insurance_Plans!$A:$C,3,0)</f>
        <v>Employer</v>
      </c>
      <c r="AE561" s="13">
        <f t="shared" si="24"/>
        <v>3850</v>
      </c>
      <c r="AF561" s="13">
        <f t="shared" si="25"/>
        <v>80850</v>
      </c>
      <c r="AG561" s="4" t="str">
        <f t="shared" si="26"/>
        <v>High</v>
      </c>
    </row>
    <row r="562" spans="1:33">
      <c r="A562" t="s">
        <v>1153</v>
      </c>
      <c r="B562" t="s">
        <v>1072</v>
      </c>
      <c r="C562" s="11">
        <v>46062</v>
      </c>
      <c r="D562" t="s">
        <v>307</v>
      </c>
      <c r="E562" t="s">
        <v>70</v>
      </c>
      <c r="F562" s="4">
        <v>46062</v>
      </c>
      <c r="G562" s="4">
        <v>46067</v>
      </c>
      <c r="H562" t="s">
        <v>138</v>
      </c>
      <c r="I562" t="s">
        <v>235</v>
      </c>
      <c r="J562" t="s">
        <v>236</v>
      </c>
      <c r="K562" t="s">
        <v>124</v>
      </c>
      <c r="L562" t="s">
        <v>61</v>
      </c>
      <c r="M562" s="5">
        <v>38700</v>
      </c>
      <c r="N562" s="5">
        <v>5350</v>
      </c>
      <c r="O562" s="5">
        <v>7850</v>
      </c>
      <c r="P562" s="5">
        <v>22500</v>
      </c>
      <c r="Q562" s="13">
        <v>75400</v>
      </c>
      <c r="R562" t="s">
        <v>106</v>
      </c>
      <c r="S562" t="s">
        <v>76</v>
      </c>
      <c r="T562" s="5">
        <v>27090</v>
      </c>
      <c r="U562" s="6">
        <v>4</v>
      </c>
      <c r="V562" t="s">
        <v>77</v>
      </c>
      <c r="W562" s="4">
        <v>46088</v>
      </c>
      <c r="X562" t="s">
        <v>77</v>
      </c>
      <c r="Y562" t="s">
        <v>64</v>
      </c>
      <c r="Z562" t="s">
        <v>78</v>
      </c>
      <c r="AA562" t="str">
        <f>VLOOKUP(H562,Departments!$A:$B,2,0)</f>
        <v>Pediatrics</v>
      </c>
      <c r="AB562" t="str">
        <f>VLOOKUP(J562,Diagnosis_Guide!$A:$B,2,0)</f>
        <v>Neonatal Observation</v>
      </c>
      <c r="AC562" s="4" t="str">
        <f>VLOOKUP(J562,Diagnosis_Guide!$A:$C,3,0)</f>
        <v>Pediatric</v>
      </c>
      <c r="AD562" s="4" t="str">
        <f>VLOOKUP(R562,Insurance_Plans!$A:$C,3,0)</f>
        <v>Private</v>
      </c>
      <c r="AE562" s="13">
        <f t="shared" si="24"/>
        <v>3770</v>
      </c>
      <c r="AF562" s="13">
        <f t="shared" si="25"/>
        <v>79170</v>
      </c>
      <c r="AG562" s="4" t="str">
        <f t="shared" si="26"/>
        <v>High</v>
      </c>
    </row>
    <row r="563" spans="1:33">
      <c r="A563" t="s">
        <v>1154</v>
      </c>
      <c r="B563" t="s">
        <v>750</v>
      </c>
      <c r="C563" s="11">
        <v>46045</v>
      </c>
      <c r="D563" t="s">
        <v>225</v>
      </c>
      <c r="E563" t="s">
        <v>70</v>
      </c>
      <c r="F563" s="4">
        <v>46045</v>
      </c>
      <c r="G563" s="4">
        <v>46050</v>
      </c>
      <c r="H563" t="s">
        <v>90</v>
      </c>
      <c r="I563" t="s">
        <v>388</v>
      </c>
      <c r="J563" t="s">
        <v>129</v>
      </c>
      <c r="K563" t="s">
        <v>93</v>
      </c>
      <c r="L563" t="s">
        <v>61</v>
      </c>
      <c r="M563" s="5">
        <v>51900</v>
      </c>
      <c r="N563" s="5">
        <v>4400</v>
      </c>
      <c r="O563" s="5">
        <v>12300</v>
      </c>
      <c r="P563" s="5">
        <v>12500</v>
      </c>
      <c r="Q563" s="13">
        <v>82600</v>
      </c>
      <c r="R563" t="s">
        <v>141</v>
      </c>
      <c r="S563" t="s">
        <v>76</v>
      </c>
      <c r="T563" s="5">
        <v>13590</v>
      </c>
      <c r="U563" s="6">
        <v>4</v>
      </c>
      <c r="V563" t="s">
        <v>77</v>
      </c>
      <c r="W563" s="4">
        <v>46057</v>
      </c>
      <c r="X563" t="s">
        <v>64</v>
      </c>
      <c r="Y563" t="s">
        <v>64</v>
      </c>
      <c r="Z563" t="s">
        <v>96</v>
      </c>
      <c r="AA563" t="str">
        <f>VLOOKUP(H563,Departments!$A:$B,2,0)</f>
        <v>Cardiology</v>
      </c>
      <c r="AB563" t="str">
        <f>VLOOKUP(J563,Diagnosis_Guide!$A:$B,2,0)</f>
        <v>Hypertension Crisis</v>
      </c>
      <c r="AC563" s="4" t="str">
        <f>VLOOKUP(J563,Diagnosis_Guide!$A:$C,3,0)</f>
        <v>Cardiovascular</v>
      </c>
      <c r="AD563" s="4" t="str">
        <f>VLOOKUP(R563,Insurance_Plans!$A:$C,3,0)</f>
        <v>Private</v>
      </c>
      <c r="AE563" s="13">
        <f t="shared" si="24"/>
        <v>4130</v>
      </c>
      <c r="AF563" s="13">
        <f t="shared" si="25"/>
        <v>86730</v>
      </c>
      <c r="AG563" s="4" t="str">
        <f t="shared" si="26"/>
        <v>High</v>
      </c>
    </row>
    <row r="564" spans="1:33">
      <c r="A564" t="s">
        <v>1155</v>
      </c>
      <c r="B564" t="s">
        <v>1156</v>
      </c>
      <c r="C564" s="11">
        <v>46051</v>
      </c>
      <c r="D564" t="s">
        <v>132</v>
      </c>
      <c r="E564" t="s">
        <v>70</v>
      </c>
      <c r="F564" s="4">
        <v>46052</v>
      </c>
      <c r="G564" s="4">
        <v>46052</v>
      </c>
      <c r="H564" t="s">
        <v>103</v>
      </c>
      <c r="I564" t="s">
        <v>412</v>
      </c>
      <c r="J564" t="s">
        <v>244</v>
      </c>
      <c r="K564" t="s">
        <v>60</v>
      </c>
      <c r="L564" t="s">
        <v>74</v>
      </c>
      <c r="M564" s="5">
        <v>61600</v>
      </c>
      <c r="N564" s="5">
        <v>6050</v>
      </c>
      <c r="O564" s="5">
        <v>6350</v>
      </c>
      <c r="P564" s="5">
        <v>0</v>
      </c>
      <c r="Q564" s="13">
        <v>75200</v>
      </c>
      <c r="R564" t="s">
        <v>95</v>
      </c>
      <c r="S564" t="s">
        <v>63</v>
      </c>
      <c r="T564" s="5">
        <v>75200</v>
      </c>
      <c r="U564" s="6">
        <v>5</v>
      </c>
      <c r="V564" t="s">
        <v>77</v>
      </c>
      <c r="W564" s="4">
        <v>46060</v>
      </c>
      <c r="X564" t="s">
        <v>77</v>
      </c>
      <c r="Y564" t="s">
        <v>64</v>
      </c>
      <c r="Z564" t="s">
        <v>96</v>
      </c>
      <c r="AA564" t="str">
        <f>VLOOKUP(H564,Departments!$A:$B,2,0)</f>
        <v>Nephrology</v>
      </c>
      <c r="AB564" t="str">
        <f>VLOOKUP(J564,Diagnosis_Guide!$A:$B,2,0)</f>
        <v>Chronic Kidney Disease</v>
      </c>
      <c r="AC564" s="4" t="str">
        <f>VLOOKUP(J564,Diagnosis_Guide!$A:$C,3,0)</f>
        <v>Renal</v>
      </c>
      <c r="AD564" s="4" t="str">
        <f>VLOOKUP(R564,Insurance_Plans!$A:$C,3,0)</f>
        <v>Self-Pay</v>
      </c>
      <c r="AE564" s="13">
        <f t="shared" si="24"/>
        <v>3760</v>
      </c>
      <c r="AF564" s="13">
        <f t="shared" si="25"/>
        <v>78960</v>
      </c>
      <c r="AG564" s="4" t="str">
        <f t="shared" si="26"/>
        <v>High</v>
      </c>
    </row>
    <row r="565" spans="1:33">
      <c r="A565" t="s">
        <v>1157</v>
      </c>
      <c r="B565" t="s">
        <v>1158</v>
      </c>
      <c r="C565" s="11">
        <v>46161</v>
      </c>
      <c r="D565" t="s">
        <v>127</v>
      </c>
      <c r="E565" t="s">
        <v>177</v>
      </c>
      <c r="F565" s="4"/>
      <c r="G565" s="4"/>
      <c r="H565" t="s">
        <v>57</v>
      </c>
      <c r="I565" t="s">
        <v>100</v>
      </c>
      <c r="J565" t="s">
        <v>59</v>
      </c>
      <c r="K565" t="s">
        <v>60</v>
      </c>
      <c r="L565" t="s">
        <v>74</v>
      </c>
      <c r="M565" s="5"/>
      <c r="N565" s="5"/>
      <c r="O565" s="5"/>
      <c r="P565" s="5"/>
      <c r="R565" t="s">
        <v>134</v>
      </c>
      <c r="S565" t="s">
        <v>63</v>
      </c>
      <c r="T565" s="5"/>
      <c r="U565" s="6"/>
      <c r="V565" t="s">
        <v>64</v>
      </c>
      <c r="W565" s="4"/>
      <c r="X565" t="s">
        <v>65</v>
      </c>
      <c r="Z565" t="s">
        <v>66</v>
      </c>
      <c r="AA565" t="str">
        <f>VLOOKUP(H565,Departments!$A:$B,2,0)</f>
        <v>Pulmonology</v>
      </c>
      <c r="AB565" t="str">
        <f>VLOOKUP(J565,Diagnosis_Guide!$A:$B,2,0)</f>
        <v>Pneumonia</v>
      </c>
      <c r="AC565" s="4" t="str">
        <f>VLOOKUP(J565,Diagnosis_Guide!$A:$C,3,0)</f>
        <v>Respiratory</v>
      </c>
      <c r="AD565" s="4" t="str">
        <f>VLOOKUP(R565,Insurance_Plans!$A:$C,3,0)</f>
        <v>Community</v>
      </c>
      <c r="AE565" s="13" t="str">
        <f t="shared" si="24"/>
        <v/>
      </c>
      <c r="AF565" s="13" t="str">
        <f t="shared" si="25"/>
        <v/>
      </c>
      <c r="AG565" s="4" t="str">
        <f t="shared" si="26"/>
        <v>Not Available</v>
      </c>
    </row>
    <row r="566" spans="1:33">
      <c r="A566" t="s">
        <v>1159</v>
      </c>
      <c r="B566" t="s">
        <v>1160</v>
      </c>
      <c r="C566" s="11">
        <v>46150</v>
      </c>
      <c r="D566" t="s">
        <v>337</v>
      </c>
      <c r="E566" t="s">
        <v>70</v>
      </c>
      <c r="F566" s="4">
        <v>46150</v>
      </c>
      <c r="G566" s="4">
        <v>46153</v>
      </c>
      <c r="H566" t="s">
        <v>111</v>
      </c>
      <c r="I566" t="s">
        <v>397</v>
      </c>
      <c r="J566" t="s">
        <v>117</v>
      </c>
      <c r="K566" t="s">
        <v>73</v>
      </c>
      <c r="L566" t="s">
        <v>94</v>
      </c>
      <c r="M566" s="5">
        <v>5600</v>
      </c>
      <c r="N566" s="5">
        <v>750</v>
      </c>
      <c r="O566" s="5">
        <v>850</v>
      </c>
      <c r="P566" s="5">
        <v>18000</v>
      </c>
      <c r="Q566" s="13">
        <v>27200</v>
      </c>
      <c r="R566" t="s">
        <v>95</v>
      </c>
      <c r="S566" t="s">
        <v>63</v>
      </c>
      <c r="T566" s="5">
        <v>27200</v>
      </c>
      <c r="U566" s="6">
        <v>5</v>
      </c>
      <c r="V566" t="s">
        <v>77</v>
      </c>
      <c r="W566" s="4">
        <v>46172</v>
      </c>
      <c r="X566" t="s">
        <v>77</v>
      </c>
      <c r="Y566" t="s">
        <v>64</v>
      </c>
      <c r="Z566" t="s">
        <v>96</v>
      </c>
      <c r="AA566" t="str">
        <f>VLOOKUP(H566,Departments!$A:$B,2,0)</f>
        <v>General Medicine</v>
      </c>
      <c r="AB566" t="str">
        <f>VLOOKUP(J566,Diagnosis_Guide!$A:$B,2,0)</f>
        <v>Fever Investigation</v>
      </c>
      <c r="AC566" s="4" t="str">
        <f>VLOOKUP(J566,Diagnosis_Guide!$A:$C,3,0)</f>
        <v>Infectious/General</v>
      </c>
      <c r="AD566" s="4" t="str">
        <f>VLOOKUP(R566,Insurance_Plans!$A:$C,3,0)</f>
        <v>Self-Pay</v>
      </c>
      <c r="AE566" s="13">
        <f t="shared" si="24"/>
        <v>1360</v>
      </c>
      <c r="AF566" s="13">
        <f t="shared" si="25"/>
        <v>28560</v>
      </c>
      <c r="AG566" s="4" t="str">
        <f t="shared" si="26"/>
        <v>High</v>
      </c>
    </row>
    <row r="567" spans="1:33">
      <c r="A567" t="s">
        <v>1161</v>
      </c>
      <c r="B567" t="s">
        <v>1162</v>
      </c>
      <c r="C567" s="11">
        <v>46070</v>
      </c>
      <c r="D567" t="s">
        <v>266</v>
      </c>
      <c r="E567" t="s">
        <v>70</v>
      </c>
      <c r="F567" s="4">
        <v>46070</v>
      </c>
      <c r="G567" s="4">
        <v>46076</v>
      </c>
      <c r="H567" t="s">
        <v>82</v>
      </c>
      <c r="I567" t="s">
        <v>331</v>
      </c>
      <c r="J567" t="s">
        <v>156</v>
      </c>
      <c r="K567" t="s">
        <v>124</v>
      </c>
      <c r="L567" t="s">
        <v>61</v>
      </c>
      <c r="M567" s="5">
        <v>75100</v>
      </c>
      <c r="N567" s="5">
        <v>6600</v>
      </c>
      <c r="O567" s="5">
        <v>12000</v>
      </c>
      <c r="P567" s="5">
        <v>36000</v>
      </c>
      <c r="Q567" s="13">
        <v>131200</v>
      </c>
      <c r="R567" t="s">
        <v>75</v>
      </c>
      <c r="S567" t="s">
        <v>86</v>
      </c>
      <c r="T567" s="5">
        <v>59340</v>
      </c>
      <c r="U567" s="6">
        <v>4</v>
      </c>
      <c r="V567" t="s">
        <v>77</v>
      </c>
      <c r="W567" s="4">
        <v>46093</v>
      </c>
      <c r="X567" t="s">
        <v>77</v>
      </c>
      <c r="Y567" t="s">
        <v>64</v>
      </c>
      <c r="Z567" t="s">
        <v>96</v>
      </c>
      <c r="AA567" t="str">
        <f>VLOOKUP(H567,Departments!$A:$B,2,0)</f>
        <v>Orthopedics</v>
      </c>
      <c r="AB567" t="str">
        <f>VLOOKUP(J567,Diagnosis_Guide!$A:$B,2,0)</f>
        <v>Spinal Injury</v>
      </c>
      <c r="AC567" s="4" t="str">
        <f>VLOOKUP(J567,Diagnosis_Guide!$A:$C,3,0)</f>
        <v>Musculoskeletal</v>
      </c>
      <c r="AD567" s="4" t="str">
        <f>VLOOKUP(R567,Insurance_Plans!$A:$C,3,0)</f>
        <v>Public</v>
      </c>
      <c r="AE567" s="13">
        <f t="shared" si="24"/>
        <v>6560</v>
      </c>
      <c r="AF567" s="13">
        <f t="shared" si="25"/>
        <v>137760</v>
      </c>
      <c r="AG567" s="4" t="str">
        <f t="shared" si="26"/>
        <v>High</v>
      </c>
    </row>
    <row r="568" spans="1:33">
      <c r="A568" t="s">
        <v>1163</v>
      </c>
      <c r="B568" t="s">
        <v>1164</v>
      </c>
      <c r="C568" s="11">
        <v>46104</v>
      </c>
      <c r="D568" t="s">
        <v>89</v>
      </c>
      <c r="E568" t="s">
        <v>70</v>
      </c>
      <c r="F568" s="4">
        <v>46104</v>
      </c>
      <c r="G568" s="4">
        <v>46104</v>
      </c>
      <c r="H568" t="s">
        <v>111</v>
      </c>
      <c r="I568" t="s">
        <v>112</v>
      </c>
      <c r="J568" t="s">
        <v>117</v>
      </c>
      <c r="K568" t="s">
        <v>60</v>
      </c>
      <c r="L568" t="s">
        <v>94</v>
      </c>
      <c r="M568" s="5">
        <v>5300</v>
      </c>
      <c r="N568" s="5">
        <v>850</v>
      </c>
      <c r="O568" s="5">
        <v>650</v>
      </c>
      <c r="P568" s="5">
        <v>0</v>
      </c>
      <c r="Q568" s="13">
        <v>7600</v>
      </c>
      <c r="R568" t="s">
        <v>141</v>
      </c>
      <c r="S568" t="s">
        <v>76</v>
      </c>
      <c r="T568" s="5">
        <v>2340</v>
      </c>
      <c r="U568" s="6">
        <v>4</v>
      </c>
      <c r="V568" t="s">
        <v>64</v>
      </c>
      <c r="W568" s="4"/>
      <c r="X568" t="s">
        <v>65</v>
      </c>
      <c r="Y568" t="s">
        <v>64</v>
      </c>
      <c r="Z568" t="s">
        <v>78</v>
      </c>
      <c r="AA568" t="str">
        <f>VLOOKUP(H568,Departments!$A:$B,2,0)</f>
        <v>General Medicine</v>
      </c>
      <c r="AB568" t="str">
        <f>VLOOKUP(J568,Diagnosis_Guide!$A:$B,2,0)</f>
        <v>Fever Investigation</v>
      </c>
      <c r="AC568" s="4" t="str">
        <f>VLOOKUP(J568,Diagnosis_Guide!$A:$C,3,0)</f>
        <v>Infectious/General</v>
      </c>
      <c r="AD568" s="4" t="str">
        <f>VLOOKUP(R568,Insurance_Plans!$A:$C,3,0)</f>
        <v>Private</v>
      </c>
      <c r="AE568" s="13">
        <f t="shared" si="24"/>
        <v>380</v>
      </c>
      <c r="AF568" s="13">
        <f t="shared" si="25"/>
        <v>7980</v>
      </c>
      <c r="AG568" s="4" t="str">
        <f t="shared" si="26"/>
        <v>High</v>
      </c>
    </row>
    <row r="569" spans="1:33">
      <c r="A569" t="s">
        <v>1165</v>
      </c>
      <c r="B569" t="s">
        <v>994</v>
      </c>
      <c r="C569" s="11">
        <v>46034</v>
      </c>
      <c r="D569" t="s">
        <v>161</v>
      </c>
      <c r="E569" t="s">
        <v>70</v>
      </c>
      <c r="F569" s="4">
        <v>46034</v>
      </c>
      <c r="G569" s="4">
        <v>46034</v>
      </c>
      <c r="H569" t="s">
        <v>57</v>
      </c>
      <c r="I569" t="s">
        <v>100</v>
      </c>
      <c r="J569" t="s">
        <v>72</v>
      </c>
      <c r="K569" t="s">
        <v>60</v>
      </c>
      <c r="L569" t="s">
        <v>94</v>
      </c>
      <c r="M569" s="5">
        <v>7100</v>
      </c>
      <c r="N569" s="5">
        <v>1250</v>
      </c>
      <c r="O569" s="5">
        <v>900</v>
      </c>
      <c r="P569" s="5">
        <v>0</v>
      </c>
      <c r="Q569" s="13">
        <v>11250</v>
      </c>
      <c r="R569" t="s">
        <v>75</v>
      </c>
      <c r="S569" t="s">
        <v>76</v>
      </c>
      <c r="T569" s="5">
        <v>5360</v>
      </c>
      <c r="U569" s="6">
        <v>4</v>
      </c>
      <c r="V569" t="s">
        <v>64</v>
      </c>
      <c r="W569" s="4"/>
      <c r="X569" t="s">
        <v>65</v>
      </c>
      <c r="Y569" t="s">
        <v>64</v>
      </c>
      <c r="Z569" t="s">
        <v>78</v>
      </c>
      <c r="AA569" t="str">
        <f>VLOOKUP(H569,Departments!$A:$B,2,0)</f>
        <v>Pulmonology</v>
      </c>
      <c r="AB569" t="str">
        <f>VLOOKUP(J569,Diagnosis_Guide!$A:$B,2,0)</f>
        <v>Acute Bronchitis</v>
      </c>
      <c r="AC569" s="4" t="str">
        <f>VLOOKUP(J569,Diagnosis_Guide!$A:$C,3,0)</f>
        <v>Respiratory</v>
      </c>
      <c r="AD569" s="4" t="str">
        <f>VLOOKUP(R569,Insurance_Plans!$A:$C,3,0)</f>
        <v>Public</v>
      </c>
      <c r="AE569" s="13">
        <f t="shared" si="24"/>
        <v>562.5</v>
      </c>
      <c r="AF569" s="13">
        <f t="shared" si="25"/>
        <v>11812.5</v>
      </c>
      <c r="AG569" s="4" t="str">
        <f t="shared" si="26"/>
        <v>High</v>
      </c>
    </row>
    <row r="570" spans="1:33">
      <c r="A570" t="s">
        <v>1166</v>
      </c>
      <c r="B570" t="s">
        <v>980</v>
      </c>
      <c r="C570" s="11">
        <v>46049</v>
      </c>
      <c r="D570" t="s">
        <v>173</v>
      </c>
      <c r="E570" t="s">
        <v>70</v>
      </c>
      <c r="F570" s="4">
        <v>46049</v>
      </c>
      <c r="G570" s="4">
        <v>46052</v>
      </c>
      <c r="H570" t="s">
        <v>178</v>
      </c>
      <c r="I570" t="s">
        <v>339</v>
      </c>
      <c r="J570" t="s">
        <v>358</v>
      </c>
      <c r="K570" t="s">
        <v>93</v>
      </c>
      <c r="L570" t="s">
        <v>74</v>
      </c>
      <c r="M570" s="5">
        <v>52200</v>
      </c>
      <c r="N570" s="5">
        <v>4400</v>
      </c>
      <c r="O570" s="5">
        <v>8250</v>
      </c>
      <c r="P570" s="5">
        <v>18000</v>
      </c>
      <c r="Q570" s="13">
        <v>83650</v>
      </c>
      <c r="R570" t="s">
        <v>62</v>
      </c>
      <c r="S570" t="s">
        <v>86</v>
      </c>
      <c r="T570" s="5">
        <v>25500</v>
      </c>
      <c r="U570" s="6">
        <v>5</v>
      </c>
      <c r="V570" t="s">
        <v>64</v>
      </c>
      <c r="W570" s="4"/>
      <c r="X570" t="s">
        <v>65</v>
      </c>
      <c r="Y570" t="s">
        <v>64</v>
      </c>
      <c r="Z570" t="s">
        <v>96</v>
      </c>
      <c r="AA570" t="str">
        <f>VLOOKUP(H570,Departments!$A:$B,2,0)</f>
        <v>Surgery</v>
      </c>
      <c r="AB570" t="str">
        <f>VLOOKUP(J570,Diagnosis_Guide!$A:$B,2,0)</f>
        <v>Gallbladder Surgery</v>
      </c>
      <c r="AC570" s="4" t="str">
        <f>VLOOKUP(J570,Diagnosis_Guide!$A:$C,3,0)</f>
        <v>Surgical</v>
      </c>
      <c r="AD570" s="4" t="str">
        <f>VLOOKUP(R570,Insurance_Plans!$A:$C,3,0)</f>
        <v>Public</v>
      </c>
      <c r="AE570" s="13">
        <f t="shared" si="24"/>
        <v>4182.5</v>
      </c>
      <c r="AF570" s="13">
        <f t="shared" si="25"/>
        <v>87832.5</v>
      </c>
      <c r="AG570" s="4" t="str">
        <f t="shared" si="26"/>
        <v>High</v>
      </c>
    </row>
    <row r="571" spans="1:33">
      <c r="A571" t="s">
        <v>1167</v>
      </c>
      <c r="B571" t="s">
        <v>980</v>
      </c>
      <c r="C571" s="11">
        <v>46102</v>
      </c>
      <c r="D571" t="s">
        <v>137</v>
      </c>
      <c r="E571" t="s">
        <v>70</v>
      </c>
      <c r="F571" s="4">
        <v>46102</v>
      </c>
      <c r="G571" s="4">
        <v>46103</v>
      </c>
      <c r="H571" t="s">
        <v>178</v>
      </c>
      <c r="I571" t="s">
        <v>622</v>
      </c>
      <c r="J571" t="s">
        <v>180</v>
      </c>
      <c r="K571" t="s">
        <v>73</v>
      </c>
      <c r="L571" t="s">
        <v>61</v>
      </c>
      <c r="M571" s="5">
        <v>63700</v>
      </c>
      <c r="N571" s="5">
        <v>6000</v>
      </c>
      <c r="O571" s="5">
        <v>7100</v>
      </c>
      <c r="P571" s="5">
        <v>3000</v>
      </c>
      <c r="Q571" s="13">
        <v>81300</v>
      </c>
      <c r="R571" t="s">
        <v>75</v>
      </c>
      <c r="S571" t="s">
        <v>76</v>
      </c>
      <c r="T571" s="5">
        <v>36880</v>
      </c>
      <c r="U571" s="6">
        <v>4</v>
      </c>
      <c r="V571" t="s">
        <v>77</v>
      </c>
      <c r="W571" s="4">
        <v>46112</v>
      </c>
      <c r="X571" t="s">
        <v>77</v>
      </c>
      <c r="Y571" t="s">
        <v>64</v>
      </c>
      <c r="Z571" t="s">
        <v>78</v>
      </c>
      <c r="AA571" t="str">
        <f>VLOOKUP(H571,Departments!$A:$B,2,0)</f>
        <v>Surgery</v>
      </c>
      <c r="AB571" t="str">
        <f>VLOOKUP(J571,Diagnosis_Guide!$A:$B,2,0)</f>
        <v>Appendicitis Surgery</v>
      </c>
      <c r="AC571" s="4" t="str">
        <f>VLOOKUP(J571,Diagnosis_Guide!$A:$C,3,0)</f>
        <v>Surgical</v>
      </c>
      <c r="AD571" s="4" t="str">
        <f>VLOOKUP(R571,Insurance_Plans!$A:$C,3,0)</f>
        <v>Public</v>
      </c>
      <c r="AE571" s="13">
        <f t="shared" si="24"/>
        <v>4065</v>
      </c>
      <c r="AF571" s="13">
        <f t="shared" si="25"/>
        <v>85365</v>
      </c>
      <c r="AG571" s="4" t="str">
        <f t="shared" si="26"/>
        <v>High</v>
      </c>
    </row>
    <row r="572" spans="1:33">
      <c r="A572" t="s">
        <v>1168</v>
      </c>
      <c r="B572" t="s">
        <v>158</v>
      </c>
      <c r="C572" s="11">
        <v>46137</v>
      </c>
      <c r="D572" t="s">
        <v>110</v>
      </c>
      <c r="E572" t="s">
        <v>70</v>
      </c>
      <c r="F572" s="4">
        <v>46137</v>
      </c>
      <c r="G572" s="4">
        <v>46145</v>
      </c>
      <c r="H572" t="s">
        <v>121</v>
      </c>
      <c r="I572" t="s">
        <v>665</v>
      </c>
      <c r="J572" t="s">
        <v>252</v>
      </c>
      <c r="K572" t="s">
        <v>73</v>
      </c>
      <c r="L572" t="s">
        <v>94</v>
      </c>
      <c r="M572" s="5">
        <v>72600</v>
      </c>
      <c r="N572" s="5">
        <v>6200</v>
      </c>
      <c r="O572" s="5">
        <v>16800</v>
      </c>
      <c r="P572" s="5">
        <v>36000</v>
      </c>
      <c r="Q572" s="13">
        <v>132600</v>
      </c>
      <c r="R572" t="s">
        <v>141</v>
      </c>
      <c r="S572" t="s">
        <v>76</v>
      </c>
      <c r="T572" s="5">
        <v>21090</v>
      </c>
      <c r="U572" s="6">
        <v>3</v>
      </c>
      <c r="V572" t="s">
        <v>77</v>
      </c>
      <c r="W572" s="4">
        <v>46163</v>
      </c>
      <c r="X572" t="s">
        <v>77</v>
      </c>
      <c r="Y572" t="s">
        <v>77</v>
      </c>
      <c r="Z572" t="s">
        <v>78</v>
      </c>
      <c r="AA572" t="str">
        <f>VLOOKUP(H572,Departments!$A:$B,2,0)</f>
        <v>Neurology</v>
      </c>
      <c r="AB572" t="str">
        <f>VLOOKUP(J572,Diagnosis_Guide!$A:$B,2,0)</f>
        <v>Stroke Assessment</v>
      </c>
      <c r="AC572" s="4" t="str">
        <f>VLOOKUP(J572,Diagnosis_Guide!$A:$C,3,0)</f>
        <v>Neurological</v>
      </c>
      <c r="AD572" s="4" t="str">
        <f>VLOOKUP(R572,Insurance_Plans!$A:$C,3,0)</f>
        <v>Private</v>
      </c>
      <c r="AE572" s="13">
        <f t="shared" si="24"/>
        <v>6630</v>
      </c>
      <c r="AF572" s="13">
        <f t="shared" si="25"/>
        <v>139230</v>
      </c>
      <c r="AG572" s="4" t="str">
        <f t="shared" si="26"/>
        <v>Medium</v>
      </c>
    </row>
    <row r="573" spans="1:33">
      <c r="A573" t="s">
        <v>1169</v>
      </c>
      <c r="B573" t="s">
        <v>1170</v>
      </c>
      <c r="C573" s="11">
        <v>46106</v>
      </c>
      <c r="D573" t="s">
        <v>259</v>
      </c>
      <c r="E573" t="s">
        <v>70</v>
      </c>
      <c r="F573" s="4">
        <v>46106</v>
      </c>
      <c r="G573" s="4">
        <v>46108</v>
      </c>
      <c r="H573" t="s">
        <v>111</v>
      </c>
      <c r="I573" t="s">
        <v>267</v>
      </c>
      <c r="J573" t="s">
        <v>113</v>
      </c>
      <c r="K573" t="s">
        <v>73</v>
      </c>
      <c r="L573" t="s">
        <v>61</v>
      </c>
      <c r="M573" s="5">
        <v>26900</v>
      </c>
      <c r="N573" s="5">
        <v>3650</v>
      </c>
      <c r="O573" s="5">
        <v>3350</v>
      </c>
      <c r="P573" s="5">
        <v>9000</v>
      </c>
      <c r="Q573" s="13">
        <v>44100</v>
      </c>
      <c r="R573" t="s">
        <v>95</v>
      </c>
      <c r="S573" t="s">
        <v>63</v>
      </c>
      <c r="T573" s="5">
        <v>44100</v>
      </c>
      <c r="U573" s="6">
        <v>5</v>
      </c>
      <c r="V573" t="s">
        <v>64</v>
      </c>
      <c r="W573" s="4"/>
      <c r="X573" t="s">
        <v>65</v>
      </c>
      <c r="Y573" t="s">
        <v>64</v>
      </c>
      <c r="Z573" t="s">
        <v>96</v>
      </c>
      <c r="AA573" t="str">
        <f>VLOOKUP(H573,Departments!$A:$B,2,0)</f>
        <v>General Medicine</v>
      </c>
      <c r="AB573" t="str">
        <f>VLOOKUP(J573,Diagnosis_Guide!$A:$B,2,0)</f>
        <v>Diabetes Complication</v>
      </c>
      <c r="AC573" s="4" t="str">
        <f>VLOOKUP(J573,Diagnosis_Guide!$A:$C,3,0)</f>
        <v>Endocrine/General</v>
      </c>
      <c r="AD573" s="4" t="str">
        <f>VLOOKUP(R573,Insurance_Plans!$A:$C,3,0)</f>
        <v>Self-Pay</v>
      </c>
      <c r="AE573" s="13">
        <f t="shared" si="24"/>
        <v>2205</v>
      </c>
      <c r="AF573" s="13">
        <f t="shared" si="25"/>
        <v>46305</v>
      </c>
      <c r="AG573" s="4" t="str">
        <f t="shared" si="26"/>
        <v>High</v>
      </c>
    </row>
    <row r="574" spans="1:33">
      <c r="A574" t="s">
        <v>1171</v>
      </c>
      <c r="B574" t="s">
        <v>1172</v>
      </c>
      <c r="C574" s="11">
        <v>46081</v>
      </c>
      <c r="D574" t="s">
        <v>298</v>
      </c>
      <c r="E574" t="s">
        <v>56</v>
      </c>
      <c r="F574" s="4"/>
      <c r="G574" s="4"/>
      <c r="H574" t="s">
        <v>57</v>
      </c>
      <c r="I574" t="s">
        <v>71</v>
      </c>
      <c r="J574" t="s">
        <v>170</v>
      </c>
      <c r="K574" t="s">
        <v>124</v>
      </c>
      <c r="L574" t="s">
        <v>94</v>
      </c>
      <c r="M574" s="5"/>
      <c r="N574" s="5"/>
      <c r="O574" s="5"/>
      <c r="P574" s="5"/>
      <c r="R574" t="s">
        <v>106</v>
      </c>
      <c r="S574" t="s">
        <v>63</v>
      </c>
      <c r="T574" s="5"/>
      <c r="U574" s="6"/>
      <c r="V574" t="s">
        <v>64</v>
      </c>
      <c r="W574" s="4"/>
      <c r="X574" t="s">
        <v>65</v>
      </c>
      <c r="Z574" t="s">
        <v>66</v>
      </c>
      <c r="AA574" t="str">
        <f>VLOOKUP(H574,Departments!$A:$B,2,0)</f>
        <v>Pulmonology</v>
      </c>
      <c r="AB574" t="str">
        <f>VLOOKUP(J574,Diagnosis_Guide!$A:$B,2,0)</f>
        <v>COPD Exacerbation</v>
      </c>
      <c r="AC574" s="4" t="str">
        <f>VLOOKUP(J574,Diagnosis_Guide!$A:$C,3,0)</f>
        <v>Respiratory</v>
      </c>
      <c r="AD574" s="4" t="str">
        <f>VLOOKUP(R574,Insurance_Plans!$A:$C,3,0)</f>
        <v>Private</v>
      </c>
      <c r="AE574" s="13" t="str">
        <f t="shared" si="24"/>
        <v/>
      </c>
      <c r="AF574" s="13" t="str">
        <f t="shared" si="25"/>
        <v/>
      </c>
      <c r="AG574" s="4" t="str">
        <f t="shared" si="26"/>
        <v>Not Available</v>
      </c>
    </row>
    <row r="575" spans="1:33">
      <c r="A575" t="s">
        <v>1173</v>
      </c>
      <c r="B575" t="s">
        <v>675</v>
      </c>
      <c r="C575" s="11">
        <v>46044</v>
      </c>
      <c r="D575" t="s">
        <v>337</v>
      </c>
      <c r="E575" t="s">
        <v>70</v>
      </c>
      <c r="F575" s="4">
        <v>46045</v>
      </c>
      <c r="G575" s="4">
        <v>46048</v>
      </c>
      <c r="H575" t="s">
        <v>150</v>
      </c>
      <c r="I575" t="s">
        <v>228</v>
      </c>
      <c r="J575" t="s">
        <v>152</v>
      </c>
      <c r="K575" t="s">
        <v>124</v>
      </c>
      <c r="L575" t="s">
        <v>146</v>
      </c>
      <c r="M575" s="5">
        <v>20800</v>
      </c>
      <c r="N575" s="5">
        <v>2800</v>
      </c>
      <c r="O575" s="5">
        <v>5100</v>
      </c>
      <c r="P575" s="5">
        <v>7500</v>
      </c>
      <c r="Q575" s="13">
        <v>37700</v>
      </c>
      <c r="R575" t="s">
        <v>75</v>
      </c>
      <c r="S575" t="s">
        <v>76</v>
      </c>
      <c r="T575" s="5">
        <v>17260</v>
      </c>
      <c r="U575" s="6">
        <v>4</v>
      </c>
      <c r="V575" t="s">
        <v>77</v>
      </c>
      <c r="W575" s="4">
        <v>46063</v>
      </c>
      <c r="X575" t="s">
        <v>64</v>
      </c>
      <c r="Y575" t="s">
        <v>64</v>
      </c>
      <c r="Z575" t="s">
        <v>96</v>
      </c>
      <c r="AA575" t="str">
        <f>VLOOKUP(H575,Departments!$A:$B,2,0)</f>
        <v>Obstetrics</v>
      </c>
      <c r="AB575" t="str">
        <f>VLOOKUP(J575,Diagnosis_Guide!$A:$B,2,0)</f>
        <v>Antenatal Complication</v>
      </c>
      <c r="AC575" s="4" t="str">
        <f>VLOOKUP(J575,Diagnosis_Guide!$A:$C,3,0)</f>
        <v>Maternal Health</v>
      </c>
      <c r="AD575" s="4" t="str">
        <f>VLOOKUP(R575,Insurance_Plans!$A:$C,3,0)</f>
        <v>Public</v>
      </c>
      <c r="AE575" s="13">
        <f t="shared" si="24"/>
        <v>1885</v>
      </c>
      <c r="AF575" s="13">
        <f t="shared" si="25"/>
        <v>39585</v>
      </c>
      <c r="AG575" s="4" t="str">
        <f t="shared" si="26"/>
        <v>High</v>
      </c>
    </row>
    <row r="576" spans="1:33">
      <c r="A576" t="s">
        <v>1174</v>
      </c>
      <c r="B576" t="s">
        <v>512</v>
      </c>
      <c r="C576" s="11">
        <v>46141</v>
      </c>
      <c r="D576" t="s">
        <v>173</v>
      </c>
      <c r="E576" t="s">
        <v>70</v>
      </c>
      <c r="F576" s="4">
        <v>46141</v>
      </c>
      <c r="G576" s="4">
        <v>46141</v>
      </c>
      <c r="H576" t="s">
        <v>111</v>
      </c>
      <c r="I576" t="s">
        <v>112</v>
      </c>
      <c r="J576" t="s">
        <v>113</v>
      </c>
      <c r="K576" t="s">
        <v>60</v>
      </c>
      <c r="L576" t="s">
        <v>146</v>
      </c>
      <c r="M576" s="5">
        <v>33900</v>
      </c>
      <c r="N576" s="5">
        <v>4400</v>
      </c>
      <c r="O576" s="5">
        <v>3850</v>
      </c>
      <c r="P576" s="5">
        <v>0</v>
      </c>
      <c r="Q576" s="13">
        <v>42950</v>
      </c>
      <c r="R576" t="s">
        <v>75</v>
      </c>
      <c r="S576" t="s">
        <v>76</v>
      </c>
      <c r="T576" s="5">
        <v>19630</v>
      </c>
      <c r="U576" s="6">
        <v>4</v>
      </c>
      <c r="V576" t="s">
        <v>77</v>
      </c>
      <c r="W576" s="4">
        <v>46161</v>
      </c>
      <c r="X576" t="s">
        <v>77</v>
      </c>
      <c r="Y576" t="s">
        <v>77</v>
      </c>
      <c r="Z576" t="s">
        <v>107</v>
      </c>
      <c r="AA576" t="str">
        <f>VLOOKUP(H576,Departments!$A:$B,2,0)</f>
        <v>General Medicine</v>
      </c>
      <c r="AB576" t="str">
        <f>VLOOKUP(J576,Diagnosis_Guide!$A:$B,2,0)</f>
        <v>Diabetes Complication</v>
      </c>
      <c r="AC576" s="4" t="str">
        <f>VLOOKUP(J576,Diagnosis_Guide!$A:$C,3,0)</f>
        <v>Endocrine/General</v>
      </c>
      <c r="AD576" s="4" t="str">
        <f>VLOOKUP(R576,Insurance_Plans!$A:$C,3,0)</f>
        <v>Public</v>
      </c>
      <c r="AE576" s="13">
        <f t="shared" si="24"/>
        <v>2147.5</v>
      </c>
      <c r="AF576" s="13">
        <f t="shared" si="25"/>
        <v>45097.5</v>
      </c>
      <c r="AG576" s="4" t="str">
        <f t="shared" si="26"/>
        <v>High</v>
      </c>
    </row>
    <row r="577" spans="1:33">
      <c r="A577" t="s">
        <v>1175</v>
      </c>
      <c r="B577" t="s">
        <v>455</v>
      </c>
      <c r="C577" s="11">
        <v>46127</v>
      </c>
      <c r="D577" t="s">
        <v>137</v>
      </c>
      <c r="E577" t="s">
        <v>56</v>
      </c>
      <c r="F577" s="4"/>
      <c r="G577" s="4"/>
      <c r="H577" t="s">
        <v>178</v>
      </c>
      <c r="I577" t="s">
        <v>622</v>
      </c>
      <c r="J577" t="s">
        <v>340</v>
      </c>
      <c r="K577" t="s">
        <v>73</v>
      </c>
      <c r="L577" t="s">
        <v>94</v>
      </c>
      <c r="M577" s="5"/>
      <c r="N577" s="5"/>
      <c r="O577" s="5"/>
      <c r="P577" s="5"/>
      <c r="R577" t="s">
        <v>95</v>
      </c>
      <c r="S577" t="s">
        <v>63</v>
      </c>
      <c r="T577" s="5"/>
      <c r="U577" s="6"/>
      <c r="V577" t="s">
        <v>64</v>
      </c>
      <c r="W577" s="4"/>
      <c r="X577" t="s">
        <v>65</v>
      </c>
      <c r="Z577" t="s">
        <v>66</v>
      </c>
      <c r="AA577" t="str">
        <f>VLOOKUP(H577,Departments!$A:$B,2,0)</f>
        <v>Surgery</v>
      </c>
      <c r="AB577" t="str">
        <f>VLOOKUP(J577,Diagnosis_Guide!$A:$B,2,0)</f>
        <v>Post-Operative Infection</v>
      </c>
      <c r="AC577" s="4" t="str">
        <f>VLOOKUP(J577,Diagnosis_Guide!$A:$C,3,0)</f>
        <v>Surgical</v>
      </c>
      <c r="AD577" s="4" t="str">
        <f>VLOOKUP(R577,Insurance_Plans!$A:$C,3,0)</f>
        <v>Self-Pay</v>
      </c>
      <c r="AE577" s="13" t="str">
        <f t="shared" si="24"/>
        <v/>
      </c>
      <c r="AF577" s="13" t="str">
        <f t="shared" si="25"/>
        <v/>
      </c>
      <c r="AG577" s="4" t="str">
        <f t="shared" si="26"/>
        <v>Not Available</v>
      </c>
    </row>
    <row r="578" spans="1:33">
      <c r="A578" t="s">
        <v>1176</v>
      </c>
      <c r="B578" t="s">
        <v>126</v>
      </c>
      <c r="C578" s="11">
        <v>46112</v>
      </c>
      <c r="D578" t="s">
        <v>307</v>
      </c>
      <c r="E578" t="s">
        <v>70</v>
      </c>
      <c r="F578" s="4">
        <v>46113</v>
      </c>
      <c r="G578" s="4">
        <v>46116</v>
      </c>
      <c r="H578" t="s">
        <v>178</v>
      </c>
      <c r="I578" t="s">
        <v>179</v>
      </c>
      <c r="J578" t="s">
        <v>180</v>
      </c>
      <c r="K578" t="s">
        <v>73</v>
      </c>
      <c r="L578" t="s">
        <v>94</v>
      </c>
      <c r="M578" s="5">
        <v>67000</v>
      </c>
      <c r="N578" s="5">
        <v>10500</v>
      </c>
      <c r="O578" s="5">
        <v>12850</v>
      </c>
      <c r="P578" s="5">
        <v>10500</v>
      </c>
      <c r="Q578" s="13">
        <v>101850</v>
      </c>
      <c r="R578" t="s">
        <v>85</v>
      </c>
      <c r="S578" t="s">
        <v>76</v>
      </c>
      <c r="T578" s="5">
        <v>26360</v>
      </c>
      <c r="U578" s="6">
        <v>5</v>
      </c>
      <c r="V578" t="s">
        <v>77</v>
      </c>
      <c r="W578" s="4">
        <v>46126</v>
      </c>
      <c r="X578" t="s">
        <v>77</v>
      </c>
      <c r="Y578" t="s">
        <v>64</v>
      </c>
      <c r="Z578" t="s">
        <v>96</v>
      </c>
      <c r="AA578" t="str">
        <f>VLOOKUP(H578,Departments!$A:$B,2,0)</f>
        <v>Surgery</v>
      </c>
      <c r="AB578" t="str">
        <f>VLOOKUP(J578,Diagnosis_Guide!$A:$B,2,0)</f>
        <v>Appendicitis Surgery</v>
      </c>
      <c r="AC578" s="4" t="str">
        <f>VLOOKUP(J578,Diagnosis_Guide!$A:$C,3,0)</f>
        <v>Surgical</v>
      </c>
      <c r="AD578" s="4" t="str">
        <f>VLOOKUP(R578,Insurance_Plans!$A:$C,3,0)</f>
        <v>Employer</v>
      </c>
      <c r="AE578" s="13">
        <f t="shared" ref="AE578:AE641" si="27">IF(Q578="","",Q578*0.05)</f>
        <v>5092.5</v>
      </c>
      <c r="AF578" s="13">
        <f t="shared" ref="AF578:AF641" si="28">IF(Q578="","",Q578+AE578)</f>
        <v>106942.5</v>
      </c>
      <c r="AG578" s="4" t="str">
        <f t="shared" ref="AG578:AG641" si="29">IF(U578="","Not Available",IF(U578&gt;=4,"High",IF(U578=3,"Medium","Low")))</f>
        <v>High</v>
      </c>
    </row>
    <row r="579" spans="1:33">
      <c r="A579" t="s">
        <v>1177</v>
      </c>
      <c r="B579" t="s">
        <v>510</v>
      </c>
      <c r="C579" s="11">
        <v>46099</v>
      </c>
      <c r="D579" t="s">
        <v>217</v>
      </c>
      <c r="E579" t="s">
        <v>70</v>
      </c>
      <c r="F579" s="4">
        <v>46100</v>
      </c>
      <c r="G579" s="4">
        <v>46107</v>
      </c>
      <c r="H579" t="s">
        <v>57</v>
      </c>
      <c r="I579" t="s">
        <v>169</v>
      </c>
      <c r="J579" t="s">
        <v>170</v>
      </c>
      <c r="K579" t="s">
        <v>73</v>
      </c>
      <c r="L579" t="s">
        <v>61</v>
      </c>
      <c r="M579" s="5">
        <v>74900</v>
      </c>
      <c r="N579" s="5">
        <v>8250</v>
      </c>
      <c r="O579" s="5">
        <v>16100</v>
      </c>
      <c r="P579" s="5">
        <v>42000</v>
      </c>
      <c r="Q579" s="13">
        <v>142050</v>
      </c>
      <c r="R579" t="s">
        <v>85</v>
      </c>
      <c r="S579" t="s">
        <v>76</v>
      </c>
      <c r="T579" s="5">
        <v>36410</v>
      </c>
      <c r="U579" s="6">
        <v>3</v>
      </c>
      <c r="V579" t="s">
        <v>77</v>
      </c>
      <c r="W579" s="4">
        <v>46122</v>
      </c>
      <c r="X579" t="s">
        <v>64</v>
      </c>
      <c r="Y579" t="s">
        <v>64</v>
      </c>
      <c r="Z579" t="s">
        <v>96</v>
      </c>
      <c r="AA579" t="str">
        <f>VLOOKUP(H579,Departments!$A:$B,2,0)</f>
        <v>Pulmonology</v>
      </c>
      <c r="AB579" t="str">
        <f>VLOOKUP(J579,Diagnosis_Guide!$A:$B,2,0)</f>
        <v>COPD Exacerbation</v>
      </c>
      <c r="AC579" s="4" t="str">
        <f>VLOOKUP(J579,Diagnosis_Guide!$A:$C,3,0)</f>
        <v>Respiratory</v>
      </c>
      <c r="AD579" s="4" t="str">
        <f>VLOOKUP(R579,Insurance_Plans!$A:$C,3,0)</f>
        <v>Employer</v>
      </c>
      <c r="AE579" s="13">
        <f t="shared" si="27"/>
        <v>7102.5</v>
      </c>
      <c r="AF579" s="13">
        <f t="shared" si="28"/>
        <v>149152.5</v>
      </c>
      <c r="AG579" s="4" t="str">
        <f t="shared" si="29"/>
        <v>Medium</v>
      </c>
    </row>
    <row r="580" spans="1:33">
      <c r="A580" t="s">
        <v>1178</v>
      </c>
      <c r="B580" t="s">
        <v>1179</v>
      </c>
      <c r="C580" s="11">
        <v>46152</v>
      </c>
      <c r="D580" t="s">
        <v>206</v>
      </c>
      <c r="E580" t="s">
        <v>70</v>
      </c>
      <c r="F580" s="4">
        <v>46152</v>
      </c>
      <c r="G580" s="4">
        <v>46154</v>
      </c>
      <c r="H580" t="s">
        <v>201</v>
      </c>
      <c r="I580" t="s">
        <v>449</v>
      </c>
      <c r="J580" t="s">
        <v>281</v>
      </c>
      <c r="K580" t="s">
        <v>73</v>
      </c>
      <c r="L580" t="s">
        <v>74</v>
      </c>
      <c r="M580" s="5">
        <v>6900</v>
      </c>
      <c r="N580" s="5">
        <v>900</v>
      </c>
      <c r="O580" s="5">
        <v>1700</v>
      </c>
      <c r="P580" s="5">
        <v>7000</v>
      </c>
      <c r="Q580" s="13">
        <v>17300</v>
      </c>
      <c r="R580" t="s">
        <v>95</v>
      </c>
      <c r="S580" t="s">
        <v>63</v>
      </c>
      <c r="T580" s="5">
        <v>17300</v>
      </c>
      <c r="U580" s="6"/>
      <c r="V580" t="s">
        <v>64</v>
      </c>
      <c r="W580" s="4"/>
      <c r="X580" t="s">
        <v>65</v>
      </c>
      <c r="Y580" t="s">
        <v>64</v>
      </c>
      <c r="Z580" t="s">
        <v>78</v>
      </c>
      <c r="AA580" t="str">
        <f>VLOOKUP(H580,Departments!$A:$B,2,0)</f>
        <v>Emergency</v>
      </c>
      <c r="AB580" t="str">
        <f>VLOOKUP(J580,Diagnosis_Guide!$A:$B,2,0)</f>
        <v>Food Poisoning</v>
      </c>
      <c r="AC580" s="4" t="str">
        <f>VLOOKUP(J580,Diagnosis_Guide!$A:$C,3,0)</f>
        <v>Emergency</v>
      </c>
      <c r="AD580" s="4" t="str">
        <f>VLOOKUP(R580,Insurance_Plans!$A:$C,3,0)</f>
        <v>Self-Pay</v>
      </c>
      <c r="AE580" s="13">
        <f t="shared" si="27"/>
        <v>865</v>
      </c>
      <c r="AF580" s="13">
        <f t="shared" si="28"/>
        <v>18165</v>
      </c>
      <c r="AG580" s="4" t="str">
        <f t="shared" si="29"/>
        <v>Not Available</v>
      </c>
    </row>
    <row r="581" spans="1:33">
      <c r="A581" t="s">
        <v>1180</v>
      </c>
      <c r="B581" t="s">
        <v>504</v>
      </c>
      <c r="C581" s="11">
        <v>46053</v>
      </c>
      <c r="D581" t="s">
        <v>99</v>
      </c>
      <c r="E581" t="s">
        <v>70</v>
      </c>
      <c r="F581" s="4">
        <v>46054</v>
      </c>
      <c r="G581" s="4">
        <v>46065</v>
      </c>
      <c r="H581" t="s">
        <v>111</v>
      </c>
      <c r="I581" t="s">
        <v>112</v>
      </c>
      <c r="J581" t="s">
        <v>384</v>
      </c>
      <c r="K581" t="s">
        <v>93</v>
      </c>
      <c r="L581" t="s">
        <v>61</v>
      </c>
      <c r="M581" s="5">
        <v>73900</v>
      </c>
      <c r="N581" s="5">
        <v>6050</v>
      </c>
      <c r="O581" s="5">
        <v>13400</v>
      </c>
      <c r="P581" s="5">
        <v>38500</v>
      </c>
      <c r="Q581" s="13">
        <v>132650</v>
      </c>
      <c r="R581" t="s">
        <v>141</v>
      </c>
      <c r="S581" t="s">
        <v>76</v>
      </c>
      <c r="T581" s="5">
        <v>21100</v>
      </c>
      <c r="U581" s="6">
        <v>4</v>
      </c>
      <c r="V581" t="s">
        <v>77</v>
      </c>
      <c r="W581" s="4">
        <v>46084</v>
      </c>
      <c r="X581" t="s">
        <v>77</v>
      </c>
      <c r="Y581" t="s">
        <v>64</v>
      </c>
      <c r="Z581" t="s">
        <v>96</v>
      </c>
      <c r="AA581" t="str">
        <f>VLOOKUP(H581,Departments!$A:$B,2,0)</f>
        <v>General Medicine</v>
      </c>
      <c r="AB581" t="str">
        <f>VLOOKUP(J581,Diagnosis_Guide!$A:$B,2,0)</f>
        <v>Severe Infection</v>
      </c>
      <c r="AC581" s="4" t="str">
        <f>VLOOKUP(J581,Diagnosis_Guide!$A:$C,3,0)</f>
        <v>Infectious/General</v>
      </c>
      <c r="AD581" s="4" t="str">
        <f>VLOOKUP(R581,Insurance_Plans!$A:$C,3,0)</f>
        <v>Private</v>
      </c>
      <c r="AE581" s="13">
        <f t="shared" si="27"/>
        <v>6632.5</v>
      </c>
      <c r="AF581" s="13">
        <f t="shared" si="28"/>
        <v>139282.5</v>
      </c>
      <c r="AG581" s="4" t="str">
        <f t="shared" si="29"/>
        <v>High</v>
      </c>
    </row>
    <row r="582" spans="1:33">
      <c r="A582" t="s">
        <v>1181</v>
      </c>
      <c r="B582" t="s">
        <v>604</v>
      </c>
      <c r="C582" s="11">
        <v>46144</v>
      </c>
      <c r="D582" t="s">
        <v>206</v>
      </c>
      <c r="E582" t="s">
        <v>70</v>
      </c>
      <c r="F582" s="4">
        <v>46144</v>
      </c>
      <c r="G582" s="4">
        <v>46145</v>
      </c>
      <c r="H582" t="s">
        <v>138</v>
      </c>
      <c r="I582" t="s">
        <v>444</v>
      </c>
      <c r="J582" t="s">
        <v>236</v>
      </c>
      <c r="K582" t="s">
        <v>60</v>
      </c>
      <c r="L582" t="s">
        <v>94</v>
      </c>
      <c r="M582" s="5">
        <v>25700</v>
      </c>
      <c r="N582" s="5">
        <v>2600</v>
      </c>
      <c r="O582" s="5">
        <v>5200</v>
      </c>
      <c r="P582" s="5">
        <v>4500</v>
      </c>
      <c r="Q582" s="13">
        <v>39500</v>
      </c>
      <c r="R582" t="s">
        <v>95</v>
      </c>
      <c r="S582" t="s">
        <v>63</v>
      </c>
      <c r="T582" s="5">
        <v>39500</v>
      </c>
      <c r="U582" s="6">
        <v>4</v>
      </c>
      <c r="V582" t="s">
        <v>77</v>
      </c>
      <c r="W582" s="4">
        <v>46161</v>
      </c>
      <c r="X582" t="s">
        <v>64</v>
      </c>
      <c r="Y582" t="s">
        <v>64</v>
      </c>
      <c r="Z582" t="s">
        <v>96</v>
      </c>
      <c r="AA582" t="str">
        <f>VLOOKUP(H582,Departments!$A:$B,2,0)</f>
        <v>Pediatrics</v>
      </c>
      <c r="AB582" t="str">
        <f>VLOOKUP(J582,Diagnosis_Guide!$A:$B,2,0)</f>
        <v>Neonatal Observation</v>
      </c>
      <c r="AC582" s="4" t="str">
        <f>VLOOKUP(J582,Diagnosis_Guide!$A:$C,3,0)</f>
        <v>Pediatric</v>
      </c>
      <c r="AD582" s="4" t="str">
        <f>VLOOKUP(R582,Insurance_Plans!$A:$C,3,0)</f>
        <v>Self-Pay</v>
      </c>
      <c r="AE582" s="13">
        <f t="shared" si="27"/>
        <v>1975</v>
      </c>
      <c r="AF582" s="13">
        <f t="shared" si="28"/>
        <v>41475</v>
      </c>
      <c r="AG582" s="4" t="str">
        <f t="shared" si="29"/>
        <v>High</v>
      </c>
    </row>
    <row r="583" spans="1:33">
      <c r="A583" t="s">
        <v>1182</v>
      </c>
      <c r="B583" t="s">
        <v>934</v>
      </c>
      <c r="C583" s="11">
        <v>46072</v>
      </c>
      <c r="D583" t="s">
        <v>383</v>
      </c>
      <c r="E583" t="s">
        <v>70</v>
      </c>
      <c r="F583" s="4">
        <v>46073</v>
      </c>
      <c r="G583" s="4">
        <v>46077</v>
      </c>
      <c r="H583" t="s">
        <v>111</v>
      </c>
      <c r="I583" t="s">
        <v>397</v>
      </c>
      <c r="J583" t="s">
        <v>117</v>
      </c>
      <c r="K583" t="s">
        <v>73</v>
      </c>
      <c r="L583" t="s">
        <v>74</v>
      </c>
      <c r="M583" s="5">
        <v>7200</v>
      </c>
      <c r="N583" s="5">
        <v>1250</v>
      </c>
      <c r="O583" s="5">
        <v>1450</v>
      </c>
      <c r="P583" s="5">
        <v>24000</v>
      </c>
      <c r="Q583" s="13">
        <v>35900</v>
      </c>
      <c r="R583" t="s">
        <v>141</v>
      </c>
      <c r="S583" t="s">
        <v>76</v>
      </c>
      <c r="T583" s="5">
        <v>6590</v>
      </c>
      <c r="U583" s="6">
        <v>3</v>
      </c>
      <c r="V583" t="s">
        <v>77</v>
      </c>
      <c r="W583" s="4">
        <v>46084</v>
      </c>
      <c r="X583" t="s">
        <v>77</v>
      </c>
      <c r="Y583" t="s">
        <v>64</v>
      </c>
      <c r="Z583" t="s">
        <v>107</v>
      </c>
      <c r="AA583" t="str">
        <f>VLOOKUP(H583,Departments!$A:$B,2,0)</f>
        <v>General Medicine</v>
      </c>
      <c r="AB583" t="str">
        <f>VLOOKUP(J583,Diagnosis_Guide!$A:$B,2,0)</f>
        <v>Fever Investigation</v>
      </c>
      <c r="AC583" s="4" t="str">
        <f>VLOOKUP(J583,Diagnosis_Guide!$A:$C,3,0)</f>
        <v>Infectious/General</v>
      </c>
      <c r="AD583" s="4" t="str">
        <f>VLOOKUP(R583,Insurance_Plans!$A:$C,3,0)</f>
        <v>Private</v>
      </c>
      <c r="AE583" s="13">
        <f t="shared" si="27"/>
        <v>1795</v>
      </c>
      <c r="AF583" s="13">
        <f t="shared" si="28"/>
        <v>37695</v>
      </c>
      <c r="AG583" s="4" t="str">
        <f t="shared" si="29"/>
        <v>Medium</v>
      </c>
    </row>
    <row r="584" spans="1:33">
      <c r="A584" t="s">
        <v>1183</v>
      </c>
      <c r="B584" t="s">
        <v>860</v>
      </c>
      <c r="C584" s="11">
        <v>46056</v>
      </c>
      <c r="D584" t="s">
        <v>173</v>
      </c>
      <c r="E584" t="s">
        <v>70</v>
      </c>
      <c r="F584" s="4">
        <v>46057</v>
      </c>
      <c r="G584" s="4">
        <v>46059</v>
      </c>
      <c r="H584" t="s">
        <v>201</v>
      </c>
      <c r="I584" t="s">
        <v>327</v>
      </c>
      <c r="J584" t="s">
        <v>281</v>
      </c>
      <c r="K584" t="s">
        <v>124</v>
      </c>
      <c r="L584" t="s">
        <v>74</v>
      </c>
      <c r="M584" s="5">
        <v>6100</v>
      </c>
      <c r="N584" s="5">
        <v>500</v>
      </c>
      <c r="O584" s="5">
        <v>750</v>
      </c>
      <c r="P584" s="5">
        <v>6000</v>
      </c>
      <c r="Q584" s="13">
        <v>14350</v>
      </c>
      <c r="R584" t="s">
        <v>75</v>
      </c>
      <c r="S584" t="s">
        <v>86</v>
      </c>
      <c r="T584" s="5">
        <v>6760</v>
      </c>
      <c r="U584" s="6">
        <v>5</v>
      </c>
      <c r="V584" t="s">
        <v>64</v>
      </c>
      <c r="W584" s="4"/>
      <c r="X584" t="s">
        <v>65</v>
      </c>
      <c r="Y584" t="s">
        <v>64</v>
      </c>
      <c r="Z584" t="s">
        <v>436</v>
      </c>
      <c r="AA584" t="str">
        <f>VLOOKUP(H584,Departments!$A:$B,2,0)</f>
        <v>Emergency</v>
      </c>
      <c r="AB584" t="str">
        <f>VLOOKUP(J584,Diagnosis_Guide!$A:$B,2,0)</f>
        <v>Food Poisoning</v>
      </c>
      <c r="AC584" s="4" t="str">
        <f>VLOOKUP(J584,Diagnosis_Guide!$A:$C,3,0)</f>
        <v>Emergency</v>
      </c>
      <c r="AD584" s="4" t="str">
        <f>VLOOKUP(R584,Insurance_Plans!$A:$C,3,0)</f>
        <v>Public</v>
      </c>
      <c r="AE584" s="13">
        <f t="shared" si="27"/>
        <v>717.5</v>
      </c>
      <c r="AF584" s="13">
        <f t="shared" si="28"/>
        <v>15067.5</v>
      </c>
      <c r="AG584" s="4" t="str">
        <f t="shared" si="29"/>
        <v>High</v>
      </c>
    </row>
    <row r="585" spans="1:33">
      <c r="A585" t="s">
        <v>1184</v>
      </c>
      <c r="B585" t="s">
        <v>1185</v>
      </c>
      <c r="C585" s="11">
        <v>46083</v>
      </c>
      <c r="D585" t="s">
        <v>210</v>
      </c>
      <c r="E585" t="s">
        <v>70</v>
      </c>
      <c r="F585" s="4">
        <v>46084</v>
      </c>
      <c r="G585" s="4">
        <v>46085</v>
      </c>
      <c r="H585" t="s">
        <v>103</v>
      </c>
      <c r="I585" t="s">
        <v>364</v>
      </c>
      <c r="J585" t="s">
        <v>145</v>
      </c>
      <c r="K585" t="s">
        <v>60</v>
      </c>
      <c r="L585" t="s">
        <v>74</v>
      </c>
      <c r="M585" s="5">
        <v>29900</v>
      </c>
      <c r="N585" s="5">
        <v>3250</v>
      </c>
      <c r="O585" s="5">
        <v>6500</v>
      </c>
      <c r="P585" s="5">
        <v>3500</v>
      </c>
      <c r="Q585" s="13">
        <v>43950</v>
      </c>
      <c r="R585" t="s">
        <v>85</v>
      </c>
      <c r="S585" t="s">
        <v>76</v>
      </c>
      <c r="T585" s="5">
        <v>11890</v>
      </c>
      <c r="U585" s="6">
        <v>5</v>
      </c>
      <c r="V585" t="s">
        <v>77</v>
      </c>
      <c r="W585" s="4">
        <v>46093</v>
      </c>
      <c r="X585" t="s">
        <v>64</v>
      </c>
      <c r="Y585" t="s">
        <v>64</v>
      </c>
      <c r="Z585" t="s">
        <v>96</v>
      </c>
      <c r="AA585" t="str">
        <f>VLOOKUP(H585,Departments!$A:$B,2,0)</f>
        <v>Nephrology</v>
      </c>
      <c r="AB585" t="str">
        <f>VLOOKUP(J585,Diagnosis_Guide!$A:$B,2,0)</f>
        <v>Kidney Stone</v>
      </c>
      <c r="AC585" s="4" t="str">
        <f>VLOOKUP(J585,Diagnosis_Guide!$A:$C,3,0)</f>
        <v>Renal</v>
      </c>
      <c r="AD585" s="4" t="str">
        <f>VLOOKUP(R585,Insurance_Plans!$A:$C,3,0)</f>
        <v>Employer</v>
      </c>
      <c r="AE585" s="13">
        <f t="shared" si="27"/>
        <v>2197.5</v>
      </c>
      <c r="AF585" s="13">
        <f t="shared" si="28"/>
        <v>46147.5</v>
      </c>
      <c r="AG585" s="4" t="str">
        <f t="shared" si="29"/>
        <v>High</v>
      </c>
    </row>
    <row r="586" spans="1:33">
      <c r="A586" t="s">
        <v>1186</v>
      </c>
      <c r="B586" t="s">
        <v>1187</v>
      </c>
      <c r="C586" s="11">
        <v>46037</v>
      </c>
      <c r="D586" t="s">
        <v>99</v>
      </c>
      <c r="E586" t="s">
        <v>70</v>
      </c>
      <c r="F586" s="4">
        <v>46037</v>
      </c>
      <c r="G586" s="4">
        <v>46049</v>
      </c>
      <c r="H586" t="s">
        <v>121</v>
      </c>
      <c r="I586" t="s">
        <v>334</v>
      </c>
      <c r="J586" t="s">
        <v>252</v>
      </c>
      <c r="K586" t="s">
        <v>73</v>
      </c>
      <c r="L586" t="s">
        <v>146</v>
      </c>
      <c r="M586" s="5">
        <v>57800</v>
      </c>
      <c r="N586" s="5">
        <v>10250</v>
      </c>
      <c r="O586" s="5">
        <v>10050</v>
      </c>
      <c r="P586" s="5">
        <v>54000</v>
      </c>
      <c r="Q586" s="13">
        <v>133100</v>
      </c>
      <c r="R586" t="s">
        <v>95</v>
      </c>
      <c r="S586" t="s">
        <v>63</v>
      </c>
      <c r="T586" s="5">
        <v>133100</v>
      </c>
      <c r="U586" s="6">
        <v>3</v>
      </c>
      <c r="V586" t="s">
        <v>77</v>
      </c>
      <c r="W586" s="4">
        <v>46064</v>
      </c>
      <c r="X586" t="s">
        <v>64</v>
      </c>
      <c r="Y586" t="s">
        <v>64</v>
      </c>
      <c r="Z586" t="s">
        <v>78</v>
      </c>
      <c r="AA586" t="str">
        <f>VLOOKUP(H586,Departments!$A:$B,2,0)</f>
        <v>Neurology</v>
      </c>
      <c r="AB586" t="str">
        <f>VLOOKUP(J586,Diagnosis_Guide!$A:$B,2,0)</f>
        <v>Stroke Assessment</v>
      </c>
      <c r="AC586" s="4" t="str">
        <f>VLOOKUP(J586,Diagnosis_Guide!$A:$C,3,0)</f>
        <v>Neurological</v>
      </c>
      <c r="AD586" s="4" t="str">
        <f>VLOOKUP(R586,Insurance_Plans!$A:$C,3,0)</f>
        <v>Self-Pay</v>
      </c>
      <c r="AE586" s="13">
        <f t="shared" si="27"/>
        <v>6655</v>
      </c>
      <c r="AF586" s="13">
        <f t="shared" si="28"/>
        <v>139755</v>
      </c>
      <c r="AG586" s="4" t="str">
        <f t="shared" si="29"/>
        <v>Medium</v>
      </c>
    </row>
    <row r="587" spans="1:33">
      <c r="A587" t="s">
        <v>1188</v>
      </c>
      <c r="B587" t="s">
        <v>613</v>
      </c>
      <c r="C587" s="11">
        <v>46058</v>
      </c>
      <c r="D587" t="s">
        <v>168</v>
      </c>
      <c r="E587" t="s">
        <v>70</v>
      </c>
      <c r="F587" s="4">
        <v>46058</v>
      </c>
      <c r="G587" s="4">
        <v>46062</v>
      </c>
      <c r="H587" t="s">
        <v>90</v>
      </c>
      <c r="I587" t="s">
        <v>162</v>
      </c>
      <c r="J587" t="s">
        <v>92</v>
      </c>
      <c r="K587" t="s">
        <v>93</v>
      </c>
      <c r="L587" t="s">
        <v>74</v>
      </c>
      <c r="M587" s="5">
        <v>62900</v>
      </c>
      <c r="N587" s="5">
        <v>5400</v>
      </c>
      <c r="O587" s="5">
        <v>14950</v>
      </c>
      <c r="P587" s="5">
        <v>24000</v>
      </c>
      <c r="Q587" s="13">
        <v>108450</v>
      </c>
      <c r="R587" t="s">
        <v>95</v>
      </c>
      <c r="S587" t="s">
        <v>63</v>
      </c>
      <c r="T587" s="5">
        <v>108450</v>
      </c>
      <c r="U587" s="6">
        <v>4</v>
      </c>
      <c r="V587" t="s">
        <v>77</v>
      </c>
      <c r="W587" s="4">
        <v>46073</v>
      </c>
      <c r="X587" t="s">
        <v>77</v>
      </c>
      <c r="Y587" t="s">
        <v>64</v>
      </c>
      <c r="Z587" t="s">
        <v>78</v>
      </c>
      <c r="AA587" t="str">
        <f>VLOOKUP(H587,Departments!$A:$B,2,0)</f>
        <v>Cardiology</v>
      </c>
      <c r="AB587" t="str">
        <f>VLOOKUP(J587,Diagnosis_Guide!$A:$B,2,0)</f>
        <v>Heart Failure</v>
      </c>
      <c r="AC587" s="4" t="str">
        <f>VLOOKUP(J587,Diagnosis_Guide!$A:$C,3,0)</f>
        <v>Cardiovascular</v>
      </c>
      <c r="AD587" s="4" t="str">
        <f>VLOOKUP(R587,Insurance_Plans!$A:$C,3,0)</f>
        <v>Self-Pay</v>
      </c>
      <c r="AE587" s="13">
        <f t="shared" si="27"/>
        <v>5422.5</v>
      </c>
      <c r="AF587" s="13">
        <f t="shared" si="28"/>
        <v>113872.5</v>
      </c>
      <c r="AG587" s="4" t="str">
        <f t="shared" si="29"/>
        <v>High</v>
      </c>
    </row>
    <row r="588" spans="1:33">
      <c r="A588" t="s">
        <v>1189</v>
      </c>
      <c r="B588" t="s">
        <v>1148</v>
      </c>
      <c r="C588" s="11">
        <v>46098</v>
      </c>
      <c r="D588" t="s">
        <v>137</v>
      </c>
      <c r="E588" t="s">
        <v>70</v>
      </c>
      <c r="F588" s="4">
        <v>46099</v>
      </c>
      <c r="G588" s="4">
        <v>46103</v>
      </c>
      <c r="H588" t="s">
        <v>121</v>
      </c>
      <c r="I588" t="s">
        <v>665</v>
      </c>
      <c r="J588" t="s">
        <v>123</v>
      </c>
      <c r="K588" t="s">
        <v>73</v>
      </c>
      <c r="L588" t="s">
        <v>94</v>
      </c>
      <c r="M588" s="5">
        <v>35700</v>
      </c>
      <c r="N588" s="5">
        <v>4050</v>
      </c>
      <c r="O588" s="5">
        <v>6200</v>
      </c>
      <c r="P588" s="5">
        <v>24000</v>
      </c>
      <c r="Q588" s="13">
        <v>70950</v>
      </c>
      <c r="R588" t="s">
        <v>75</v>
      </c>
      <c r="S588" t="s">
        <v>76</v>
      </c>
      <c r="T588" s="5">
        <v>32230</v>
      </c>
      <c r="U588" s="6">
        <v>4</v>
      </c>
      <c r="V588" t="s">
        <v>77</v>
      </c>
      <c r="W588" s="4">
        <v>46116</v>
      </c>
      <c r="X588" t="s">
        <v>77</v>
      </c>
      <c r="Y588" t="s">
        <v>64</v>
      </c>
      <c r="Z588" t="s">
        <v>78</v>
      </c>
      <c r="AA588" t="str">
        <f>VLOOKUP(H588,Departments!$A:$B,2,0)</f>
        <v>Neurology</v>
      </c>
      <c r="AB588" t="str">
        <f>VLOOKUP(J588,Diagnosis_Guide!$A:$B,2,0)</f>
        <v>Seizure Episode</v>
      </c>
      <c r="AC588" s="4" t="str">
        <f>VLOOKUP(J588,Diagnosis_Guide!$A:$C,3,0)</f>
        <v>Neurological</v>
      </c>
      <c r="AD588" s="4" t="str">
        <f>VLOOKUP(R588,Insurance_Plans!$A:$C,3,0)</f>
        <v>Public</v>
      </c>
      <c r="AE588" s="13">
        <f t="shared" si="27"/>
        <v>3547.5</v>
      </c>
      <c r="AF588" s="13">
        <f t="shared" si="28"/>
        <v>74497.5</v>
      </c>
      <c r="AG588" s="4" t="str">
        <f t="shared" si="29"/>
        <v>High</v>
      </c>
    </row>
    <row r="589" spans="1:33">
      <c r="A589" t="s">
        <v>1190</v>
      </c>
      <c r="B589" t="s">
        <v>1191</v>
      </c>
      <c r="C589" s="11">
        <v>46159</v>
      </c>
      <c r="D589" t="s">
        <v>217</v>
      </c>
      <c r="E589" t="s">
        <v>70</v>
      </c>
      <c r="F589" s="4">
        <v>46159</v>
      </c>
      <c r="G589" s="4">
        <v>46159</v>
      </c>
      <c r="H589" t="s">
        <v>138</v>
      </c>
      <c r="I589" t="s">
        <v>444</v>
      </c>
      <c r="J589" t="s">
        <v>261</v>
      </c>
      <c r="K589" t="s">
        <v>60</v>
      </c>
      <c r="L589" t="s">
        <v>74</v>
      </c>
      <c r="M589" s="5">
        <v>6400</v>
      </c>
      <c r="N589" s="5">
        <v>800</v>
      </c>
      <c r="O589" s="5">
        <v>950</v>
      </c>
      <c r="P589" s="5">
        <v>0</v>
      </c>
      <c r="Q589" s="13">
        <v>9650</v>
      </c>
      <c r="R589" t="s">
        <v>75</v>
      </c>
      <c r="S589" t="s">
        <v>76</v>
      </c>
      <c r="T589" s="5">
        <v>4640</v>
      </c>
      <c r="U589" s="6">
        <v>5</v>
      </c>
      <c r="V589" t="s">
        <v>64</v>
      </c>
      <c r="W589" s="4"/>
      <c r="X589" t="s">
        <v>65</v>
      </c>
      <c r="Y589" t="s">
        <v>64</v>
      </c>
      <c r="Z589" t="s">
        <v>96</v>
      </c>
      <c r="AA589" t="str">
        <f>VLOOKUP(H589,Departments!$A:$B,2,0)</f>
        <v>Pediatrics</v>
      </c>
      <c r="AB589" t="str">
        <f>VLOOKUP(J589,Diagnosis_Guide!$A:$B,2,0)</f>
        <v>Child Fever</v>
      </c>
      <c r="AC589" s="4" t="str">
        <f>VLOOKUP(J589,Diagnosis_Guide!$A:$C,3,0)</f>
        <v>Pediatric</v>
      </c>
      <c r="AD589" s="4" t="str">
        <f>VLOOKUP(R589,Insurance_Plans!$A:$C,3,0)</f>
        <v>Public</v>
      </c>
      <c r="AE589" s="13">
        <f t="shared" si="27"/>
        <v>482.5</v>
      </c>
      <c r="AF589" s="13">
        <f t="shared" si="28"/>
        <v>10132.5</v>
      </c>
      <c r="AG589" s="4" t="str">
        <f t="shared" si="29"/>
        <v>High</v>
      </c>
    </row>
    <row r="590" spans="1:33">
      <c r="A590" t="s">
        <v>1192</v>
      </c>
      <c r="B590" t="s">
        <v>172</v>
      </c>
      <c r="C590" s="11">
        <v>46167</v>
      </c>
      <c r="D590" t="s">
        <v>294</v>
      </c>
      <c r="E590" t="s">
        <v>70</v>
      </c>
      <c r="F590" s="4">
        <v>46168</v>
      </c>
      <c r="G590" s="4">
        <v>46171</v>
      </c>
      <c r="H590" t="s">
        <v>90</v>
      </c>
      <c r="I590" t="s">
        <v>133</v>
      </c>
      <c r="J590" t="s">
        <v>92</v>
      </c>
      <c r="K590" t="s">
        <v>73</v>
      </c>
      <c r="L590" t="s">
        <v>74</v>
      </c>
      <c r="M590" s="5">
        <v>53600</v>
      </c>
      <c r="N590" s="5">
        <v>5150</v>
      </c>
      <c r="O590" s="5">
        <v>11850</v>
      </c>
      <c r="P590" s="5">
        <v>18000</v>
      </c>
      <c r="Q590" s="13">
        <v>90600</v>
      </c>
      <c r="R590" t="s">
        <v>62</v>
      </c>
      <c r="S590" t="s">
        <v>163</v>
      </c>
      <c r="T590" s="5">
        <v>27580</v>
      </c>
      <c r="U590" s="6">
        <v>5</v>
      </c>
      <c r="V590" t="s">
        <v>77</v>
      </c>
      <c r="W590" s="4">
        <v>46191</v>
      </c>
      <c r="X590" t="s">
        <v>77</v>
      </c>
      <c r="Y590" t="s">
        <v>64</v>
      </c>
      <c r="Z590" t="s">
        <v>96</v>
      </c>
      <c r="AA590" t="str">
        <f>VLOOKUP(H590,Departments!$A:$B,2,0)</f>
        <v>Cardiology</v>
      </c>
      <c r="AB590" t="str">
        <f>VLOOKUP(J590,Diagnosis_Guide!$A:$B,2,0)</f>
        <v>Heart Failure</v>
      </c>
      <c r="AC590" s="4" t="str">
        <f>VLOOKUP(J590,Diagnosis_Guide!$A:$C,3,0)</f>
        <v>Cardiovascular</v>
      </c>
      <c r="AD590" s="4" t="str">
        <f>VLOOKUP(R590,Insurance_Plans!$A:$C,3,0)</f>
        <v>Public</v>
      </c>
      <c r="AE590" s="13">
        <f t="shared" si="27"/>
        <v>4530</v>
      </c>
      <c r="AF590" s="13">
        <f t="shared" si="28"/>
        <v>95130</v>
      </c>
      <c r="AG590" s="4" t="str">
        <f t="shared" si="29"/>
        <v>High</v>
      </c>
    </row>
    <row r="591" spans="1:33">
      <c r="A591" t="s">
        <v>1193</v>
      </c>
      <c r="B591" t="s">
        <v>615</v>
      </c>
      <c r="C591" s="11">
        <v>46172</v>
      </c>
      <c r="D591" t="s">
        <v>225</v>
      </c>
      <c r="E591" t="s">
        <v>70</v>
      </c>
      <c r="F591" s="4">
        <v>46173</v>
      </c>
      <c r="G591" s="4">
        <v>46179</v>
      </c>
      <c r="H591" t="s">
        <v>103</v>
      </c>
      <c r="I591" t="s">
        <v>243</v>
      </c>
      <c r="J591" t="s">
        <v>244</v>
      </c>
      <c r="K591" t="s">
        <v>73</v>
      </c>
      <c r="L591" t="s">
        <v>94</v>
      </c>
      <c r="M591" s="5">
        <v>60800</v>
      </c>
      <c r="N591" s="5">
        <v>6300</v>
      </c>
      <c r="O591" s="5">
        <v>14550</v>
      </c>
      <c r="P591" s="5">
        <v>21000</v>
      </c>
      <c r="Q591" s="13">
        <v>104450</v>
      </c>
      <c r="R591" t="s">
        <v>75</v>
      </c>
      <c r="S591" t="s">
        <v>76</v>
      </c>
      <c r="T591" s="5">
        <v>47300</v>
      </c>
      <c r="U591" s="6">
        <v>4</v>
      </c>
      <c r="V591" t="s">
        <v>77</v>
      </c>
      <c r="W591" s="4">
        <v>46192</v>
      </c>
      <c r="X591" t="s">
        <v>77</v>
      </c>
      <c r="Y591" t="s">
        <v>64</v>
      </c>
      <c r="Z591" t="s">
        <v>96</v>
      </c>
      <c r="AA591" t="str">
        <f>VLOOKUP(H591,Departments!$A:$B,2,0)</f>
        <v>Nephrology</v>
      </c>
      <c r="AB591" t="str">
        <f>VLOOKUP(J591,Diagnosis_Guide!$A:$B,2,0)</f>
        <v>Chronic Kidney Disease</v>
      </c>
      <c r="AC591" s="4" t="str">
        <f>VLOOKUP(J591,Diagnosis_Guide!$A:$C,3,0)</f>
        <v>Renal</v>
      </c>
      <c r="AD591" s="4" t="str">
        <f>VLOOKUP(R591,Insurance_Plans!$A:$C,3,0)</f>
        <v>Public</v>
      </c>
      <c r="AE591" s="13">
        <f t="shared" si="27"/>
        <v>5222.5</v>
      </c>
      <c r="AF591" s="13">
        <f t="shared" si="28"/>
        <v>109672.5</v>
      </c>
      <c r="AG591" s="4" t="str">
        <f t="shared" si="29"/>
        <v>High</v>
      </c>
    </row>
    <row r="592" spans="1:33">
      <c r="A592" t="s">
        <v>1194</v>
      </c>
      <c r="B592" t="s">
        <v>1195</v>
      </c>
      <c r="C592" s="11">
        <v>46140</v>
      </c>
      <c r="D592" t="s">
        <v>144</v>
      </c>
      <c r="E592" t="s">
        <v>70</v>
      </c>
      <c r="F592" s="4">
        <v>46141</v>
      </c>
      <c r="G592" s="4">
        <v>46147</v>
      </c>
      <c r="H592" t="s">
        <v>138</v>
      </c>
      <c r="I592" t="s">
        <v>139</v>
      </c>
      <c r="J592" t="s">
        <v>236</v>
      </c>
      <c r="K592" t="s">
        <v>73</v>
      </c>
      <c r="L592" t="s">
        <v>94</v>
      </c>
      <c r="M592" s="5">
        <v>27100</v>
      </c>
      <c r="N592" s="5">
        <v>3550</v>
      </c>
      <c r="O592" s="5">
        <v>3150</v>
      </c>
      <c r="P592" s="5">
        <v>36000</v>
      </c>
      <c r="Q592" s="13">
        <v>71800</v>
      </c>
      <c r="R592" t="s">
        <v>75</v>
      </c>
      <c r="S592" t="s">
        <v>76</v>
      </c>
      <c r="T592" s="5">
        <v>32610</v>
      </c>
      <c r="U592" s="6">
        <v>3</v>
      </c>
      <c r="V592" t="s">
        <v>77</v>
      </c>
      <c r="W592" s="4">
        <v>46163</v>
      </c>
      <c r="X592" t="s">
        <v>77</v>
      </c>
      <c r="Y592" t="s">
        <v>64</v>
      </c>
      <c r="Z592" t="s">
        <v>96</v>
      </c>
      <c r="AA592" t="str">
        <f>VLOOKUP(H592,Departments!$A:$B,2,0)</f>
        <v>Pediatrics</v>
      </c>
      <c r="AB592" t="str">
        <f>VLOOKUP(J592,Diagnosis_Guide!$A:$B,2,0)</f>
        <v>Neonatal Observation</v>
      </c>
      <c r="AC592" s="4" t="str">
        <f>VLOOKUP(J592,Diagnosis_Guide!$A:$C,3,0)</f>
        <v>Pediatric</v>
      </c>
      <c r="AD592" s="4" t="str">
        <f>VLOOKUP(R592,Insurance_Plans!$A:$C,3,0)</f>
        <v>Public</v>
      </c>
      <c r="AE592" s="13">
        <f t="shared" si="27"/>
        <v>3590</v>
      </c>
      <c r="AF592" s="13">
        <f t="shared" si="28"/>
        <v>75390</v>
      </c>
      <c r="AG592" s="4" t="str">
        <f t="shared" si="29"/>
        <v>Medium</v>
      </c>
    </row>
    <row r="593" spans="1:33">
      <c r="A593" t="s">
        <v>1196</v>
      </c>
      <c r="B593" t="s">
        <v>851</v>
      </c>
      <c r="C593" s="11">
        <v>46026</v>
      </c>
      <c r="D593" t="s">
        <v>149</v>
      </c>
      <c r="E593" t="s">
        <v>56</v>
      </c>
      <c r="F593" s="4"/>
      <c r="G593" s="4"/>
      <c r="H593" t="s">
        <v>201</v>
      </c>
      <c r="I593" t="s">
        <v>202</v>
      </c>
      <c r="J593" t="s">
        <v>295</v>
      </c>
      <c r="K593" t="s">
        <v>124</v>
      </c>
      <c r="L593" t="s">
        <v>61</v>
      </c>
      <c r="M593" s="5"/>
      <c r="N593" s="5"/>
      <c r="O593" s="5"/>
      <c r="P593" s="5"/>
      <c r="R593" t="s">
        <v>106</v>
      </c>
      <c r="S593" t="s">
        <v>63</v>
      </c>
      <c r="T593" s="5"/>
      <c r="U593" s="6"/>
      <c r="V593" t="s">
        <v>64</v>
      </c>
      <c r="W593" s="4"/>
      <c r="X593" t="s">
        <v>65</v>
      </c>
      <c r="Z593" t="s">
        <v>66</v>
      </c>
      <c r="AA593" t="str">
        <f>VLOOKUP(H593,Departments!$A:$B,2,0)</f>
        <v>Emergency</v>
      </c>
      <c r="AB593" t="str">
        <f>VLOOKUP(J593,Diagnosis_Guide!$A:$B,2,0)</f>
        <v>Accident Injury</v>
      </c>
      <c r="AC593" s="4" t="str">
        <f>VLOOKUP(J593,Diagnosis_Guide!$A:$C,3,0)</f>
        <v>Emergency</v>
      </c>
      <c r="AD593" s="4" t="str">
        <f>VLOOKUP(R593,Insurance_Plans!$A:$C,3,0)</f>
        <v>Private</v>
      </c>
      <c r="AE593" s="13" t="str">
        <f t="shared" si="27"/>
        <v/>
      </c>
      <c r="AF593" s="13" t="str">
        <f t="shared" si="28"/>
        <v/>
      </c>
      <c r="AG593" s="4" t="str">
        <f t="shared" si="29"/>
        <v>Not Available</v>
      </c>
    </row>
    <row r="594" spans="1:33">
      <c r="A594" t="s">
        <v>1197</v>
      </c>
      <c r="B594" t="s">
        <v>1198</v>
      </c>
      <c r="C594" s="11">
        <v>46156</v>
      </c>
      <c r="D594" t="s">
        <v>439</v>
      </c>
      <c r="E594" t="s">
        <v>70</v>
      </c>
      <c r="F594" s="4">
        <v>46156</v>
      </c>
      <c r="G594" s="4">
        <v>46162</v>
      </c>
      <c r="H594" t="s">
        <v>138</v>
      </c>
      <c r="I594" t="s">
        <v>260</v>
      </c>
      <c r="J594" t="s">
        <v>236</v>
      </c>
      <c r="K594" t="s">
        <v>124</v>
      </c>
      <c r="L594" t="s">
        <v>94</v>
      </c>
      <c r="M594" s="5">
        <v>30800</v>
      </c>
      <c r="N594" s="5">
        <v>3800</v>
      </c>
      <c r="O594" s="5">
        <v>5550</v>
      </c>
      <c r="P594" s="5">
        <v>15000</v>
      </c>
      <c r="Q594" s="13">
        <v>57650</v>
      </c>
      <c r="R594" t="s">
        <v>85</v>
      </c>
      <c r="S594" t="s">
        <v>76</v>
      </c>
      <c r="T594" s="5">
        <v>15310</v>
      </c>
      <c r="U594" s="6">
        <v>3</v>
      </c>
      <c r="V594" t="s">
        <v>64</v>
      </c>
      <c r="W594" s="4"/>
      <c r="X594" t="s">
        <v>65</v>
      </c>
      <c r="Y594" t="s">
        <v>77</v>
      </c>
      <c r="Z594" t="s">
        <v>107</v>
      </c>
      <c r="AA594" t="str">
        <f>VLOOKUP(H594,Departments!$A:$B,2,0)</f>
        <v>Pediatrics</v>
      </c>
      <c r="AB594" t="str">
        <f>VLOOKUP(J594,Diagnosis_Guide!$A:$B,2,0)</f>
        <v>Neonatal Observation</v>
      </c>
      <c r="AC594" s="4" t="str">
        <f>VLOOKUP(J594,Diagnosis_Guide!$A:$C,3,0)</f>
        <v>Pediatric</v>
      </c>
      <c r="AD594" s="4" t="str">
        <f>VLOOKUP(R594,Insurance_Plans!$A:$C,3,0)</f>
        <v>Employer</v>
      </c>
      <c r="AE594" s="13">
        <f t="shared" si="27"/>
        <v>2882.5</v>
      </c>
      <c r="AF594" s="13">
        <f t="shared" si="28"/>
        <v>60532.5</v>
      </c>
      <c r="AG594" s="4" t="str">
        <f t="shared" si="29"/>
        <v>Medium</v>
      </c>
    </row>
    <row r="595" spans="1:33">
      <c r="A595" t="s">
        <v>1199</v>
      </c>
      <c r="B595" t="s">
        <v>1200</v>
      </c>
      <c r="C595" s="11">
        <v>46049</v>
      </c>
      <c r="D595" t="s">
        <v>266</v>
      </c>
      <c r="E595" t="s">
        <v>70</v>
      </c>
      <c r="F595" s="4">
        <v>46050</v>
      </c>
      <c r="G595" s="4">
        <v>46050</v>
      </c>
      <c r="H595" t="s">
        <v>103</v>
      </c>
      <c r="I595" t="s">
        <v>104</v>
      </c>
      <c r="J595" t="s">
        <v>244</v>
      </c>
      <c r="K595" t="s">
        <v>60</v>
      </c>
      <c r="L595" t="s">
        <v>61</v>
      </c>
      <c r="M595" s="5">
        <v>79600</v>
      </c>
      <c r="N595" s="5">
        <v>8850</v>
      </c>
      <c r="O595" s="5">
        <v>14000</v>
      </c>
      <c r="P595" s="5">
        <v>0</v>
      </c>
      <c r="Q595" s="13">
        <v>104250</v>
      </c>
      <c r="R595" t="s">
        <v>95</v>
      </c>
      <c r="S595" t="s">
        <v>63</v>
      </c>
      <c r="T595" s="5">
        <v>104250</v>
      </c>
      <c r="U595" s="6">
        <v>2</v>
      </c>
      <c r="V595" t="s">
        <v>77</v>
      </c>
      <c r="W595" s="4">
        <v>46064</v>
      </c>
      <c r="X595" t="s">
        <v>64</v>
      </c>
      <c r="Y595" t="s">
        <v>77</v>
      </c>
      <c r="Z595" t="s">
        <v>78</v>
      </c>
      <c r="AA595" t="str">
        <f>VLOOKUP(H595,Departments!$A:$B,2,0)</f>
        <v>Nephrology</v>
      </c>
      <c r="AB595" t="str">
        <f>VLOOKUP(J595,Diagnosis_Guide!$A:$B,2,0)</f>
        <v>Chronic Kidney Disease</v>
      </c>
      <c r="AC595" s="4" t="str">
        <f>VLOOKUP(J595,Diagnosis_Guide!$A:$C,3,0)</f>
        <v>Renal</v>
      </c>
      <c r="AD595" s="4" t="str">
        <f>VLOOKUP(R595,Insurance_Plans!$A:$C,3,0)</f>
        <v>Self-Pay</v>
      </c>
      <c r="AE595" s="13">
        <f t="shared" si="27"/>
        <v>5212.5</v>
      </c>
      <c r="AF595" s="13">
        <f t="shared" si="28"/>
        <v>109462.5</v>
      </c>
      <c r="AG595" s="4" t="str">
        <f t="shared" si="29"/>
        <v>Low</v>
      </c>
    </row>
    <row r="596" spans="1:33">
      <c r="A596" t="s">
        <v>1201</v>
      </c>
      <c r="B596" t="s">
        <v>466</v>
      </c>
      <c r="C596" s="11">
        <v>46025</v>
      </c>
      <c r="D596" t="s">
        <v>127</v>
      </c>
      <c r="E596" t="s">
        <v>314</v>
      </c>
      <c r="F596" s="4"/>
      <c r="G596" s="4"/>
      <c r="H596" t="s">
        <v>57</v>
      </c>
      <c r="I596" t="s">
        <v>100</v>
      </c>
      <c r="J596" t="s">
        <v>170</v>
      </c>
      <c r="K596" t="s">
        <v>60</v>
      </c>
      <c r="L596" t="s">
        <v>94</v>
      </c>
      <c r="M596" s="5"/>
      <c r="N596" s="5"/>
      <c r="O596" s="5"/>
      <c r="P596" s="5"/>
      <c r="R596" t="s">
        <v>141</v>
      </c>
      <c r="S596" t="s">
        <v>63</v>
      </c>
      <c r="T596" s="5"/>
      <c r="U596" s="6"/>
      <c r="V596" t="s">
        <v>64</v>
      </c>
      <c r="W596" s="4"/>
      <c r="X596" t="s">
        <v>65</v>
      </c>
      <c r="Z596" t="s">
        <v>66</v>
      </c>
      <c r="AA596" t="str">
        <f>VLOOKUP(H596,Departments!$A:$B,2,0)</f>
        <v>Pulmonology</v>
      </c>
      <c r="AB596" t="str">
        <f>VLOOKUP(J596,Diagnosis_Guide!$A:$B,2,0)</f>
        <v>COPD Exacerbation</v>
      </c>
      <c r="AC596" s="4" t="str">
        <f>VLOOKUP(J596,Diagnosis_Guide!$A:$C,3,0)</f>
        <v>Respiratory</v>
      </c>
      <c r="AD596" s="4" t="str">
        <f>VLOOKUP(R596,Insurance_Plans!$A:$C,3,0)</f>
        <v>Private</v>
      </c>
      <c r="AE596" s="13" t="str">
        <f t="shared" si="27"/>
        <v/>
      </c>
      <c r="AF596" s="13" t="str">
        <f t="shared" si="28"/>
        <v/>
      </c>
      <c r="AG596" s="4" t="str">
        <f t="shared" si="29"/>
        <v>Not Available</v>
      </c>
    </row>
    <row r="597" spans="1:33">
      <c r="A597" t="s">
        <v>1202</v>
      </c>
      <c r="B597" t="s">
        <v>581</v>
      </c>
      <c r="C597" s="11">
        <v>46132</v>
      </c>
      <c r="D597" t="s">
        <v>225</v>
      </c>
      <c r="E597" t="s">
        <v>70</v>
      </c>
      <c r="F597" s="4">
        <v>46132</v>
      </c>
      <c r="G597" s="4">
        <v>46132</v>
      </c>
      <c r="H597" t="s">
        <v>121</v>
      </c>
      <c r="I597" t="s">
        <v>122</v>
      </c>
      <c r="J597" t="s">
        <v>123</v>
      </c>
      <c r="K597" t="s">
        <v>60</v>
      </c>
      <c r="L597" t="s">
        <v>74</v>
      </c>
      <c r="M597" s="5">
        <v>32300</v>
      </c>
      <c r="N597" s="5">
        <v>3650</v>
      </c>
      <c r="O597" s="5">
        <v>7500</v>
      </c>
      <c r="P597" s="5">
        <v>0</v>
      </c>
      <c r="Q597" s="13">
        <v>44450</v>
      </c>
      <c r="R597" t="s">
        <v>106</v>
      </c>
      <c r="S597" t="s">
        <v>76</v>
      </c>
      <c r="T597" s="5">
        <v>16260</v>
      </c>
      <c r="U597" s="6">
        <v>5</v>
      </c>
      <c r="V597" t="s">
        <v>77</v>
      </c>
      <c r="W597" s="4">
        <v>46140</v>
      </c>
      <c r="X597" t="s">
        <v>64</v>
      </c>
      <c r="Y597" t="s">
        <v>64</v>
      </c>
      <c r="Z597" t="s">
        <v>96</v>
      </c>
      <c r="AA597" t="str">
        <f>VLOOKUP(H597,Departments!$A:$B,2,0)</f>
        <v>Neurology</v>
      </c>
      <c r="AB597" t="str">
        <f>VLOOKUP(J597,Diagnosis_Guide!$A:$B,2,0)</f>
        <v>Seizure Episode</v>
      </c>
      <c r="AC597" s="4" t="str">
        <f>VLOOKUP(J597,Diagnosis_Guide!$A:$C,3,0)</f>
        <v>Neurological</v>
      </c>
      <c r="AD597" s="4" t="str">
        <f>VLOOKUP(R597,Insurance_Plans!$A:$C,3,0)</f>
        <v>Private</v>
      </c>
      <c r="AE597" s="13">
        <f t="shared" si="27"/>
        <v>2222.5</v>
      </c>
      <c r="AF597" s="13">
        <f t="shared" si="28"/>
        <v>46672.5</v>
      </c>
      <c r="AG597" s="4" t="str">
        <f t="shared" si="29"/>
        <v>High</v>
      </c>
    </row>
    <row r="598" spans="1:33">
      <c r="A598" t="s">
        <v>1203</v>
      </c>
      <c r="B598" t="s">
        <v>581</v>
      </c>
      <c r="C598" s="11">
        <v>46125</v>
      </c>
      <c r="D598" t="s">
        <v>279</v>
      </c>
      <c r="E598" t="s">
        <v>70</v>
      </c>
      <c r="F598" s="4">
        <v>46125</v>
      </c>
      <c r="G598" s="4">
        <v>46126</v>
      </c>
      <c r="H598" t="s">
        <v>103</v>
      </c>
      <c r="I598" t="s">
        <v>243</v>
      </c>
      <c r="J598" t="s">
        <v>145</v>
      </c>
      <c r="K598" t="s">
        <v>60</v>
      </c>
      <c r="L598" t="s">
        <v>94</v>
      </c>
      <c r="M598" s="5">
        <v>36700</v>
      </c>
      <c r="N598" s="5">
        <v>6000</v>
      </c>
      <c r="O598" s="5">
        <v>6050</v>
      </c>
      <c r="P598" s="5">
        <v>3500</v>
      </c>
      <c r="Q598" s="13">
        <v>54050</v>
      </c>
      <c r="R598" t="s">
        <v>85</v>
      </c>
      <c r="S598" t="s">
        <v>76</v>
      </c>
      <c r="T598" s="5">
        <v>14410</v>
      </c>
      <c r="U598" s="6">
        <v>4</v>
      </c>
      <c r="V598" t="s">
        <v>64</v>
      </c>
      <c r="W598" s="4"/>
      <c r="X598" t="s">
        <v>65</v>
      </c>
      <c r="Y598" t="s">
        <v>64</v>
      </c>
      <c r="Z598" t="s">
        <v>107</v>
      </c>
      <c r="AA598" t="str">
        <f>VLOOKUP(H598,Departments!$A:$B,2,0)</f>
        <v>Nephrology</v>
      </c>
      <c r="AB598" t="str">
        <f>VLOOKUP(J598,Diagnosis_Guide!$A:$B,2,0)</f>
        <v>Kidney Stone</v>
      </c>
      <c r="AC598" s="4" t="str">
        <f>VLOOKUP(J598,Diagnosis_Guide!$A:$C,3,0)</f>
        <v>Renal</v>
      </c>
      <c r="AD598" s="4" t="str">
        <f>VLOOKUP(R598,Insurance_Plans!$A:$C,3,0)</f>
        <v>Employer</v>
      </c>
      <c r="AE598" s="13">
        <f t="shared" si="27"/>
        <v>2702.5</v>
      </c>
      <c r="AF598" s="13">
        <f t="shared" si="28"/>
        <v>56752.5</v>
      </c>
      <c r="AG598" s="4" t="str">
        <f t="shared" si="29"/>
        <v>High</v>
      </c>
    </row>
    <row r="599" spans="1:33">
      <c r="A599" t="s">
        <v>1204</v>
      </c>
      <c r="B599" t="s">
        <v>1044</v>
      </c>
      <c r="C599" s="11">
        <v>46048</v>
      </c>
      <c r="D599" t="s">
        <v>250</v>
      </c>
      <c r="E599" t="s">
        <v>70</v>
      </c>
      <c r="F599" s="4">
        <v>46048</v>
      </c>
      <c r="G599" s="4">
        <v>46052</v>
      </c>
      <c r="H599" t="s">
        <v>57</v>
      </c>
      <c r="I599" t="s">
        <v>100</v>
      </c>
      <c r="J599" t="s">
        <v>170</v>
      </c>
      <c r="K599" t="s">
        <v>93</v>
      </c>
      <c r="L599" t="s">
        <v>94</v>
      </c>
      <c r="M599" s="5">
        <v>72500</v>
      </c>
      <c r="N599" s="5">
        <v>9200</v>
      </c>
      <c r="O599" s="5">
        <v>9250</v>
      </c>
      <c r="P599" s="5">
        <v>10000</v>
      </c>
      <c r="Q599" s="13">
        <v>102950</v>
      </c>
      <c r="R599" t="s">
        <v>95</v>
      </c>
      <c r="S599" t="s">
        <v>63</v>
      </c>
      <c r="T599" s="5">
        <v>102950</v>
      </c>
      <c r="U599" s="6"/>
      <c r="V599" t="s">
        <v>77</v>
      </c>
      <c r="W599" s="4">
        <v>46065</v>
      </c>
      <c r="X599" t="s">
        <v>64</v>
      </c>
      <c r="Y599" t="s">
        <v>64</v>
      </c>
      <c r="Z599" t="s">
        <v>107</v>
      </c>
      <c r="AA599" t="str">
        <f>VLOOKUP(H599,Departments!$A:$B,2,0)</f>
        <v>Pulmonology</v>
      </c>
      <c r="AB599" t="str">
        <f>VLOOKUP(J599,Diagnosis_Guide!$A:$B,2,0)</f>
        <v>COPD Exacerbation</v>
      </c>
      <c r="AC599" s="4" t="str">
        <f>VLOOKUP(J599,Diagnosis_Guide!$A:$C,3,0)</f>
        <v>Respiratory</v>
      </c>
      <c r="AD599" s="4" t="str">
        <f>VLOOKUP(R599,Insurance_Plans!$A:$C,3,0)</f>
        <v>Self-Pay</v>
      </c>
      <c r="AE599" s="13">
        <f t="shared" si="27"/>
        <v>5147.5</v>
      </c>
      <c r="AF599" s="13">
        <f t="shared" si="28"/>
        <v>108097.5</v>
      </c>
      <c r="AG599" s="4" t="str">
        <f t="shared" si="29"/>
        <v>Not Available</v>
      </c>
    </row>
    <row r="600" spans="1:33">
      <c r="A600" t="s">
        <v>1205</v>
      </c>
      <c r="B600" t="s">
        <v>263</v>
      </c>
      <c r="C600" s="11">
        <v>46128</v>
      </c>
      <c r="D600" t="s">
        <v>81</v>
      </c>
      <c r="E600" t="s">
        <v>56</v>
      </c>
      <c r="F600" s="4"/>
      <c r="G600" s="4"/>
      <c r="H600" t="s">
        <v>82</v>
      </c>
      <c r="I600" t="s">
        <v>272</v>
      </c>
      <c r="J600" t="s">
        <v>156</v>
      </c>
      <c r="K600" t="s">
        <v>124</v>
      </c>
      <c r="L600" t="s">
        <v>146</v>
      </c>
      <c r="M600" s="5"/>
      <c r="N600" s="5"/>
      <c r="O600" s="5"/>
      <c r="P600" s="5"/>
      <c r="R600" t="s">
        <v>141</v>
      </c>
      <c r="S600" t="s">
        <v>63</v>
      </c>
      <c r="T600" s="5"/>
      <c r="U600" s="6"/>
      <c r="V600" t="s">
        <v>64</v>
      </c>
      <c r="W600" s="4"/>
      <c r="X600" t="s">
        <v>65</v>
      </c>
      <c r="Z600" t="s">
        <v>66</v>
      </c>
      <c r="AA600" t="str">
        <f>VLOOKUP(H600,Departments!$A:$B,2,0)</f>
        <v>Orthopedics</v>
      </c>
      <c r="AB600" t="str">
        <f>VLOOKUP(J600,Diagnosis_Guide!$A:$B,2,0)</f>
        <v>Spinal Injury</v>
      </c>
      <c r="AC600" s="4" t="str">
        <f>VLOOKUP(J600,Diagnosis_Guide!$A:$C,3,0)</f>
        <v>Musculoskeletal</v>
      </c>
      <c r="AD600" s="4" t="str">
        <f>VLOOKUP(R600,Insurance_Plans!$A:$C,3,0)</f>
        <v>Private</v>
      </c>
      <c r="AE600" s="13" t="str">
        <f t="shared" si="27"/>
        <v/>
      </c>
      <c r="AF600" s="13" t="str">
        <f t="shared" si="28"/>
        <v/>
      </c>
      <c r="AG600" s="4" t="str">
        <f t="shared" si="29"/>
        <v>Not Available</v>
      </c>
    </row>
    <row r="601" spans="1:33">
      <c r="A601" t="s">
        <v>1206</v>
      </c>
      <c r="B601" t="s">
        <v>1020</v>
      </c>
      <c r="C601" s="11">
        <v>46099</v>
      </c>
      <c r="D601" t="s">
        <v>250</v>
      </c>
      <c r="E601" t="s">
        <v>70</v>
      </c>
      <c r="F601" s="4">
        <v>46099</v>
      </c>
      <c r="G601" s="4">
        <v>46099</v>
      </c>
      <c r="H601" t="s">
        <v>111</v>
      </c>
      <c r="I601" t="s">
        <v>116</v>
      </c>
      <c r="J601" t="s">
        <v>384</v>
      </c>
      <c r="K601" t="s">
        <v>60</v>
      </c>
      <c r="L601" t="s">
        <v>61</v>
      </c>
      <c r="M601" s="5">
        <v>44000</v>
      </c>
      <c r="N601" s="5">
        <v>5350</v>
      </c>
      <c r="O601" s="5">
        <v>7200</v>
      </c>
      <c r="P601" s="5">
        <v>0</v>
      </c>
      <c r="Q601" s="13">
        <v>57350</v>
      </c>
      <c r="R601" t="s">
        <v>62</v>
      </c>
      <c r="S601" t="s">
        <v>76</v>
      </c>
      <c r="T601" s="5">
        <v>17610</v>
      </c>
      <c r="U601" s="6">
        <v>4</v>
      </c>
      <c r="V601" t="s">
        <v>77</v>
      </c>
      <c r="W601" s="4">
        <v>46116</v>
      </c>
      <c r="X601" t="s">
        <v>77</v>
      </c>
      <c r="Y601" t="s">
        <v>64</v>
      </c>
      <c r="Z601" t="s">
        <v>78</v>
      </c>
      <c r="AA601" t="str">
        <f>VLOOKUP(H601,Departments!$A:$B,2,0)</f>
        <v>General Medicine</v>
      </c>
      <c r="AB601" t="str">
        <f>VLOOKUP(J601,Diagnosis_Guide!$A:$B,2,0)</f>
        <v>Severe Infection</v>
      </c>
      <c r="AC601" s="4" t="str">
        <f>VLOOKUP(J601,Diagnosis_Guide!$A:$C,3,0)</f>
        <v>Infectious/General</v>
      </c>
      <c r="AD601" s="4" t="str">
        <f>VLOOKUP(R601,Insurance_Plans!$A:$C,3,0)</f>
        <v>Public</v>
      </c>
      <c r="AE601" s="13">
        <f t="shared" si="27"/>
        <v>2867.5</v>
      </c>
      <c r="AF601" s="13">
        <f t="shared" si="28"/>
        <v>60217.5</v>
      </c>
      <c r="AG601" s="4" t="str">
        <f t="shared" si="29"/>
        <v>High</v>
      </c>
    </row>
    <row r="602" spans="1:33">
      <c r="A602" t="s">
        <v>1207</v>
      </c>
      <c r="B602" t="s">
        <v>598</v>
      </c>
      <c r="C602" s="11">
        <v>46130</v>
      </c>
      <c r="D602" t="s">
        <v>266</v>
      </c>
      <c r="E602" t="s">
        <v>70</v>
      </c>
      <c r="F602" s="4">
        <v>46130</v>
      </c>
      <c r="G602" s="4">
        <v>46134</v>
      </c>
      <c r="H602" t="s">
        <v>111</v>
      </c>
      <c r="I602" t="s">
        <v>267</v>
      </c>
      <c r="J602" t="s">
        <v>384</v>
      </c>
      <c r="K602" t="s">
        <v>124</v>
      </c>
      <c r="L602" t="s">
        <v>94</v>
      </c>
      <c r="M602" s="5">
        <v>57500</v>
      </c>
      <c r="N602" s="5">
        <v>7700</v>
      </c>
      <c r="O602" s="5">
        <v>13150</v>
      </c>
      <c r="P602" s="5">
        <v>24000</v>
      </c>
      <c r="Q602" s="13">
        <v>103550</v>
      </c>
      <c r="R602" t="s">
        <v>141</v>
      </c>
      <c r="S602" t="s">
        <v>76</v>
      </c>
      <c r="T602" s="5">
        <v>16730</v>
      </c>
      <c r="U602" s="6">
        <v>4</v>
      </c>
      <c r="V602" t="s">
        <v>64</v>
      </c>
      <c r="W602" s="4"/>
      <c r="X602" t="s">
        <v>65</v>
      </c>
      <c r="Y602" t="s">
        <v>64</v>
      </c>
      <c r="Z602" t="s">
        <v>107</v>
      </c>
      <c r="AA602" t="str">
        <f>VLOOKUP(H602,Departments!$A:$B,2,0)</f>
        <v>General Medicine</v>
      </c>
      <c r="AB602" t="str">
        <f>VLOOKUP(J602,Diagnosis_Guide!$A:$B,2,0)</f>
        <v>Severe Infection</v>
      </c>
      <c r="AC602" s="4" t="str">
        <f>VLOOKUP(J602,Diagnosis_Guide!$A:$C,3,0)</f>
        <v>Infectious/General</v>
      </c>
      <c r="AD602" s="4" t="str">
        <f>VLOOKUP(R602,Insurance_Plans!$A:$C,3,0)</f>
        <v>Private</v>
      </c>
      <c r="AE602" s="13">
        <f t="shared" si="27"/>
        <v>5177.5</v>
      </c>
      <c r="AF602" s="13">
        <f t="shared" si="28"/>
        <v>108727.5</v>
      </c>
      <c r="AG602" s="4" t="str">
        <f t="shared" si="29"/>
        <v>High</v>
      </c>
    </row>
    <row r="603" spans="1:33">
      <c r="A603" t="s">
        <v>1208</v>
      </c>
      <c r="B603" t="s">
        <v>1209</v>
      </c>
      <c r="C603" s="11">
        <v>46073</v>
      </c>
      <c r="D603" t="s">
        <v>234</v>
      </c>
      <c r="E603" t="s">
        <v>314</v>
      </c>
      <c r="F603" s="4"/>
      <c r="G603" s="4"/>
      <c r="H603" t="s">
        <v>121</v>
      </c>
      <c r="I603" t="s">
        <v>251</v>
      </c>
      <c r="J603" t="s">
        <v>252</v>
      </c>
      <c r="K603" t="s">
        <v>93</v>
      </c>
      <c r="L603" t="s">
        <v>94</v>
      </c>
      <c r="M603" s="5"/>
      <c r="N603" s="5"/>
      <c r="O603" s="5"/>
      <c r="P603" s="5"/>
      <c r="R603" t="s">
        <v>134</v>
      </c>
      <c r="S603" t="s">
        <v>63</v>
      </c>
      <c r="T603" s="5"/>
      <c r="U603" s="6"/>
      <c r="V603" t="s">
        <v>64</v>
      </c>
      <c r="W603" s="4"/>
      <c r="X603" t="s">
        <v>65</v>
      </c>
      <c r="Z603" t="s">
        <v>66</v>
      </c>
      <c r="AA603" t="str">
        <f>VLOOKUP(H603,Departments!$A:$B,2,0)</f>
        <v>Neurology</v>
      </c>
      <c r="AB603" t="str">
        <f>VLOOKUP(J603,Diagnosis_Guide!$A:$B,2,0)</f>
        <v>Stroke Assessment</v>
      </c>
      <c r="AC603" s="4" t="str">
        <f>VLOOKUP(J603,Diagnosis_Guide!$A:$C,3,0)</f>
        <v>Neurological</v>
      </c>
      <c r="AD603" s="4" t="str">
        <f>VLOOKUP(R603,Insurance_Plans!$A:$C,3,0)</f>
        <v>Community</v>
      </c>
      <c r="AE603" s="13" t="str">
        <f t="shared" si="27"/>
        <v/>
      </c>
      <c r="AF603" s="13" t="str">
        <f t="shared" si="28"/>
        <v/>
      </c>
      <c r="AG603" s="4" t="str">
        <f t="shared" si="29"/>
        <v>Not Available</v>
      </c>
    </row>
    <row r="604" spans="1:33">
      <c r="A604" t="s">
        <v>1210</v>
      </c>
      <c r="B604" t="s">
        <v>1104</v>
      </c>
      <c r="C604" s="11">
        <v>46031</v>
      </c>
      <c r="D604" t="s">
        <v>210</v>
      </c>
      <c r="E604" t="s">
        <v>177</v>
      </c>
      <c r="F604" s="4"/>
      <c r="G604" s="4"/>
      <c r="H604" t="s">
        <v>201</v>
      </c>
      <c r="I604" t="s">
        <v>327</v>
      </c>
      <c r="J604" t="s">
        <v>203</v>
      </c>
      <c r="K604" t="s">
        <v>73</v>
      </c>
      <c r="L604" t="s">
        <v>94</v>
      </c>
      <c r="M604" s="5"/>
      <c r="N604" s="5"/>
      <c r="O604" s="5"/>
      <c r="P604" s="5"/>
      <c r="R604" t="s">
        <v>95</v>
      </c>
      <c r="S604" t="s">
        <v>63</v>
      </c>
      <c r="T604" s="5"/>
      <c r="U604" s="6"/>
      <c r="V604" t="s">
        <v>64</v>
      </c>
      <c r="W604" s="4"/>
      <c r="X604" t="s">
        <v>65</v>
      </c>
      <c r="Z604" t="s">
        <v>66</v>
      </c>
      <c r="AA604" t="str">
        <f>VLOOKUP(H604,Departments!$A:$B,2,0)</f>
        <v>Emergency</v>
      </c>
      <c r="AB604" t="str">
        <f>VLOOKUP(J604,Diagnosis_Guide!$A:$B,2,0)</f>
        <v>Trauma Observation</v>
      </c>
      <c r="AC604" s="4" t="str">
        <f>VLOOKUP(J604,Diagnosis_Guide!$A:$C,3,0)</f>
        <v>Emergency</v>
      </c>
      <c r="AD604" s="4" t="str">
        <f>VLOOKUP(R604,Insurance_Plans!$A:$C,3,0)</f>
        <v>Self-Pay</v>
      </c>
      <c r="AE604" s="13" t="str">
        <f t="shared" si="27"/>
        <v/>
      </c>
      <c r="AF604" s="13" t="str">
        <f t="shared" si="28"/>
        <v/>
      </c>
      <c r="AG604" s="4" t="str">
        <f t="shared" si="29"/>
        <v>Not Available</v>
      </c>
    </row>
    <row r="605" spans="1:33">
      <c r="A605" t="s">
        <v>1211</v>
      </c>
      <c r="B605" t="s">
        <v>642</v>
      </c>
      <c r="C605" s="11">
        <v>46136</v>
      </c>
      <c r="D605" t="s">
        <v>302</v>
      </c>
      <c r="E605" t="s">
        <v>70</v>
      </c>
      <c r="F605" s="4">
        <v>46137</v>
      </c>
      <c r="G605" s="4">
        <v>46137</v>
      </c>
      <c r="H605" t="s">
        <v>82</v>
      </c>
      <c r="I605" t="s">
        <v>155</v>
      </c>
      <c r="J605" t="s">
        <v>84</v>
      </c>
      <c r="K605" t="s">
        <v>60</v>
      </c>
      <c r="L605" t="s">
        <v>74</v>
      </c>
      <c r="M605" s="5">
        <v>8000</v>
      </c>
      <c r="N605" s="5">
        <v>1100</v>
      </c>
      <c r="O605" s="5">
        <v>1550</v>
      </c>
      <c r="P605" s="5">
        <v>0</v>
      </c>
      <c r="Q605" s="13">
        <v>13150</v>
      </c>
      <c r="R605" t="s">
        <v>75</v>
      </c>
      <c r="S605" t="s">
        <v>163</v>
      </c>
      <c r="T605" s="5">
        <v>6220</v>
      </c>
      <c r="U605" s="6">
        <v>4</v>
      </c>
      <c r="V605" t="s">
        <v>77</v>
      </c>
      <c r="W605" s="4">
        <v>46157</v>
      </c>
      <c r="X605" t="s">
        <v>77</v>
      </c>
      <c r="Y605" t="s">
        <v>64</v>
      </c>
      <c r="Z605" t="s">
        <v>96</v>
      </c>
      <c r="AA605" t="str">
        <f>VLOOKUP(H605,Departments!$A:$B,2,0)</f>
        <v>Orthopedics</v>
      </c>
      <c r="AB605" t="str">
        <f>VLOOKUP(J605,Diagnosis_Guide!$A:$B,2,0)</f>
        <v>Joint Pain</v>
      </c>
      <c r="AC605" s="4" t="str">
        <f>VLOOKUP(J605,Diagnosis_Guide!$A:$C,3,0)</f>
        <v>Musculoskeletal</v>
      </c>
      <c r="AD605" s="4" t="str">
        <f>VLOOKUP(R605,Insurance_Plans!$A:$C,3,0)</f>
        <v>Public</v>
      </c>
      <c r="AE605" s="13">
        <f t="shared" si="27"/>
        <v>657.5</v>
      </c>
      <c r="AF605" s="13">
        <f t="shared" si="28"/>
        <v>13807.5</v>
      </c>
      <c r="AG605" s="4" t="str">
        <f t="shared" si="29"/>
        <v>High</v>
      </c>
    </row>
    <row r="606" spans="1:33">
      <c r="A606" t="s">
        <v>1212</v>
      </c>
      <c r="B606" t="s">
        <v>1213</v>
      </c>
      <c r="C606" s="11">
        <v>46066</v>
      </c>
      <c r="D606" t="s">
        <v>69</v>
      </c>
      <c r="E606" t="s">
        <v>70</v>
      </c>
      <c r="F606" s="4">
        <v>46066</v>
      </c>
      <c r="G606" s="4">
        <v>46072</v>
      </c>
      <c r="H606" t="s">
        <v>201</v>
      </c>
      <c r="I606" t="s">
        <v>421</v>
      </c>
      <c r="J606" t="s">
        <v>295</v>
      </c>
      <c r="K606" t="s">
        <v>124</v>
      </c>
      <c r="L606" t="s">
        <v>74</v>
      </c>
      <c r="M606" s="5">
        <v>38100</v>
      </c>
      <c r="N606" s="5">
        <v>3250</v>
      </c>
      <c r="O606" s="5">
        <v>7750</v>
      </c>
      <c r="P606" s="5">
        <v>36000</v>
      </c>
      <c r="Q606" s="13">
        <v>86100</v>
      </c>
      <c r="R606" t="s">
        <v>95</v>
      </c>
      <c r="S606" t="s">
        <v>63</v>
      </c>
      <c r="T606" s="5">
        <v>86100</v>
      </c>
      <c r="U606" s="6">
        <v>3</v>
      </c>
      <c r="V606" t="s">
        <v>77</v>
      </c>
      <c r="W606" s="4">
        <v>46088</v>
      </c>
      <c r="X606" t="s">
        <v>77</v>
      </c>
      <c r="Y606" t="s">
        <v>64</v>
      </c>
      <c r="Z606" t="s">
        <v>78</v>
      </c>
      <c r="AA606" t="str">
        <f>VLOOKUP(H606,Departments!$A:$B,2,0)</f>
        <v>Emergency</v>
      </c>
      <c r="AB606" t="str">
        <f>VLOOKUP(J606,Diagnosis_Guide!$A:$B,2,0)</f>
        <v>Accident Injury</v>
      </c>
      <c r="AC606" s="4" t="str">
        <f>VLOOKUP(J606,Diagnosis_Guide!$A:$C,3,0)</f>
        <v>Emergency</v>
      </c>
      <c r="AD606" s="4" t="str">
        <f>VLOOKUP(R606,Insurance_Plans!$A:$C,3,0)</f>
        <v>Self-Pay</v>
      </c>
      <c r="AE606" s="13">
        <f t="shared" si="27"/>
        <v>4305</v>
      </c>
      <c r="AF606" s="13">
        <f t="shared" si="28"/>
        <v>90405</v>
      </c>
      <c r="AG606" s="4" t="str">
        <f t="shared" si="29"/>
        <v>Medium</v>
      </c>
    </row>
    <row r="607" spans="1:33">
      <c r="A607" t="s">
        <v>1214</v>
      </c>
      <c r="B607" t="s">
        <v>351</v>
      </c>
      <c r="C607" s="11">
        <v>46059</v>
      </c>
      <c r="D607" t="s">
        <v>55</v>
      </c>
      <c r="E607" t="s">
        <v>70</v>
      </c>
      <c r="F607" s="4">
        <v>46060</v>
      </c>
      <c r="G607" s="4">
        <v>46064</v>
      </c>
      <c r="H607" t="s">
        <v>201</v>
      </c>
      <c r="I607" t="s">
        <v>449</v>
      </c>
      <c r="J607" t="s">
        <v>281</v>
      </c>
      <c r="K607" t="s">
        <v>124</v>
      </c>
      <c r="L607" t="s">
        <v>61</v>
      </c>
      <c r="M607" s="5">
        <v>7000</v>
      </c>
      <c r="N607" s="5">
        <v>700</v>
      </c>
      <c r="O607" s="5">
        <v>900</v>
      </c>
      <c r="P607" s="5">
        <v>10000</v>
      </c>
      <c r="Q607" s="13">
        <v>19400</v>
      </c>
      <c r="R607" t="s">
        <v>134</v>
      </c>
      <c r="S607" t="s">
        <v>86</v>
      </c>
      <c r="T607" s="5">
        <v>10870</v>
      </c>
      <c r="U607" s="6">
        <v>3</v>
      </c>
      <c r="V607" t="s">
        <v>77</v>
      </c>
      <c r="W607" s="4">
        <v>46071</v>
      </c>
      <c r="X607" t="s">
        <v>77</v>
      </c>
      <c r="Y607" t="s">
        <v>64</v>
      </c>
      <c r="Z607" t="s">
        <v>96</v>
      </c>
      <c r="AA607" t="str">
        <f>VLOOKUP(H607,Departments!$A:$B,2,0)</f>
        <v>Emergency</v>
      </c>
      <c r="AB607" t="str">
        <f>VLOOKUP(J607,Diagnosis_Guide!$A:$B,2,0)</f>
        <v>Food Poisoning</v>
      </c>
      <c r="AC607" s="4" t="str">
        <f>VLOOKUP(J607,Diagnosis_Guide!$A:$C,3,0)</f>
        <v>Emergency</v>
      </c>
      <c r="AD607" s="4" t="str">
        <f>VLOOKUP(R607,Insurance_Plans!$A:$C,3,0)</f>
        <v>Community</v>
      </c>
      <c r="AE607" s="13">
        <f t="shared" si="27"/>
        <v>970</v>
      </c>
      <c r="AF607" s="13">
        <f t="shared" si="28"/>
        <v>20370</v>
      </c>
      <c r="AG607" s="4" t="str">
        <f t="shared" si="29"/>
        <v>Medium</v>
      </c>
    </row>
    <row r="608" spans="1:33">
      <c r="A608" t="s">
        <v>1215</v>
      </c>
      <c r="B608" t="s">
        <v>613</v>
      </c>
      <c r="C608" s="11">
        <v>46048</v>
      </c>
      <c r="D608" t="s">
        <v>432</v>
      </c>
      <c r="E608" t="s">
        <v>70</v>
      </c>
      <c r="F608" s="4">
        <v>46049</v>
      </c>
      <c r="G608" s="4">
        <v>46049</v>
      </c>
      <c r="H608" t="s">
        <v>121</v>
      </c>
      <c r="I608" t="s">
        <v>174</v>
      </c>
      <c r="J608" t="s">
        <v>256</v>
      </c>
      <c r="K608" t="s">
        <v>60</v>
      </c>
      <c r="L608" t="s">
        <v>74</v>
      </c>
      <c r="M608" s="5">
        <v>17000</v>
      </c>
      <c r="N608" s="5">
        <v>2950</v>
      </c>
      <c r="O608" s="5">
        <v>2100</v>
      </c>
      <c r="P608" s="5">
        <v>0</v>
      </c>
      <c r="Q608" s="13">
        <v>23850</v>
      </c>
      <c r="R608" t="s">
        <v>75</v>
      </c>
      <c r="S608" t="s">
        <v>76</v>
      </c>
      <c r="T608" s="5">
        <v>11030</v>
      </c>
      <c r="U608" s="6">
        <v>5</v>
      </c>
      <c r="V608" t="s">
        <v>77</v>
      </c>
      <c r="W608" s="4">
        <v>46059</v>
      </c>
      <c r="X608" t="s">
        <v>77</v>
      </c>
      <c r="Y608" t="s">
        <v>64</v>
      </c>
      <c r="Z608" t="s">
        <v>96</v>
      </c>
      <c r="AA608" t="str">
        <f>VLOOKUP(H608,Departments!$A:$B,2,0)</f>
        <v>Neurology</v>
      </c>
      <c r="AB608" t="str">
        <f>VLOOKUP(J608,Diagnosis_Guide!$A:$B,2,0)</f>
        <v>Migraine Complication</v>
      </c>
      <c r="AC608" s="4" t="str">
        <f>VLOOKUP(J608,Diagnosis_Guide!$A:$C,3,0)</f>
        <v>Neurological</v>
      </c>
      <c r="AD608" s="4" t="str">
        <f>VLOOKUP(R608,Insurance_Plans!$A:$C,3,0)</f>
        <v>Public</v>
      </c>
      <c r="AE608" s="13">
        <f t="shared" si="27"/>
        <v>1192.5</v>
      </c>
      <c r="AF608" s="13">
        <f t="shared" si="28"/>
        <v>25042.5</v>
      </c>
      <c r="AG608" s="4" t="str">
        <f t="shared" si="29"/>
        <v>High</v>
      </c>
    </row>
    <row r="609" spans="1:33">
      <c r="A609" t="s">
        <v>1216</v>
      </c>
      <c r="B609" t="s">
        <v>1217</v>
      </c>
      <c r="C609" s="11">
        <v>46103</v>
      </c>
      <c r="D609" t="s">
        <v>225</v>
      </c>
      <c r="E609" t="s">
        <v>70</v>
      </c>
      <c r="F609" s="4">
        <v>46103</v>
      </c>
      <c r="G609" s="4">
        <v>46111</v>
      </c>
      <c r="H609" t="s">
        <v>178</v>
      </c>
      <c r="I609" t="s">
        <v>218</v>
      </c>
      <c r="J609" t="s">
        <v>340</v>
      </c>
      <c r="K609" t="s">
        <v>93</v>
      </c>
      <c r="L609" t="s">
        <v>94</v>
      </c>
      <c r="M609" s="5">
        <v>64400</v>
      </c>
      <c r="N609" s="5">
        <v>10000</v>
      </c>
      <c r="O609" s="5">
        <v>6750</v>
      </c>
      <c r="P609" s="5">
        <v>36000</v>
      </c>
      <c r="Q609" s="13">
        <v>118650</v>
      </c>
      <c r="R609" t="s">
        <v>75</v>
      </c>
      <c r="S609" t="s">
        <v>76</v>
      </c>
      <c r="T609" s="5">
        <v>53690</v>
      </c>
      <c r="U609" s="6">
        <v>4</v>
      </c>
      <c r="V609" t="s">
        <v>77</v>
      </c>
      <c r="W609" s="4">
        <v>46131</v>
      </c>
      <c r="X609" t="s">
        <v>77</v>
      </c>
      <c r="Y609" t="s">
        <v>77</v>
      </c>
      <c r="Z609" t="s">
        <v>96</v>
      </c>
      <c r="AA609" t="str">
        <f>VLOOKUP(H609,Departments!$A:$B,2,0)</f>
        <v>Surgery</v>
      </c>
      <c r="AB609" t="str">
        <f>VLOOKUP(J609,Diagnosis_Guide!$A:$B,2,0)</f>
        <v>Post-Operative Infection</v>
      </c>
      <c r="AC609" s="4" t="str">
        <f>VLOOKUP(J609,Diagnosis_Guide!$A:$C,3,0)</f>
        <v>Surgical</v>
      </c>
      <c r="AD609" s="4" t="str">
        <f>VLOOKUP(R609,Insurance_Plans!$A:$C,3,0)</f>
        <v>Public</v>
      </c>
      <c r="AE609" s="13">
        <f t="shared" si="27"/>
        <v>5932.5</v>
      </c>
      <c r="AF609" s="13">
        <f t="shared" si="28"/>
        <v>124582.5</v>
      </c>
      <c r="AG609" s="4" t="str">
        <f t="shared" si="29"/>
        <v>High</v>
      </c>
    </row>
    <row r="610" spans="1:33">
      <c r="A610" t="s">
        <v>1218</v>
      </c>
      <c r="B610" t="s">
        <v>1219</v>
      </c>
      <c r="C610" s="11">
        <v>46094</v>
      </c>
      <c r="D610" t="s">
        <v>439</v>
      </c>
      <c r="E610" t="s">
        <v>177</v>
      </c>
      <c r="F610" s="4"/>
      <c r="G610" s="4"/>
      <c r="H610" t="s">
        <v>178</v>
      </c>
      <c r="I610" t="s">
        <v>415</v>
      </c>
      <c r="J610" t="s">
        <v>340</v>
      </c>
      <c r="K610" t="s">
        <v>93</v>
      </c>
      <c r="L610" t="s">
        <v>94</v>
      </c>
      <c r="M610" s="5"/>
      <c r="N610" s="5"/>
      <c r="O610" s="5"/>
      <c r="P610" s="5"/>
      <c r="R610" t="s">
        <v>75</v>
      </c>
      <c r="S610" t="s">
        <v>63</v>
      </c>
      <c r="T610" s="5"/>
      <c r="U610" s="6"/>
      <c r="V610" t="s">
        <v>64</v>
      </c>
      <c r="W610" s="4"/>
      <c r="X610" t="s">
        <v>65</v>
      </c>
      <c r="Z610" t="s">
        <v>66</v>
      </c>
      <c r="AA610" t="str">
        <f>VLOOKUP(H610,Departments!$A:$B,2,0)</f>
        <v>Surgery</v>
      </c>
      <c r="AB610" t="str">
        <f>VLOOKUP(J610,Diagnosis_Guide!$A:$B,2,0)</f>
        <v>Post-Operative Infection</v>
      </c>
      <c r="AC610" s="4" t="str">
        <f>VLOOKUP(J610,Diagnosis_Guide!$A:$C,3,0)</f>
        <v>Surgical</v>
      </c>
      <c r="AD610" s="4" t="str">
        <f>VLOOKUP(R610,Insurance_Plans!$A:$C,3,0)</f>
        <v>Public</v>
      </c>
      <c r="AE610" s="13" t="str">
        <f t="shared" si="27"/>
        <v/>
      </c>
      <c r="AF610" s="13" t="str">
        <f t="shared" si="28"/>
        <v/>
      </c>
      <c r="AG610" s="4" t="str">
        <f t="shared" si="29"/>
        <v>Not Available</v>
      </c>
    </row>
    <row r="611" spans="1:33">
      <c r="A611" t="s">
        <v>1220</v>
      </c>
      <c r="B611" t="s">
        <v>1121</v>
      </c>
      <c r="C611" s="11">
        <v>46088</v>
      </c>
      <c r="D611" t="s">
        <v>161</v>
      </c>
      <c r="E611" t="s">
        <v>70</v>
      </c>
      <c r="F611" s="4">
        <v>46088</v>
      </c>
      <c r="G611" s="4">
        <v>46092</v>
      </c>
      <c r="H611" t="s">
        <v>150</v>
      </c>
      <c r="I611" t="s">
        <v>228</v>
      </c>
      <c r="J611" t="s">
        <v>229</v>
      </c>
      <c r="K611" t="s">
        <v>93</v>
      </c>
      <c r="L611" t="s">
        <v>61</v>
      </c>
      <c r="M611" s="5">
        <v>43000</v>
      </c>
      <c r="N611" s="5">
        <v>4700</v>
      </c>
      <c r="O611" s="5">
        <v>9350</v>
      </c>
      <c r="P611" s="5">
        <v>12000</v>
      </c>
      <c r="Q611" s="13">
        <v>70550</v>
      </c>
      <c r="R611" t="s">
        <v>75</v>
      </c>
      <c r="S611" t="s">
        <v>76</v>
      </c>
      <c r="T611" s="5">
        <v>32050</v>
      </c>
      <c r="U611" s="6">
        <v>5</v>
      </c>
      <c r="V611" t="s">
        <v>77</v>
      </c>
      <c r="W611" s="4">
        <v>46099</v>
      </c>
      <c r="X611" t="s">
        <v>77</v>
      </c>
      <c r="Y611" t="s">
        <v>64</v>
      </c>
      <c r="Z611" t="s">
        <v>96</v>
      </c>
      <c r="AA611" t="str">
        <f>VLOOKUP(H611,Departments!$A:$B,2,0)</f>
        <v>Obstetrics</v>
      </c>
      <c r="AB611" t="str">
        <f>VLOOKUP(J611,Diagnosis_Guide!$A:$B,2,0)</f>
        <v>Delivery Care</v>
      </c>
      <c r="AC611" s="4" t="str">
        <f>VLOOKUP(J611,Diagnosis_Guide!$A:$C,3,0)</f>
        <v>Maternal Health</v>
      </c>
      <c r="AD611" s="4" t="str">
        <f>VLOOKUP(R611,Insurance_Plans!$A:$C,3,0)</f>
        <v>Public</v>
      </c>
      <c r="AE611" s="13">
        <f t="shared" si="27"/>
        <v>3527.5</v>
      </c>
      <c r="AF611" s="13">
        <f t="shared" si="28"/>
        <v>74077.5</v>
      </c>
      <c r="AG611" s="4" t="str">
        <f t="shared" si="29"/>
        <v>High</v>
      </c>
    </row>
    <row r="612" spans="1:33">
      <c r="A612" t="s">
        <v>1221</v>
      </c>
      <c r="B612" t="s">
        <v>1125</v>
      </c>
      <c r="C612" s="11">
        <v>46137</v>
      </c>
      <c r="D612" t="s">
        <v>307</v>
      </c>
      <c r="E612" t="s">
        <v>70</v>
      </c>
      <c r="F612" s="4">
        <v>46138</v>
      </c>
      <c r="G612" s="4">
        <v>46138</v>
      </c>
      <c r="H612" t="s">
        <v>138</v>
      </c>
      <c r="I612" t="s">
        <v>352</v>
      </c>
      <c r="J612" t="s">
        <v>140</v>
      </c>
      <c r="K612" t="s">
        <v>60</v>
      </c>
      <c r="L612" t="s">
        <v>94</v>
      </c>
      <c r="M612" s="5">
        <v>18200</v>
      </c>
      <c r="N612" s="5">
        <v>2300</v>
      </c>
      <c r="O612" s="5">
        <v>2050</v>
      </c>
      <c r="P612" s="5">
        <v>0</v>
      </c>
      <c r="Q612" s="13">
        <v>24350</v>
      </c>
      <c r="R612" t="s">
        <v>141</v>
      </c>
      <c r="S612" t="s">
        <v>86</v>
      </c>
      <c r="T612" s="5">
        <v>4850</v>
      </c>
      <c r="U612" s="6">
        <v>4</v>
      </c>
      <c r="V612" t="s">
        <v>64</v>
      </c>
      <c r="W612" s="4"/>
      <c r="X612" t="s">
        <v>65</v>
      </c>
      <c r="Y612" t="s">
        <v>77</v>
      </c>
      <c r="Z612" t="s">
        <v>96</v>
      </c>
      <c r="AA612" t="str">
        <f>VLOOKUP(H612,Departments!$A:$B,2,0)</f>
        <v>Pediatrics</v>
      </c>
      <c r="AB612" t="str">
        <f>VLOOKUP(J612,Diagnosis_Guide!$A:$B,2,0)</f>
        <v>Pediatric Asthma</v>
      </c>
      <c r="AC612" s="4" t="str">
        <f>VLOOKUP(J612,Diagnosis_Guide!$A:$C,3,0)</f>
        <v>Pediatric</v>
      </c>
      <c r="AD612" s="4" t="str">
        <f>VLOOKUP(R612,Insurance_Plans!$A:$C,3,0)</f>
        <v>Private</v>
      </c>
      <c r="AE612" s="13">
        <f t="shared" si="27"/>
        <v>1217.5</v>
      </c>
      <c r="AF612" s="13">
        <f t="shared" si="28"/>
        <v>25567.5</v>
      </c>
      <c r="AG612" s="4" t="str">
        <f t="shared" si="29"/>
        <v>High</v>
      </c>
    </row>
    <row r="613" spans="1:33">
      <c r="A613" t="s">
        <v>1222</v>
      </c>
      <c r="B613" t="s">
        <v>1223</v>
      </c>
      <c r="C613" s="11">
        <v>46050</v>
      </c>
      <c r="D613" t="s">
        <v>173</v>
      </c>
      <c r="E613" t="s">
        <v>70</v>
      </c>
      <c r="F613" s="4">
        <v>46050</v>
      </c>
      <c r="G613" s="4">
        <v>46056</v>
      </c>
      <c r="H613" t="s">
        <v>90</v>
      </c>
      <c r="I613" t="s">
        <v>388</v>
      </c>
      <c r="J613" t="s">
        <v>92</v>
      </c>
      <c r="K613" t="s">
        <v>93</v>
      </c>
      <c r="L613" t="s">
        <v>94</v>
      </c>
      <c r="M613" s="5">
        <v>51300</v>
      </c>
      <c r="N613" s="5">
        <v>6200</v>
      </c>
      <c r="O613" s="5">
        <v>10950</v>
      </c>
      <c r="P613" s="5">
        <v>21000</v>
      </c>
      <c r="Q613" s="13">
        <v>90950</v>
      </c>
      <c r="R613" t="s">
        <v>95</v>
      </c>
      <c r="S613" t="s">
        <v>63</v>
      </c>
      <c r="T613" s="5">
        <v>90950</v>
      </c>
      <c r="U613" s="6">
        <v>5</v>
      </c>
      <c r="V613" t="s">
        <v>64</v>
      </c>
      <c r="W613" s="4"/>
      <c r="X613" t="s">
        <v>65</v>
      </c>
      <c r="Y613" t="s">
        <v>64</v>
      </c>
      <c r="Z613" t="s">
        <v>107</v>
      </c>
      <c r="AA613" t="str">
        <f>VLOOKUP(H613,Departments!$A:$B,2,0)</f>
        <v>Cardiology</v>
      </c>
      <c r="AB613" t="str">
        <f>VLOOKUP(J613,Diagnosis_Guide!$A:$B,2,0)</f>
        <v>Heart Failure</v>
      </c>
      <c r="AC613" s="4" t="str">
        <f>VLOOKUP(J613,Diagnosis_Guide!$A:$C,3,0)</f>
        <v>Cardiovascular</v>
      </c>
      <c r="AD613" s="4" t="str">
        <f>VLOOKUP(R613,Insurance_Plans!$A:$C,3,0)</f>
        <v>Self-Pay</v>
      </c>
      <c r="AE613" s="13">
        <f t="shared" si="27"/>
        <v>4547.5</v>
      </c>
      <c r="AF613" s="13">
        <f t="shared" si="28"/>
        <v>95497.5</v>
      </c>
      <c r="AG613" s="4" t="str">
        <f t="shared" si="29"/>
        <v>High</v>
      </c>
    </row>
    <row r="614" spans="1:33">
      <c r="A614" t="s">
        <v>1224</v>
      </c>
      <c r="B614" t="s">
        <v>898</v>
      </c>
      <c r="C614" s="11">
        <v>46025</v>
      </c>
      <c r="D614" t="s">
        <v>337</v>
      </c>
      <c r="E614" t="s">
        <v>70</v>
      </c>
      <c r="F614" s="4">
        <v>46025</v>
      </c>
      <c r="G614" s="4">
        <v>46026</v>
      </c>
      <c r="H614" t="s">
        <v>82</v>
      </c>
      <c r="I614" t="s">
        <v>194</v>
      </c>
      <c r="J614" t="s">
        <v>84</v>
      </c>
      <c r="K614" t="s">
        <v>60</v>
      </c>
      <c r="L614" t="s">
        <v>74</v>
      </c>
      <c r="M614" s="5">
        <v>10200</v>
      </c>
      <c r="N614" s="5">
        <v>950</v>
      </c>
      <c r="O614" s="5">
        <v>1050</v>
      </c>
      <c r="P614" s="5">
        <v>3500</v>
      </c>
      <c r="Q614" s="13">
        <v>17500</v>
      </c>
      <c r="R614" t="s">
        <v>85</v>
      </c>
      <c r="S614" t="s">
        <v>76</v>
      </c>
      <c r="T614" s="5">
        <v>5280</v>
      </c>
      <c r="U614" s="6">
        <v>5</v>
      </c>
      <c r="V614" t="s">
        <v>77</v>
      </c>
      <c r="W614" s="4">
        <v>46037</v>
      </c>
      <c r="X614" t="s">
        <v>77</v>
      </c>
      <c r="Y614" t="s">
        <v>64</v>
      </c>
      <c r="Z614" t="s">
        <v>107</v>
      </c>
      <c r="AA614" t="str">
        <f>VLOOKUP(H614,Departments!$A:$B,2,0)</f>
        <v>Orthopedics</v>
      </c>
      <c r="AB614" t="str">
        <f>VLOOKUP(J614,Diagnosis_Guide!$A:$B,2,0)</f>
        <v>Joint Pain</v>
      </c>
      <c r="AC614" s="4" t="str">
        <f>VLOOKUP(J614,Diagnosis_Guide!$A:$C,3,0)</f>
        <v>Musculoskeletal</v>
      </c>
      <c r="AD614" s="4" t="str">
        <f>VLOOKUP(R614,Insurance_Plans!$A:$C,3,0)</f>
        <v>Employer</v>
      </c>
      <c r="AE614" s="13">
        <f t="shared" si="27"/>
        <v>875</v>
      </c>
      <c r="AF614" s="13">
        <f t="shared" si="28"/>
        <v>18375</v>
      </c>
      <c r="AG614" s="4" t="str">
        <f t="shared" si="29"/>
        <v>High</v>
      </c>
    </row>
    <row r="615" spans="1:33">
      <c r="A615" t="s">
        <v>1225</v>
      </c>
      <c r="B615" t="s">
        <v>455</v>
      </c>
      <c r="C615" s="11">
        <v>46081</v>
      </c>
      <c r="D615" t="s">
        <v>200</v>
      </c>
      <c r="E615" t="s">
        <v>70</v>
      </c>
      <c r="F615" s="4">
        <v>46081</v>
      </c>
      <c r="G615" s="4">
        <v>46081</v>
      </c>
      <c r="H615" t="s">
        <v>150</v>
      </c>
      <c r="I615" t="s">
        <v>187</v>
      </c>
      <c r="J615" t="s">
        <v>229</v>
      </c>
      <c r="K615" t="s">
        <v>60</v>
      </c>
      <c r="L615" t="s">
        <v>146</v>
      </c>
      <c r="M615" s="5">
        <v>34600</v>
      </c>
      <c r="N615" s="5">
        <v>4750</v>
      </c>
      <c r="O615" s="5">
        <v>6200</v>
      </c>
      <c r="P615" s="5">
        <v>0</v>
      </c>
      <c r="Q615" s="13">
        <v>48050</v>
      </c>
      <c r="R615" t="s">
        <v>106</v>
      </c>
      <c r="S615" t="s">
        <v>76</v>
      </c>
      <c r="T615" s="5">
        <v>17520</v>
      </c>
      <c r="U615" s="6">
        <v>5</v>
      </c>
      <c r="V615" t="s">
        <v>77</v>
      </c>
      <c r="W615" s="4">
        <v>46101</v>
      </c>
      <c r="X615" t="s">
        <v>77</v>
      </c>
      <c r="Y615" t="s">
        <v>64</v>
      </c>
      <c r="Z615" t="s">
        <v>78</v>
      </c>
      <c r="AA615" t="str">
        <f>VLOOKUP(H615,Departments!$A:$B,2,0)</f>
        <v>Obstetrics</v>
      </c>
      <c r="AB615" t="str">
        <f>VLOOKUP(J615,Diagnosis_Guide!$A:$B,2,0)</f>
        <v>Delivery Care</v>
      </c>
      <c r="AC615" s="4" t="str">
        <f>VLOOKUP(J615,Diagnosis_Guide!$A:$C,3,0)</f>
        <v>Maternal Health</v>
      </c>
      <c r="AD615" s="4" t="str">
        <f>VLOOKUP(R615,Insurance_Plans!$A:$C,3,0)</f>
        <v>Private</v>
      </c>
      <c r="AE615" s="13">
        <f t="shared" si="27"/>
        <v>2402.5</v>
      </c>
      <c r="AF615" s="13">
        <f t="shared" si="28"/>
        <v>50452.5</v>
      </c>
      <c r="AG615" s="4" t="str">
        <f t="shared" si="29"/>
        <v>High</v>
      </c>
    </row>
    <row r="616" spans="1:33">
      <c r="A616" t="s">
        <v>1226</v>
      </c>
      <c r="B616" t="s">
        <v>1227</v>
      </c>
      <c r="C616" s="11">
        <v>46076</v>
      </c>
      <c r="D616" t="s">
        <v>69</v>
      </c>
      <c r="E616" t="s">
        <v>70</v>
      </c>
      <c r="F616" s="4">
        <v>46076</v>
      </c>
      <c r="G616" s="4">
        <v>46079</v>
      </c>
      <c r="H616" t="s">
        <v>201</v>
      </c>
      <c r="I616" t="s">
        <v>421</v>
      </c>
      <c r="J616" t="s">
        <v>295</v>
      </c>
      <c r="K616" t="s">
        <v>124</v>
      </c>
      <c r="L616" t="s">
        <v>61</v>
      </c>
      <c r="M616" s="5">
        <v>45200</v>
      </c>
      <c r="N616" s="5">
        <v>6400</v>
      </c>
      <c r="O616" s="5">
        <v>4550</v>
      </c>
      <c r="P616" s="5">
        <v>18000</v>
      </c>
      <c r="Q616" s="13">
        <v>75150</v>
      </c>
      <c r="R616" t="s">
        <v>85</v>
      </c>
      <c r="S616" t="s">
        <v>76</v>
      </c>
      <c r="T616" s="5">
        <v>19690</v>
      </c>
      <c r="U616" s="6">
        <v>4</v>
      </c>
      <c r="V616" t="s">
        <v>77</v>
      </c>
      <c r="W616" s="4">
        <v>46087</v>
      </c>
      <c r="X616" t="s">
        <v>77</v>
      </c>
      <c r="Y616" t="s">
        <v>77</v>
      </c>
      <c r="Z616" t="s">
        <v>107</v>
      </c>
      <c r="AA616" t="str">
        <f>VLOOKUP(H616,Departments!$A:$B,2,0)</f>
        <v>Emergency</v>
      </c>
      <c r="AB616" t="str">
        <f>VLOOKUP(J616,Diagnosis_Guide!$A:$B,2,0)</f>
        <v>Accident Injury</v>
      </c>
      <c r="AC616" s="4" t="str">
        <f>VLOOKUP(J616,Diagnosis_Guide!$A:$C,3,0)</f>
        <v>Emergency</v>
      </c>
      <c r="AD616" s="4" t="str">
        <f>VLOOKUP(R616,Insurance_Plans!$A:$C,3,0)</f>
        <v>Employer</v>
      </c>
      <c r="AE616" s="13">
        <f t="shared" si="27"/>
        <v>3757.5</v>
      </c>
      <c r="AF616" s="13">
        <f t="shared" si="28"/>
        <v>78907.5</v>
      </c>
      <c r="AG616" s="4" t="str">
        <f t="shared" si="29"/>
        <v>High</v>
      </c>
    </row>
    <row r="617" spans="1:33">
      <c r="A617" t="s">
        <v>1228</v>
      </c>
      <c r="B617" t="s">
        <v>771</v>
      </c>
      <c r="C617" s="11">
        <v>46074</v>
      </c>
      <c r="D617" t="s">
        <v>266</v>
      </c>
      <c r="E617" t="s">
        <v>70</v>
      </c>
      <c r="F617" s="4">
        <v>46074</v>
      </c>
      <c r="G617" s="4">
        <v>46074</v>
      </c>
      <c r="H617" t="s">
        <v>121</v>
      </c>
      <c r="I617" t="s">
        <v>174</v>
      </c>
      <c r="J617" t="s">
        <v>256</v>
      </c>
      <c r="K617" t="s">
        <v>73</v>
      </c>
      <c r="L617" t="s">
        <v>74</v>
      </c>
      <c r="M617" s="5">
        <v>14300</v>
      </c>
      <c r="N617" s="5">
        <v>2550</v>
      </c>
      <c r="O617" s="5">
        <v>3450</v>
      </c>
      <c r="P617" s="5">
        <v>0</v>
      </c>
      <c r="Q617" s="13">
        <v>22100</v>
      </c>
      <c r="R617" t="s">
        <v>62</v>
      </c>
      <c r="S617" t="s">
        <v>86</v>
      </c>
      <c r="T617" s="5">
        <v>7030</v>
      </c>
      <c r="U617" s="6">
        <v>5</v>
      </c>
      <c r="V617" t="s">
        <v>64</v>
      </c>
      <c r="W617" s="4"/>
      <c r="X617" t="s">
        <v>65</v>
      </c>
      <c r="Y617" t="s">
        <v>64</v>
      </c>
      <c r="Z617" t="s">
        <v>96</v>
      </c>
      <c r="AA617" t="str">
        <f>VLOOKUP(H617,Departments!$A:$B,2,0)</f>
        <v>Neurology</v>
      </c>
      <c r="AB617" t="str">
        <f>VLOOKUP(J617,Diagnosis_Guide!$A:$B,2,0)</f>
        <v>Migraine Complication</v>
      </c>
      <c r="AC617" s="4" t="str">
        <f>VLOOKUP(J617,Diagnosis_Guide!$A:$C,3,0)</f>
        <v>Neurological</v>
      </c>
      <c r="AD617" s="4" t="str">
        <f>VLOOKUP(R617,Insurance_Plans!$A:$C,3,0)</f>
        <v>Public</v>
      </c>
      <c r="AE617" s="13">
        <f t="shared" si="27"/>
        <v>1105</v>
      </c>
      <c r="AF617" s="13">
        <f t="shared" si="28"/>
        <v>23205</v>
      </c>
      <c r="AG617" s="4" t="str">
        <f t="shared" si="29"/>
        <v>High</v>
      </c>
    </row>
    <row r="618" spans="1:33">
      <c r="A618" t="s">
        <v>1229</v>
      </c>
      <c r="B618" t="s">
        <v>1026</v>
      </c>
      <c r="C618" s="11">
        <v>46086</v>
      </c>
      <c r="D618" t="s">
        <v>439</v>
      </c>
      <c r="E618" t="s">
        <v>56</v>
      </c>
      <c r="F618" s="4"/>
      <c r="G618" s="4"/>
      <c r="H618" t="s">
        <v>111</v>
      </c>
      <c r="I618" t="s">
        <v>112</v>
      </c>
      <c r="J618" t="s">
        <v>117</v>
      </c>
      <c r="K618" t="s">
        <v>60</v>
      </c>
      <c r="L618" t="s">
        <v>74</v>
      </c>
      <c r="M618" s="5"/>
      <c r="N618" s="5"/>
      <c r="O618" s="5"/>
      <c r="P618" s="5"/>
      <c r="R618" t="s">
        <v>75</v>
      </c>
      <c r="S618" t="s">
        <v>63</v>
      </c>
      <c r="T618" s="5"/>
      <c r="U618" s="6"/>
      <c r="V618" t="s">
        <v>64</v>
      </c>
      <c r="W618" s="4"/>
      <c r="X618" t="s">
        <v>65</v>
      </c>
      <c r="Z618" t="s">
        <v>66</v>
      </c>
      <c r="AA618" t="str">
        <f>VLOOKUP(H618,Departments!$A:$B,2,0)</f>
        <v>General Medicine</v>
      </c>
      <c r="AB618" t="str">
        <f>VLOOKUP(J618,Diagnosis_Guide!$A:$B,2,0)</f>
        <v>Fever Investigation</v>
      </c>
      <c r="AC618" s="4" t="str">
        <f>VLOOKUP(J618,Diagnosis_Guide!$A:$C,3,0)</f>
        <v>Infectious/General</v>
      </c>
      <c r="AD618" s="4" t="str">
        <f>VLOOKUP(R618,Insurance_Plans!$A:$C,3,0)</f>
        <v>Public</v>
      </c>
      <c r="AE618" s="13" t="str">
        <f t="shared" si="27"/>
        <v/>
      </c>
      <c r="AF618" s="13" t="str">
        <f t="shared" si="28"/>
        <v/>
      </c>
      <c r="AG618" s="4" t="str">
        <f t="shared" si="29"/>
        <v>Not Available</v>
      </c>
    </row>
    <row r="619" spans="1:33">
      <c r="A619" t="s">
        <v>1230</v>
      </c>
      <c r="B619" t="s">
        <v>1231</v>
      </c>
      <c r="C619" s="11">
        <v>46046</v>
      </c>
      <c r="D619" t="s">
        <v>144</v>
      </c>
      <c r="E619" t="s">
        <v>70</v>
      </c>
      <c r="F619" s="4">
        <v>46046</v>
      </c>
      <c r="G619" s="4">
        <v>46048</v>
      </c>
      <c r="H619" t="s">
        <v>201</v>
      </c>
      <c r="I619" t="s">
        <v>327</v>
      </c>
      <c r="J619" t="s">
        <v>203</v>
      </c>
      <c r="K619" t="s">
        <v>124</v>
      </c>
      <c r="L619" t="s">
        <v>94</v>
      </c>
      <c r="M619" s="5">
        <v>41500</v>
      </c>
      <c r="N619" s="5">
        <v>6100</v>
      </c>
      <c r="O619" s="5">
        <v>4600</v>
      </c>
      <c r="P619" s="5">
        <v>6000</v>
      </c>
      <c r="Q619" s="13">
        <v>59200</v>
      </c>
      <c r="R619" t="s">
        <v>106</v>
      </c>
      <c r="S619" t="s">
        <v>76</v>
      </c>
      <c r="T619" s="5">
        <v>21420</v>
      </c>
      <c r="U619" s="6">
        <v>5</v>
      </c>
      <c r="V619" t="s">
        <v>77</v>
      </c>
      <c r="W619" s="4">
        <v>46055</v>
      </c>
      <c r="X619" t="s">
        <v>77</v>
      </c>
      <c r="Y619" t="s">
        <v>64</v>
      </c>
      <c r="Z619" t="s">
        <v>96</v>
      </c>
      <c r="AA619" t="str">
        <f>VLOOKUP(H619,Departments!$A:$B,2,0)</f>
        <v>Emergency</v>
      </c>
      <c r="AB619" t="str">
        <f>VLOOKUP(J619,Diagnosis_Guide!$A:$B,2,0)</f>
        <v>Trauma Observation</v>
      </c>
      <c r="AC619" s="4" t="str">
        <f>VLOOKUP(J619,Diagnosis_Guide!$A:$C,3,0)</f>
        <v>Emergency</v>
      </c>
      <c r="AD619" s="4" t="str">
        <f>VLOOKUP(R619,Insurance_Plans!$A:$C,3,0)</f>
        <v>Private</v>
      </c>
      <c r="AE619" s="13">
        <f t="shared" si="27"/>
        <v>2960</v>
      </c>
      <c r="AF619" s="13">
        <f t="shared" si="28"/>
        <v>62160</v>
      </c>
      <c r="AG619" s="4" t="str">
        <f t="shared" si="29"/>
        <v>High</v>
      </c>
    </row>
    <row r="620" spans="1:33">
      <c r="A620" t="s">
        <v>1232</v>
      </c>
      <c r="B620" t="s">
        <v>411</v>
      </c>
      <c r="C620" s="11">
        <v>46036</v>
      </c>
      <c r="D620" t="s">
        <v>81</v>
      </c>
      <c r="E620" t="s">
        <v>70</v>
      </c>
      <c r="F620" s="4">
        <v>46036</v>
      </c>
      <c r="G620" s="4">
        <v>46036</v>
      </c>
      <c r="H620" t="s">
        <v>103</v>
      </c>
      <c r="I620" t="s">
        <v>412</v>
      </c>
      <c r="J620" t="s">
        <v>244</v>
      </c>
      <c r="K620" t="s">
        <v>60</v>
      </c>
      <c r="L620" t="s">
        <v>94</v>
      </c>
      <c r="M620" s="5">
        <v>69400</v>
      </c>
      <c r="N620" s="5">
        <v>6200</v>
      </c>
      <c r="O620" s="5">
        <v>12200</v>
      </c>
      <c r="P620" s="5">
        <v>0</v>
      </c>
      <c r="Q620" s="13">
        <v>89000</v>
      </c>
      <c r="R620" t="s">
        <v>62</v>
      </c>
      <c r="S620" t="s">
        <v>76</v>
      </c>
      <c r="T620" s="5">
        <v>27100</v>
      </c>
      <c r="U620" s="6">
        <v>3</v>
      </c>
      <c r="V620" t="s">
        <v>77</v>
      </c>
      <c r="W620" s="4">
        <v>46052</v>
      </c>
      <c r="X620" t="s">
        <v>64</v>
      </c>
      <c r="Y620" t="s">
        <v>64</v>
      </c>
      <c r="Z620" t="s">
        <v>107</v>
      </c>
      <c r="AA620" t="str">
        <f>VLOOKUP(H620,Departments!$A:$B,2,0)</f>
        <v>Nephrology</v>
      </c>
      <c r="AB620" t="str">
        <f>VLOOKUP(J620,Diagnosis_Guide!$A:$B,2,0)</f>
        <v>Chronic Kidney Disease</v>
      </c>
      <c r="AC620" s="4" t="str">
        <f>VLOOKUP(J620,Diagnosis_Guide!$A:$C,3,0)</f>
        <v>Renal</v>
      </c>
      <c r="AD620" s="4" t="str">
        <f>VLOOKUP(R620,Insurance_Plans!$A:$C,3,0)</f>
        <v>Public</v>
      </c>
      <c r="AE620" s="13">
        <f t="shared" si="27"/>
        <v>4450</v>
      </c>
      <c r="AF620" s="13">
        <f t="shared" si="28"/>
        <v>93450</v>
      </c>
      <c r="AG620" s="4" t="str">
        <f t="shared" si="29"/>
        <v>Medium</v>
      </c>
    </row>
    <row r="621" spans="1:33">
      <c r="A621" t="s">
        <v>1233</v>
      </c>
      <c r="B621" t="s">
        <v>1234</v>
      </c>
      <c r="C621" s="11">
        <v>46106</v>
      </c>
      <c r="D621" t="s">
        <v>110</v>
      </c>
      <c r="E621" t="s">
        <v>70</v>
      </c>
      <c r="F621" s="4">
        <v>46106</v>
      </c>
      <c r="G621" s="4">
        <v>46108</v>
      </c>
      <c r="H621" t="s">
        <v>138</v>
      </c>
      <c r="I621" t="s">
        <v>139</v>
      </c>
      <c r="J621" t="s">
        <v>140</v>
      </c>
      <c r="K621" t="s">
        <v>93</v>
      </c>
      <c r="L621" t="s">
        <v>94</v>
      </c>
      <c r="M621" s="5">
        <v>20800</v>
      </c>
      <c r="N621" s="5">
        <v>2400</v>
      </c>
      <c r="O621" s="5">
        <v>3500</v>
      </c>
      <c r="P621" s="5">
        <v>5000</v>
      </c>
      <c r="Q621" s="13">
        <v>33700</v>
      </c>
      <c r="R621" t="s">
        <v>106</v>
      </c>
      <c r="S621" t="s">
        <v>76</v>
      </c>
      <c r="T621" s="5">
        <v>12500</v>
      </c>
      <c r="U621" s="6">
        <v>4</v>
      </c>
      <c r="V621" t="s">
        <v>77</v>
      </c>
      <c r="W621" s="4">
        <v>46127</v>
      </c>
      <c r="X621" t="s">
        <v>77</v>
      </c>
      <c r="Y621" t="s">
        <v>64</v>
      </c>
      <c r="Z621" t="s">
        <v>96</v>
      </c>
      <c r="AA621" t="str">
        <f>VLOOKUP(H621,Departments!$A:$B,2,0)</f>
        <v>Pediatrics</v>
      </c>
      <c r="AB621" t="str">
        <f>VLOOKUP(J621,Diagnosis_Guide!$A:$B,2,0)</f>
        <v>Pediatric Asthma</v>
      </c>
      <c r="AC621" s="4" t="str">
        <f>VLOOKUP(J621,Diagnosis_Guide!$A:$C,3,0)</f>
        <v>Pediatric</v>
      </c>
      <c r="AD621" s="4" t="str">
        <f>VLOOKUP(R621,Insurance_Plans!$A:$C,3,0)</f>
        <v>Private</v>
      </c>
      <c r="AE621" s="13">
        <f t="shared" si="27"/>
        <v>1685</v>
      </c>
      <c r="AF621" s="13">
        <f t="shared" si="28"/>
        <v>35385</v>
      </c>
      <c r="AG621" s="4" t="str">
        <f t="shared" si="29"/>
        <v>High</v>
      </c>
    </row>
    <row r="622" spans="1:33">
      <c r="A622" t="s">
        <v>1235</v>
      </c>
      <c r="B622" t="s">
        <v>986</v>
      </c>
      <c r="C622" s="11">
        <v>46096</v>
      </c>
      <c r="D622" t="s">
        <v>439</v>
      </c>
      <c r="E622" t="s">
        <v>338</v>
      </c>
      <c r="F622" s="4"/>
      <c r="G622" s="4"/>
      <c r="H622" t="s">
        <v>121</v>
      </c>
      <c r="I622" t="s">
        <v>386</v>
      </c>
      <c r="J622" t="s">
        <v>123</v>
      </c>
      <c r="K622" t="s">
        <v>73</v>
      </c>
      <c r="L622" t="s">
        <v>61</v>
      </c>
      <c r="M622" s="5"/>
      <c r="N622" s="5"/>
      <c r="O622" s="5"/>
      <c r="P622" s="5"/>
      <c r="R622" t="s">
        <v>141</v>
      </c>
      <c r="S622" t="s">
        <v>63</v>
      </c>
      <c r="T622" s="5"/>
      <c r="U622" s="6"/>
      <c r="V622" t="s">
        <v>64</v>
      </c>
      <c r="W622" s="4"/>
      <c r="X622" t="s">
        <v>65</v>
      </c>
      <c r="Z622" t="s">
        <v>66</v>
      </c>
      <c r="AA622" t="str">
        <f>VLOOKUP(H622,Departments!$A:$B,2,0)</f>
        <v>Neurology</v>
      </c>
      <c r="AB622" t="str">
        <f>VLOOKUP(J622,Diagnosis_Guide!$A:$B,2,0)</f>
        <v>Seizure Episode</v>
      </c>
      <c r="AC622" s="4" t="str">
        <f>VLOOKUP(J622,Diagnosis_Guide!$A:$C,3,0)</f>
        <v>Neurological</v>
      </c>
      <c r="AD622" s="4" t="str">
        <f>VLOOKUP(R622,Insurance_Plans!$A:$C,3,0)</f>
        <v>Private</v>
      </c>
      <c r="AE622" s="13" t="str">
        <f t="shared" si="27"/>
        <v/>
      </c>
      <c r="AF622" s="13" t="str">
        <f t="shared" si="28"/>
        <v/>
      </c>
      <c r="AG622" s="4" t="str">
        <f t="shared" si="29"/>
        <v>Not Available</v>
      </c>
    </row>
    <row r="623" spans="1:33">
      <c r="A623" t="s">
        <v>1236</v>
      </c>
      <c r="B623" t="s">
        <v>1237</v>
      </c>
      <c r="C623" s="11">
        <v>46044</v>
      </c>
      <c r="D623" t="s">
        <v>298</v>
      </c>
      <c r="E623" t="s">
        <v>70</v>
      </c>
      <c r="F623" s="4">
        <v>46044</v>
      </c>
      <c r="G623" s="4">
        <v>46052</v>
      </c>
      <c r="H623" t="s">
        <v>178</v>
      </c>
      <c r="I623" t="s">
        <v>339</v>
      </c>
      <c r="J623" t="s">
        <v>340</v>
      </c>
      <c r="K623" t="s">
        <v>93</v>
      </c>
      <c r="L623" t="s">
        <v>94</v>
      </c>
      <c r="M623" s="5">
        <v>74300</v>
      </c>
      <c r="N623" s="5">
        <v>13300</v>
      </c>
      <c r="O623" s="5">
        <v>14400</v>
      </c>
      <c r="P623" s="5">
        <v>20000</v>
      </c>
      <c r="Q623" s="13">
        <v>122800</v>
      </c>
      <c r="R623" t="s">
        <v>106</v>
      </c>
      <c r="S623" t="s">
        <v>76</v>
      </c>
      <c r="T623" s="5">
        <v>43680</v>
      </c>
      <c r="U623" s="6">
        <v>2</v>
      </c>
      <c r="V623" t="s">
        <v>77</v>
      </c>
      <c r="W623" s="4">
        <v>46063</v>
      </c>
      <c r="X623" t="s">
        <v>64</v>
      </c>
      <c r="Y623" t="s">
        <v>64</v>
      </c>
      <c r="Z623" t="s">
        <v>78</v>
      </c>
      <c r="AA623" t="str">
        <f>VLOOKUP(H623,Departments!$A:$B,2,0)</f>
        <v>Surgery</v>
      </c>
      <c r="AB623" t="str">
        <f>VLOOKUP(J623,Diagnosis_Guide!$A:$B,2,0)</f>
        <v>Post-Operative Infection</v>
      </c>
      <c r="AC623" s="4" t="str">
        <f>VLOOKUP(J623,Diagnosis_Guide!$A:$C,3,0)</f>
        <v>Surgical</v>
      </c>
      <c r="AD623" s="4" t="str">
        <f>VLOOKUP(R623,Insurance_Plans!$A:$C,3,0)</f>
        <v>Private</v>
      </c>
      <c r="AE623" s="13">
        <f t="shared" si="27"/>
        <v>6140</v>
      </c>
      <c r="AF623" s="13">
        <f t="shared" si="28"/>
        <v>128940</v>
      </c>
      <c r="AG623" s="4" t="str">
        <f t="shared" si="29"/>
        <v>Low</v>
      </c>
    </row>
    <row r="624" spans="1:33">
      <c r="A624" t="s">
        <v>1238</v>
      </c>
      <c r="B624" t="s">
        <v>190</v>
      </c>
      <c r="C624" s="11">
        <v>46034</v>
      </c>
      <c r="D624" t="s">
        <v>161</v>
      </c>
      <c r="E624" t="s">
        <v>56</v>
      </c>
      <c r="F624" s="4"/>
      <c r="G624" s="4"/>
      <c r="H624" t="s">
        <v>111</v>
      </c>
      <c r="I624" t="s">
        <v>116</v>
      </c>
      <c r="J624" t="s">
        <v>113</v>
      </c>
      <c r="K624" t="s">
        <v>60</v>
      </c>
      <c r="L624" t="s">
        <v>61</v>
      </c>
      <c r="M624" s="5"/>
      <c r="N624" s="5"/>
      <c r="O624" s="5"/>
      <c r="P624" s="5"/>
      <c r="R624" t="s">
        <v>62</v>
      </c>
      <c r="S624" t="s">
        <v>63</v>
      </c>
      <c r="T624" s="5"/>
      <c r="U624" s="6"/>
      <c r="V624" t="s">
        <v>64</v>
      </c>
      <c r="W624" s="4"/>
      <c r="X624" t="s">
        <v>65</v>
      </c>
      <c r="Z624" t="s">
        <v>66</v>
      </c>
      <c r="AA624" t="str">
        <f>VLOOKUP(H624,Departments!$A:$B,2,0)</f>
        <v>General Medicine</v>
      </c>
      <c r="AB624" t="str">
        <f>VLOOKUP(J624,Diagnosis_Guide!$A:$B,2,0)</f>
        <v>Diabetes Complication</v>
      </c>
      <c r="AC624" s="4" t="str">
        <f>VLOOKUP(J624,Diagnosis_Guide!$A:$C,3,0)</f>
        <v>Endocrine/General</v>
      </c>
      <c r="AD624" s="4" t="str">
        <f>VLOOKUP(R624,Insurance_Plans!$A:$C,3,0)</f>
        <v>Public</v>
      </c>
      <c r="AE624" s="13" t="str">
        <f t="shared" si="27"/>
        <v/>
      </c>
      <c r="AF624" s="13" t="str">
        <f t="shared" si="28"/>
        <v/>
      </c>
      <c r="AG624" s="4" t="str">
        <f t="shared" si="29"/>
        <v>Not Available</v>
      </c>
    </row>
    <row r="625" spans="1:33">
      <c r="A625" t="s">
        <v>1239</v>
      </c>
      <c r="B625" t="s">
        <v>1240</v>
      </c>
      <c r="C625" s="11">
        <v>46050</v>
      </c>
      <c r="D625" t="s">
        <v>173</v>
      </c>
      <c r="E625" t="s">
        <v>70</v>
      </c>
      <c r="F625" s="4">
        <v>46050</v>
      </c>
      <c r="G625" s="4">
        <v>46051</v>
      </c>
      <c r="H625" t="s">
        <v>121</v>
      </c>
      <c r="I625" t="s">
        <v>386</v>
      </c>
      <c r="J625" t="s">
        <v>256</v>
      </c>
      <c r="K625" t="s">
        <v>60</v>
      </c>
      <c r="L625" t="s">
        <v>74</v>
      </c>
      <c r="M625" s="5">
        <v>18000</v>
      </c>
      <c r="N625" s="5">
        <v>2050</v>
      </c>
      <c r="O625" s="5">
        <v>4400</v>
      </c>
      <c r="P625" s="5">
        <v>2500</v>
      </c>
      <c r="Q625" s="13">
        <v>29450</v>
      </c>
      <c r="R625" t="s">
        <v>141</v>
      </c>
      <c r="S625" t="s">
        <v>76</v>
      </c>
      <c r="T625" s="5">
        <v>5620</v>
      </c>
      <c r="U625" s="6">
        <v>3</v>
      </c>
      <c r="V625" t="s">
        <v>77</v>
      </c>
      <c r="W625" s="4">
        <v>46063</v>
      </c>
      <c r="Y625" t="s">
        <v>64</v>
      </c>
      <c r="Z625" t="s">
        <v>78</v>
      </c>
      <c r="AA625" t="str">
        <f>VLOOKUP(H625,Departments!$A:$B,2,0)</f>
        <v>Neurology</v>
      </c>
      <c r="AB625" t="str">
        <f>VLOOKUP(J625,Diagnosis_Guide!$A:$B,2,0)</f>
        <v>Migraine Complication</v>
      </c>
      <c r="AC625" s="4" t="str">
        <f>VLOOKUP(J625,Diagnosis_Guide!$A:$C,3,0)</f>
        <v>Neurological</v>
      </c>
      <c r="AD625" s="4" t="str">
        <f>VLOOKUP(R625,Insurance_Plans!$A:$C,3,0)</f>
        <v>Private</v>
      </c>
      <c r="AE625" s="13">
        <f t="shared" si="27"/>
        <v>1472.5</v>
      </c>
      <c r="AF625" s="13">
        <f t="shared" si="28"/>
        <v>30922.5</v>
      </c>
      <c r="AG625" s="4" t="str">
        <f t="shared" si="29"/>
        <v>Medium</v>
      </c>
    </row>
    <row r="626" spans="1:33">
      <c r="A626" t="s">
        <v>1241</v>
      </c>
      <c r="B626" t="s">
        <v>576</v>
      </c>
      <c r="C626" s="11">
        <v>46122</v>
      </c>
      <c r="D626" t="s">
        <v>89</v>
      </c>
      <c r="E626" t="s">
        <v>177</v>
      </c>
      <c r="F626" s="4"/>
      <c r="G626" s="4"/>
      <c r="H626" t="s">
        <v>201</v>
      </c>
      <c r="I626" t="s">
        <v>515</v>
      </c>
      <c r="J626" t="s">
        <v>203</v>
      </c>
      <c r="K626" t="s">
        <v>124</v>
      </c>
      <c r="L626" t="s">
        <v>61</v>
      </c>
      <c r="M626" s="5"/>
      <c r="N626" s="5"/>
      <c r="O626" s="5"/>
      <c r="P626" s="5"/>
      <c r="R626" t="s">
        <v>95</v>
      </c>
      <c r="S626" t="s">
        <v>63</v>
      </c>
      <c r="T626" s="5"/>
      <c r="U626" s="6"/>
      <c r="V626" t="s">
        <v>64</v>
      </c>
      <c r="W626" s="4"/>
      <c r="X626" t="s">
        <v>65</v>
      </c>
      <c r="Z626" t="s">
        <v>66</v>
      </c>
      <c r="AA626" t="str">
        <f>VLOOKUP(H626,Departments!$A:$B,2,0)</f>
        <v>Emergency</v>
      </c>
      <c r="AB626" t="str">
        <f>VLOOKUP(J626,Diagnosis_Guide!$A:$B,2,0)</f>
        <v>Trauma Observation</v>
      </c>
      <c r="AC626" s="4" t="str">
        <f>VLOOKUP(J626,Diagnosis_Guide!$A:$C,3,0)</f>
        <v>Emergency</v>
      </c>
      <c r="AD626" s="4" t="str">
        <f>VLOOKUP(R626,Insurance_Plans!$A:$C,3,0)</f>
        <v>Self-Pay</v>
      </c>
      <c r="AE626" s="13" t="str">
        <f t="shared" si="27"/>
        <v/>
      </c>
      <c r="AF626" s="13" t="str">
        <f t="shared" si="28"/>
        <v/>
      </c>
      <c r="AG626" s="4" t="str">
        <f t="shared" si="29"/>
        <v>Not Available</v>
      </c>
    </row>
    <row r="627" spans="1:33">
      <c r="A627" t="s">
        <v>1242</v>
      </c>
      <c r="B627" t="s">
        <v>1243</v>
      </c>
      <c r="C627" s="11">
        <v>46162</v>
      </c>
      <c r="D627" t="s">
        <v>383</v>
      </c>
      <c r="E627" t="s">
        <v>314</v>
      </c>
      <c r="F627" s="4"/>
      <c r="G627" s="4"/>
      <c r="H627" t="s">
        <v>150</v>
      </c>
      <c r="I627" t="s">
        <v>228</v>
      </c>
      <c r="J627" t="s">
        <v>152</v>
      </c>
      <c r="K627" t="s">
        <v>73</v>
      </c>
      <c r="L627" t="s">
        <v>61</v>
      </c>
      <c r="M627" s="5"/>
      <c r="N627" s="5"/>
      <c r="O627" s="5"/>
      <c r="P627" s="5"/>
      <c r="R627" t="s">
        <v>106</v>
      </c>
      <c r="S627" t="s">
        <v>63</v>
      </c>
      <c r="T627" s="5"/>
      <c r="U627" s="6"/>
      <c r="V627" t="s">
        <v>64</v>
      </c>
      <c r="W627" s="4"/>
      <c r="X627" t="s">
        <v>65</v>
      </c>
      <c r="Z627" t="s">
        <v>66</v>
      </c>
      <c r="AA627" t="str">
        <f>VLOOKUP(H627,Departments!$A:$B,2,0)</f>
        <v>Obstetrics</v>
      </c>
      <c r="AB627" t="str">
        <f>VLOOKUP(J627,Diagnosis_Guide!$A:$B,2,0)</f>
        <v>Antenatal Complication</v>
      </c>
      <c r="AC627" s="4" t="str">
        <f>VLOOKUP(J627,Diagnosis_Guide!$A:$C,3,0)</f>
        <v>Maternal Health</v>
      </c>
      <c r="AD627" s="4" t="str">
        <f>VLOOKUP(R627,Insurance_Plans!$A:$C,3,0)</f>
        <v>Private</v>
      </c>
      <c r="AE627" s="13" t="str">
        <f t="shared" si="27"/>
        <v/>
      </c>
      <c r="AF627" s="13" t="str">
        <f t="shared" si="28"/>
        <v/>
      </c>
      <c r="AG627" s="4" t="str">
        <f t="shared" si="29"/>
        <v>Not Available</v>
      </c>
    </row>
    <row r="628" spans="1:33">
      <c r="A628" t="s">
        <v>1244</v>
      </c>
      <c r="B628" t="s">
        <v>209</v>
      </c>
      <c r="C628" s="11">
        <v>46115</v>
      </c>
      <c r="D628" t="s">
        <v>225</v>
      </c>
      <c r="E628" t="s">
        <v>70</v>
      </c>
      <c r="F628" s="4">
        <v>46115</v>
      </c>
      <c r="G628" s="4">
        <v>46120</v>
      </c>
      <c r="H628" t="s">
        <v>90</v>
      </c>
      <c r="I628" t="s">
        <v>91</v>
      </c>
      <c r="J628" t="s">
        <v>92</v>
      </c>
      <c r="K628" t="s">
        <v>93</v>
      </c>
      <c r="L628" t="s">
        <v>94</v>
      </c>
      <c r="M628" s="5">
        <v>64000</v>
      </c>
      <c r="N628" s="5">
        <v>7050</v>
      </c>
      <c r="O628" s="5">
        <v>7800</v>
      </c>
      <c r="P628" s="5">
        <v>15000</v>
      </c>
      <c r="Q628" s="13">
        <v>95050</v>
      </c>
      <c r="R628" t="s">
        <v>106</v>
      </c>
      <c r="S628" t="s">
        <v>76</v>
      </c>
      <c r="T628" s="5">
        <v>33970</v>
      </c>
      <c r="U628" s="6">
        <v>4</v>
      </c>
      <c r="V628" t="s">
        <v>77</v>
      </c>
      <c r="W628" s="4">
        <v>46127</v>
      </c>
      <c r="X628" t="s">
        <v>77</v>
      </c>
      <c r="Y628" t="s">
        <v>64</v>
      </c>
      <c r="Z628" t="s">
        <v>436</v>
      </c>
      <c r="AA628" t="str">
        <f>VLOOKUP(H628,Departments!$A:$B,2,0)</f>
        <v>Cardiology</v>
      </c>
      <c r="AB628" t="str">
        <f>VLOOKUP(J628,Diagnosis_Guide!$A:$B,2,0)</f>
        <v>Heart Failure</v>
      </c>
      <c r="AC628" s="4" t="str">
        <f>VLOOKUP(J628,Diagnosis_Guide!$A:$C,3,0)</f>
        <v>Cardiovascular</v>
      </c>
      <c r="AD628" s="4" t="str">
        <f>VLOOKUP(R628,Insurance_Plans!$A:$C,3,0)</f>
        <v>Private</v>
      </c>
      <c r="AE628" s="13">
        <f t="shared" si="27"/>
        <v>4752.5</v>
      </c>
      <c r="AF628" s="13">
        <f t="shared" si="28"/>
        <v>99802.5</v>
      </c>
      <c r="AG628" s="4" t="str">
        <f t="shared" si="29"/>
        <v>High</v>
      </c>
    </row>
    <row r="629" spans="1:33">
      <c r="A629" t="s">
        <v>1245</v>
      </c>
      <c r="B629" t="s">
        <v>1246</v>
      </c>
      <c r="C629" s="11">
        <v>46064</v>
      </c>
      <c r="D629" t="s">
        <v>149</v>
      </c>
      <c r="E629" t="s">
        <v>70</v>
      </c>
      <c r="F629" s="4">
        <v>46064</v>
      </c>
      <c r="G629" s="4">
        <v>46064</v>
      </c>
      <c r="H629" t="s">
        <v>103</v>
      </c>
      <c r="I629" t="s">
        <v>364</v>
      </c>
      <c r="J629" t="s">
        <v>244</v>
      </c>
      <c r="K629" t="s">
        <v>60</v>
      </c>
      <c r="L629" t="s">
        <v>146</v>
      </c>
      <c r="M629" s="5">
        <v>75400</v>
      </c>
      <c r="N629" s="5">
        <v>9750</v>
      </c>
      <c r="O629" s="5">
        <v>9750</v>
      </c>
      <c r="P629" s="5">
        <v>0</v>
      </c>
      <c r="Q629" s="13">
        <v>95700</v>
      </c>
      <c r="R629" t="s">
        <v>85</v>
      </c>
      <c r="S629" t="s">
        <v>76</v>
      </c>
      <c r="T629" s="5">
        <v>24820</v>
      </c>
      <c r="U629" s="6">
        <v>3</v>
      </c>
      <c r="V629" t="s">
        <v>77</v>
      </c>
      <c r="W629" s="4">
        <v>46071</v>
      </c>
      <c r="X629" t="s">
        <v>64</v>
      </c>
      <c r="Y629" t="s">
        <v>64</v>
      </c>
      <c r="Z629" t="s">
        <v>78</v>
      </c>
      <c r="AA629" t="str">
        <f>VLOOKUP(H629,Departments!$A:$B,2,0)</f>
        <v>Nephrology</v>
      </c>
      <c r="AB629" t="str">
        <f>VLOOKUP(J629,Diagnosis_Guide!$A:$B,2,0)</f>
        <v>Chronic Kidney Disease</v>
      </c>
      <c r="AC629" s="4" t="str">
        <f>VLOOKUP(J629,Diagnosis_Guide!$A:$C,3,0)</f>
        <v>Renal</v>
      </c>
      <c r="AD629" s="4" t="str">
        <f>VLOOKUP(R629,Insurance_Plans!$A:$C,3,0)</f>
        <v>Employer</v>
      </c>
      <c r="AE629" s="13">
        <f t="shared" si="27"/>
        <v>4785</v>
      </c>
      <c r="AF629" s="13">
        <f t="shared" si="28"/>
        <v>100485</v>
      </c>
      <c r="AG629" s="4" t="str">
        <f t="shared" si="29"/>
        <v>Medium</v>
      </c>
    </row>
    <row r="630" spans="1:33">
      <c r="A630" t="s">
        <v>1247</v>
      </c>
      <c r="B630" t="s">
        <v>1248</v>
      </c>
      <c r="C630" s="11">
        <v>46155</v>
      </c>
      <c r="D630" t="s">
        <v>55</v>
      </c>
      <c r="E630" t="s">
        <v>70</v>
      </c>
      <c r="F630" s="4">
        <v>46155</v>
      </c>
      <c r="G630" s="4">
        <v>46158</v>
      </c>
      <c r="H630" t="s">
        <v>57</v>
      </c>
      <c r="I630" t="s">
        <v>211</v>
      </c>
      <c r="J630" t="s">
        <v>59</v>
      </c>
      <c r="K630" t="s">
        <v>93</v>
      </c>
      <c r="L630" t="s">
        <v>74</v>
      </c>
      <c r="M630" s="5">
        <v>52900</v>
      </c>
      <c r="N630" s="5">
        <v>9500</v>
      </c>
      <c r="O630" s="5">
        <v>6750</v>
      </c>
      <c r="P630" s="5">
        <v>9000</v>
      </c>
      <c r="Q630" s="13">
        <v>80150</v>
      </c>
      <c r="R630" t="s">
        <v>95</v>
      </c>
      <c r="S630" t="s">
        <v>63</v>
      </c>
      <c r="T630" s="5">
        <v>80150</v>
      </c>
      <c r="U630" s="6">
        <v>4</v>
      </c>
      <c r="V630" t="s">
        <v>77</v>
      </c>
      <c r="W630" s="4">
        <v>46168</v>
      </c>
      <c r="X630" t="s">
        <v>77</v>
      </c>
      <c r="Y630" t="s">
        <v>64</v>
      </c>
      <c r="Z630" t="s">
        <v>96</v>
      </c>
      <c r="AA630" t="str">
        <f>VLOOKUP(H630,Departments!$A:$B,2,0)</f>
        <v>Pulmonology</v>
      </c>
      <c r="AB630" t="str">
        <f>VLOOKUP(J630,Diagnosis_Guide!$A:$B,2,0)</f>
        <v>Pneumonia</v>
      </c>
      <c r="AC630" s="4" t="str">
        <f>VLOOKUP(J630,Diagnosis_Guide!$A:$C,3,0)</f>
        <v>Respiratory</v>
      </c>
      <c r="AD630" s="4" t="str">
        <f>VLOOKUP(R630,Insurance_Plans!$A:$C,3,0)</f>
        <v>Self-Pay</v>
      </c>
      <c r="AE630" s="13">
        <f t="shared" si="27"/>
        <v>4007.5</v>
      </c>
      <c r="AF630" s="13">
        <f t="shared" si="28"/>
        <v>84157.5</v>
      </c>
      <c r="AG630" s="4" t="str">
        <f t="shared" si="29"/>
        <v>High</v>
      </c>
    </row>
    <row r="631" spans="1:33">
      <c r="A631" t="s">
        <v>1249</v>
      </c>
      <c r="B631" t="s">
        <v>322</v>
      </c>
      <c r="C631" s="11">
        <v>46150</v>
      </c>
      <c r="D631" t="s">
        <v>217</v>
      </c>
      <c r="E631" t="s">
        <v>70</v>
      </c>
      <c r="F631" s="4">
        <v>46150</v>
      </c>
      <c r="G631" s="4">
        <v>46152</v>
      </c>
      <c r="H631" t="s">
        <v>138</v>
      </c>
      <c r="I631" t="s">
        <v>260</v>
      </c>
      <c r="J631" t="s">
        <v>261</v>
      </c>
      <c r="K631" t="s">
        <v>73</v>
      </c>
      <c r="L631" t="s">
        <v>74</v>
      </c>
      <c r="M631" s="5">
        <v>4300</v>
      </c>
      <c r="N631" s="5">
        <v>650</v>
      </c>
      <c r="O631" s="5">
        <v>500</v>
      </c>
      <c r="P631" s="5">
        <v>9000</v>
      </c>
      <c r="Q631" s="13">
        <v>16950</v>
      </c>
      <c r="R631" t="s">
        <v>85</v>
      </c>
      <c r="S631" t="s">
        <v>76</v>
      </c>
      <c r="T631" s="5">
        <v>5140</v>
      </c>
      <c r="U631" s="6">
        <v>3</v>
      </c>
      <c r="V631" t="s">
        <v>64</v>
      </c>
      <c r="W631" s="4"/>
      <c r="X631" t="s">
        <v>65</v>
      </c>
      <c r="Y631" t="s">
        <v>64</v>
      </c>
      <c r="Z631" t="s">
        <v>96</v>
      </c>
      <c r="AA631" t="str">
        <f>VLOOKUP(H631,Departments!$A:$B,2,0)</f>
        <v>Pediatrics</v>
      </c>
      <c r="AB631" t="str">
        <f>VLOOKUP(J631,Diagnosis_Guide!$A:$B,2,0)</f>
        <v>Child Fever</v>
      </c>
      <c r="AC631" s="4" t="str">
        <f>VLOOKUP(J631,Diagnosis_Guide!$A:$C,3,0)</f>
        <v>Pediatric</v>
      </c>
      <c r="AD631" s="4" t="str">
        <f>VLOOKUP(R631,Insurance_Plans!$A:$C,3,0)</f>
        <v>Employer</v>
      </c>
      <c r="AE631" s="13">
        <f t="shared" si="27"/>
        <v>847.5</v>
      </c>
      <c r="AF631" s="13">
        <f t="shared" si="28"/>
        <v>17797.5</v>
      </c>
      <c r="AG631" s="4" t="str">
        <f t="shared" si="29"/>
        <v>Medium</v>
      </c>
    </row>
    <row r="632" spans="1:33">
      <c r="A632" t="s">
        <v>1250</v>
      </c>
      <c r="B632" t="s">
        <v>1251</v>
      </c>
      <c r="C632" s="11">
        <v>46050</v>
      </c>
      <c r="D632" t="s">
        <v>132</v>
      </c>
      <c r="E632" t="s">
        <v>70</v>
      </c>
      <c r="F632" s="4">
        <v>46051</v>
      </c>
      <c r="G632" s="4">
        <v>46052</v>
      </c>
      <c r="H632" t="s">
        <v>57</v>
      </c>
      <c r="I632" t="s">
        <v>71</v>
      </c>
      <c r="J632" t="s">
        <v>72</v>
      </c>
      <c r="K632" t="s">
        <v>73</v>
      </c>
      <c r="L632" t="s">
        <v>94</v>
      </c>
      <c r="M632" s="5">
        <v>6600</v>
      </c>
      <c r="N632" s="5">
        <v>1000</v>
      </c>
      <c r="O632" s="5">
        <v>1550</v>
      </c>
      <c r="P632" s="5">
        <v>4500</v>
      </c>
      <c r="Q632" s="13">
        <v>15450</v>
      </c>
      <c r="R632" t="s">
        <v>62</v>
      </c>
      <c r="S632" t="s">
        <v>76</v>
      </c>
      <c r="T632" s="5">
        <v>5040</v>
      </c>
      <c r="U632" s="6">
        <v>5</v>
      </c>
      <c r="V632" t="s">
        <v>64</v>
      </c>
      <c r="W632" s="4"/>
      <c r="X632" t="s">
        <v>65</v>
      </c>
      <c r="Y632" t="s">
        <v>64</v>
      </c>
      <c r="Z632" t="s">
        <v>219</v>
      </c>
      <c r="AA632" t="str">
        <f>VLOOKUP(H632,Departments!$A:$B,2,0)</f>
        <v>Pulmonology</v>
      </c>
      <c r="AB632" t="str">
        <f>VLOOKUP(J632,Diagnosis_Guide!$A:$B,2,0)</f>
        <v>Acute Bronchitis</v>
      </c>
      <c r="AC632" s="4" t="str">
        <f>VLOOKUP(J632,Diagnosis_Guide!$A:$C,3,0)</f>
        <v>Respiratory</v>
      </c>
      <c r="AD632" s="4" t="str">
        <f>VLOOKUP(R632,Insurance_Plans!$A:$C,3,0)</f>
        <v>Public</v>
      </c>
      <c r="AE632" s="13">
        <f t="shared" si="27"/>
        <v>772.5</v>
      </c>
      <c r="AF632" s="13">
        <f t="shared" si="28"/>
        <v>16222.5</v>
      </c>
      <c r="AG632" s="4" t="str">
        <f t="shared" si="29"/>
        <v>High</v>
      </c>
    </row>
    <row r="633" spans="1:33">
      <c r="A633" t="s">
        <v>1252</v>
      </c>
      <c r="B633" t="s">
        <v>968</v>
      </c>
      <c r="C633" s="11">
        <v>46142</v>
      </c>
      <c r="D633" t="s">
        <v>337</v>
      </c>
      <c r="E633" t="s">
        <v>314</v>
      </c>
      <c r="F633" s="4"/>
      <c r="G633" s="4"/>
      <c r="H633" t="s">
        <v>201</v>
      </c>
      <c r="I633" t="s">
        <v>515</v>
      </c>
      <c r="J633" t="s">
        <v>203</v>
      </c>
      <c r="K633" t="s">
        <v>124</v>
      </c>
      <c r="L633" t="s">
        <v>146</v>
      </c>
      <c r="M633" s="5"/>
      <c r="N633" s="5"/>
      <c r="O633" s="5"/>
      <c r="P633" s="5"/>
      <c r="R633" t="s">
        <v>141</v>
      </c>
      <c r="S633" t="s">
        <v>63</v>
      </c>
      <c r="T633" s="5"/>
      <c r="U633" s="6"/>
      <c r="V633" t="s">
        <v>64</v>
      </c>
      <c r="W633" s="4"/>
      <c r="X633" t="s">
        <v>65</v>
      </c>
      <c r="Z633" t="s">
        <v>66</v>
      </c>
      <c r="AA633" t="str">
        <f>VLOOKUP(H633,Departments!$A:$B,2,0)</f>
        <v>Emergency</v>
      </c>
      <c r="AB633" t="str">
        <f>VLOOKUP(J633,Diagnosis_Guide!$A:$B,2,0)</f>
        <v>Trauma Observation</v>
      </c>
      <c r="AC633" s="4" t="str">
        <f>VLOOKUP(J633,Diagnosis_Guide!$A:$C,3,0)</f>
        <v>Emergency</v>
      </c>
      <c r="AD633" s="4" t="str">
        <f>VLOOKUP(R633,Insurance_Plans!$A:$C,3,0)</f>
        <v>Private</v>
      </c>
      <c r="AE633" s="13" t="str">
        <f t="shared" si="27"/>
        <v/>
      </c>
      <c r="AF633" s="13" t="str">
        <f t="shared" si="28"/>
        <v/>
      </c>
      <c r="AG633" s="4" t="str">
        <f t="shared" si="29"/>
        <v>Not Available</v>
      </c>
    </row>
    <row r="634" spans="1:33">
      <c r="A634" t="s">
        <v>1253</v>
      </c>
      <c r="B634" t="s">
        <v>956</v>
      </c>
      <c r="C634" s="11">
        <v>46053</v>
      </c>
      <c r="D634" t="s">
        <v>234</v>
      </c>
      <c r="E634" t="s">
        <v>56</v>
      </c>
      <c r="F634" s="4"/>
      <c r="G634" s="4"/>
      <c r="H634" t="s">
        <v>111</v>
      </c>
      <c r="I634" t="s">
        <v>112</v>
      </c>
      <c r="J634" t="s">
        <v>384</v>
      </c>
      <c r="K634" t="s">
        <v>73</v>
      </c>
      <c r="L634" t="s">
        <v>94</v>
      </c>
      <c r="M634" s="5"/>
      <c r="N634" s="5"/>
      <c r="O634" s="5"/>
      <c r="P634" s="5"/>
      <c r="R634" t="s">
        <v>95</v>
      </c>
      <c r="S634" t="s">
        <v>63</v>
      </c>
      <c r="T634" s="5"/>
      <c r="U634" s="6"/>
      <c r="V634" t="s">
        <v>64</v>
      </c>
      <c r="W634" s="4"/>
      <c r="X634" t="s">
        <v>65</v>
      </c>
      <c r="Z634" t="s">
        <v>66</v>
      </c>
      <c r="AA634" t="str">
        <f>VLOOKUP(H634,Departments!$A:$B,2,0)</f>
        <v>General Medicine</v>
      </c>
      <c r="AB634" t="str">
        <f>VLOOKUP(J634,Diagnosis_Guide!$A:$B,2,0)</f>
        <v>Severe Infection</v>
      </c>
      <c r="AC634" s="4" t="str">
        <f>VLOOKUP(J634,Diagnosis_Guide!$A:$C,3,0)</f>
        <v>Infectious/General</v>
      </c>
      <c r="AD634" s="4" t="str">
        <f>VLOOKUP(R634,Insurance_Plans!$A:$C,3,0)</f>
        <v>Self-Pay</v>
      </c>
      <c r="AE634" s="13" t="str">
        <f t="shared" si="27"/>
        <v/>
      </c>
      <c r="AF634" s="13" t="str">
        <f t="shared" si="28"/>
        <v/>
      </c>
      <c r="AG634" s="4" t="str">
        <f t="shared" si="29"/>
        <v>Not Available</v>
      </c>
    </row>
    <row r="635" spans="1:33">
      <c r="A635" t="s">
        <v>1254</v>
      </c>
      <c r="B635" t="s">
        <v>1170</v>
      </c>
      <c r="C635" s="11">
        <v>46037</v>
      </c>
      <c r="D635" t="s">
        <v>363</v>
      </c>
      <c r="E635" t="s">
        <v>70</v>
      </c>
      <c r="F635" s="4">
        <v>46037</v>
      </c>
      <c r="G635" s="4">
        <v>46038</v>
      </c>
      <c r="H635" t="s">
        <v>138</v>
      </c>
      <c r="I635" t="s">
        <v>235</v>
      </c>
      <c r="J635" t="s">
        <v>140</v>
      </c>
      <c r="K635" t="s">
        <v>60</v>
      </c>
      <c r="L635" t="s">
        <v>74</v>
      </c>
      <c r="M635" s="5">
        <v>12100</v>
      </c>
      <c r="N635" s="5">
        <v>1200</v>
      </c>
      <c r="O635" s="5">
        <v>2300</v>
      </c>
      <c r="P635" s="5">
        <v>6000</v>
      </c>
      <c r="Q635" s="13">
        <v>22600</v>
      </c>
      <c r="R635" t="s">
        <v>85</v>
      </c>
      <c r="S635" t="s">
        <v>76</v>
      </c>
      <c r="T635" s="5">
        <v>6550</v>
      </c>
      <c r="U635" s="6">
        <v>5</v>
      </c>
      <c r="V635" t="s">
        <v>64</v>
      </c>
      <c r="W635" s="4"/>
      <c r="X635" t="s">
        <v>65</v>
      </c>
      <c r="Y635" t="s">
        <v>64</v>
      </c>
      <c r="Z635" t="s">
        <v>96</v>
      </c>
      <c r="AA635" t="str">
        <f>VLOOKUP(H635,Departments!$A:$B,2,0)</f>
        <v>Pediatrics</v>
      </c>
      <c r="AB635" t="str">
        <f>VLOOKUP(J635,Diagnosis_Guide!$A:$B,2,0)</f>
        <v>Pediatric Asthma</v>
      </c>
      <c r="AC635" s="4" t="str">
        <f>VLOOKUP(J635,Diagnosis_Guide!$A:$C,3,0)</f>
        <v>Pediatric</v>
      </c>
      <c r="AD635" s="4" t="str">
        <f>VLOOKUP(R635,Insurance_Plans!$A:$C,3,0)</f>
        <v>Employer</v>
      </c>
      <c r="AE635" s="13">
        <f t="shared" si="27"/>
        <v>1130</v>
      </c>
      <c r="AF635" s="13">
        <f t="shared" si="28"/>
        <v>23730</v>
      </c>
      <c r="AG635" s="4" t="str">
        <f t="shared" si="29"/>
        <v>High</v>
      </c>
    </row>
    <row r="636" spans="1:33">
      <c r="A636" t="s">
        <v>1255</v>
      </c>
      <c r="B636" t="s">
        <v>640</v>
      </c>
      <c r="C636" s="11">
        <v>46069</v>
      </c>
      <c r="D636" t="s">
        <v>206</v>
      </c>
      <c r="E636" t="s">
        <v>70</v>
      </c>
      <c r="F636" s="4">
        <v>46069</v>
      </c>
      <c r="G636" s="4">
        <v>46074</v>
      </c>
      <c r="H636" t="s">
        <v>201</v>
      </c>
      <c r="I636" t="s">
        <v>421</v>
      </c>
      <c r="J636" t="s">
        <v>295</v>
      </c>
      <c r="K636" t="s">
        <v>124</v>
      </c>
      <c r="L636" t="s">
        <v>74</v>
      </c>
      <c r="M636" s="5">
        <v>37700</v>
      </c>
      <c r="N636" s="5">
        <v>6300</v>
      </c>
      <c r="O636" s="5">
        <v>4850</v>
      </c>
      <c r="P636" s="5">
        <v>15000</v>
      </c>
      <c r="Q636" s="13">
        <v>64850</v>
      </c>
      <c r="R636" t="s">
        <v>75</v>
      </c>
      <c r="S636" t="s">
        <v>76</v>
      </c>
      <c r="T636" s="5">
        <v>29480</v>
      </c>
      <c r="U636" s="6">
        <v>4</v>
      </c>
      <c r="V636" t="s">
        <v>77</v>
      </c>
      <c r="W636" s="4">
        <v>46094</v>
      </c>
      <c r="X636" t="s">
        <v>77</v>
      </c>
      <c r="Y636" t="s">
        <v>64</v>
      </c>
      <c r="Z636" t="s">
        <v>107</v>
      </c>
      <c r="AA636" t="str">
        <f>VLOOKUP(H636,Departments!$A:$B,2,0)</f>
        <v>Emergency</v>
      </c>
      <c r="AB636" t="str">
        <f>VLOOKUP(J636,Diagnosis_Guide!$A:$B,2,0)</f>
        <v>Accident Injury</v>
      </c>
      <c r="AC636" s="4" t="str">
        <f>VLOOKUP(J636,Diagnosis_Guide!$A:$C,3,0)</f>
        <v>Emergency</v>
      </c>
      <c r="AD636" s="4" t="str">
        <f>VLOOKUP(R636,Insurance_Plans!$A:$C,3,0)</f>
        <v>Public</v>
      </c>
      <c r="AE636" s="13">
        <f t="shared" si="27"/>
        <v>3242.5</v>
      </c>
      <c r="AF636" s="13">
        <f t="shared" si="28"/>
        <v>68092.5</v>
      </c>
      <c r="AG636" s="4" t="str">
        <f t="shared" si="29"/>
        <v>High</v>
      </c>
    </row>
    <row r="637" spans="1:33">
      <c r="A637" t="s">
        <v>1256</v>
      </c>
      <c r="B637" t="s">
        <v>711</v>
      </c>
      <c r="C637" s="11">
        <v>46114</v>
      </c>
      <c r="D637" t="s">
        <v>137</v>
      </c>
      <c r="E637" t="s">
        <v>70</v>
      </c>
      <c r="F637" s="4">
        <v>46114</v>
      </c>
      <c r="G637" s="4">
        <v>46115</v>
      </c>
      <c r="H637" t="s">
        <v>90</v>
      </c>
      <c r="I637" t="s">
        <v>128</v>
      </c>
      <c r="J637" t="s">
        <v>197</v>
      </c>
      <c r="K637" t="s">
        <v>60</v>
      </c>
      <c r="L637" t="s">
        <v>94</v>
      </c>
      <c r="M637" s="5">
        <v>14200</v>
      </c>
      <c r="N637" s="5">
        <v>1200</v>
      </c>
      <c r="O637" s="5">
        <v>1650</v>
      </c>
      <c r="P637" s="5">
        <v>4500</v>
      </c>
      <c r="Q637" s="13">
        <v>23550</v>
      </c>
      <c r="R637" t="s">
        <v>62</v>
      </c>
      <c r="S637" t="s">
        <v>86</v>
      </c>
      <c r="T637" s="5">
        <v>7470</v>
      </c>
      <c r="U637" s="6">
        <v>3</v>
      </c>
      <c r="V637" t="s">
        <v>64</v>
      </c>
      <c r="W637" s="4"/>
      <c r="X637" t="s">
        <v>65</v>
      </c>
      <c r="Y637" t="s">
        <v>77</v>
      </c>
      <c r="Z637" t="s">
        <v>96</v>
      </c>
      <c r="AA637" t="str">
        <f>VLOOKUP(H637,Departments!$A:$B,2,0)</f>
        <v>Cardiology</v>
      </c>
      <c r="AB637" t="str">
        <f>VLOOKUP(J637,Diagnosis_Guide!$A:$B,2,0)</f>
        <v>Chest Pain</v>
      </c>
      <c r="AC637" s="4" t="str">
        <f>VLOOKUP(J637,Diagnosis_Guide!$A:$C,3,0)</f>
        <v>Cardiovascular</v>
      </c>
      <c r="AD637" s="4" t="str">
        <f>VLOOKUP(R637,Insurance_Plans!$A:$C,3,0)</f>
        <v>Public</v>
      </c>
      <c r="AE637" s="13">
        <f t="shared" si="27"/>
        <v>1177.5</v>
      </c>
      <c r="AF637" s="13">
        <f t="shared" si="28"/>
        <v>24727.5</v>
      </c>
      <c r="AG637" s="4" t="str">
        <f t="shared" si="29"/>
        <v>Medium</v>
      </c>
    </row>
    <row r="638" spans="1:33">
      <c r="A638" t="s">
        <v>1257</v>
      </c>
      <c r="B638" t="s">
        <v>190</v>
      </c>
      <c r="C638" s="11">
        <v>46095</v>
      </c>
      <c r="D638" t="s">
        <v>69</v>
      </c>
      <c r="E638" t="s">
        <v>70</v>
      </c>
      <c r="F638" s="4">
        <v>46095</v>
      </c>
      <c r="G638" s="4">
        <v>46095</v>
      </c>
      <c r="H638" t="s">
        <v>201</v>
      </c>
      <c r="I638" t="s">
        <v>449</v>
      </c>
      <c r="J638" t="s">
        <v>203</v>
      </c>
      <c r="K638" t="s">
        <v>124</v>
      </c>
      <c r="L638" t="s">
        <v>74</v>
      </c>
      <c r="M638" s="5">
        <v>30700</v>
      </c>
      <c r="N638" s="5">
        <v>2500</v>
      </c>
      <c r="O638" s="5">
        <v>7250</v>
      </c>
      <c r="P638" s="5">
        <v>0</v>
      </c>
      <c r="Q638" s="13">
        <v>41250</v>
      </c>
      <c r="R638" t="s">
        <v>95</v>
      </c>
      <c r="S638" t="s">
        <v>63</v>
      </c>
      <c r="T638" s="5">
        <v>41250</v>
      </c>
      <c r="U638" s="6">
        <v>4</v>
      </c>
      <c r="V638" t="s">
        <v>77</v>
      </c>
      <c r="W638" s="4">
        <v>46114</v>
      </c>
      <c r="X638" t="s">
        <v>77</v>
      </c>
      <c r="Y638" t="s">
        <v>77</v>
      </c>
      <c r="Z638" t="s">
        <v>96</v>
      </c>
      <c r="AA638" t="str">
        <f>VLOOKUP(H638,Departments!$A:$B,2,0)</f>
        <v>Emergency</v>
      </c>
      <c r="AB638" t="str">
        <f>VLOOKUP(J638,Diagnosis_Guide!$A:$B,2,0)</f>
        <v>Trauma Observation</v>
      </c>
      <c r="AC638" s="4" t="str">
        <f>VLOOKUP(J638,Diagnosis_Guide!$A:$C,3,0)</f>
        <v>Emergency</v>
      </c>
      <c r="AD638" s="4" t="str">
        <f>VLOOKUP(R638,Insurance_Plans!$A:$C,3,0)</f>
        <v>Self-Pay</v>
      </c>
      <c r="AE638" s="13">
        <f t="shared" si="27"/>
        <v>2062.5</v>
      </c>
      <c r="AF638" s="13">
        <f t="shared" si="28"/>
        <v>43312.5</v>
      </c>
      <c r="AG638" s="4" t="str">
        <f t="shared" si="29"/>
        <v>High</v>
      </c>
    </row>
    <row r="639" spans="1:33">
      <c r="A639" t="s">
        <v>1258</v>
      </c>
      <c r="B639" t="s">
        <v>399</v>
      </c>
      <c r="C639" s="11">
        <v>46097</v>
      </c>
      <c r="D639" t="s">
        <v>432</v>
      </c>
      <c r="E639" t="s">
        <v>70</v>
      </c>
      <c r="F639" s="4">
        <v>46097</v>
      </c>
      <c r="G639" s="4">
        <v>46098</v>
      </c>
      <c r="H639" t="s">
        <v>201</v>
      </c>
      <c r="I639" t="s">
        <v>515</v>
      </c>
      <c r="J639" t="s">
        <v>281</v>
      </c>
      <c r="K639" t="s">
        <v>124</v>
      </c>
      <c r="L639" t="s">
        <v>74</v>
      </c>
      <c r="M639" s="5">
        <v>6200</v>
      </c>
      <c r="N639" s="5">
        <v>1000</v>
      </c>
      <c r="O639" s="5">
        <v>1450</v>
      </c>
      <c r="P639" s="5">
        <v>3500</v>
      </c>
      <c r="Q639" s="13">
        <v>13350</v>
      </c>
      <c r="R639" t="s">
        <v>62</v>
      </c>
      <c r="S639" t="s">
        <v>76</v>
      </c>
      <c r="T639" s="5">
        <v>4400</v>
      </c>
      <c r="U639" s="6">
        <v>5</v>
      </c>
      <c r="V639" t="s">
        <v>64</v>
      </c>
      <c r="W639" s="4"/>
      <c r="X639" t="s">
        <v>65</v>
      </c>
      <c r="Y639" t="s">
        <v>64</v>
      </c>
      <c r="Z639" t="s">
        <v>78</v>
      </c>
      <c r="AA639" t="str">
        <f>VLOOKUP(H639,Departments!$A:$B,2,0)</f>
        <v>Emergency</v>
      </c>
      <c r="AB639" t="str">
        <f>VLOOKUP(J639,Diagnosis_Guide!$A:$B,2,0)</f>
        <v>Food Poisoning</v>
      </c>
      <c r="AC639" s="4" t="str">
        <f>VLOOKUP(J639,Diagnosis_Guide!$A:$C,3,0)</f>
        <v>Emergency</v>
      </c>
      <c r="AD639" s="4" t="str">
        <f>VLOOKUP(R639,Insurance_Plans!$A:$C,3,0)</f>
        <v>Public</v>
      </c>
      <c r="AE639" s="13">
        <f t="shared" si="27"/>
        <v>667.5</v>
      </c>
      <c r="AF639" s="13">
        <f t="shared" si="28"/>
        <v>14017.5</v>
      </c>
      <c r="AG639" s="4" t="str">
        <f t="shared" si="29"/>
        <v>High</v>
      </c>
    </row>
    <row r="640" spans="1:33">
      <c r="A640" t="s">
        <v>1259</v>
      </c>
      <c r="B640" t="s">
        <v>126</v>
      </c>
      <c r="C640" s="11">
        <v>46051</v>
      </c>
      <c r="D640" t="s">
        <v>217</v>
      </c>
      <c r="E640" t="s">
        <v>56</v>
      </c>
      <c r="F640" s="4"/>
      <c r="G640" s="4"/>
      <c r="H640" t="s">
        <v>178</v>
      </c>
      <c r="I640" t="s">
        <v>179</v>
      </c>
      <c r="J640" t="s">
        <v>180</v>
      </c>
      <c r="K640" t="s">
        <v>93</v>
      </c>
      <c r="L640" t="s">
        <v>61</v>
      </c>
      <c r="M640" s="5"/>
      <c r="N640" s="5"/>
      <c r="O640" s="5"/>
      <c r="P640" s="5"/>
      <c r="R640" t="s">
        <v>141</v>
      </c>
      <c r="S640" t="s">
        <v>63</v>
      </c>
      <c r="T640" s="5"/>
      <c r="U640" s="6"/>
      <c r="V640" t="s">
        <v>64</v>
      </c>
      <c r="W640" s="4"/>
      <c r="X640" t="s">
        <v>65</v>
      </c>
      <c r="Z640" t="s">
        <v>66</v>
      </c>
      <c r="AA640" t="str">
        <f>VLOOKUP(H640,Departments!$A:$B,2,0)</f>
        <v>Surgery</v>
      </c>
      <c r="AB640" t="str">
        <f>VLOOKUP(J640,Diagnosis_Guide!$A:$B,2,0)</f>
        <v>Appendicitis Surgery</v>
      </c>
      <c r="AC640" s="4" t="str">
        <f>VLOOKUP(J640,Diagnosis_Guide!$A:$C,3,0)</f>
        <v>Surgical</v>
      </c>
      <c r="AD640" s="4" t="str">
        <f>VLOOKUP(R640,Insurance_Plans!$A:$C,3,0)</f>
        <v>Private</v>
      </c>
      <c r="AE640" s="13" t="str">
        <f t="shared" si="27"/>
        <v/>
      </c>
      <c r="AF640" s="13" t="str">
        <f t="shared" si="28"/>
        <v/>
      </c>
      <c r="AG640" s="4" t="str">
        <f t="shared" si="29"/>
        <v>Not Available</v>
      </c>
    </row>
    <row r="641" spans="1:33">
      <c r="A641" t="s">
        <v>1260</v>
      </c>
      <c r="B641" t="s">
        <v>799</v>
      </c>
      <c r="C641" s="11">
        <v>46110</v>
      </c>
      <c r="D641" t="s">
        <v>149</v>
      </c>
      <c r="E641" t="s">
        <v>70</v>
      </c>
      <c r="F641" s="4">
        <v>46111</v>
      </c>
      <c r="G641" s="4">
        <v>46112</v>
      </c>
      <c r="H641" t="s">
        <v>138</v>
      </c>
      <c r="I641" t="s">
        <v>343</v>
      </c>
      <c r="J641" t="s">
        <v>261</v>
      </c>
      <c r="K641" t="s">
        <v>124</v>
      </c>
      <c r="L641" t="s">
        <v>94</v>
      </c>
      <c r="M641" s="5">
        <v>4500</v>
      </c>
      <c r="N641" s="5">
        <v>700</v>
      </c>
      <c r="O641" s="5">
        <v>450</v>
      </c>
      <c r="P641" s="5">
        <v>3500</v>
      </c>
      <c r="Q641" s="13">
        <v>10950</v>
      </c>
      <c r="R641" t="s">
        <v>95</v>
      </c>
      <c r="S641" t="s">
        <v>63</v>
      </c>
      <c r="T641" s="5">
        <v>10950</v>
      </c>
      <c r="U641" s="6">
        <v>5</v>
      </c>
      <c r="V641" t="s">
        <v>64</v>
      </c>
      <c r="W641" s="4"/>
      <c r="X641" t="s">
        <v>65</v>
      </c>
      <c r="Y641" t="s">
        <v>64</v>
      </c>
      <c r="Z641" t="s">
        <v>78</v>
      </c>
      <c r="AA641" t="str">
        <f>VLOOKUP(H641,Departments!$A:$B,2,0)</f>
        <v>Pediatrics</v>
      </c>
      <c r="AB641" t="str">
        <f>VLOOKUP(J641,Diagnosis_Guide!$A:$B,2,0)</f>
        <v>Child Fever</v>
      </c>
      <c r="AC641" s="4" t="str">
        <f>VLOOKUP(J641,Diagnosis_Guide!$A:$C,3,0)</f>
        <v>Pediatric</v>
      </c>
      <c r="AD641" s="4" t="str">
        <f>VLOOKUP(R641,Insurance_Plans!$A:$C,3,0)</f>
        <v>Self-Pay</v>
      </c>
      <c r="AE641" s="13">
        <f t="shared" si="27"/>
        <v>547.5</v>
      </c>
      <c r="AF641" s="13">
        <f t="shared" si="28"/>
        <v>11497.5</v>
      </c>
      <c r="AG641" s="4" t="str">
        <f t="shared" si="29"/>
        <v>High</v>
      </c>
    </row>
    <row r="642" spans="1:33">
      <c r="A642" t="s">
        <v>1261</v>
      </c>
      <c r="B642" t="s">
        <v>1243</v>
      </c>
      <c r="C642" s="11">
        <v>46075</v>
      </c>
      <c r="D642" t="s">
        <v>234</v>
      </c>
      <c r="E642" t="s">
        <v>70</v>
      </c>
      <c r="F642" s="4">
        <v>46076</v>
      </c>
      <c r="G642" s="4">
        <v>46076</v>
      </c>
      <c r="H642" t="s">
        <v>90</v>
      </c>
      <c r="I642" t="s">
        <v>128</v>
      </c>
      <c r="J642" t="s">
        <v>129</v>
      </c>
      <c r="K642" t="s">
        <v>60</v>
      </c>
      <c r="L642" t="s">
        <v>61</v>
      </c>
      <c r="M642" s="5">
        <v>39400</v>
      </c>
      <c r="N642" s="5">
        <v>5050</v>
      </c>
      <c r="O642" s="5">
        <v>5750</v>
      </c>
      <c r="P642" s="5">
        <v>0</v>
      </c>
      <c r="Q642" s="13">
        <v>52200</v>
      </c>
      <c r="R642" t="s">
        <v>75</v>
      </c>
      <c r="S642" t="s">
        <v>76</v>
      </c>
      <c r="T642" s="5">
        <v>23790</v>
      </c>
      <c r="U642" s="6">
        <v>4</v>
      </c>
      <c r="V642" t="s">
        <v>77</v>
      </c>
      <c r="W642" s="4">
        <v>46090</v>
      </c>
      <c r="X642" t="s">
        <v>77</v>
      </c>
      <c r="Y642" t="s">
        <v>77</v>
      </c>
      <c r="Z642" t="s">
        <v>96</v>
      </c>
      <c r="AA642" t="str">
        <f>VLOOKUP(H642,Departments!$A:$B,2,0)</f>
        <v>Cardiology</v>
      </c>
      <c r="AB642" t="str">
        <f>VLOOKUP(J642,Diagnosis_Guide!$A:$B,2,0)</f>
        <v>Hypertension Crisis</v>
      </c>
      <c r="AC642" s="4" t="str">
        <f>VLOOKUP(J642,Diagnosis_Guide!$A:$C,3,0)</f>
        <v>Cardiovascular</v>
      </c>
      <c r="AD642" s="4" t="str">
        <f>VLOOKUP(R642,Insurance_Plans!$A:$C,3,0)</f>
        <v>Public</v>
      </c>
      <c r="AE642" s="13">
        <f t="shared" ref="AE642:AE705" si="30">IF(Q642="","",Q642*0.05)</f>
        <v>2610</v>
      </c>
      <c r="AF642" s="13">
        <f t="shared" ref="AF642:AF705" si="31">IF(Q642="","",Q642+AE642)</f>
        <v>54810</v>
      </c>
      <c r="AG642" s="4" t="str">
        <f t="shared" ref="AG642:AG705" si="32">IF(U642="","Not Available",IF(U642&gt;=4,"High",IF(U642=3,"Medium","Low")))</f>
        <v>High</v>
      </c>
    </row>
    <row r="643" spans="1:33">
      <c r="A643" t="s">
        <v>1262</v>
      </c>
      <c r="B643" t="s">
        <v>799</v>
      </c>
      <c r="C643" s="11">
        <v>46123</v>
      </c>
      <c r="D643" t="s">
        <v>284</v>
      </c>
      <c r="E643" t="s">
        <v>177</v>
      </c>
      <c r="F643" s="4"/>
      <c r="G643" s="4"/>
      <c r="H643" t="s">
        <v>121</v>
      </c>
      <c r="I643" t="s">
        <v>251</v>
      </c>
      <c r="J643" t="s">
        <v>123</v>
      </c>
      <c r="K643" t="s">
        <v>124</v>
      </c>
      <c r="L643" t="s">
        <v>61</v>
      </c>
      <c r="M643" s="5"/>
      <c r="N643" s="5"/>
      <c r="O643" s="5"/>
      <c r="P643" s="5"/>
      <c r="R643" t="s">
        <v>95</v>
      </c>
      <c r="S643" t="s">
        <v>63</v>
      </c>
      <c r="T643" s="5"/>
      <c r="U643" s="6"/>
      <c r="V643" t="s">
        <v>64</v>
      </c>
      <c r="W643" s="4"/>
      <c r="X643" t="s">
        <v>65</v>
      </c>
      <c r="Z643" t="s">
        <v>66</v>
      </c>
      <c r="AA643" t="str">
        <f>VLOOKUP(H643,Departments!$A:$B,2,0)</f>
        <v>Neurology</v>
      </c>
      <c r="AB643" t="str">
        <f>VLOOKUP(J643,Diagnosis_Guide!$A:$B,2,0)</f>
        <v>Seizure Episode</v>
      </c>
      <c r="AC643" s="4" t="str">
        <f>VLOOKUP(J643,Diagnosis_Guide!$A:$C,3,0)</f>
        <v>Neurological</v>
      </c>
      <c r="AD643" s="4" t="str">
        <f>VLOOKUP(R643,Insurance_Plans!$A:$C,3,0)</f>
        <v>Self-Pay</v>
      </c>
      <c r="AE643" s="13" t="str">
        <f t="shared" si="30"/>
        <v/>
      </c>
      <c r="AF643" s="13" t="str">
        <f t="shared" si="31"/>
        <v/>
      </c>
      <c r="AG643" s="4" t="str">
        <f t="shared" si="32"/>
        <v>Not Available</v>
      </c>
    </row>
    <row r="644" spans="1:33">
      <c r="A644" t="s">
        <v>1263</v>
      </c>
      <c r="B644" t="s">
        <v>1240</v>
      </c>
      <c r="C644" s="11">
        <v>46129</v>
      </c>
      <c r="D644" t="s">
        <v>250</v>
      </c>
      <c r="E644" t="s">
        <v>70</v>
      </c>
      <c r="F644" s="4">
        <v>46129</v>
      </c>
      <c r="G644" s="4">
        <v>46130</v>
      </c>
      <c r="H644" t="s">
        <v>201</v>
      </c>
      <c r="I644" t="s">
        <v>202</v>
      </c>
      <c r="J644" t="s">
        <v>281</v>
      </c>
      <c r="K644" t="s">
        <v>73</v>
      </c>
      <c r="L644" t="s">
        <v>94</v>
      </c>
      <c r="M644" s="5">
        <v>8600</v>
      </c>
      <c r="N644" s="5">
        <v>750</v>
      </c>
      <c r="O644" s="5">
        <v>1950</v>
      </c>
      <c r="P644" s="5">
        <v>3000</v>
      </c>
      <c r="Q644" s="13">
        <v>16800</v>
      </c>
      <c r="R644" t="s">
        <v>62</v>
      </c>
      <c r="S644" t="s">
        <v>76</v>
      </c>
      <c r="T644" s="5">
        <v>5440</v>
      </c>
      <c r="U644" s="6">
        <v>4</v>
      </c>
      <c r="V644" t="s">
        <v>77</v>
      </c>
      <c r="W644" s="4">
        <v>46151</v>
      </c>
      <c r="X644" t="s">
        <v>77</v>
      </c>
      <c r="Y644" t="s">
        <v>64</v>
      </c>
      <c r="Z644" t="s">
        <v>96</v>
      </c>
      <c r="AA644" t="str">
        <f>VLOOKUP(H644,Departments!$A:$B,2,0)</f>
        <v>Emergency</v>
      </c>
      <c r="AB644" t="str">
        <f>VLOOKUP(J644,Diagnosis_Guide!$A:$B,2,0)</f>
        <v>Food Poisoning</v>
      </c>
      <c r="AC644" s="4" t="str">
        <f>VLOOKUP(J644,Diagnosis_Guide!$A:$C,3,0)</f>
        <v>Emergency</v>
      </c>
      <c r="AD644" s="4" t="str">
        <f>VLOOKUP(R644,Insurance_Plans!$A:$C,3,0)</f>
        <v>Public</v>
      </c>
      <c r="AE644" s="13">
        <f t="shared" si="30"/>
        <v>840</v>
      </c>
      <c r="AF644" s="13">
        <f t="shared" si="31"/>
        <v>17640</v>
      </c>
      <c r="AG644" s="4" t="str">
        <f t="shared" si="32"/>
        <v>High</v>
      </c>
    </row>
    <row r="645" spans="1:33">
      <c r="A645" t="s">
        <v>1264</v>
      </c>
      <c r="B645" t="s">
        <v>1251</v>
      </c>
      <c r="C645" s="11">
        <v>46030</v>
      </c>
      <c r="D645" t="s">
        <v>55</v>
      </c>
      <c r="E645" t="s">
        <v>70</v>
      </c>
      <c r="F645" s="4">
        <v>46030</v>
      </c>
      <c r="G645" s="4">
        <v>46031</v>
      </c>
      <c r="H645" t="s">
        <v>103</v>
      </c>
      <c r="I645" t="s">
        <v>207</v>
      </c>
      <c r="J645" t="s">
        <v>244</v>
      </c>
      <c r="K645" t="s">
        <v>60</v>
      </c>
      <c r="L645" t="s">
        <v>61</v>
      </c>
      <c r="M645" s="5">
        <v>74600</v>
      </c>
      <c r="N645" s="5">
        <v>13000</v>
      </c>
      <c r="O645" s="5">
        <v>14200</v>
      </c>
      <c r="P645" s="5">
        <v>3000</v>
      </c>
      <c r="Q645" s="13">
        <v>106300</v>
      </c>
      <c r="R645" t="s">
        <v>141</v>
      </c>
      <c r="S645" t="s">
        <v>76</v>
      </c>
      <c r="T645" s="5">
        <v>17140</v>
      </c>
      <c r="U645" s="6">
        <v>4</v>
      </c>
      <c r="V645" t="s">
        <v>77</v>
      </c>
      <c r="W645" s="4">
        <v>46052</v>
      </c>
      <c r="X645" t="s">
        <v>77</v>
      </c>
      <c r="Y645" t="s">
        <v>64</v>
      </c>
      <c r="Z645" t="s">
        <v>107</v>
      </c>
      <c r="AA645" t="str">
        <f>VLOOKUP(H645,Departments!$A:$B,2,0)</f>
        <v>Nephrology</v>
      </c>
      <c r="AB645" t="str">
        <f>VLOOKUP(J645,Diagnosis_Guide!$A:$B,2,0)</f>
        <v>Chronic Kidney Disease</v>
      </c>
      <c r="AC645" s="4" t="str">
        <f>VLOOKUP(J645,Diagnosis_Guide!$A:$C,3,0)</f>
        <v>Renal</v>
      </c>
      <c r="AD645" s="4" t="str">
        <f>VLOOKUP(R645,Insurance_Plans!$A:$C,3,0)</f>
        <v>Private</v>
      </c>
      <c r="AE645" s="13">
        <f t="shared" si="30"/>
        <v>5315</v>
      </c>
      <c r="AF645" s="13">
        <f t="shared" si="31"/>
        <v>111615</v>
      </c>
      <c r="AG645" s="4" t="str">
        <f t="shared" si="32"/>
        <v>High</v>
      </c>
    </row>
    <row r="646" spans="1:33">
      <c r="A646" t="s">
        <v>1265</v>
      </c>
      <c r="B646" t="s">
        <v>547</v>
      </c>
      <c r="C646" s="11">
        <v>46144</v>
      </c>
      <c r="D646" t="s">
        <v>284</v>
      </c>
      <c r="E646" t="s">
        <v>70</v>
      </c>
      <c r="F646" s="4">
        <v>46144</v>
      </c>
      <c r="G646" s="4">
        <v>46148</v>
      </c>
      <c r="H646" t="s">
        <v>178</v>
      </c>
      <c r="I646" t="s">
        <v>415</v>
      </c>
      <c r="J646" t="s">
        <v>340</v>
      </c>
      <c r="K646" t="s">
        <v>93</v>
      </c>
      <c r="L646" t="s">
        <v>74</v>
      </c>
      <c r="M646" s="5">
        <v>85200</v>
      </c>
      <c r="N646" s="5">
        <v>8850</v>
      </c>
      <c r="O646" s="5">
        <v>18500</v>
      </c>
      <c r="P646" s="5">
        <v>14000</v>
      </c>
      <c r="Q646" s="13">
        <v>127350</v>
      </c>
      <c r="R646" t="s">
        <v>75</v>
      </c>
      <c r="S646" t="s">
        <v>76</v>
      </c>
      <c r="T646" s="5">
        <v>57610</v>
      </c>
      <c r="U646" s="6">
        <v>2</v>
      </c>
      <c r="V646" t="s">
        <v>77</v>
      </c>
      <c r="W646" s="4">
        <v>46161</v>
      </c>
      <c r="X646" t="s">
        <v>64</v>
      </c>
      <c r="Y646" t="s">
        <v>77</v>
      </c>
      <c r="Z646" t="s">
        <v>78</v>
      </c>
      <c r="AA646" t="str">
        <f>VLOOKUP(H646,Departments!$A:$B,2,0)</f>
        <v>Surgery</v>
      </c>
      <c r="AB646" t="str">
        <f>VLOOKUP(J646,Diagnosis_Guide!$A:$B,2,0)</f>
        <v>Post-Operative Infection</v>
      </c>
      <c r="AC646" s="4" t="str">
        <f>VLOOKUP(J646,Diagnosis_Guide!$A:$C,3,0)</f>
        <v>Surgical</v>
      </c>
      <c r="AD646" s="4" t="str">
        <f>VLOOKUP(R646,Insurance_Plans!$A:$C,3,0)</f>
        <v>Public</v>
      </c>
      <c r="AE646" s="13">
        <f t="shared" si="30"/>
        <v>6367.5</v>
      </c>
      <c r="AF646" s="13">
        <f t="shared" si="31"/>
        <v>133717.5</v>
      </c>
      <c r="AG646" s="4" t="str">
        <f t="shared" si="32"/>
        <v>Low</v>
      </c>
    </row>
    <row r="647" spans="1:33">
      <c r="A647" t="s">
        <v>1266</v>
      </c>
      <c r="B647" t="s">
        <v>640</v>
      </c>
      <c r="C647" s="11">
        <v>46117</v>
      </c>
      <c r="D647" t="s">
        <v>266</v>
      </c>
      <c r="E647" t="s">
        <v>70</v>
      </c>
      <c r="F647" s="4">
        <v>46117</v>
      </c>
      <c r="G647" s="4">
        <v>46120</v>
      </c>
      <c r="H647" t="s">
        <v>150</v>
      </c>
      <c r="I647" t="s">
        <v>228</v>
      </c>
      <c r="J647" t="s">
        <v>152</v>
      </c>
      <c r="K647" t="s">
        <v>93</v>
      </c>
      <c r="L647" t="s">
        <v>61</v>
      </c>
      <c r="M647" s="5">
        <v>25400</v>
      </c>
      <c r="N647" s="5">
        <v>3400</v>
      </c>
      <c r="O647" s="5">
        <v>2950</v>
      </c>
      <c r="P647" s="5">
        <v>10500</v>
      </c>
      <c r="Q647" s="13">
        <v>43750</v>
      </c>
      <c r="R647" t="s">
        <v>95</v>
      </c>
      <c r="S647" t="s">
        <v>63</v>
      </c>
      <c r="T647" s="5">
        <v>43750</v>
      </c>
      <c r="U647" s="6">
        <v>3</v>
      </c>
      <c r="V647" t="s">
        <v>64</v>
      </c>
      <c r="W647" s="4"/>
      <c r="X647" t="s">
        <v>65</v>
      </c>
      <c r="Y647" t="s">
        <v>64</v>
      </c>
      <c r="Z647" t="s">
        <v>436</v>
      </c>
      <c r="AA647" t="str">
        <f>VLOOKUP(H647,Departments!$A:$B,2,0)</f>
        <v>Obstetrics</v>
      </c>
      <c r="AB647" t="str">
        <f>VLOOKUP(J647,Diagnosis_Guide!$A:$B,2,0)</f>
        <v>Antenatal Complication</v>
      </c>
      <c r="AC647" s="4" t="str">
        <f>VLOOKUP(J647,Diagnosis_Guide!$A:$C,3,0)</f>
        <v>Maternal Health</v>
      </c>
      <c r="AD647" s="4" t="str">
        <f>VLOOKUP(R647,Insurance_Plans!$A:$C,3,0)</f>
        <v>Self-Pay</v>
      </c>
      <c r="AE647" s="13">
        <f t="shared" si="30"/>
        <v>2187.5</v>
      </c>
      <c r="AF647" s="13">
        <f t="shared" si="31"/>
        <v>45937.5</v>
      </c>
      <c r="AG647" s="4" t="str">
        <f t="shared" si="32"/>
        <v>Medium</v>
      </c>
    </row>
    <row r="648" spans="1:33">
      <c r="A648" t="s">
        <v>1267</v>
      </c>
      <c r="B648" t="s">
        <v>589</v>
      </c>
      <c r="C648" s="11">
        <v>46070</v>
      </c>
      <c r="D648" t="s">
        <v>99</v>
      </c>
      <c r="E648" t="s">
        <v>70</v>
      </c>
      <c r="F648" s="4">
        <v>46070</v>
      </c>
      <c r="G648" s="4">
        <v>46072</v>
      </c>
      <c r="H648" t="s">
        <v>57</v>
      </c>
      <c r="I648" t="s">
        <v>71</v>
      </c>
      <c r="J648" t="s">
        <v>72</v>
      </c>
      <c r="K648" t="s">
        <v>93</v>
      </c>
      <c r="L648" t="s">
        <v>146</v>
      </c>
      <c r="M648" s="5">
        <v>6900</v>
      </c>
      <c r="N648" s="5">
        <v>1250</v>
      </c>
      <c r="O648" s="5">
        <v>950</v>
      </c>
      <c r="P648" s="5">
        <v>9000</v>
      </c>
      <c r="Q648" s="13">
        <v>19900</v>
      </c>
      <c r="R648" t="s">
        <v>106</v>
      </c>
      <c r="S648" t="s">
        <v>86</v>
      </c>
      <c r="T648" s="5">
        <v>7660</v>
      </c>
      <c r="U648" s="6">
        <v>4</v>
      </c>
      <c r="V648" t="s">
        <v>77</v>
      </c>
      <c r="W648" s="4">
        <v>46087</v>
      </c>
      <c r="X648" t="s">
        <v>77</v>
      </c>
      <c r="Y648" t="s">
        <v>64</v>
      </c>
      <c r="Z648" t="s">
        <v>107</v>
      </c>
      <c r="AA648" t="str">
        <f>VLOOKUP(H648,Departments!$A:$B,2,0)</f>
        <v>Pulmonology</v>
      </c>
      <c r="AB648" t="str">
        <f>VLOOKUP(J648,Diagnosis_Guide!$A:$B,2,0)</f>
        <v>Acute Bronchitis</v>
      </c>
      <c r="AC648" s="4" t="str">
        <f>VLOOKUP(J648,Diagnosis_Guide!$A:$C,3,0)</f>
        <v>Respiratory</v>
      </c>
      <c r="AD648" s="4" t="str">
        <f>VLOOKUP(R648,Insurance_Plans!$A:$C,3,0)</f>
        <v>Private</v>
      </c>
      <c r="AE648" s="13">
        <f t="shared" si="30"/>
        <v>995</v>
      </c>
      <c r="AF648" s="13">
        <f t="shared" si="31"/>
        <v>20895</v>
      </c>
      <c r="AG648" s="4" t="str">
        <f t="shared" si="32"/>
        <v>High</v>
      </c>
    </row>
    <row r="649" spans="1:33">
      <c r="A649" t="s">
        <v>1268</v>
      </c>
      <c r="B649" t="s">
        <v>1076</v>
      </c>
      <c r="C649" s="11">
        <v>46110</v>
      </c>
      <c r="D649" t="s">
        <v>225</v>
      </c>
      <c r="E649" t="s">
        <v>70</v>
      </c>
      <c r="F649" s="4">
        <v>46110</v>
      </c>
      <c r="G649" s="4">
        <v>46116</v>
      </c>
      <c r="H649" t="s">
        <v>178</v>
      </c>
      <c r="I649" t="s">
        <v>339</v>
      </c>
      <c r="J649" t="s">
        <v>340</v>
      </c>
      <c r="K649" t="s">
        <v>93</v>
      </c>
      <c r="L649" t="s">
        <v>94</v>
      </c>
      <c r="M649" s="5">
        <v>84900</v>
      </c>
      <c r="N649" s="5">
        <v>14100</v>
      </c>
      <c r="O649" s="5">
        <v>14100</v>
      </c>
      <c r="P649" s="5">
        <v>36000</v>
      </c>
      <c r="Q649" s="13">
        <v>149900</v>
      </c>
      <c r="R649" t="s">
        <v>106</v>
      </c>
      <c r="S649" t="s">
        <v>76</v>
      </c>
      <c r="T649" s="5">
        <v>53160</v>
      </c>
      <c r="U649" s="6">
        <v>3</v>
      </c>
      <c r="V649" t="s">
        <v>64</v>
      </c>
      <c r="W649" s="4"/>
      <c r="X649" t="s">
        <v>65</v>
      </c>
      <c r="Y649" t="s">
        <v>77</v>
      </c>
      <c r="Z649" t="s">
        <v>96</v>
      </c>
      <c r="AA649" t="str">
        <f>VLOOKUP(H649,Departments!$A:$B,2,0)</f>
        <v>Surgery</v>
      </c>
      <c r="AB649" t="str">
        <f>VLOOKUP(J649,Diagnosis_Guide!$A:$B,2,0)</f>
        <v>Post-Operative Infection</v>
      </c>
      <c r="AC649" s="4" t="str">
        <f>VLOOKUP(J649,Diagnosis_Guide!$A:$C,3,0)</f>
        <v>Surgical</v>
      </c>
      <c r="AD649" s="4" t="str">
        <f>VLOOKUP(R649,Insurance_Plans!$A:$C,3,0)</f>
        <v>Private</v>
      </c>
      <c r="AE649" s="13">
        <f t="shared" si="30"/>
        <v>7495</v>
      </c>
      <c r="AF649" s="13">
        <f t="shared" si="31"/>
        <v>157395</v>
      </c>
      <c r="AG649" s="4" t="str">
        <f t="shared" si="32"/>
        <v>Medium</v>
      </c>
    </row>
    <row r="650" spans="1:33">
      <c r="A650" t="s">
        <v>1269</v>
      </c>
      <c r="B650" t="s">
        <v>1270</v>
      </c>
      <c r="C650" s="11">
        <v>46163</v>
      </c>
      <c r="D650" t="s">
        <v>168</v>
      </c>
      <c r="E650" t="s">
        <v>70</v>
      </c>
      <c r="F650" s="4">
        <v>46163</v>
      </c>
      <c r="G650" s="4">
        <v>46167</v>
      </c>
      <c r="H650" t="s">
        <v>201</v>
      </c>
      <c r="I650" t="s">
        <v>280</v>
      </c>
      <c r="J650" t="s">
        <v>203</v>
      </c>
      <c r="K650" t="s">
        <v>124</v>
      </c>
      <c r="L650" t="s">
        <v>61</v>
      </c>
      <c r="M650" s="5">
        <v>35800</v>
      </c>
      <c r="N650" s="5">
        <v>4800</v>
      </c>
      <c r="O650" s="5">
        <v>4050</v>
      </c>
      <c r="P650" s="5">
        <v>24000</v>
      </c>
      <c r="Q650" s="13">
        <v>69650</v>
      </c>
      <c r="R650" t="s">
        <v>75</v>
      </c>
      <c r="S650" t="s">
        <v>76</v>
      </c>
      <c r="T650" s="5">
        <v>31640</v>
      </c>
      <c r="U650" s="6">
        <v>4</v>
      </c>
      <c r="V650" t="s">
        <v>77</v>
      </c>
      <c r="W650" s="4">
        <v>46174</v>
      </c>
      <c r="X650" t="s">
        <v>77</v>
      </c>
      <c r="Y650" t="s">
        <v>64</v>
      </c>
      <c r="Z650" t="s">
        <v>107</v>
      </c>
      <c r="AA650" t="str">
        <f>VLOOKUP(H650,Departments!$A:$B,2,0)</f>
        <v>Emergency</v>
      </c>
      <c r="AB650" t="str">
        <f>VLOOKUP(J650,Diagnosis_Guide!$A:$B,2,0)</f>
        <v>Trauma Observation</v>
      </c>
      <c r="AC650" s="4" t="str">
        <f>VLOOKUP(J650,Diagnosis_Guide!$A:$C,3,0)</f>
        <v>Emergency</v>
      </c>
      <c r="AD650" s="4" t="str">
        <f>VLOOKUP(R650,Insurance_Plans!$A:$C,3,0)</f>
        <v>Public</v>
      </c>
      <c r="AE650" s="13">
        <f t="shared" si="30"/>
        <v>3482.5</v>
      </c>
      <c r="AF650" s="13">
        <f t="shared" si="31"/>
        <v>73132.5</v>
      </c>
      <c r="AG650" s="4" t="str">
        <f t="shared" si="32"/>
        <v>High</v>
      </c>
    </row>
    <row r="651" spans="1:33">
      <c r="A651" t="s">
        <v>1271</v>
      </c>
      <c r="B651" t="s">
        <v>1272</v>
      </c>
      <c r="C651" s="11">
        <v>46164</v>
      </c>
      <c r="D651" t="s">
        <v>200</v>
      </c>
      <c r="E651" t="s">
        <v>177</v>
      </c>
      <c r="F651" s="4"/>
      <c r="G651" s="4"/>
      <c r="H651" t="s">
        <v>103</v>
      </c>
      <c r="I651" t="s">
        <v>104</v>
      </c>
      <c r="J651" t="s">
        <v>145</v>
      </c>
      <c r="K651" t="s">
        <v>73</v>
      </c>
      <c r="L651" t="s">
        <v>61</v>
      </c>
      <c r="M651" s="5"/>
      <c r="N651" s="5"/>
      <c r="O651" s="5"/>
      <c r="P651" s="5"/>
      <c r="R651" t="s">
        <v>62</v>
      </c>
      <c r="S651" t="s">
        <v>63</v>
      </c>
      <c r="T651" s="5"/>
      <c r="U651" s="6"/>
      <c r="V651" t="s">
        <v>64</v>
      </c>
      <c r="W651" s="4"/>
      <c r="X651" t="s">
        <v>65</v>
      </c>
      <c r="Z651" t="s">
        <v>66</v>
      </c>
      <c r="AA651" t="str">
        <f>VLOOKUP(H651,Departments!$A:$B,2,0)</f>
        <v>Nephrology</v>
      </c>
      <c r="AB651" t="str">
        <f>VLOOKUP(J651,Diagnosis_Guide!$A:$B,2,0)</f>
        <v>Kidney Stone</v>
      </c>
      <c r="AC651" s="4" t="str">
        <f>VLOOKUP(J651,Diagnosis_Guide!$A:$C,3,0)</f>
        <v>Renal</v>
      </c>
      <c r="AD651" s="4" t="str">
        <f>VLOOKUP(R651,Insurance_Plans!$A:$C,3,0)</f>
        <v>Public</v>
      </c>
      <c r="AE651" s="13" t="str">
        <f t="shared" si="30"/>
        <v/>
      </c>
      <c r="AF651" s="13" t="str">
        <f t="shared" si="31"/>
        <v/>
      </c>
      <c r="AG651" s="4" t="str">
        <f t="shared" si="32"/>
        <v>Not Available</v>
      </c>
    </row>
    <row r="652" spans="1:33">
      <c r="A652" t="s">
        <v>1273</v>
      </c>
      <c r="B652" t="s">
        <v>657</v>
      </c>
      <c r="C652" s="11">
        <v>46023</v>
      </c>
      <c r="D652" t="s">
        <v>284</v>
      </c>
      <c r="E652" t="s">
        <v>70</v>
      </c>
      <c r="F652" s="4">
        <v>46023</v>
      </c>
      <c r="G652" s="4">
        <v>46023</v>
      </c>
      <c r="H652" t="s">
        <v>90</v>
      </c>
      <c r="I652" t="s">
        <v>299</v>
      </c>
      <c r="J652" t="s">
        <v>92</v>
      </c>
      <c r="K652" t="s">
        <v>60</v>
      </c>
      <c r="L652" t="s">
        <v>94</v>
      </c>
      <c r="M652" s="5">
        <v>62000</v>
      </c>
      <c r="N652" s="5">
        <v>10700</v>
      </c>
      <c r="O652" s="5">
        <v>11450</v>
      </c>
      <c r="P652" s="5">
        <v>0</v>
      </c>
      <c r="Q652" s="13">
        <v>85650</v>
      </c>
      <c r="R652" t="s">
        <v>95</v>
      </c>
      <c r="S652" t="s">
        <v>63</v>
      </c>
      <c r="T652" s="5">
        <v>85650</v>
      </c>
      <c r="U652" s="6">
        <v>4</v>
      </c>
      <c r="V652" t="s">
        <v>77</v>
      </c>
      <c r="W652" s="4">
        <v>46030</v>
      </c>
      <c r="X652" t="s">
        <v>77</v>
      </c>
      <c r="Y652" t="s">
        <v>64</v>
      </c>
      <c r="Z652" t="s">
        <v>436</v>
      </c>
      <c r="AA652" t="str">
        <f>VLOOKUP(H652,Departments!$A:$B,2,0)</f>
        <v>Cardiology</v>
      </c>
      <c r="AB652" t="str">
        <f>VLOOKUP(J652,Diagnosis_Guide!$A:$B,2,0)</f>
        <v>Heart Failure</v>
      </c>
      <c r="AC652" s="4" t="str">
        <f>VLOOKUP(J652,Diagnosis_Guide!$A:$C,3,0)</f>
        <v>Cardiovascular</v>
      </c>
      <c r="AD652" s="4" t="str">
        <f>VLOOKUP(R652,Insurance_Plans!$A:$C,3,0)</f>
        <v>Self-Pay</v>
      </c>
      <c r="AE652" s="13">
        <f t="shared" si="30"/>
        <v>4282.5</v>
      </c>
      <c r="AF652" s="13">
        <f t="shared" si="31"/>
        <v>89932.5</v>
      </c>
      <c r="AG652" s="4" t="str">
        <f t="shared" si="32"/>
        <v>High</v>
      </c>
    </row>
    <row r="653" spans="1:33">
      <c r="A653" t="s">
        <v>1274</v>
      </c>
      <c r="B653" t="s">
        <v>1081</v>
      </c>
      <c r="C653" s="11">
        <v>46172</v>
      </c>
      <c r="D653" t="s">
        <v>127</v>
      </c>
      <c r="E653" t="s">
        <v>56</v>
      </c>
      <c r="F653" s="4"/>
      <c r="G653" s="4"/>
      <c r="H653" t="s">
        <v>138</v>
      </c>
      <c r="I653" t="s">
        <v>343</v>
      </c>
      <c r="J653" t="s">
        <v>236</v>
      </c>
      <c r="K653" t="s">
        <v>60</v>
      </c>
      <c r="L653" t="s">
        <v>61</v>
      </c>
      <c r="M653" s="5"/>
      <c r="N653" s="5"/>
      <c r="O653" s="5"/>
      <c r="P653" s="5"/>
      <c r="R653" t="s">
        <v>75</v>
      </c>
      <c r="S653" t="s">
        <v>63</v>
      </c>
      <c r="T653" s="5"/>
      <c r="U653" s="6"/>
      <c r="V653" t="s">
        <v>64</v>
      </c>
      <c r="W653" s="4"/>
      <c r="X653" t="s">
        <v>65</v>
      </c>
      <c r="Z653" t="s">
        <v>66</v>
      </c>
      <c r="AA653" t="str">
        <f>VLOOKUP(H653,Departments!$A:$B,2,0)</f>
        <v>Pediatrics</v>
      </c>
      <c r="AB653" t="str">
        <f>VLOOKUP(J653,Diagnosis_Guide!$A:$B,2,0)</f>
        <v>Neonatal Observation</v>
      </c>
      <c r="AC653" s="4" t="str">
        <f>VLOOKUP(J653,Diagnosis_Guide!$A:$C,3,0)</f>
        <v>Pediatric</v>
      </c>
      <c r="AD653" s="4" t="str">
        <f>VLOOKUP(R653,Insurance_Plans!$A:$C,3,0)</f>
        <v>Public</v>
      </c>
      <c r="AE653" s="13" t="str">
        <f t="shared" si="30"/>
        <v/>
      </c>
      <c r="AF653" s="13" t="str">
        <f t="shared" si="31"/>
        <v/>
      </c>
      <c r="AG653" s="4" t="str">
        <f t="shared" si="32"/>
        <v>Not Available</v>
      </c>
    </row>
    <row r="654" spans="1:33">
      <c r="A654" t="s">
        <v>1275</v>
      </c>
      <c r="B654" t="s">
        <v>418</v>
      </c>
      <c r="C654" s="11">
        <v>46033</v>
      </c>
      <c r="D654" t="s">
        <v>259</v>
      </c>
      <c r="E654" t="s">
        <v>56</v>
      </c>
      <c r="F654" s="4"/>
      <c r="G654" s="4"/>
      <c r="H654" t="s">
        <v>90</v>
      </c>
      <c r="I654" t="s">
        <v>388</v>
      </c>
      <c r="J654" t="s">
        <v>129</v>
      </c>
      <c r="K654" t="s">
        <v>60</v>
      </c>
      <c r="L654" t="s">
        <v>146</v>
      </c>
      <c r="M654" s="5"/>
      <c r="N654" s="5"/>
      <c r="O654" s="5"/>
      <c r="P654" s="5"/>
      <c r="R654" t="s">
        <v>75</v>
      </c>
      <c r="S654" t="s">
        <v>63</v>
      </c>
      <c r="T654" s="5"/>
      <c r="U654" s="6"/>
      <c r="V654" t="s">
        <v>64</v>
      </c>
      <c r="W654" s="4"/>
      <c r="X654" t="s">
        <v>65</v>
      </c>
      <c r="Z654" t="s">
        <v>66</v>
      </c>
      <c r="AA654" t="str">
        <f>VLOOKUP(H654,Departments!$A:$B,2,0)</f>
        <v>Cardiology</v>
      </c>
      <c r="AB654" t="str">
        <f>VLOOKUP(J654,Diagnosis_Guide!$A:$B,2,0)</f>
        <v>Hypertension Crisis</v>
      </c>
      <c r="AC654" s="4" t="str">
        <f>VLOOKUP(J654,Diagnosis_Guide!$A:$C,3,0)</f>
        <v>Cardiovascular</v>
      </c>
      <c r="AD654" s="4" t="str">
        <f>VLOOKUP(R654,Insurance_Plans!$A:$C,3,0)</f>
        <v>Public</v>
      </c>
      <c r="AE654" s="13" t="str">
        <f t="shared" si="30"/>
        <v/>
      </c>
      <c r="AF654" s="13" t="str">
        <f t="shared" si="31"/>
        <v/>
      </c>
      <c r="AG654" s="4" t="str">
        <f t="shared" si="32"/>
        <v>Not Available</v>
      </c>
    </row>
    <row r="655" spans="1:33">
      <c r="A655" t="s">
        <v>1276</v>
      </c>
      <c r="B655" t="s">
        <v>1277</v>
      </c>
      <c r="C655" s="11">
        <v>46107</v>
      </c>
      <c r="D655" t="s">
        <v>99</v>
      </c>
      <c r="E655" t="s">
        <v>314</v>
      </c>
      <c r="F655" s="4"/>
      <c r="G655" s="4"/>
      <c r="H655" t="s">
        <v>201</v>
      </c>
      <c r="I655" t="s">
        <v>327</v>
      </c>
      <c r="J655" t="s">
        <v>281</v>
      </c>
      <c r="K655" t="s">
        <v>73</v>
      </c>
      <c r="L655" t="s">
        <v>74</v>
      </c>
      <c r="M655" s="5"/>
      <c r="N655" s="5"/>
      <c r="O655" s="5"/>
      <c r="P655" s="5"/>
      <c r="R655" t="s">
        <v>134</v>
      </c>
      <c r="S655" t="s">
        <v>63</v>
      </c>
      <c r="T655" s="5"/>
      <c r="U655" s="6"/>
      <c r="V655" t="s">
        <v>64</v>
      </c>
      <c r="W655" s="4"/>
      <c r="X655" t="s">
        <v>65</v>
      </c>
      <c r="Z655" t="s">
        <v>66</v>
      </c>
      <c r="AA655" t="str">
        <f>VLOOKUP(H655,Departments!$A:$B,2,0)</f>
        <v>Emergency</v>
      </c>
      <c r="AB655" t="str">
        <f>VLOOKUP(J655,Diagnosis_Guide!$A:$B,2,0)</f>
        <v>Food Poisoning</v>
      </c>
      <c r="AC655" s="4" t="str">
        <f>VLOOKUP(J655,Diagnosis_Guide!$A:$C,3,0)</f>
        <v>Emergency</v>
      </c>
      <c r="AD655" s="4" t="str">
        <f>VLOOKUP(R655,Insurance_Plans!$A:$C,3,0)</f>
        <v>Community</v>
      </c>
      <c r="AE655" s="13" t="str">
        <f t="shared" si="30"/>
        <v/>
      </c>
      <c r="AF655" s="13" t="str">
        <f t="shared" si="31"/>
        <v/>
      </c>
      <c r="AG655" s="4" t="str">
        <f t="shared" si="32"/>
        <v>Not Available</v>
      </c>
    </row>
    <row r="656" spans="1:33">
      <c r="A656" t="s">
        <v>1278</v>
      </c>
      <c r="B656" t="s">
        <v>109</v>
      </c>
      <c r="C656" s="11">
        <v>46072</v>
      </c>
      <c r="D656" t="s">
        <v>259</v>
      </c>
      <c r="E656" t="s">
        <v>314</v>
      </c>
      <c r="F656" s="4"/>
      <c r="G656" s="4"/>
      <c r="H656" t="s">
        <v>103</v>
      </c>
      <c r="I656" t="s">
        <v>104</v>
      </c>
      <c r="J656" t="s">
        <v>244</v>
      </c>
      <c r="K656" t="s">
        <v>60</v>
      </c>
      <c r="L656" t="s">
        <v>74</v>
      </c>
      <c r="M656" s="5"/>
      <c r="N656" s="5"/>
      <c r="O656" s="5"/>
      <c r="P656" s="5"/>
      <c r="R656" t="s">
        <v>75</v>
      </c>
      <c r="S656" t="s">
        <v>63</v>
      </c>
      <c r="T656" s="5"/>
      <c r="U656" s="6"/>
      <c r="V656" t="s">
        <v>64</v>
      </c>
      <c r="W656" s="4"/>
      <c r="X656" t="s">
        <v>65</v>
      </c>
      <c r="Z656" t="s">
        <v>66</v>
      </c>
      <c r="AA656" t="str">
        <f>VLOOKUP(H656,Departments!$A:$B,2,0)</f>
        <v>Nephrology</v>
      </c>
      <c r="AB656" t="str">
        <f>VLOOKUP(J656,Diagnosis_Guide!$A:$B,2,0)</f>
        <v>Chronic Kidney Disease</v>
      </c>
      <c r="AC656" s="4" t="str">
        <f>VLOOKUP(J656,Diagnosis_Guide!$A:$C,3,0)</f>
        <v>Renal</v>
      </c>
      <c r="AD656" s="4" t="str">
        <f>VLOOKUP(R656,Insurance_Plans!$A:$C,3,0)</f>
        <v>Public</v>
      </c>
      <c r="AE656" s="13" t="str">
        <f t="shared" si="30"/>
        <v/>
      </c>
      <c r="AF656" s="13" t="str">
        <f t="shared" si="31"/>
        <v/>
      </c>
      <c r="AG656" s="4" t="str">
        <f t="shared" si="32"/>
        <v>Not Available</v>
      </c>
    </row>
    <row r="657" spans="1:33">
      <c r="A657" t="s">
        <v>1279</v>
      </c>
      <c r="B657" t="s">
        <v>1280</v>
      </c>
      <c r="C657" s="11">
        <v>46160</v>
      </c>
      <c r="D657" t="s">
        <v>69</v>
      </c>
      <c r="E657" t="s">
        <v>70</v>
      </c>
      <c r="F657" s="4">
        <v>46160</v>
      </c>
      <c r="G657" s="4">
        <v>46160</v>
      </c>
      <c r="H657" t="s">
        <v>90</v>
      </c>
      <c r="I657" t="s">
        <v>133</v>
      </c>
      <c r="J657" t="s">
        <v>197</v>
      </c>
      <c r="K657" t="s">
        <v>93</v>
      </c>
      <c r="L657" t="s">
        <v>61</v>
      </c>
      <c r="M657" s="5">
        <v>14200</v>
      </c>
      <c r="N657" s="5">
        <v>2400</v>
      </c>
      <c r="O657" s="5">
        <v>1550</v>
      </c>
      <c r="P657" s="5">
        <v>0</v>
      </c>
      <c r="Q657" s="13">
        <v>20150</v>
      </c>
      <c r="R657" t="s">
        <v>95</v>
      </c>
      <c r="S657" t="s">
        <v>63</v>
      </c>
      <c r="T657" s="5">
        <v>20150</v>
      </c>
      <c r="U657" s="6">
        <v>5</v>
      </c>
      <c r="V657" t="s">
        <v>64</v>
      </c>
      <c r="W657" s="4"/>
      <c r="X657" t="s">
        <v>65</v>
      </c>
      <c r="Y657" t="s">
        <v>64</v>
      </c>
      <c r="Z657" t="s">
        <v>96</v>
      </c>
      <c r="AA657" t="str">
        <f>VLOOKUP(H657,Departments!$A:$B,2,0)</f>
        <v>Cardiology</v>
      </c>
      <c r="AB657" t="str">
        <f>VLOOKUP(J657,Diagnosis_Guide!$A:$B,2,0)</f>
        <v>Chest Pain</v>
      </c>
      <c r="AC657" s="4" t="str">
        <f>VLOOKUP(J657,Diagnosis_Guide!$A:$C,3,0)</f>
        <v>Cardiovascular</v>
      </c>
      <c r="AD657" s="4" t="str">
        <f>VLOOKUP(R657,Insurance_Plans!$A:$C,3,0)</f>
        <v>Self-Pay</v>
      </c>
      <c r="AE657" s="13">
        <f t="shared" si="30"/>
        <v>1007.5</v>
      </c>
      <c r="AF657" s="13">
        <f t="shared" si="31"/>
        <v>21157.5</v>
      </c>
      <c r="AG657" s="4" t="str">
        <f t="shared" si="32"/>
        <v>High</v>
      </c>
    </row>
    <row r="658" spans="1:33">
      <c r="A658" t="s">
        <v>1281</v>
      </c>
      <c r="B658" t="s">
        <v>980</v>
      </c>
      <c r="C658" s="11">
        <v>46140</v>
      </c>
      <c r="D658" t="s">
        <v>200</v>
      </c>
      <c r="E658" t="s">
        <v>70</v>
      </c>
      <c r="F658" s="4">
        <v>46140</v>
      </c>
      <c r="G658" s="4">
        <v>46140</v>
      </c>
      <c r="H658" t="s">
        <v>82</v>
      </c>
      <c r="I658" t="s">
        <v>155</v>
      </c>
      <c r="J658" t="s">
        <v>156</v>
      </c>
      <c r="K658" t="s">
        <v>60</v>
      </c>
      <c r="L658" t="s">
        <v>61</v>
      </c>
      <c r="M658" s="5">
        <v>93900</v>
      </c>
      <c r="N658" s="5">
        <v>10700</v>
      </c>
      <c r="O658" s="5">
        <v>23300</v>
      </c>
      <c r="P658" s="5">
        <v>0</v>
      </c>
      <c r="Q658" s="13">
        <v>130400</v>
      </c>
      <c r="R658" t="s">
        <v>75</v>
      </c>
      <c r="S658" t="s">
        <v>76</v>
      </c>
      <c r="T658" s="5">
        <v>58980</v>
      </c>
      <c r="U658" s="6">
        <v>2</v>
      </c>
      <c r="V658" t="s">
        <v>77</v>
      </c>
      <c r="W658" s="4">
        <v>46148</v>
      </c>
      <c r="X658" t="s">
        <v>64</v>
      </c>
      <c r="Y658" t="s">
        <v>77</v>
      </c>
      <c r="Z658" t="s">
        <v>96</v>
      </c>
      <c r="AA658" t="str">
        <f>VLOOKUP(H658,Departments!$A:$B,2,0)</f>
        <v>Orthopedics</v>
      </c>
      <c r="AB658" t="str">
        <f>VLOOKUP(J658,Diagnosis_Guide!$A:$B,2,0)</f>
        <v>Spinal Injury</v>
      </c>
      <c r="AC658" s="4" t="str">
        <f>VLOOKUP(J658,Diagnosis_Guide!$A:$C,3,0)</f>
        <v>Musculoskeletal</v>
      </c>
      <c r="AD658" s="4" t="str">
        <f>VLOOKUP(R658,Insurance_Plans!$A:$C,3,0)</f>
        <v>Public</v>
      </c>
      <c r="AE658" s="13">
        <f t="shared" si="30"/>
        <v>6520</v>
      </c>
      <c r="AF658" s="13">
        <f t="shared" si="31"/>
        <v>136920</v>
      </c>
      <c r="AG658" s="4" t="str">
        <f t="shared" si="32"/>
        <v>Low</v>
      </c>
    </row>
    <row r="659" spans="1:33">
      <c r="A659" t="s">
        <v>1282</v>
      </c>
      <c r="B659" t="s">
        <v>649</v>
      </c>
      <c r="C659" s="11">
        <v>46125</v>
      </c>
      <c r="D659" t="s">
        <v>55</v>
      </c>
      <c r="E659" t="s">
        <v>70</v>
      </c>
      <c r="F659" s="4">
        <v>46126</v>
      </c>
      <c r="G659" s="4">
        <v>46129</v>
      </c>
      <c r="H659" t="s">
        <v>90</v>
      </c>
      <c r="I659" t="s">
        <v>133</v>
      </c>
      <c r="J659" t="s">
        <v>129</v>
      </c>
      <c r="K659" t="s">
        <v>124</v>
      </c>
      <c r="L659" t="s">
        <v>94</v>
      </c>
      <c r="M659" s="5"/>
      <c r="N659" s="5">
        <v>4250</v>
      </c>
      <c r="O659" s="5">
        <v>3800</v>
      </c>
      <c r="P659" s="5">
        <v>18000</v>
      </c>
      <c r="Q659" s="13">
        <v>58950</v>
      </c>
      <c r="R659" t="s">
        <v>62</v>
      </c>
      <c r="S659" t="s">
        <v>76</v>
      </c>
      <c r="T659" s="5">
        <v>18090</v>
      </c>
      <c r="U659" s="6">
        <v>3</v>
      </c>
      <c r="V659" t="s">
        <v>77</v>
      </c>
      <c r="W659" s="4">
        <v>46136</v>
      </c>
      <c r="X659" t="s">
        <v>77</v>
      </c>
      <c r="Y659" t="s">
        <v>64</v>
      </c>
      <c r="Z659" t="s">
        <v>96</v>
      </c>
      <c r="AA659" t="str">
        <f>VLOOKUP(H659,Departments!$A:$B,2,0)</f>
        <v>Cardiology</v>
      </c>
      <c r="AB659" t="str">
        <f>VLOOKUP(J659,Diagnosis_Guide!$A:$B,2,0)</f>
        <v>Hypertension Crisis</v>
      </c>
      <c r="AC659" s="4" t="str">
        <f>VLOOKUP(J659,Diagnosis_Guide!$A:$C,3,0)</f>
        <v>Cardiovascular</v>
      </c>
      <c r="AD659" s="4" t="str">
        <f>VLOOKUP(R659,Insurance_Plans!$A:$C,3,0)</f>
        <v>Public</v>
      </c>
      <c r="AE659" s="13">
        <f t="shared" si="30"/>
        <v>2947.5</v>
      </c>
      <c r="AF659" s="13">
        <f t="shared" si="31"/>
        <v>61897.5</v>
      </c>
      <c r="AG659" s="4" t="str">
        <f t="shared" si="32"/>
        <v>Medium</v>
      </c>
    </row>
    <row r="660" spans="1:33">
      <c r="A660" t="s">
        <v>1283</v>
      </c>
      <c r="B660" t="s">
        <v>148</v>
      </c>
      <c r="C660" s="11">
        <v>46048</v>
      </c>
      <c r="D660" t="s">
        <v>173</v>
      </c>
      <c r="E660" t="s">
        <v>70</v>
      </c>
      <c r="F660" s="4">
        <v>46049</v>
      </c>
      <c r="G660" s="4">
        <v>46049</v>
      </c>
      <c r="H660" t="s">
        <v>57</v>
      </c>
      <c r="I660" t="s">
        <v>71</v>
      </c>
      <c r="J660" t="s">
        <v>72</v>
      </c>
      <c r="K660" t="s">
        <v>73</v>
      </c>
      <c r="L660" t="s">
        <v>61</v>
      </c>
      <c r="M660" s="5">
        <v>8200</v>
      </c>
      <c r="N660" s="5">
        <v>850</v>
      </c>
      <c r="O660" s="5">
        <v>1550</v>
      </c>
      <c r="P660" s="5">
        <v>0</v>
      </c>
      <c r="Q660" s="13">
        <v>12400</v>
      </c>
      <c r="R660" t="s">
        <v>75</v>
      </c>
      <c r="S660" t="s">
        <v>76</v>
      </c>
      <c r="T660" s="5">
        <v>5880</v>
      </c>
      <c r="U660" s="6">
        <v>5</v>
      </c>
      <c r="V660" t="s">
        <v>77</v>
      </c>
      <c r="W660" s="4">
        <v>46058</v>
      </c>
      <c r="X660" t="s">
        <v>77</v>
      </c>
      <c r="Y660" t="s">
        <v>64</v>
      </c>
      <c r="Z660" t="s">
        <v>107</v>
      </c>
      <c r="AA660" t="str">
        <f>VLOOKUP(H660,Departments!$A:$B,2,0)</f>
        <v>Pulmonology</v>
      </c>
      <c r="AB660" t="str">
        <f>VLOOKUP(J660,Diagnosis_Guide!$A:$B,2,0)</f>
        <v>Acute Bronchitis</v>
      </c>
      <c r="AC660" s="4" t="str">
        <f>VLOOKUP(J660,Diagnosis_Guide!$A:$C,3,0)</f>
        <v>Respiratory</v>
      </c>
      <c r="AD660" s="4" t="str">
        <f>VLOOKUP(R660,Insurance_Plans!$A:$C,3,0)</f>
        <v>Public</v>
      </c>
      <c r="AE660" s="13">
        <f t="shared" si="30"/>
        <v>620</v>
      </c>
      <c r="AF660" s="13">
        <f t="shared" si="31"/>
        <v>13020</v>
      </c>
      <c r="AG660" s="4" t="str">
        <f t="shared" si="32"/>
        <v>High</v>
      </c>
    </row>
    <row r="661" spans="1:33">
      <c r="A661" t="s">
        <v>1284</v>
      </c>
      <c r="B661" t="s">
        <v>653</v>
      </c>
      <c r="C661" s="11">
        <v>46069</v>
      </c>
      <c r="D661" t="s">
        <v>120</v>
      </c>
      <c r="E661" t="s">
        <v>70</v>
      </c>
      <c r="F661" s="4">
        <v>46070</v>
      </c>
      <c r="G661" s="4">
        <v>46073</v>
      </c>
      <c r="H661" t="s">
        <v>150</v>
      </c>
      <c r="I661" t="s">
        <v>239</v>
      </c>
      <c r="J661" t="s">
        <v>229</v>
      </c>
      <c r="K661" t="s">
        <v>73</v>
      </c>
      <c r="L661" t="s">
        <v>61</v>
      </c>
      <c r="M661" s="5">
        <v>40500</v>
      </c>
      <c r="N661" s="5">
        <v>6600</v>
      </c>
      <c r="O661" s="5">
        <v>5250</v>
      </c>
      <c r="P661" s="5">
        <v>9000</v>
      </c>
      <c r="Q661" s="13">
        <v>63150</v>
      </c>
      <c r="R661" t="s">
        <v>62</v>
      </c>
      <c r="S661" t="s">
        <v>76</v>
      </c>
      <c r="T661" s="5">
        <v>19350</v>
      </c>
      <c r="U661" s="6">
        <v>5</v>
      </c>
      <c r="V661" t="s">
        <v>64</v>
      </c>
      <c r="W661" s="4"/>
      <c r="X661" t="s">
        <v>65</v>
      </c>
      <c r="Y661" t="s">
        <v>64</v>
      </c>
      <c r="Z661" t="s">
        <v>96</v>
      </c>
      <c r="AA661" t="str">
        <f>VLOOKUP(H661,Departments!$A:$B,2,0)</f>
        <v>Obstetrics</v>
      </c>
      <c r="AB661" t="str">
        <f>VLOOKUP(J661,Diagnosis_Guide!$A:$B,2,0)</f>
        <v>Delivery Care</v>
      </c>
      <c r="AC661" s="4" t="str">
        <f>VLOOKUP(J661,Diagnosis_Guide!$A:$C,3,0)</f>
        <v>Maternal Health</v>
      </c>
      <c r="AD661" s="4" t="str">
        <f>VLOOKUP(R661,Insurance_Plans!$A:$C,3,0)</f>
        <v>Public</v>
      </c>
      <c r="AE661" s="13">
        <f t="shared" si="30"/>
        <v>3157.5</v>
      </c>
      <c r="AF661" s="13">
        <f t="shared" si="31"/>
        <v>66307.5</v>
      </c>
      <c r="AG661" s="4" t="str">
        <f t="shared" si="32"/>
        <v>High</v>
      </c>
    </row>
    <row r="662" spans="1:33">
      <c r="A662" t="s">
        <v>1285</v>
      </c>
      <c r="B662" t="s">
        <v>143</v>
      </c>
      <c r="C662" s="11">
        <v>46093</v>
      </c>
      <c r="D662" t="s">
        <v>120</v>
      </c>
      <c r="E662" t="s">
        <v>70</v>
      </c>
      <c r="F662" s="4">
        <v>46093</v>
      </c>
      <c r="G662" s="4">
        <v>46098</v>
      </c>
      <c r="H662" t="s">
        <v>57</v>
      </c>
      <c r="I662" t="s">
        <v>58</v>
      </c>
      <c r="J662" t="s">
        <v>59</v>
      </c>
      <c r="K662" t="s">
        <v>124</v>
      </c>
      <c r="L662" t="s">
        <v>74</v>
      </c>
      <c r="M662" s="5">
        <v>41300</v>
      </c>
      <c r="N662" s="5">
        <v>5100</v>
      </c>
      <c r="O662" s="5">
        <v>9050</v>
      </c>
      <c r="P662" s="5">
        <v>15000</v>
      </c>
      <c r="Q662" s="13">
        <v>72950</v>
      </c>
      <c r="R662" t="s">
        <v>141</v>
      </c>
      <c r="S662" t="s">
        <v>76</v>
      </c>
      <c r="T662" s="5">
        <v>12140</v>
      </c>
      <c r="U662" s="6">
        <v>5</v>
      </c>
      <c r="V662" t="s">
        <v>77</v>
      </c>
      <c r="W662" s="4">
        <v>46109</v>
      </c>
      <c r="X662" t="s">
        <v>77</v>
      </c>
      <c r="Y662" t="s">
        <v>64</v>
      </c>
      <c r="Z662" t="s">
        <v>96</v>
      </c>
      <c r="AA662" t="str">
        <f>VLOOKUP(H662,Departments!$A:$B,2,0)</f>
        <v>Pulmonology</v>
      </c>
      <c r="AB662" t="str">
        <f>VLOOKUP(J662,Diagnosis_Guide!$A:$B,2,0)</f>
        <v>Pneumonia</v>
      </c>
      <c r="AC662" s="4" t="str">
        <f>VLOOKUP(J662,Diagnosis_Guide!$A:$C,3,0)</f>
        <v>Respiratory</v>
      </c>
      <c r="AD662" s="4" t="str">
        <f>VLOOKUP(R662,Insurance_Plans!$A:$C,3,0)</f>
        <v>Private</v>
      </c>
      <c r="AE662" s="13">
        <f t="shared" si="30"/>
        <v>3647.5</v>
      </c>
      <c r="AF662" s="13">
        <f t="shared" si="31"/>
        <v>76597.5</v>
      </c>
      <c r="AG662" s="4" t="str">
        <f t="shared" si="32"/>
        <v>High</v>
      </c>
    </row>
    <row r="663" spans="1:33">
      <c r="A663" t="s">
        <v>1286</v>
      </c>
      <c r="B663" t="s">
        <v>649</v>
      </c>
      <c r="C663" s="11">
        <v>46172</v>
      </c>
      <c r="D663" t="s">
        <v>432</v>
      </c>
      <c r="E663" t="s">
        <v>70</v>
      </c>
      <c r="F663" s="4">
        <v>46172</v>
      </c>
      <c r="G663" s="4">
        <v>46172</v>
      </c>
      <c r="H663" t="s">
        <v>57</v>
      </c>
      <c r="I663" t="s">
        <v>100</v>
      </c>
      <c r="J663" t="s">
        <v>59</v>
      </c>
      <c r="K663" t="s">
        <v>60</v>
      </c>
      <c r="L663" t="s">
        <v>94</v>
      </c>
      <c r="M663" s="5">
        <v>47800</v>
      </c>
      <c r="N663" s="5">
        <v>7650</v>
      </c>
      <c r="O663" s="5">
        <v>11500</v>
      </c>
      <c r="P663" s="5">
        <v>0</v>
      </c>
      <c r="Q663" s="13">
        <v>68950</v>
      </c>
      <c r="R663" t="s">
        <v>141</v>
      </c>
      <c r="S663" t="s">
        <v>76</v>
      </c>
      <c r="T663" s="5">
        <v>11540</v>
      </c>
      <c r="U663" s="6">
        <v>4</v>
      </c>
      <c r="V663" t="s">
        <v>64</v>
      </c>
      <c r="W663" s="4"/>
      <c r="X663" t="s">
        <v>65</v>
      </c>
      <c r="Y663" t="s">
        <v>64</v>
      </c>
      <c r="Z663" t="s">
        <v>96</v>
      </c>
      <c r="AA663" t="str">
        <f>VLOOKUP(H663,Departments!$A:$B,2,0)</f>
        <v>Pulmonology</v>
      </c>
      <c r="AB663" t="str">
        <f>VLOOKUP(J663,Diagnosis_Guide!$A:$B,2,0)</f>
        <v>Pneumonia</v>
      </c>
      <c r="AC663" s="4" t="str">
        <f>VLOOKUP(J663,Diagnosis_Guide!$A:$C,3,0)</f>
        <v>Respiratory</v>
      </c>
      <c r="AD663" s="4" t="str">
        <f>VLOOKUP(R663,Insurance_Plans!$A:$C,3,0)</f>
        <v>Private</v>
      </c>
      <c r="AE663" s="13">
        <f t="shared" si="30"/>
        <v>3447.5</v>
      </c>
      <c r="AF663" s="13">
        <f t="shared" si="31"/>
        <v>72397.5</v>
      </c>
      <c r="AG663" s="4" t="str">
        <f t="shared" si="32"/>
        <v>High</v>
      </c>
    </row>
    <row r="664" spans="1:33">
      <c r="A664" t="s">
        <v>1287</v>
      </c>
      <c r="B664" t="s">
        <v>682</v>
      </c>
      <c r="C664" s="11">
        <v>46093</v>
      </c>
      <c r="D664" t="s">
        <v>294</v>
      </c>
      <c r="E664" t="s">
        <v>70</v>
      </c>
      <c r="F664" s="4">
        <v>46093</v>
      </c>
      <c r="G664" s="4">
        <v>46094</v>
      </c>
      <c r="H664" t="s">
        <v>57</v>
      </c>
      <c r="I664" t="s">
        <v>71</v>
      </c>
      <c r="J664" t="s">
        <v>170</v>
      </c>
      <c r="K664" t="s">
        <v>60</v>
      </c>
      <c r="L664" t="s">
        <v>61</v>
      </c>
      <c r="M664" s="5">
        <v>58100</v>
      </c>
      <c r="N664" s="5">
        <v>5450</v>
      </c>
      <c r="O664" s="5">
        <v>9300</v>
      </c>
      <c r="P664" s="5">
        <v>3500</v>
      </c>
      <c r="Q664" s="13">
        <v>78150</v>
      </c>
      <c r="R664" t="s">
        <v>62</v>
      </c>
      <c r="S664" t="s">
        <v>86</v>
      </c>
      <c r="T664" s="5">
        <v>23850</v>
      </c>
      <c r="U664" s="6">
        <v>4</v>
      </c>
      <c r="V664" t="s">
        <v>77</v>
      </c>
      <c r="W664" s="4">
        <v>46110</v>
      </c>
      <c r="X664" t="s">
        <v>77</v>
      </c>
      <c r="Y664" t="s">
        <v>64</v>
      </c>
      <c r="Z664" t="s">
        <v>96</v>
      </c>
      <c r="AA664" t="str">
        <f>VLOOKUP(H664,Departments!$A:$B,2,0)</f>
        <v>Pulmonology</v>
      </c>
      <c r="AB664" t="str">
        <f>VLOOKUP(J664,Diagnosis_Guide!$A:$B,2,0)</f>
        <v>COPD Exacerbation</v>
      </c>
      <c r="AC664" s="4" t="str">
        <f>VLOOKUP(J664,Diagnosis_Guide!$A:$C,3,0)</f>
        <v>Respiratory</v>
      </c>
      <c r="AD664" s="4" t="str">
        <f>VLOOKUP(R664,Insurance_Plans!$A:$C,3,0)</f>
        <v>Public</v>
      </c>
      <c r="AE664" s="13">
        <f t="shared" si="30"/>
        <v>3907.5</v>
      </c>
      <c r="AF664" s="13">
        <f t="shared" si="31"/>
        <v>82057.5</v>
      </c>
      <c r="AG664" s="4" t="str">
        <f t="shared" si="32"/>
        <v>High</v>
      </c>
    </row>
    <row r="665" spans="1:33">
      <c r="A665" t="s">
        <v>1288</v>
      </c>
      <c r="B665" t="s">
        <v>929</v>
      </c>
      <c r="C665" s="11">
        <v>46170</v>
      </c>
      <c r="D665" t="s">
        <v>127</v>
      </c>
      <c r="E665" t="s">
        <v>70</v>
      </c>
      <c r="F665" s="4">
        <v>46170</v>
      </c>
      <c r="G665" s="4">
        <v>46170</v>
      </c>
      <c r="H665" t="s">
        <v>57</v>
      </c>
      <c r="I665" t="s">
        <v>100</v>
      </c>
      <c r="J665" t="s">
        <v>72</v>
      </c>
      <c r="K665" t="s">
        <v>60</v>
      </c>
      <c r="L665" t="s">
        <v>94</v>
      </c>
      <c r="M665" s="5">
        <v>9000</v>
      </c>
      <c r="N665" s="5">
        <v>800</v>
      </c>
      <c r="O665" s="5">
        <v>2200</v>
      </c>
      <c r="P665" s="5">
        <v>0</v>
      </c>
      <c r="Q665" s="13">
        <v>14000</v>
      </c>
      <c r="R665" t="s">
        <v>75</v>
      </c>
      <c r="S665" t="s">
        <v>86</v>
      </c>
      <c r="T665" s="5">
        <v>6600</v>
      </c>
      <c r="U665" s="6">
        <v>4</v>
      </c>
      <c r="V665" t="s">
        <v>64</v>
      </c>
      <c r="W665" s="4"/>
      <c r="X665" t="s">
        <v>65</v>
      </c>
      <c r="Y665" t="s">
        <v>64</v>
      </c>
      <c r="Z665" t="s">
        <v>96</v>
      </c>
      <c r="AA665" t="str">
        <f>VLOOKUP(H665,Departments!$A:$B,2,0)</f>
        <v>Pulmonology</v>
      </c>
      <c r="AB665" t="str">
        <f>VLOOKUP(J665,Diagnosis_Guide!$A:$B,2,0)</f>
        <v>Acute Bronchitis</v>
      </c>
      <c r="AC665" s="4" t="str">
        <f>VLOOKUP(J665,Diagnosis_Guide!$A:$C,3,0)</f>
        <v>Respiratory</v>
      </c>
      <c r="AD665" s="4" t="str">
        <f>VLOOKUP(R665,Insurance_Plans!$A:$C,3,0)</f>
        <v>Public</v>
      </c>
      <c r="AE665" s="13">
        <f t="shared" si="30"/>
        <v>700</v>
      </c>
      <c r="AF665" s="13">
        <f t="shared" si="31"/>
        <v>14700</v>
      </c>
      <c r="AG665" s="4" t="str">
        <f t="shared" si="32"/>
        <v>High</v>
      </c>
    </row>
    <row r="666" spans="1:33">
      <c r="A666" t="s">
        <v>1289</v>
      </c>
      <c r="B666" t="s">
        <v>815</v>
      </c>
      <c r="C666" s="11">
        <v>46130</v>
      </c>
      <c r="D666" t="s">
        <v>234</v>
      </c>
      <c r="E666" t="s">
        <v>177</v>
      </c>
      <c r="F666" s="4"/>
      <c r="G666" s="4"/>
      <c r="H666" t="s">
        <v>121</v>
      </c>
      <c r="I666" t="s">
        <v>122</v>
      </c>
      <c r="J666" t="s">
        <v>252</v>
      </c>
      <c r="K666" t="s">
        <v>124</v>
      </c>
      <c r="L666" t="s">
        <v>74</v>
      </c>
      <c r="M666" s="5"/>
      <c r="N666" s="5"/>
      <c r="O666" s="5"/>
      <c r="P666" s="5"/>
      <c r="R666" t="s">
        <v>106</v>
      </c>
      <c r="S666" t="s">
        <v>63</v>
      </c>
      <c r="T666" s="5"/>
      <c r="U666" s="6"/>
      <c r="V666" t="s">
        <v>64</v>
      </c>
      <c r="W666" s="4"/>
      <c r="X666" t="s">
        <v>65</v>
      </c>
      <c r="Z666" t="s">
        <v>66</v>
      </c>
      <c r="AA666" t="str">
        <f>VLOOKUP(H666,Departments!$A:$B,2,0)</f>
        <v>Neurology</v>
      </c>
      <c r="AB666" t="str">
        <f>VLOOKUP(J666,Diagnosis_Guide!$A:$B,2,0)</f>
        <v>Stroke Assessment</v>
      </c>
      <c r="AC666" s="4" t="str">
        <f>VLOOKUP(J666,Diagnosis_Guide!$A:$C,3,0)</f>
        <v>Neurological</v>
      </c>
      <c r="AD666" s="4" t="str">
        <f>VLOOKUP(R666,Insurance_Plans!$A:$C,3,0)</f>
        <v>Private</v>
      </c>
      <c r="AE666" s="13" t="str">
        <f t="shared" si="30"/>
        <v/>
      </c>
      <c r="AF666" s="13" t="str">
        <f t="shared" si="31"/>
        <v/>
      </c>
      <c r="AG666" s="4" t="str">
        <f t="shared" si="32"/>
        <v>Not Available</v>
      </c>
    </row>
    <row r="667" spans="1:33">
      <c r="A667" t="s">
        <v>1290</v>
      </c>
      <c r="B667" t="s">
        <v>1291</v>
      </c>
      <c r="C667" s="11">
        <v>46025</v>
      </c>
      <c r="D667" t="s">
        <v>120</v>
      </c>
      <c r="E667" t="s">
        <v>70</v>
      </c>
      <c r="F667" s="4">
        <v>46025</v>
      </c>
      <c r="G667" s="4">
        <v>46025</v>
      </c>
      <c r="H667" t="s">
        <v>57</v>
      </c>
      <c r="I667" t="s">
        <v>184</v>
      </c>
      <c r="J667" t="s">
        <v>72</v>
      </c>
      <c r="K667" t="s">
        <v>60</v>
      </c>
      <c r="L667" t="s">
        <v>61</v>
      </c>
      <c r="M667" s="5">
        <v>6500</v>
      </c>
      <c r="N667" s="5">
        <v>600</v>
      </c>
      <c r="O667" s="5">
        <v>1600</v>
      </c>
      <c r="P667" s="5">
        <v>0</v>
      </c>
      <c r="Q667" s="13">
        <v>9900</v>
      </c>
      <c r="R667" t="s">
        <v>62</v>
      </c>
      <c r="S667" t="s">
        <v>86</v>
      </c>
      <c r="T667" s="5">
        <v>3370</v>
      </c>
      <c r="U667" s="6">
        <v>4</v>
      </c>
      <c r="V667" t="s">
        <v>77</v>
      </c>
      <c r="W667" s="4">
        <v>46042</v>
      </c>
      <c r="X667" t="s">
        <v>64</v>
      </c>
      <c r="Y667" t="s">
        <v>64</v>
      </c>
      <c r="Z667" t="s">
        <v>436</v>
      </c>
      <c r="AA667" t="str">
        <f>VLOOKUP(H667,Departments!$A:$B,2,0)</f>
        <v>Pulmonology</v>
      </c>
      <c r="AB667" t="str">
        <f>VLOOKUP(J667,Diagnosis_Guide!$A:$B,2,0)</f>
        <v>Acute Bronchitis</v>
      </c>
      <c r="AC667" s="4" t="str">
        <f>VLOOKUP(J667,Diagnosis_Guide!$A:$C,3,0)</f>
        <v>Respiratory</v>
      </c>
      <c r="AD667" s="4" t="str">
        <f>VLOOKUP(R667,Insurance_Plans!$A:$C,3,0)</f>
        <v>Public</v>
      </c>
      <c r="AE667" s="13">
        <f t="shared" si="30"/>
        <v>495</v>
      </c>
      <c r="AF667" s="13">
        <f t="shared" si="31"/>
        <v>10395</v>
      </c>
      <c r="AG667" s="4" t="str">
        <f t="shared" si="32"/>
        <v>High</v>
      </c>
    </row>
    <row r="668" spans="1:33">
      <c r="A668" t="s">
        <v>1292</v>
      </c>
      <c r="B668" t="s">
        <v>491</v>
      </c>
      <c r="C668" s="11">
        <v>46052</v>
      </c>
      <c r="D668" t="s">
        <v>363</v>
      </c>
      <c r="E668" t="s">
        <v>70</v>
      </c>
      <c r="F668" s="4">
        <v>46052</v>
      </c>
      <c r="G668" s="4">
        <v>46058</v>
      </c>
      <c r="H668" t="s">
        <v>111</v>
      </c>
      <c r="I668" t="s">
        <v>355</v>
      </c>
      <c r="J668" t="s">
        <v>384</v>
      </c>
      <c r="K668" t="s">
        <v>73</v>
      </c>
      <c r="L668" t="s">
        <v>94</v>
      </c>
      <c r="M668" s="5">
        <v>51700</v>
      </c>
      <c r="N668" s="5">
        <v>8900</v>
      </c>
      <c r="O668" s="5">
        <v>5400</v>
      </c>
      <c r="P668" s="5">
        <v>18000</v>
      </c>
      <c r="Q668" s="13">
        <v>85500</v>
      </c>
      <c r="R668" t="s">
        <v>95</v>
      </c>
      <c r="S668" t="s">
        <v>63</v>
      </c>
      <c r="T668" s="5">
        <v>85500</v>
      </c>
      <c r="U668" s="6">
        <v>3</v>
      </c>
      <c r="V668" t="s">
        <v>77</v>
      </c>
      <c r="W668" s="4">
        <v>46067</v>
      </c>
      <c r="X668" t="s">
        <v>77</v>
      </c>
      <c r="Y668" t="s">
        <v>77</v>
      </c>
      <c r="Z668" t="s">
        <v>107</v>
      </c>
      <c r="AA668" t="str">
        <f>VLOOKUP(H668,Departments!$A:$B,2,0)</f>
        <v>General Medicine</v>
      </c>
      <c r="AB668" t="str">
        <f>VLOOKUP(J668,Diagnosis_Guide!$A:$B,2,0)</f>
        <v>Severe Infection</v>
      </c>
      <c r="AC668" s="4" t="str">
        <f>VLOOKUP(J668,Diagnosis_Guide!$A:$C,3,0)</f>
        <v>Infectious/General</v>
      </c>
      <c r="AD668" s="4" t="str">
        <f>VLOOKUP(R668,Insurance_Plans!$A:$C,3,0)</f>
        <v>Self-Pay</v>
      </c>
      <c r="AE668" s="13">
        <f t="shared" si="30"/>
        <v>4275</v>
      </c>
      <c r="AF668" s="13">
        <f t="shared" si="31"/>
        <v>89775</v>
      </c>
      <c r="AG668" s="4" t="str">
        <f t="shared" si="32"/>
        <v>Medium</v>
      </c>
    </row>
    <row r="669" spans="1:33">
      <c r="A669" t="s">
        <v>1293</v>
      </c>
      <c r="B669" t="s">
        <v>399</v>
      </c>
      <c r="C669" s="11">
        <v>46149</v>
      </c>
      <c r="D669" t="s">
        <v>279</v>
      </c>
      <c r="E669" t="s">
        <v>70</v>
      </c>
      <c r="F669" s="4">
        <v>46149</v>
      </c>
      <c r="G669" s="4">
        <v>46154</v>
      </c>
      <c r="H669" t="s">
        <v>178</v>
      </c>
      <c r="I669" t="s">
        <v>339</v>
      </c>
      <c r="J669" t="s">
        <v>180</v>
      </c>
      <c r="K669" t="s">
        <v>93</v>
      </c>
      <c r="L669" t="s">
        <v>61</v>
      </c>
      <c r="M669" s="5">
        <v>54600</v>
      </c>
      <c r="N669" s="5">
        <v>5850</v>
      </c>
      <c r="O669" s="5">
        <v>8950</v>
      </c>
      <c r="P669" s="5">
        <v>17500</v>
      </c>
      <c r="Q669" s="13">
        <v>87700</v>
      </c>
      <c r="R669" t="s">
        <v>95</v>
      </c>
      <c r="S669" t="s">
        <v>63</v>
      </c>
      <c r="T669" s="5">
        <v>87700</v>
      </c>
      <c r="U669" s="6">
        <v>4</v>
      </c>
      <c r="V669" t="s">
        <v>77</v>
      </c>
      <c r="W669" s="4">
        <v>46167</v>
      </c>
      <c r="X669" t="s">
        <v>77</v>
      </c>
      <c r="Y669" t="s">
        <v>64</v>
      </c>
      <c r="Z669" t="s">
        <v>107</v>
      </c>
      <c r="AA669" t="str">
        <f>VLOOKUP(H669,Departments!$A:$B,2,0)</f>
        <v>Surgery</v>
      </c>
      <c r="AB669" t="str">
        <f>VLOOKUP(J669,Diagnosis_Guide!$A:$B,2,0)</f>
        <v>Appendicitis Surgery</v>
      </c>
      <c r="AC669" s="4" t="str">
        <f>VLOOKUP(J669,Diagnosis_Guide!$A:$C,3,0)</f>
        <v>Surgical</v>
      </c>
      <c r="AD669" s="4" t="str">
        <f>VLOOKUP(R669,Insurance_Plans!$A:$C,3,0)</f>
        <v>Self-Pay</v>
      </c>
      <c r="AE669" s="13">
        <f t="shared" si="30"/>
        <v>4385</v>
      </c>
      <c r="AF669" s="13">
        <f t="shared" si="31"/>
        <v>92085</v>
      </c>
      <c r="AG669" s="4" t="str">
        <f t="shared" si="32"/>
        <v>High</v>
      </c>
    </row>
    <row r="670" spans="1:33">
      <c r="A670" t="s">
        <v>1294</v>
      </c>
      <c r="B670" t="s">
        <v>964</v>
      </c>
      <c r="C670" s="11">
        <v>46033</v>
      </c>
      <c r="D670" t="s">
        <v>55</v>
      </c>
      <c r="E670" t="s">
        <v>70</v>
      </c>
      <c r="F670" s="4">
        <v>46033</v>
      </c>
      <c r="G670" s="4">
        <v>46037</v>
      </c>
      <c r="H670" t="s">
        <v>178</v>
      </c>
      <c r="I670" t="s">
        <v>218</v>
      </c>
      <c r="J670" t="s">
        <v>358</v>
      </c>
      <c r="K670" t="s">
        <v>73</v>
      </c>
      <c r="L670" t="s">
        <v>61</v>
      </c>
      <c r="M670" s="5">
        <v>59700</v>
      </c>
      <c r="N670" s="5">
        <v>4800</v>
      </c>
      <c r="O670" s="5">
        <v>9000</v>
      </c>
      <c r="P670" s="5">
        <v>24000</v>
      </c>
      <c r="Q670" s="13">
        <v>99000</v>
      </c>
      <c r="R670" t="s">
        <v>95</v>
      </c>
      <c r="S670" t="s">
        <v>63</v>
      </c>
      <c r="T670" s="5">
        <v>99000</v>
      </c>
      <c r="U670" s="6">
        <v>4</v>
      </c>
      <c r="V670" t="s">
        <v>77</v>
      </c>
      <c r="W670" s="4">
        <v>46049</v>
      </c>
      <c r="X670" t="s">
        <v>77</v>
      </c>
      <c r="Y670" t="s">
        <v>64</v>
      </c>
      <c r="Z670" t="s">
        <v>78</v>
      </c>
      <c r="AA670" t="str">
        <f>VLOOKUP(H670,Departments!$A:$B,2,0)</f>
        <v>Surgery</v>
      </c>
      <c r="AB670" t="str">
        <f>VLOOKUP(J670,Diagnosis_Guide!$A:$B,2,0)</f>
        <v>Gallbladder Surgery</v>
      </c>
      <c r="AC670" s="4" t="str">
        <f>VLOOKUP(J670,Diagnosis_Guide!$A:$C,3,0)</f>
        <v>Surgical</v>
      </c>
      <c r="AD670" s="4" t="str">
        <f>VLOOKUP(R670,Insurance_Plans!$A:$C,3,0)</f>
        <v>Self-Pay</v>
      </c>
      <c r="AE670" s="13">
        <f t="shared" si="30"/>
        <v>4950</v>
      </c>
      <c r="AF670" s="13">
        <f t="shared" si="31"/>
        <v>103950</v>
      </c>
      <c r="AG670" s="4" t="str">
        <f t="shared" si="32"/>
        <v>High</v>
      </c>
    </row>
    <row r="671" spans="1:33">
      <c r="A671" t="s">
        <v>1295</v>
      </c>
      <c r="B671" t="s">
        <v>907</v>
      </c>
      <c r="C671" s="11">
        <v>46145</v>
      </c>
      <c r="D671" t="s">
        <v>419</v>
      </c>
      <c r="E671" t="s">
        <v>70</v>
      </c>
      <c r="F671" s="4">
        <v>46146</v>
      </c>
      <c r="G671" s="4">
        <v>46150</v>
      </c>
      <c r="H671" t="s">
        <v>138</v>
      </c>
      <c r="I671" t="s">
        <v>260</v>
      </c>
      <c r="J671" t="s">
        <v>236</v>
      </c>
      <c r="K671" t="s">
        <v>73</v>
      </c>
      <c r="L671" t="s">
        <v>74</v>
      </c>
      <c r="M671" s="5">
        <v>53100</v>
      </c>
      <c r="N671" s="5">
        <v>7000</v>
      </c>
      <c r="O671" s="5">
        <v>7500</v>
      </c>
      <c r="P671" s="5">
        <v>18000</v>
      </c>
      <c r="Q671" s="13">
        <v>88100</v>
      </c>
      <c r="R671" t="s">
        <v>75</v>
      </c>
      <c r="S671" t="s">
        <v>76</v>
      </c>
      <c r="T671" s="5">
        <v>39940</v>
      </c>
      <c r="U671" s="6">
        <v>4</v>
      </c>
      <c r="V671" t="s">
        <v>77</v>
      </c>
      <c r="W671" s="4">
        <v>46169</v>
      </c>
      <c r="X671" t="s">
        <v>77</v>
      </c>
      <c r="Y671" t="s">
        <v>64</v>
      </c>
      <c r="Z671" t="s">
        <v>96</v>
      </c>
      <c r="AA671" t="str">
        <f>VLOOKUP(H671,Departments!$A:$B,2,0)</f>
        <v>Pediatrics</v>
      </c>
      <c r="AB671" t="str">
        <f>VLOOKUP(J671,Diagnosis_Guide!$A:$B,2,0)</f>
        <v>Neonatal Observation</v>
      </c>
      <c r="AC671" s="4" t="str">
        <f>VLOOKUP(J671,Diagnosis_Guide!$A:$C,3,0)</f>
        <v>Pediatric</v>
      </c>
      <c r="AD671" s="4" t="str">
        <f>VLOOKUP(R671,Insurance_Plans!$A:$C,3,0)</f>
        <v>Public</v>
      </c>
      <c r="AE671" s="13">
        <f t="shared" si="30"/>
        <v>4405</v>
      </c>
      <c r="AF671" s="13">
        <f t="shared" si="31"/>
        <v>92505</v>
      </c>
      <c r="AG671" s="4" t="str">
        <f t="shared" si="32"/>
        <v>High</v>
      </c>
    </row>
    <row r="672" spans="1:33">
      <c r="A672" t="s">
        <v>1296</v>
      </c>
      <c r="B672" t="s">
        <v>1297</v>
      </c>
      <c r="C672" s="11">
        <v>46164</v>
      </c>
      <c r="D672" t="s">
        <v>294</v>
      </c>
      <c r="E672" t="s">
        <v>70</v>
      </c>
      <c r="F672" s="4">
        <v>46164</v>
      </c>
      <c r="G672" s="4">
        <v>46164</v>
      </c>
      <c r="H672" t="s">
        <v>57</v>
      </c>
      <c r="I672" t="s">
        <v>58</v>
      </c>
      <c r="J672" t="s">
        <v>72</v>
      </c>
      <c r="K672" t="s">
        <v>124</v>
      </c>
      <c r="L672" t="s">
        <v>61</v>
      </c>
      <c r="M672" s="5">
        <v>10100</v>
      </c>
      <c r="N672" s="5">
        <v>1550</v>
      </c>
      <c r="O672" s="5">
        <v>1900</v>
      </c>
      <c r="P672" s="5">
        <v>0</v>
      </c>
      <c r="Q672" s="13">
        <v>16050</v>
      </c>
      <c r="R672" t="s">
        <v>62</v>
      </c>
      <c r="S672" t="s">
        <v>76</v>
      </c>
      <c r="T672" s="5">
        <v>5220</v>
      </c>
      <c r="U672" s="6">
        <v>5</v>
      </c>
      <c r="V672" t="s">
        <v>64</v>
      </c>
      <c r="W672" s="4"/>
      <c r="X672" t="s">
        <v>65</v>
      </c>
      <c r="Y672" t="s">
        <v>64</v>
      </c>
      <c r="Z672" t="s">
        <v>96</v>
      </c>
      <c r="AA672" t="str">
        <f>VLOOKUP(H672,Departments!$A:$B,2,0)</f>
        <v>Pulmonology</v>
      </c>
      <c r="AB672" t="str">
        <f>VLOOKUP(J672,Diagnosis_Guide!$A:$B,2,0)</f>
        <v>Acute Bronchitis</v>
      </c>
      <c r="AC672" s="4" t="str">
        <f>VLOOKUP(J672,Diagnosis_Guide!$A:$C,3,0)</f>
        <v>Respiratory</v>
      </c>
      <c r="AD672" s="4" t="str">
        <f>VLOOKUP(R672,Insurance_Plans!$A:$C,3,0)</f>
        <v>Public</v>
      </c>
      <c r="AE672" s="13">
        <f t="shared" si="30"/>
        <v>802.5</v>
      </c>
      <c r="AF672" s="13">
        <f t="shared" si="31"/>
        <v>16852.5</v>
      </c>
      <c r="AG672" s="4" t="str">
        <f t="shared" si="32"/>
        <v>High</v>
      </c>
    </row>
    <row r="673" spans="1:33">
      <c r="A673" t="s">
        <v>1298</v>
      </c>
      <c r="B673" t="s">
        <v>471</v>
      </c>
      <c r="C673" s="11">
        <v>46083</v>
      </c>
      <c r="D673" t="s">
        <v>89</v>
      </c>
      <c r="E673" t="s">
        <v>70</v>
      </c>
      <c r="F673" s="4">
        <v>46083</v>
      </c>
      <c r="G673" s="4">
        <v>46084</v>
      </c>
      <c r="H673" t="s">
        <v>178</v>
      </c>
      <c r="I673" t="s">
        <v>179</v>
      </c>
      <c r="J673" t="s">
        <v>180</v>
      </c>
      <c r="K673" t="s">
        <v>93</v>
      </c>
      <c r="L673" t="s">
        <v>61</v>
      </c>
      <c r="M673" s="5">
        <v>57200</v>
      </c>
      <c r="N673" s="5">
        <v>4750</v>
      </c>
      <c r="O673" s="5">
        <v>9850</v>
      </c>
      <c r="P673" s="5">
        <v>4500</v>
      </c>
      <c r="Q673" s="13">
        <v>77300</v>
      </c>
      <c r="R673" t="s">
        <v>85</v>
      </c>
      <c r="S673" t="s">
        <v>76</v>
      </c>
      <c r="T673" s="5">
        <v>20220</v>
      </c>
      <c r="U673" s="6">
        <v>5</v>
      </c>
      <c r="V673" t="s">
        <v>77</v>
      </c>
      <c r="W673" s="4">
        <v>46102</v>
      </c>
      <c r="X673" t="s">
        <v>64</v>
      </c>
      <c r="Y673" t="s">
        <v>64</v>
      </c>
      <c r="Z673" t="s">
        <v>96</v>
      </c>
      <c r="AA673" t="str">
        <f>VLOOKUP(H673,Departments!$A:$B,2,0)</f>
        <v>Surgery</v>
      </c>
      <c r="AB673" t="str">
        <f>VLOOKUP(J673,Diagnosis_Guide!$A:$B,2,0)</f>
        <v>Appendicitis Surgery</v>
      </c>
      <c r="AC673" s="4" t="str">
        <f>VLOOKUP(J673,Diagnosis_Guide!$A:$C,3,0)</f>
        <v>Surgical</v>
      </c>
      <c r="AD673" s="4" t="str">
        <f>VLOOKUP(R673,Insurance_Plans!$A:$C,3,0)</f>
        <v>Employer</v>
      </c>
      <c r="AE673" s="13">
        <f t="shared" si="30"/>
        <v>3865</v>
      </c>
      <c r="AF673" s="13">
        <f t="shared" si="31"/>
        <v>81165</v>
      </c>
      <c r="AG673" s="4" t="str">
        <f t="shared" si="32"/>
        <v>High</v>
      </c>
    </row>
    <row r="674" spans="1:33">
      <c r="A674" t="s">
        <v>1299</v>
      </c>
      <c r="B674" t="s">
        <v>1141</v>
      </c>
      <c r="C674" s="11">
        <v>46027</v>
      </c>
      <c r="D674" t="s">
        <v>284</v>
      </c>
      <c r="E674" t="s">
        <v>70</v>
      </c>
      <c r="F674" s="4">
        <v>46027</v>
      </c>
      <c r="G674" s="4">
        <v>46032</v>
      </c>
      <c r="H674" t="s">
        <v>103</v>
      </c>
      <c r="I674" t="s">
        <v>214</v>
      </c>
      <c r="J674" t="s">
        <v>105</v>
      </c>
      <c r="K674" t="s">
        <v>73</v>
      </c>
      <c r="L674" t="s">
        <v>74</v>
      </c>
      <c r="M674" s="5">
        <v>58200</v>
      </c>
      <c r="N674" s="5">
        <v>4950</v>
      </c>
      <c r="O674" s="5">
        <v>9950</v>
      </c>
      <c r="P674" s="5">
        <v>15000</v>
      </c>
      <c r="Q674" s="13">
        <v>88900</v>
      </c>
      <c r="R674" t="s">
        <v>85</v>
      </c>
      <c r="S674" t="s">
        <v>76</v>
      </c>
      <c r="T674" s="5">
        <v>23120</v>
      </c>
      <c r="U674" s="6">
        <v>5</v>
      </c>
      <c r="V674" t="s">
        <v>77</v>
      </c>
      <c r="W674" s="4">
        <v>46041</v>
      </c>
      <c r="X674" t="s">
        <v>77</v>
      </c>
      <c r="Y674" t="s">
        <v>64</v>
      </c>
      <c r="Z674" t="s">
        <v>219</v>
      </c>
      <c r="AA674" t="str">
        <f>VLOOKUP(H674,Departments!$A:$B,2,0)</f>
        <v>Nephrology</v>
      </c>
      <c r="AB674" t="str">
        <f>VLOOKUP(J674,Diagnosis_Guide!$A:$B,2,0)</f>
        <v>Dialysis Complication</v>
      </c>
      <c r="AC674" s="4" t="str">
        <f>VLOOKUP(J674,Diagnosis_Guide!$A:$C,3,0)</f>
        <v>Renal</v>
      </c>
      <c r="AD674" s="4" t="str">
        <f>VLOOKUP(R674,Insurance_Plans!$A:$C,3,0)</f>
        <v>Employer</v>
      </c>
      <c r="AE674" s="13">
        <f t="shared" si="30"/>
        <v>4445</v>
      </c>
      <c r="AF674" s="13">
        <f t="shared" si="31"/>
        <v>93345</v>
      </c>
      <c r="AG674" s="4" t="str">
        <f t="shared" si="32"/>
        <v>High</v>
      </c>
    </row>
    <row r="675" spans="1:33">
      <c r="A675" t="s">
        <v>1300</v>
      </c>
      <c r="B675" t="s">
        <v>517</v>
      </c>
      <c r="C675" s="11">
        <v>46100</v>
      </c>
      <c r="D675" t="s">
        <v>279</v>
      </c>
      <c r="E675" t="s">
        <v>70</v>
      </c>
      <c r="F675" s="4">
        <v>46101</v>
      </c>
      <c r="G675" s="4">
        <v>46104</v>
      </c>
      <c r="H675" t="s">
        <v>201</v>
      </c>
      <c r="I675" t="s">
        <v>515</v>
      </c>
      <c r="J675" t="s">
        <v>203</v>
      </c>
      <c r="K675" t="s">
        <v>124</v>
      </c>
      <c r="L675" t="s">
        <v>61</v>
      </c>
      <c r="M675" s="5">
        <v>34100</v>
      </c>
      <c r="N675" s="5">
        <v>5200</v>
      </c>
      <c r="O675" s="5">
        <v>3550</v>
      </c>
      <c r="P675" s="5">
        <v>13500</v>
      </c>
      <c r="Q675" s="13">
        <v>57550</v>
      </c>
      <c r="R675" t="s">
        <v>75</v>
      </c>
      <c r="S675" t="s">
        <v>86</v>
      </c>
      <c r="T675" s="5">
        <v>26200</v>
      </c>
      <c r="U675" s="6">
        <v>2</v>
      </c>
      <c r="V675" t="s">
        <v>77</v>
      </c>
      <c r="W675" s="4">
        <v>46117</v>
      </c>
      <c r="X675" t="s">
        <v>64</v>
      </c>
      <c r="Y675" t="s">
        <v>64</v>
      </c>
      <c r="Z675" t="s">
        <v>436</v>
      </c>
      <c r="AA675" t="str">
        <f>VLOOKUP(H675,Departments!$A:$B,2,0)</f>
        <v>Emergency</v>
      </c>
      <c r="AB675" t="str">
        <f>VLOOKUP(J675,Diagnosis_Guide!$A:$B,2,0)</f>
        <v>Trauma Observation</v>
      </c>
      <c r="AC675" s="4" t="str">
        <f>VLOOKUP(J675,Diagnosis_Guide!$A:$C,3,0)</f>
        <v>Emergency</v>
      </c>
      <c r="AD675" s="4" t="str">
        <f>VLOOKUP(R675,Insurance_Plans!$A:$C,3,0)</f>
        <v>Public</v>
      </c>
      <c r="AE675" s="13">
        <f t="shared" si="30"/>
        <v>2877.5</v>
      </c>
      <c r="AF675" s="13">
        <f t="shared" si="31"/>
        <v>60427.5</v>
      </c>
      <c r="AG675" s="4" t="str">
        <f t="shared" si="32"/>
        <v>Low</v>
      </c>
    </row>
    <row r="676" spans="1:33">
      <c r="A676" t="s">
        <v>1301</v>
      </c>
      <c r="B676" t="s">
        <v>1302</v>
      </c>
      <c r="C676" s="11">
        <v>46160</v>
      </c>
      <c r="D676" t="s">
        <v>110</v>
      </c>
      <c r="E676" t="s">
        <v>70</v>
      </c>
      <c r="F676" s="4">
        <v>46160</v>
      </c>
      <c r="G676" s="4">
        <v>46160</v>
      </c>
      <c r="H676" t="s">
        <v>57</v>
      </c>
      <c r="I676" t="s">
        <v>211</v>
      </c>
      <c r="J676" t="s">
        <v>59</v>
      </c>
      <c r="K676" t="s">
        <v>60</v>
      </c>
      <c r="L676" t="s">
        <v>94</v>
      </c>
      <c r="M676" s="5">
        <v>40800</v>
      </c>
      <c r="N676" s="5">
        <v>6250</v>
      </c>
      <c r="O676" s="5">
        <v>9700</v>
      </c>
      <c r="P676" s="5">
        <v>0</v>
      </c>
      <c r="Q676" s="13">
        <v>58750</v>
      </c>
      <c r="R676" t="s">
        <v>141</v>
      </c>
      <c r="S676" t="s">
        <v>86</v>
      </c>
      <c r="T676" s="5">
        <v>10010</v>
      </c>
      <c r="U676" s="6"/>
      <c r="V676" t="s">
        <v>77</v>
      </c>
      <c r="W676" s="4">
        <v>46171</v>
      </c>
      <c r="X676" t="s">
        <v>77</v>
      </c>
      <c r="Y676" t="s">
        <v>64</v>
      </c>
      <c r="Z676" t="s">
        <v>78</v>
      </c>
      <c r="AA676" t="str">
        <f>VLOOKUP(H676,Departments!$A:$B,2,0)</f>
        <v>Pulmonology</v>
      </c>
      <c r="AB676" t="str">
        <f>VLOOKUP(J676,Diagnosis_Guide!$A:$B,2,0)</f>
        <v>Pneumonia</v>
      </c>
      <c r="AC676" s="4" t="str">
        <f>VLOOKUP(J676,Diagnosis_Guide!$A:$C,3,0)</f>
        <v>Respiratory</v>
      </c>
      <c r="AD676" s="4" t="str">
        <f>VLOOKUP(R676,Insurance_Plans!$A:$C,3,0)</f>
        <v>Private</v>
      </c>
      <c r="AE676" s="13">
        <f t="shared" si="30"/>
        <v>2937.5</v>
      </c>
      <c r="AF676" s="13">
        <f t="shared" si="31"/>
        <v>61687.5</v>
      </c>
      <c r="AG676" s="4" t="str">
        <f t="shared" si="32"/>
        <v>Not Available</v>
      </c>
    </row>
    <row r="677" spans="1:33">
      <c r="A677" t="s">
        <v>1303</v>
      </c>
      <c r="B677" t="s">
        <v>479</v>
      </c>
      <c r="C677" s="11">
        <v>46106</v>
      </c>
      <c r="D677" t="s">
        <v>206</v>
      </c>
      <c r="E677" t="s">
        <v>70</v>
      </c>
      <c r="F677" s="4">
        <v>46107</v>
      </c>
      <c r="G677" s="4">
        <v>46107</v>
      </c>
      <c r="H677" t="s">
        <v>57</v>
      </c>
      <c r="I677" t="s">
        <v>71</v>
      </c>
      <c r="J677" t="s">
        <v>59</v>
      </c>
      <c r="K677" t="s">
        <v>60</v>
      </c>
      <c r="L677" t="s">
        <v>94</v>
      </c>
      <c r="M677" s="5">
        <v>41700</v>
      </c>
      <c r="N677" s="5">
        <v>5600</v>
      </c>
      <c r="O677" s="5">
        <v>5350</v>
      </c>
      <c r="P677" s="5">
        <v>0</v>
      </c>
      <c r="Q677" s="13">
        <v>54450</v>
      </c>
      <c r="R677" t="s">
        <v>106</v>
      </c>
      <c r="S677" t="s">
        <v>163</v>
      </c>
      <c r="T677" s="5">
        <v>19760</v>
      </c>
      <c r="U677" s="6">
        <v>5</v>
      </c>
      <c r="V677" t="s">
        <v>77</v>
      </c>
      <c r="W677" s="4">
        <v>46118</v>
      </c>
      <c r="X677" t="s">
        <v>77</v>
      </c>
      <c r="Y677" t="s">
        <v>64</v>
      </c>
      <c r="Z677" t="s">
        <v>96</v>
      </c>
      <c r="AA677" t="str">
        <f>VLOOKUP(H677,Departments!$A:$B,2,0)</f>
        <v>Pulmonology</v>
      </c>
      <c r="AB677" t="str">
        <f>VLOOKUP(J677,Diagnosis_Guide!$A:$B,2,0)</f>
        <v>Pneumonia</v>
      </c>
      <c r="AC677" s="4" t="str">
        <f>VLOOKUP(J677,Diagnosis_Guide!$A:$C,3,0)</f>
        <v>Respiratory</v>
      </c>
      <c r="AD677" s="4" t="str">
        <f>VLOOKUP(R677,Insurance_Plans!$A:$C,3,0)</f>
        <v>Private</v>
      </c>
      <c r="AE677" s="13">
        <f t="shared" si="30"/>
        <v>2722.5</v>
      </c>
      <c r="AF677" s="13">
        <f t="shared" si="31"/>
        <v>57172.5</v>
      </c>
      <c r="AG677" s="4" t="str">
        <f t="shared" si="32"/>
        <v>High</v>
      </c>
    </row>
    <row r="678" spans="1:33">
      <c r="A678" t="s">
        <v>1304</v>
      </c>
      <c r="B678" t="s">
        <v>1179</v>
      </c>
      <c r="C678" s="11">
        <v>46051</v>
      </c>
      <c r="D678" t="s">
        <v>183</v>
      </c>
      <c r="E678" t="s">
        <v>70</v>
      </c>
      <c r="F678" s="4">
        <v>46052</v>
      </c>
      <c r="G678" s="4">
        <v>46056</v>
      </c>
      <c r="H678" t="s">
        <v>138</v>
      </c>
      <c r="I678" t="s">
        <v>444</v>
      </c>
      <c r="J678" t="s">
        <v>140</v>
      </c>
      <c r="K678" t="s">
        <v>93</v>
      </c>
      <c r="L678" t="s">
        <v>74</v>
      </c>
      <c r="M678" s="5">
        <v>18500</v>
      </c>
      <c r="N678" s="5">
        <v>2000</v>
      </c>
      <c r="O678" s="5">
        <v>2450</v>
      </c>
      <c r="P678" s="5">
        <v>10000</v>
      </c>
      <c r="Q678" s="13">
        <v>34450</v>
      </c>
      <c r="R678" t="s">
        <v>106</v>
      </c>
      <c r="S678" t="s">
        <v>76</v>
      </c>
      <c r="T678" s="5">
        <v>12760</v>
      </c>
      <c r="U678" s="6">
        <v>2</v>
      </c>
      <c r="V678" t="s">
        <v>77</v>
      </c>
      <c r="W678" s="4">
        <v>46075</v>
      </c>
      <c r="X678" t="s">
        <v>64</v>
      </c>
      <c r="Y678" t="s">
        <v>64</v>
      </c>
      <c r="Z678" t="s">
        <v>107</v>
      </c>
      <c r="AA678" t="str">
        <f>VLOOKUP(H678,Departments!$A:$B,2,0)</f>
        <v>Pediatrics</v>
      </c>
      <c r="AB678" t="str">
        <f>VLOOKUP(J678,Diagnosis_Guide!$A:$B,2,0)</f>
        <v>Pediatric Asthma</v>
      </c>
      <c r="AC678" s="4" t="str">
        <f>VLOOKUP(J678,Diagnosis_Guide!$A:$C,3,0)</f>
        <v>Pediatric</v>
      </c>
      <c r="AD678" s="4" t="str">
        <f>VLOOKUP(R678,Insurance_Plans!$A:$C,3,0)</f>
        <v>Private</v>
      </c>
      <c r="AE678" s="13">
        <f t="shared" si="30"/>
        <v>1722.5</v>
      </c>
      <c r="AF678" s="13">
        <f t="shared" si="31"/>
        <v>36172.5</v>
      </c>
      <c r="AG678" s="4" t="str">
        <f t="shared" si="32"/>
        <v>Low</v>
      </c>
    </row>
    <row r="679" spans="1:33">
      <c r="A679" t="s">
        <v>1305</v>
      </c>
      <c r="B679" t="s">
        <v>1306</v>
      </c>
      <c r="C679" s="11">
        <v>46153</v>
      </c>
      <c r="D679" t="s">
        <v>294</v>
      </c>
      <c r="E679" t="s">
        <v>70</v>
      </c>
      <c r="F679" s="4">
        <v>46153</v>
      </c>
      <c r="G679" s="4">
        <v>46159</v>
      </c>
      <c r="H679" t="s">
        <v>201</v>
      </c>
      <c r="I679" t="s">
        <v>515</v>
      </c>
      <c r="J679" t="s">
        <v>203</v>
      </c>
      <c r="K679" t="s">
        <v>73</v>
      </c>
      <c r="L679" t="s">
        <v>61</v>
      </c>
      <c r="M679" s="5">
        <v>36600</v>
      </c>
      <c r="N679" s="5">
        <v>4550</v>
      </c>
      <c r="O679" s="5">
        <v>3900</v>
      </c>
      <c r="P679" s="5">
        <v>15000</v>
      </c>
      <c r="Q679" s="13">
        <v>61250</v>
      </c>
      <c r="R679" t="s">
        <v>141</v>
      </c>
      <c r="S679" t="s">
        <v>76</v>
      </c>
      <c r="T679" s="5">
        <v>10390</v>
      </c>
      <c r="U679" s="6">
        <v>2</v>
      </c>
      <c r="V679" t="s">
        <v>77</v>
      </c>
      <c r="W679" s="4">
        <v>46180</v>
      </c>
      <c r="X679" t="s">
        <v>64</v>
      </c>
      <c r="Y679" t="s">
        <v>64</v>
      </c>
      <c r="Z679" t="s">
        <v>96</v>
      </c>
      <c r="AA679" t="str">
        <f>VLOOKUP(H679,Departments!$A:$B,2,0)</f>
        <v>Emergency</v>
      </c>
      <c r="AB679" t="str">
        <f>VLOOKUP(J679,Diagnosis_Guide!$A:$B,2,0)</f>
        <v>Trauma Observation</v>
      </c>
      <c r="AC679" s="4" t="str">
        <f>VLOOKUP(J679,Diagnosis_Guide!$A:$C,3,0)</f>
        <v>Emergency</v>
      </c>
      <c r="AD679" s="4" t="str">
        <f>VLOOKUP(R679,Insurance_Plans!$A:$C,3,0)</f>
        <v>Private</v>
      </c>
      <c r="AE679" s="13">
        <f t="shared" si="30"/>
        <v>3062.5</v>
      </c>
      <c r="AF679" s="13">
        <f t="shared" si="31"/>
        <v>64312.5</v>
      </c>
      <c r="AG679" s="4" t="str">
        <f t="shared" si="32"/>
        <v>Low</v>
      </c>
    </row>
    <row r="680" spans="1:33">
      <c r="A680" t="s">
        <v>1307</v>
      </c>
      <c r="B680" t="s">
        <v>1308</v>
      </c>
      <c r="C680" s="11">
        <v>46106</v>
      </c>
      <c r="D680" t="s">
        <v>225</v>
      </c>
      <c r="E680" t="s">
        <v>70</v>
      </c>
      <c r="F680" s="4">
        <v>46106</v>
      </c>
      <c r="G680" s="4">
        <v>46110</v>
      </c>
      <c r="H680" t="s">
        <v>57</v>
      </c>
      <c r="I680" t="s">
        <v>211</v>
      </c>
      <c r="J680" t="s">
        <v>170</v>
      </c>
      <c r="K680" t="s">
        <v>73</v>
      </c>
      <c r="L680" t="s">
        <v>94</v>
      </c>
      <c r="M680" s="5">
        <v>50100</v>
      </c>
      <c r="N680" s="5">
        <v>7250</v>
      </c>
      <c r="O680" s="5">
        <v>9750</v>
      </c>
      <c r="P680" s="5">
        <v>10000</v>
      </c>
      <c r="Q680" s="13">
        <v>79100</v>
      </c>
      <c r="R680" t="s">
        <v>75</v>
      </c>
      <c r="S680" t="s">
        <v>76</v>
      </c>
      <c r="T680" s="5">
        <v>35900</v>
      </c>
      <c r="U680" s="6">
        <v>5</v>
      </c>
      <c r="V680" t="s">
        <v>77</v>
      </c>
      <c r="W680" s="4">
        <v>46126</v>
      </c>
      <c r="X680" t="s">
        <v>77</v>
      </c>
      <c r="Y680" t="s">
        <v>64</v>
      </c>
      <c r="Z680" t="s">
        <v>96</v>
      </c>
      <c r="AA680" t="str">
        <f>VLOOKUP(H680,Departments!$A:$B,2,0)</f>
        <v>Pulmonology</v>
      </c>
      <c r="AB680" t="str">
        <f>VLOOKUP(J680,Diagnosis_Guide!$A:$B,2,0)</f>
        <v>COPD Exacerbation</v>
      </c>
      <c r="AC680" s="4" t="str">
        <f>VLOOKUP(J680,Diagnosis_Guide!$A:$C,3,0)</f>
        <v>Respiratory</v>
      </c>
      <c r="AD680" s="4" t="str">
        <f>VLOOKUP(R680,Insurance_Plans!$A:$C,3,0)</f>
        <v>Public</v>
      </c>
      <c r="AE680" s="13">
        <f t="shared" si="30"/>
        <v>3955</v>
      </c>
      <c r="AF680" s="13">
        <f t="shared" si="31"/>
        <v>83055</v>
      </c>
      <c r="AG680" s="4" t="str">
        <f t="shared" si="32"/>
        <v>High</v>
      </c>
    </row>
    <row r="681" spans="1:33">
      <c r="A681" t="s">
        <v>1309</v>
      </c>
      <c r="B681" t="s">
        <v>907</v>
      </c>
      <c r="C681" s="11">
        <v>46084</v>
      </c>
      <c r="D681" t="s">
        <v>173</v>
      </c>
      <c r="E681" t="s">
        <v>70</v>
      </c>
      <c r="F681" s="4">
        <v>46085</v>
      </c>
      <c r="G681" s="4">
        <v>46089</v>
      </c>
      <c r="H681" t="s">
        <v>178</v>
      </c>
      <c r="J681" t="s">
        <v>358</v>
      </c>
      <c r="K681" t="s">
        <v>73</v>
      </c>
      <c r="L681" t="s">
        <v>146</v>
      </c>
      <c r="M681" s="5">
        <v>54000</v>
      </c>
      <c r="N681" s="5">
        <v>5750</v>
      </c>
      <c r="O681" s="5">
        <v>8050</v>
      </c>
      <c r="P681" s="5">
        <v>24000</v>
      </c>
      <c r="Q681" s="13">
        <v>92600</v>
      </c>
      <c r="R681" t="s">
        <v>106</v>
      </c>
      <c r="S681" t="s">
        <v>76</v>
      </c>
      <c r="T681" s="5">
        <v>33110</v>
      </c>
      <c r="U681" s="6">
        <v>3</v>
      </c>
      <c r="V681" t="s">
        <v>77</v>
      </c>
      <c r="W681" s="4">
        <v>46101</v>
      </c>
      <c r="X681" t="s">
        <v>64</v>
      </c>
      <c r="Y681" t="s">
        <v>64</v>
      </c>
      <c r="Z681" t="s">
        <v>96</v>
      </c>
      <c r="AA681" t="str">
        <f>VLOOKUP(H681,Departments!$A:$B,2,0)</f>
        <v>Surgery</v>
      </c>
      <c r="AB681" t="str">
        <f>VLOOKUP(J681,Diagnosis_Guide!$A:$B,2,0)</f>
        <v>Gallbladder Surgery</v>
      </c>
      <c r="AC681" s="4" t="str">
        <f>VLOOKUP(J681,Diagnosis_Guide!$A:$C,3,0)</f>
        <v>Surgical</v>
      </c>
      <c r="AD681" s="4" t="str">
        <f>VLOOKUP(R681,Insurance_Plans!$A:$C,3,0)</f>
        <v>Private</v>
      </c>
      <c r="AE681" s="13">
        <f t="shared" si="30"/>
        <v>4630</v>
      </c>
      <c r="AF681" s="13">
        <f t="shared" si="31"/>
        <v>97230</v>
      </c>
      <c r="AG681" s="4" t="str">
        <f t="shared" si="32"/>
        <v>Medium</v>
      </c>
    </row>
    <row r="682" spans="1:33">
      <c r="A682" t="s">
        <v>1310</v>
      </c>
      <c r="B682" t="s">
        <v>1311</v>
      </c>
      <c r="C682" s="11">
        <v>46118</v>
      </c>
      <c r="D682" t="s">
        <v>363</v>
      </c>
      <c r="E682" t="s">
        <v>70</v>
      </c>
      <c r="F682" s="4">
        <v>46118</v>
      </c>
      <c r="G682" s="4">
        <v>46124</v>
      </c>
      <c r="H682" t="s">
        <v>111</v>
      </c>
      <c r="I682" t="s">
        <v>116</v>
      </c>
      <c r="J682" t="s">
        <v>113</v>
      </c>
      <c r="K682" t="s">
        <v>73</v>
      </c>
      <c r="L682" t="s">
        <v>146</v>
      </c>
      <c r="M682" s="5">
        <v>30800</v>
      </c>
      <c r="N682" s="5">
        <v>3900</v>
      </c>
      <c r="O682" s="5">
        <v>4250</v>
      </c>
      <c r="P682" s="5">
        <v>18000</v>
      </c>
      <c r="Q682" s="13">
        <v>57750</v>
      </c>
      <c r="R682" t="s">
        <v>85</v>
      </c>
      <c r="S682" t="s">
        <v>76</v>
      </c>
      <c r="T682" s="5">
        <v>15340</v>
      </c>
      <c r="U682" s="6">
        <v>2</v>
      </c>
      <c r="V682" t="s">
        <v>77</v>
      </c>
      <c r="W682" s="4">
        <v>46144</v>
      </c>
      <c r="X682" t="s">
        <v>64</v>
      </c>
      <c r="Y682" t="s">
        <v>64</v>
      </c>
      <c r="Z682" t="s">
        <v>78</v>
      </c>
      <c r="AA682" t="str">
        <f>VLOOKUP(H682,Departments!$A:$B,2,0)</f>
        <v>General Medicine</v>
      </c>
      <c r="AB682" t="str">
        <f>VLOOKUP(J682,Diagnosis_Guide!$A:$B,2,0)</f>
        <v>Diabetes Complication</v>
      </c>
      <c r="AC682" s="4" t="str">
        <f>VLOOKUP(J682,Diagnosis_Guide!$A:$C,3,0)</f>
        <v>Endocrine/General</v>
      </c>
      <c r="AD682" s="4" t="str">
        <f>VLOOKUP(R682,Insurance_Plans!$A:$C,3,0)</f>
        <v>Employer</v>
      </c>
      <c r="AE682" s="13">
        <f t="shared" si="30"/>
        <v>2887.5</v>
      </c>
      <c r="AF682" s="13">
        <f t="shared" si="31"/>
        <v>60637.5</v>
      </c>
      <c r="AG682" s="4" t="str">
        <f t="shared" si="32"/>
        <v>Low</v>
      </c>
    </row>
    <row r="683" spans="1:33">
      <c r="A683" t="s">
        <v>1312</v>
      </c>
      <c r="B683" t="s">
        <v>1091</v>
      </c>
      <c r="C683" s="11">
        <v>46101</v>
      </c>
      <c r="D683" t="s">
        <v>120</v>
      </c>
      <c r="E683" t="s">
        <v>70</v>
      </c>
      <c r="F683" s="4">
        <v>46101</v>
      </c>
      <c r="G683" s="4">
        <v>46104</v>
      </c>
      <c r="H683" t="s">
        <v>178</v>
      </c>
      <c r="I683" t="s">
        <v>462</v>
      </c>
      <c r="J683" t="s">
        <v>180</v>
      </c>
      <c r="K683" t="s">
        <v>93</v>
      </c>
      <c r="L683" t="s">
        <v>74</v>
      </c>
      <c r="M683" s="5">
        <v>75300</v>
      </c>
      <c r="N683" s="5">
        <v>8100</v>
      </c>
      <c r="O683" s="5">
        <v>7700</v>
      </c>
      <c r="P683" s="5">
        <v>9000</v>
      </c>
      <c r="Q683" s="13">
        <v>102600</v>
      </c>
      <c r="R683" t="s">
        <v>95</v>
      </c>
      <c r="S683" t="s">
        <v>63</v>
      </c>
      <c r="T683" s="5">
        <v>102600</v>
      </c>
      <c r="U683" s="6">
        <v>2</v>
      </c>
      <c r="V683" t="s">
        <v>77</v>
      </c>
      <c r="W683" s="4">
        <v>46125</v>
      </c>
      <c r="X683" t="s">
        <v>64</v>
      </c>
      <c r="Y683" t="s">
        <v>64</v>
      </c>
      <c r="Z683" t="s">
        <v>78</v>
      </c>
      <c r="AA683" t="str">
        <f>VLOOKUP(H683,Departments!$A:$B,2,0)</f>
        <v>Surgery</v>
      </c>
      <c r="AB683" t="str">
        <f>VLOOKUP(J683,Diagnosis_Guide!$A:$B,2,0)</f>
        <v>Appendicitis Surgery</v>
      </c>
      <c r="AC683" s="4" t="str">
        <f>VLOOKUP(J683,Diagnosis_Guide!$A:$C,3,0)</f>
        <v>Surgical</v>
      </c>
      <c r="AD683" s="4" t="str">
        <f>VLOOKUP(R683,Insurance_Plans!$A:$C,3,0)</f>
        <v>Self-Pay</v>
      </c>
      <c r="AE683" s="13">
        <f t="shared" si="30"/>
        <v>5130</v>
      </c>
      <c r="AF683" s="13">
        <f t="shared" si="31"/>
        <v>107730</v>
      </c>
      <c r="AG683" s="4" t="str">
        <f t="shared" si="32"/>
        <v>Low</v>
      </c>
    </row>
    <row r="684" spans="1:33">
      <c r="A684" t="s">
        <v>1313</v>
      </c>
      <c r="B684" t="s">
        <v>596</v>
      </c>
      <c r="C684" s="11">
        <v>46128</v>
      </c>
      <c r="D684" t="s">
        <v>298</v>
      </c>
      <c r="E684" t="s">
        <v>177</v>
      </c>
      <c r="F684" s="4"/>
      <c r="G684" s="4"/>
      <c r="H684" t="s">
        <v>201</v>
      </c>
      <c r="I684" t="s">
        <v>202</v>
      </c>
      <c r="J684" t="s">
        <v>203</v>
      </c>
      <c r="K684" t="s">
        <v>124</v>
      </c>
      <c r="L684" t="s">
        <v>74</v>
      </c>
      <c r="M684" s="5"/>
      <c r="N684" s="5"/>
      <c r="O684" s="5"/>
      <c r="P684" s="5"/>
      <c r="R684" t="s">
        <v>85</v>
      </c>
      <c r="S684" t="s">
        <v>63</v>
      </c>
      <c r="T684" s="5"/>
      <c r="U684" s="6"/>
      <c r="V684" t="s">
        <v>64</v>
      </c>
      <c r="W684" s="4"/>
      <c r="X684" t="s">
        <v>65</v>
      </c>
      <c r="Z684" t="s">
        <v>66</v>
      </c>
      <c r="AA684" t="str">
        <f>VLOOKUP(H684,Departments!$A:$B,2,0)</f>
        <v>Emergency</v>
      </c>
      <c r="AB684" t="str">
        <f>VLOOKUP(J684,Diagnosis_Guide!$A:$B,2,0)</f>
        <v>Trauma Observation</v>
      </c>
      <c r="AC684" s="4" t="str">
        <f>VLOOKUP(J684,Diagnosis_Guide!$A:$C,3,0)</f>
        <v>Emergency</v>
      </c>
      <c r="AD684" s="4" t="str">
        <f>VLOOKUP(R684,Insurance_Plans!$A:$C,3,0)</f>
        <v>Employer</v>
      </c>
      <c r="AE684" s="13" t="str">
        <f t="shared" si="30"/>
        <v/>
      </c>
      <c r="AF684" s="13" t="str">
        <f t="shared" si="31"/>
        <v/>
      </c>
      <c r="AG684" s="4" t="str">
        <f t="shared" si="32"/>
        <v>Not Available</v>
      </c>
    </row>
    <row r="685" spans="1:33">
      <c r="A685" t="s">
        <v>1314</v>
      </c>
      <c r="B685" t="s">
        <v>794</v>
      </c>
      <c r="C685" s="11">
        <v>46041</v>
      </c>
      <c r="D685" t="s">
        <v>259</v>
      </c>
      <c r="E685" t="s">
        <v>70</v>
      </c>
      <c r="F685" s="4">
        <v>46041</v>
      </c>
      <c r="G685" s="4">
        <v>46041</v>
      </c>
      <c r="H685" t="s">
        <v>138</v>
      </c>
      <c r="I685" t="s">
        <v>444</v>
      </c>
      <c r="J685" t="s">
        <v>140</v>
      </c>
      <c r="K685" t="s">
        <v>73</v>
      </c>
      <c r="L685" t="s">
        <v>74</v>
      </c>
      <c r="M685" s="5">
        <v>13800</v>
      </c>
      <c r="N685" s="5">
        <v>1150</v>
      </c>
      <c r="O685" s="5">
        <v>1900</v>
      </c>
      <c r="P685" s="5">
        <v>0</v>
      </c>
      <c r="Q685" s="13">
        <v>18350</v>
      </c>
      <c r="R685" t="s">
        <v>85</v>
      </c>
      <c r="S685" t="s">
        <v>76</v>
      </c>
      <c r="T685" s="5">
        <v>5490</v>
      </c>
      <c r="U685" s="6">
        <v>5</v>
      </c>
      <c r="V685" t="s">
        <v>77</v>
      </c>
      <c r="W685" s="4">
        <v>46054</v>
      </c>
      <c r="X685" t="s">
        <v>77</v>
      </c>
      <c r="Y685" t="s">
        <v>64</v>
      </c>
      <c r="Z685" t="s">
        <v>96</v>
      </c>
      <c r="AA685" t="str">
        <f>VLOOKUP(H685,Departments!$A:$B,2,0)</f>
        <v>Pediatrics</v>
      </c>
      <c r="AB685" t="str">
        <f>VLOOKUP(J685,Diagnosis_Guide!$A:$B,2,0)</f>
        <v>Pediatric Asthma</v>
      </c>
      <c r="AC685" s="4" t="str">
        <f>VLOOKUP(J685,Diagnosis_Guide!$A:$C,3,0)</f>
        <v>Pediatric</v>
      </c>
      <c r="AD685" s="4" t="str">
        <f>VLOOKUP(R685,Insurance_Plans!$A:$C,3,0)</f>
        <v>Employer</v>
      </c>
      <c r="AE685" s="13">
        <f t="shared" si="30"/>
        <v>917.5</v>
      </c>
      <c r="AF685" s="13">
        <f t="shared" si="31"/>
        <v>19267.5</v>
      </c>
      <c r="AG685" s="4" t="str">
        <f t="shared" si="32"/>
        <v>High</v>
      </c>
    </row>
    <row r="686" spans="1:33">
      <c r="A686" t="s">
        <v>1315</v>
      </c>
      <c r="B686" t="s">
        <v>1316</v>
      </c>
      <c r="C686" s="11">
        <v>46119</v>
      </c>
      <c r="D686" t="s">
        <v>279</v>
      </c>
      <c r="E686" t="s">
        <v>70</v>
      </c>
      <c r="F686" s="4">
        <v>46119</v>
      </c>
      <c r="G686" s="4">
        <v>46124</v>
      </c>
      <c r="H686" t="s">
        <v>82</v>
      </c>
      <c r="I686" t="s">
        <v>331</v>
      </c>
      <c r="J686" t="s">
        <v>291</v>
      </c>
      <c r="K686" t="s">
        <v>124</v>
      </c>
      <c r="L686" t="s">
        <v>94</v>
      </c>
      <c r="M686" s="5">
        <v>39100</v>
      </c>
      <c r="N686" s="5">
        <v>6500</v>
      </c>
      <c r="O686" s="5">
        <v>6250</v>
      </c>
      <c r="P686" s="5">
        <v>30000</v>
      </c>
      <c r="Q686" s="13">
        <v>83350</v>
      </c>
      <c r="R686" t="s">
        <v>141</v>
      </c>
      <c r="S686" t="s">
        <v>76</v>
      </c>
      <c r="T686" s="5">
        <v>13700</v>
      </c>
      <c r="U686" s="6">
        <v>3</v>
      </c>
      <c r="V686" t="s">
        <v>77</v>
      </c>
      <c r="W686" s="4">
        <v>46136</v>
      </c>
      <c r="X686" t="s">
        <v>64</v>
      </c>
      <c r="Y686" t="s">
        <v>64</v>
      </c>
      <c r="Z686" t="s">
        <v>96</v>
      </c>
      <c r="AA686" t="str">
        <f>VLOOKUP(H686,Departments!$A:$B,2,0)</f>
        <v>Orthopedics</v>
      </c>
      <c r="AB686" t="str">
        <f>VLOOKUP(J686,Diagnosis_Guide!$A:$B,2,0)</f>
        <v>Fracture Repair</v>
      </c>
      <c r="AC686" s="4" t="str">
        <f>VLOOKUP(J686,Diagnosis_Guide!$A:$C,3,0)</f>
        <v>Musculoskeletal</v>
      </c>
      <c r="AD686" s="4" t="str">
        <f>VLOOKUP(R686,Insurance_Plans!$A:$C,3,0)</f>
        <v>Private</v>
      </c>
      <c r="AE686" s="13">
        <f t="shared" si="30"/>
        <v>4167.5</v>
      </c>
      <c r="AF686" s="13">
        <f t="shared" si="31"/>
        <v>87517.5</v>
      </c>
      <c r="AG686" s="4" t="str">
        <f t="shared" si="32"/>
        <v>Medium</v>
      </c>
    </row>
    <row r="687" spans="1:33">
      <c r="A687" t="s">
        <v>1317</v>
      </c>
      <c r="B687" t="s">
        <v>669</v>
      </c>
      <c r="C687" s="11">
        <v>46047</v>
      </c>
      <c r="D687" t="s">
        <v>302</v>
      </c>
      <c r="E687" t="s">
        <v>70</v>
      </c>
      <c r="F687" s="4">
        <v>46047</v>
      </c>
      <c r="G687" s="4">
        <v>46047</v>
      </c>
      <c r="H687" t="s">
        <v>201</v>
      </c>
      <c r="I687" t="s">
        <v>449</v>
      </c>
      <c r="J687" t="s">
        <v>295</v>
      </c>
      <c r="K687" t="s">
        <v>60</v>
      </c>
      <c r="L687" t="s">
        <v>94</v>
      </c>
      <c r="M687" s="5">
        <v>32700</v>
      </c>
      <c r="N687" s="5">
        <v>5550</v>
      </c>
      <c r="O687" s="5">
        <v>4700</v>
      </c>
      <c r="P687" s="5">
        <v>0</v>
      </c>
      <c r="Q687" s="13">
        <v>43750</v>
      </c>
      <c r="R687" t="s">
        <v>75</v>
      </c>
      <c r="S687" t="s">
        <v>163</v>
      </c>
      <c r="T687" s="5">
        <v>19990</v>
      </c>
      <c r="U687" s="6">
        <v>4</v>
      </c>
      <c r="V687" t="s">
        <v>77</v>
      </c>
      <c r="W687" s="4">
        <v>46068</v>
      </c>
      <c r="X687" t="s">
        <v>77</v>
      </c>
      <c r="Y687" t="s">
        <v>64</v>
      </c>
      <c r="Z687" t="s">
        <v>96</v>
      </c>
      <c r="AA687" t="str">
        <f>VLOOKUP(H687,Departments!$A:$B,2,0)</f>
        <v>Emergency</v>
      </c>
      <c r="AB687" t="str">
        <f>VLOOKUP(J687,Diagnosis_Guide!$A:$B,2,0)</f>
        <v>Accident Injury</v>
      </c>
      <c r="AC687" s="4" t="str">
        <f>VLOOKUP(J687,Diagnosis_Guide!$A:$C,3,0)</f>
        <v>Emergency</v>
      </c>
      <c r="AD687" s="4" t="str">
        <f>VLOOKUP(R687,Insurance_Plans!$A:$C,3,0)</f>
        <v>Public</v>
      </c>
      <c r="AE687" s="13">
        <f t="shared" si="30"/>
        <v>2187.5</v>
      </c>
      <c r="AF687" s="13">
        <f t="shared" si="31"/>
        <v>45937.5</v>
      </c>
      <c r="AG687" s="4" t="str">
        <f t="shared" si="32"/>
        <v>High</v>
      </c>
    </row>
    <row r="688" spans="1:33">
      <c r="A688" t="s">
        <v>1318</v>
      </c>
      <c r="B688" t="s">
        <v>968</v>
      </c>
      <c r="C688" s="11">
        <v>46041</v>
      </c>
      <c r="D688" t="s">
        <v>210</v>
      </c>
      <c r="E688" t="s">
        <v>70</v>
      </c>
      <c r="F688" s="4">
        <v>46042</v>
      </c>
      <c r="G688" s="4">
        <v>46043</v>
      </c>
      <c r="H688" t="s">
        <v>57</v>
      </c>
      <c r="I688" t="s">
        <v>211</v>
      </c>
      <c r="J688" t="s">
        <v>72</v>
      </c>
      <c r="K688" t="s">
        <v>60</v>
      </c>
      <c r="L688" t="s">
        <v>94</v>
      </c>
      <c r="M688" s="5">
        <v>7500</v>
      </c>
      <c r="N688" s="5">
        <v>600</v>
      </c>
      <c r="O688" s="5">
        <v>1450</v>
      </c>
      <c r="P688" s="5">
        <v>4500</v>
      </c>
      <c r="Q688" s="13">
        <v>16050</v>
      </c>
      <c r="R688" t="s">
        <v>85</v>
      </c>
      <c r="S688" t="s">
        <v>86</v>
      </c>
      <c r="T688" s="5">
        <v>4910</v>
      </c>
      <c r="U688" s="6">
        <v>5</v>
      </c>
      <c r="V688" t="s">
        <v>64</v>
      </c>
      <c r="W688" s="4"/>
      <c r="X688" t="s">
        <v>65</v>
      </c>
      <c r="Y688" t="s">
        <v>64</v>
      </c>
      <c r="Z688" t="s">
        <v>96</v>
      </c>
      <c r="AA688" t="str">
        <f>VLOOKUP(H688,Departments!$A:$B,2,0)</f>
        <v>Pulmonology</v>
      </c>
      <c r="AB688" t="str">
        <f>VLOOKUP(J688,Diagnosis_Guide!$A:$B,2,0)</f>
        <v>Acute Bronchitis</v>
      </c>
      <c r="AC688" s="4" t="str">
        <f>VLOOKUP(J688,Diagnosis_Guide!$A:$C,3,0)</f>
        <v>Respiratory</v>
      </c>
      <c r="AD688" s="4" t="str">
        <f>VLOOKUP(R688,Insurance_Plans!$A:$C,3,0)</f>
        <v>Employer</v>
      </c>
      <c r="AE688" s="13">
        <f t="shared" si="30"/>
        <v>802.5</v>
      </c>
      <c r="AF688" s="13">
        <f t="shared" si="31"/>
        <v>16852.5</v>
      </c>
      <c r="AG688" s="4" t="str">
        <f t="shared" si="32"/>
        <v>High</v>
      </c>
    </row>
    <row r="689" spans="1:33">
      <c r="A689" t="s">
        <v>1319</v>
      </c>
      <c r="B689" t="s">
        <v>1320</v>
      </c>
      <c r="C689" s="11">
        <v>46082</v>
      </c>
      <c r="D689" t="s">
        <v>234</v>
      </c>
      <c r="E689" t="s">
        <v>177</v>
      </c>
      <c r="F689" s="4"/>
      <c r="G689" s="4"/>
      <c r="H689" t="s">
        <v>111</v>
      </c>
      <c r="I689" t="s">
        <v>355</v>
      </c>
      <c r="J689" t="s">
        <v>117</v>
      </c>
      <c r="K689" t="s">
        <v>73</v>
      </c>
      <c r="L689" t="s">
        <v>146</v>
      </c>
      <c r="M689" s="5"/>
      <c r="N689" s="5"/>
      <c r="O689" s="5"/>
      <c r="P689" s="5"/>
      <c r="R689" t="s">
        <v>75</v>
      </c>
      <c r="S689" t="s">
        <v>63</v>
      </c>
      <c r="T689" s="5"/>
      <c r="U689" s="6"/>
      <c r="V689" t="s">
        <v>64</v>
      </c>
      <c r="W689" s="4"/>
      <c r="X689" t="s">
        <v>65</v>
      </c>
      <c r="Z689" t="s">
        <v>66</v>
      </c>
      <c r="AA689" t="str">
        <f>VLOOKUP(H689,Departments!$A:$B,2,0)</f>
        <v>General Medicine</v>
      </c>
      <c r="AB689" t="str">
        <f>VLOOKUP(J689,Diagnosis_Guide!$A:$B,2,0)</f>
        <v>Fever Investigation</v>
      </c>
      <c r="AC689" s="4" t="str">
        <f>VLOOKUP(J689,Diagnosis_Guide!$A:$C,3,0)</f>
        <v>Infectious/General</v>
      </c>
      <c r="AD689" s="4" t="str">
        <f>VLOOKUP(R689,Insurance_Plans!$A:$C,3,0)</f>
        <v>Public</v>
      </c>
      <c r="AE689" s="13" t="str">
        <f t="shared" si="30"/>
        <v/>
      </c>
      <c r="AF689" s="13" t="str">
        <f t="shared" si="31"/>
        <v/>
      </c>
      <c r="AG689" s="4" t="str">
        <f t="shared" si="32"/>
        <v>Not Available</v>
      </c>
    </row>
    <row r="690" spans="1:33">
      <c r="A690" t="s">
        <v>1321</v>
      </c>
      <c r="B690" t="s">
        <v>828</v>
      </c>
      <c r="C690" s="11">
        <v>46125</v>
      </c>
      <c r="D690" t="s">
        <v>217</v>
      </c>
      <c r="E690" t="s">
        <v>70</v>
      </c>
      <c r="F690" s="4">
        <v>46125</v>
      </c>
      <c r="G690" s="4">
        <v>46130</v>
      </c>
      <c r="H690" t="s">
        <v>103</v>
      </c>
      <c r="I690" t="s">
        <v>243</v>
      </c>
      <c r="J690" t="s">
        <v>145</v>
      </c>
      <c r="K690" t="s">
        <v>124</v>
      </c>
      <c r="L690" t="s">
        <v>74</v>
      </c>
      <c r="M690" s="5">
        <v>35200</v>
      </c>
      <c r="N690" s="5">
        <v>3100</v>
      </c>
      <c r="O690" s="5">
        <v>7000</v>
      </c>
      <c r="P690" s="5">
        <v>15000</v>
      </c>
      <c r="Q690" s="13">
        <v>62100</v>
      </c>
      <c r="R690" t="s">
        <v>85</v>
      </c>
      <c r="S690" t="s">
        <v>76</v>
      </c>
      <c r="T690" s="5">
        <v>16420</v>
      </c>
      <c r="U690" s="6">
        <v>4</v>
      </c>
      <c r="V690" t="s">
        <v>77</v>
      </c>
      <c r="W690" s="4">
        <v>46143</v>
      </c>
      <c r="X690" t="s">
        <v>77</v>
      </c>
      <c r="Y690" t="s">
        <v>64</v>
      </c>
      <c r="Z690" t="s">
        <v>78</v>
      </c>
      <c r="AA690" t="str">
        <f>VLOOKUP(H690,Departments!$A:$B,2,0)</f>
        <v>Nephrology</v>
      </c>
      <c r="AB690" t="str">
        <f>VLOOKUP(J690,Diagnosis_Guide!$A:$B,2,0)</f>
        <v>Kidney Stone</v>
      </c>
      <c r="AC690" s="4" t="str">
        <f>VLOOKUP(J690,Diagnosis_Guide!$A:$C,3,0)</f>
        <v>Renal</v>
      </c>
      <c r="AD690" s="4" t="str">
        <f>VLOOKUP(R690,Insurance_Plans!$A:$C,3,0)</f>
        <v>Employer</v>
      </c>
      <c r="AE690" s="13">
        <f t="shared" si="30"/>
        <v>3105</v>
      </c>
      <c r="AF690" s="13">
        <f t="shared" si="31"/>
        <v>65205</v>
      </c>
      <c r="AG690" s="4" t="str">
        <f t="shared" si="32"/>
        <v>High</v>
      </c>
    </row>
    <row r="691" spans="1:33">
      <c r="A691" t="s">
        <v>1322</v>
      </c>
      <c r="B691" t="s">
        <v>651</v>
      </c>
      <c r="C691" s="11">
        <v>46102</v>
      </c>
      <c r="D691" t="s">
        <v>210</v>
      </c>
      <c r="E691" t="s">
        <v>70</v>
      </c>
      <c r="F691" s="4">
        <v>46102</v>
      </c>
      <c r="G691" s="4">
        <v>46103</v>
      </c>
      <c r="H691" t="s">
        <v>201</v>
      </c>
      <c r="I691" t="s">
        <v>421</v>
      </c>
      <c r="J691" t="s">
        <v>203</v>
      </c>
      <c r="K691" t="s">
        <v>124</v>
      </c>
      <c r="L691" t="s">
        <v>61</v>
      </c>
      <c r="M691" s="5">
        <v>42400</v>
      </c>
      <c r="N691" s="5">
        <v>3800</v>
      </c>
      <c r="O691" s="5">
        <v>4550</v>
      </c>
      <c r="P691" s="5">
        <v>4500</v>
      </c>
      <c r="Q691" s="13">
        <v>56250</v>
      </c>
      <c r="R691" t="s">
        <v>141</v>
      </c>
      <c r="S691" t="s">
        <v>76</v>
      </c>
      <c r="T691" s="5">
        <v>9640</v>
      </c>
      <c r="U691" s="6">
        <v>5</v>
      </c>
      <c r="V691" t="s">
        <v>77</v>
      </c>
      <c r="W691" s="4">
        <v>46115</v>
      </c>
      <c r="X691" t="s">
        <v>77</v>
      </c>
      <c r="Y691" t="s">
        <v>64</v>
      </c>
      <c r="Z691" t="s">
        <v>96</v>
      </c>
      <c r="AA691" t="str">
        <f>VLOOKUP(H691,Departments!$A:$B,2,0)</f>
        <v>Emergency</v>
      </c>
      <c r="AB691" t="str">
        <f>VLOOKUP(J691,Diagnosis_Guide!$A:$B,2,0)</f>
        <v>Trauma Observation</v>
      </c>
      <c r="AC691" s="4" t="str">
        <f>VLOOKUP(J691,Diagnosis_Guide!$A:$C,3,0)</f>
        <v>Emergency</v>
      </c>
      <c r="AD691" s="4" t="str">
        <f>VLOOKUP(R691,Insurance_Plans!$A:$C,3,0)</f>
        <v>Private</v>
      </c>
      <c r="AE691" s="13">
        <f t="shared" si="30"/>
        <v>2812.5</v>
      </c>
      <c r="AF691" s="13">
        <f t="shared" si="31"/>
        <v>59062.5</v>
      </c>
      <c r="AG691" s="4" t="str">
        <f t="shared" si="32"/>
        <v>High</v>
      </c>
    </row>
    <row r="692" spans="1:33">
      <c r="A692" t="s">
        <v>1323</v>
      </c>
      <c r="B692" t="s">
        <v>506</v>
      </c>
      <c r="C692" s="11">
        <v>46073</v>
      </c>
      <c r="D692" t="s">
        <v>284</v>
      </c>
      <c r="E692" t="s">
        <v>70</v>
      </c>
      <c r="F692" s="4">
        <v>46073</v>
      </c>
      <c r="G692" s="4">
        <v>46077</v>
      </c>
      <c r="H692" t="s">
        <v>103</v>
      </c>
      <c r="I692" t="s">
        <v>214</v>
      </c>
      <c r="J692" t="s">
        <v>244</v>
      </c>
      <c r="K692" t="s">
        <v>73</v>
      </c>
      <c r="L692" t="s">
        <v>61</v>
      </c>
      <c r="M692" s="5">
        <v>80300</v>
      </c>
      <c r="N692" s="5">
        <v>8900</v>
      </c>
      <c r="O692" s="5">
        <v>18250</v>
      </c>
      <c r="P692" s="5">
        <v>14000</v>
      </c>
      <c r="Q692" s="13">
        <v>122250</v>
      </c>
      <c r="R692" t="s">
        <v>85</v>
      </c>
      <c r="S692" t="s">
        <v>76</v>
      </c>
      <c r="T692" s="5">
        <v>31460</v>
      </c>
      <c r="U692" s="6">
        <v>5</v>
      </c>
      <c r="V692" t="s">
        <v>77</v>
      </c>
      <c r="W692" s="4">
        <v>46090</v>
      </c>
      <c r="X692" t="s">
        <v>77</v>
      </c>
      <c r="Y692" t="s">
        <v>64</v>
      </c>
      <c r="Z692" t="s">
        <v>96</v>
      </c>
      <c r="AA692" t="str">
        <f>VLOOKUP(H692,Departments!$A:$B,2,0)</f>
        <v>Nephrology</v>
      </c>
      <c r="AB692" t="str">
        <f>VLOOKUP(J692,Diagnosis_Guide!$A:$B,2,0)</f>
        <v>Chronic Kidney Disease</v>
      </c>
      <c r="AC692" s="4" t="str">
        <f>VLOOKUP(J692,Diagnosis_Guide!$A:$C,3,0)</f>
        <v>Renal</v>
      </c>
      <c r="AD692" s="4" t="str">
        <f>VLOOKUP(R692,Insurance_Plans!$A:$C,3,0)</f>
        <v>Employer</v>
      </c>
      <c r="AE692" s="13">
        <f t="shared" si="30"/>
        <v>6112.5</v>
      </c>
      <c r="AF692" s="13">
        <f t="shared" si="31"/>
        <v>128362.5</v>
      </c>
      <c r="AG692" s="4" t="str">
        <f t="shared" si="32"/>
        <v>High</v>
      </c>
    </row>
    <row r="693" spans="1:33">
      <c r="A693" t="s">
        <v>1324</v>
      </c>
      <c r="B693" t="s">
        <v>1325</v>
      </c>
      <c r="C693" s="11">
        <v>46128</v>
      </c>
      <c r="D693" t="s">
        <v>168</v>
      </c>
      <c r="E693" t="s">
        <v>70</v>
      </c>
      <c r="F693" s="4">
        <v>46128</v>
      </c>
      <c r="G693" s="4">
        <v>46136</v>
      </c>
      <c r="H693" t="s">
        <v>57</v>
      </c>
      <c r="I693" t="s">
        <v>58</v>
      </c>
      <c r="J693" t="s">
        <v>170</v>
      </c>
      <c r="K693" t="s">
        <v>73</v>
      </c>
      <c r="L693" t="s">
        <v>94</v>
      </c>
      <c r="M693" s="5">
        <v>74500</v>
      </c>
      <c r="N693" s="5">
        <v>6650</v>
      </c>
      <c r="O693" s="5">
        <v>15200</v>
      </c>
      <c r="P693" s="5">
        <v>24000</v>
      </c>
      <c r="Q693" s="13">
        <v>122850</v>
      </c>
      <c r="R693" t="s">
        <v>95</v>
      </c>
      <c r="S693" t="s">
        <v>63</v>
      </c>
      <c r="T693" s="5">
        <v>122850</v>
      </c>
      <c r="U693" s="6">
        <v>3</v>
      </c>
      <c r="V693" t="s">
        <v>77</v>
      </c>
      <c r="W693" s="4">
        <v>46144</v>
      </c>
      <c r="Y693" t="s">
        <v>64</v>
      </c>
      <c r="Z693" t="s">
        <v>107</v>
      </c>
      <c r="AA693" t="str">
        <f>VLOOKUP(H693,Departments!$A:$B,2,0)</f>
        <v>Pulmonology</v>
      </c>
      <c r="AB693" t="str">
        <f>VLOOKUP(J693,Diagnosis_Guide!$A:$B,2,0)</f>
        <v>COPD Exacerbation</v>
      </c>
      <c r="AC693" s="4" t="str">
        <f>VLOOKUP(J693,Diagnosis_Guide!$A:$C,3,0)</f>
        <v>Respiratory</v>
      </c>
      <c r="AD693" s="4" t="str">
        <f>VLOOKUP(R693,Insurance_Plans!$A:$C,3,0)</f>
        <v>Self-Pay</v>
      </c>
      <c r="AE693" s="13">
        <f t="shared" si="30"/>
        <v>6142.5</v>
      </c>
      <c r="AF693" s="13">
        <f t="shared" si="31"/>
        <v>128992.5</v>
      </c>
      <c r="AG693" s="4" t="str">
        <f t="shared" si="32"/>
        <v>Medium</v>
      </c>
    </row>
    <row r="694" spans="1:33">
      <c r="A694" t="s">
        <v>1326</v>
      </c>
      <c r="B694" t="s">
        <v>704</v>
      </c>
      <c r="C694" s="11">
        <v>46047</v>
      </c>
      <c r="D694" t="s">
        <v>89</v>
      </c>
      <c r="E694" t="s">
        <v>70</v>
      </c>
      <c r="F694" s="4">
        <v>46047</v>
      </c>
      <c r="G694" s="4">
        <v>46054</v>
      </c>
      <c r="H694" t="s">
        <v>138</v>
      </c>
      <c r="I694" t="s">
        <v>343</v>
      </c>
      <c r="J694" t="s">
        <v>236</v>
      </c>
      <c r="K694" t="s">
        <v>124</v>
      </c>
      <c r="L694" t="s">
        <v>94</v>
      </c>
      <c r="M694" s="5">
        <v>26900</v>
      </c>
      <c r="N694" s="5">
        <v>3200</v>
      </c>
      <c r="O694" s="5">
        <v>5300</v>
      </c>
      <c r="P694" s="5">
        <v>31500</v>
      </c>
      <c r="Q694" s="13">
        <v>68700</v>
      </c>
      <c r="R694" t="s">
        <v>75</v>
      </c>
      <c r="S694" t="s">
        <v>76</v>
      </c>
      <c r="T694" s="5">
        <v>31210</v>
      </c>
      <c r="U694" s="6">
        <v>1</v>
      </c>
      <c r="V694" t="s">
        <v>77</v>
      </c>
      <c r="W694" s="4">
        <v>46075</v>
      </c>
      <c r="X694" t="s">
        <v>64</v>
      </c>
      <c r="Y694" t="s">
        <v>77</v>
      </c>
      <c r="Z694" t="s">
        <v>96</v>
      </c>
      <c r="AA694" t="str">
        <f>VLOOKUP(H694,Departments!$A:$B,2,0)</f>
        <v>Pediatrics</v>
      </c>
      <c r="AB694" t="str">
        <f>VLOOKUP(J694,Diagnosis_Guide!$A:$B,2,0)</f>
        <v>Neonatal Observation</v>
      </c>
      <c r="AC694" s="4" t="str">
        <f>VLOOKUP(J694,Diagnosis_Guide!$A:$C,3,0)</f>
        <v>Pediatric</v>
      </c>
      <c r="AD694" s="4" t="str">
        <f>VLOOKUP(R694,Insurance_Plans!$A:$C,3,0)</f>
        <v>Public</v>
      </c>
      <c r="AE694" s="13">
        <f t="shared" si="30"/>
        <v>3435</v>
      </c>
      <c r="AF694" s="13">
        <f t="shared" si="31"/>
        <v>72135</v>
      </c>
      <c r="AG694" s="4" t="str">
        <f t="shared" si="32"/>
        <v>Low</v>
      </c>
    </row>
    <row r="695" spans="1:33">
      <c r="A695" t="s">
        <v>1327</v>
      </c>
      <c r="B695" t="s">
        <v>427</v>
      </c>
      <c r="C695" s="11">
        <v>46162</v>
      </c>
      <c r="D695" t="s">
        <v>298</v>
      </c>
      <c r="E695" t="s">
        <v>70</v>
      </c>
      <c r="F695" s="4">
        <v>46163</v>
      </c>
      <c r="G695" s="4">
        <v>46168</v>
      </c>
      <c r="H695" t="s">
        <v>103</v>
      </c>
      <c r="I695" t="s">
        <v>412</v>
      </c>
      <c r="J695" t="s">
        <v>244</v>
      </c>
      <c r="K695" t="s">
        <v>73</v>
      </c>
      <c r="L695" t="s">
        <v>94</v>
      </c>
      <c r="M695" s="5">
        <v>76100</v>
      </c>
      <c r="N695" s="5">
        <v>7900</v>
      </c>
      <c r="O695" s="5">
        <v>11850</v>
      </c>
      <c r="P695" s="5">
        <v>30000</v>
      </c>
      <c r="Q695" s="13">
        <v>127050</v>
      </c>
      <c r="R695" t="s">
        <v>85</v>
      </c>
      <c r="S695" t="s">
        <v>76</v>
      </c>
      <c r="T695" s="5">
        <v>32660</v>
      </c>
      <c r="U695" s="6">
        <v>4</v>
      </c>
      <c r="V695" t="s">
        <v>77</v>
      </c>
      <c r="W695" s="4">
        <v>46186</v>
      </c>
      <c r="X695" t="s">
        <v>64</v>
      </c>
      <c r="Y695" t="s">
        <v>64</v>
      </c>
      <c r="Z695" t="s">
        <v>96</v>
      </c>
      <c r="AA695" t="str">
        <f>VLOOKUP(H695,Departments!$A:$B,2,0)</f>
        <v>Nephrology</v>
      </c>
      <c r="AB695" t="str">
        <f>VLOOKUP(J695,Diagnosis_Guide!$A:$B,2,0)</f>
        <v>Chronic Kidney Disease</v>
      </c>
      <c r="AC695" s="4" t="str">
        <f>VLOOKUP(J695,Diagnosis_Guide!$A:$C,3,0)</f>
        <v>Renal</v>
      </c>
      <c r="AD695" s="4" t="str">
        <f>VLOOKUP(R695,Insurance_Plans!$A:$C,3,0)</f>
        <v>Employer</v>
      </c>
      <c r="AE695" s="13">
        <f t="shared" si="30"/>
        <v>6352.5</v>
      </c>
      <c r="AF695" s="13">
        <f t="shared" si="31"/>
        <v>133402.5</v>
      </c>
      <c r="AG695" s="4" t="str">
        <f t="shared" si="32"/>
        <v>High</v>
      </c>
    </row>
    <row r="696" spans="1:33">
      <c r="A696" t="s">
        <v>1328</v>
      </c>
      <c r="B696" t="s">
        <v>1223</v>
      </c>
      <c r="C696" s="11">
        <v>46075</v>
      </c>
      <c r="D696" t="s">
        <v>127</v>
      </c>
      <c r="E696" t="s">
        <v>70</v>
      </c>
      <c r="F696" s="4">
        <v>46075</v>
      </c>
      <c r="G696" s="4">
        <v>46075</v>
      </c>
      <c r="H696" t="s">
        <v>111</v>
      </c>
      <c r="I696" t="s">
        <v>222</v>
      </c>
      <c r="J696" t="s">
        <v>117</v>
      </c>
      <c r="K696" t="s">
        <v>60</v>
      </c>
      <c r="L696" t="s">
        <v>61</v>
      </c>
      <c r="M696" s="5">
        <v>5800</v>
      </c>
      <c r="N696" s="5">
        <v>600</v>
      </c>
      <c r="O696" s="5">
        <v>600</v>
      </c>
      <c r="P696" s="5">
        <v>0</v>
      </c>
      <c r="Q696" s="13">
        <v>8000</v>
      </c>
      <c r="R696" t="s">
        <v>62</v>
      </c>
      <c r="S696" t="s">
        <v>86</v>
      </c>
      <c r="T696" s="5">
        <v>2800</v>
      </c>
      <c r="U696" s="6">
        <v>5</v>
      </c>
      <c r="V696" t="s">
        <v>64</v>
      </c>
      <c r="W696" s="4"/>
      <c r="X696" t="s">
        <v>65</v>
      </c>
      <c r="Y696" t="s">
        <v>64</v>
      </c>
      <c r="Z696" t="s">
        <v>78</v>
      </c>
      <c r="AA696" t="str">
        <f>VLOOKUP(H696,Departments!$A:$B,2,0)</f>
        <v>General Medicine</v>
      </c>
      <c r="AB696" t="str">
        <f>VLOOKUP(J696,Diagnosis_Guide!$A:$B,2,0)</f>
        <v>Fever Investigation</v>
      </c>
      <c r="AC696" s="4" t="str">
        <f>VLOOKUP(J696,Diagnosis_Guide!$A:$C,3,0)</f>
        <v>Infectious/General</v>
      </c>
      <c r="AD696" s="4" t="str">
        <f>VLOOKUP(R696,Insurance_Plans!$A:$C,3,0)</f>
        <v>Public</v>
      </c>
      <c r="AE696" s="13">
        <f t="shared" si="30"/>
        <v>400</v>
      </c>
      <c r="AF696" s="13">
        <f t="shared" si="31"/>
        <v>8400</v>
      </c>
      <c r="AG696" s="4" t="str">
        <f t="shared" si="32"/>
        <v>High</v>
      </c>
    </row>
    <row r="697" spans="1:33">
      <c r="A697" t="s">
        <v>1329</v>
      </c>
      <c r="B697" t="s">
        <v>1330</v>
      </c>
      <c r="C697" s="11">
        <v>46053</v>
      </c>
      <c r="D697" t="s">
        <v>173</v>
      </c>
      <c r="E697" t="s">
        <v>70</v>
      </c>
      <c r="F697" s="4">
        <v>46053</v>
      </c>
      <c r="G697" s="4">
        <v>46060</v>
      </c>
      <c r="H697" t="s">
        <v>90</v>
      </c>
      <c r="I697" t="s">
        <v>299</v>
      </c>
      <c r="J697" t="s">
        <v>92</v>
      </c>
      <c r="K697" t="s">
        <v>124</v>
      </c>
      <c r="L697" t="s">
        <v>94</v>
      </c>
      <c r="M697" s="5">
        <v>58300</v>
      </c>
      <c r="N697" s="5">
        <v>6850</v>
      </c>
      <c r="O697" s="5">
        <v>6650</v>
      </c>
      <c r="P697" s="5">
        <v>42000</v>
      </c>
      <c r="Q697" s="13">
        <v>115300</v>
      </c>
      <c r="R697" t="s">
        <v>106</v>
      </c>
      <c r="S697" t="s">
        <v>76</v>
      </c>
      <c r="T697" s="5">
        <v>41060</v>
      </c>
      <c r="U697" s="6">
        <v>2</v>
      </c>
      <c r="V697" t="s">
        <v>77</v>
      </c>
      <c r="W697" s="4">
        <v>46069</v>
      </c>
      <c r="X697" t="s">
        <v>64</v>
      </c>
      <c r="Y697" t="s">
        <v>64</v>
      </c>
      <c r="Z697" t="s">
        <v>78</v>
      </c>
      <c r="AA697" t="str">
        <f>VLOOKUP(H697,Departments!$A:$B,2,0)</f>
        <v>Cardiology</v>
      </c>
      <c r="AB697" t="str">
        <f>VLOOKUP(J697,Diagnosis_Guide!$A:$B,2,0)</f>
        <v>Heart Failure</v>
      </c>
      <c r="AC697" s="4" t="str">
        <f>VLOOKUP(J697,Diagnosis_Guide!$A:$C,3,0)</f>
        <v>Cardiovascular</v>
      </c>
      <c r="AD697" s="4" t="str">
        <f>VLOOKUP(R697,Insurance_Plans!$A:$C,3,0)</f>
        <v>Private</v>
      </c>
      <c r="AE697" s="13">
        <f t="shared" si="30"/>
        <v>5765</v>
      </c>
      <c r="AF697" s="13">
        <f t="shared" si="31"/>
        <v>121065</v>
      </c>
      <c r="AG697" s="4" t="str">
        <f t="shared" si="32"/>
        <v>Low</v>
      </c>
    </row>
    <row r="698" spans="1:33">
      <c r="A698" t="s">
        <v>1331</v>
      </c>
      <c r="B698" t="s">
        <v>1332</v>
      </c>
      <c r="C698" s="11">
        <v>46080</v>
      </c>
      <c r="D698" t="s">
        <v>242</v>
      </c>
      <c r="E698" t="s">
        <v>70</v>
      </c>
      <c r="F698" s="4">
        <v>46080</v>
      </c>
      <c r="G698" s="4">
        <v>46083</v>
      </c>
      <c r="H698" t="s">
        <v>90</v>
      </c>
      <c r="I698" t="s">
        <v>162</v>
      </c>
      <c r="J698" t="s">
        <v>129</v>
      </c>
      <c r="K698" t="s">
        <v>73</v>
      </c>
      <c r="L698" t="s">
        <v>146</v>
      </c>
      <c r="M698" s="5">
        <v>36500</v>
      </c>
      <c r="N698" s="5">
        <v>5550</v>
      </c>
      <c r="O698" s="5">
        <v>8900</v>
      </c>
      <c r="P698" s="5">
        <v>7500</v>
      </c>
      <c r="Q698" s="13">
        <v>59650</v>
      </c>
      <c r="R698" t="s">
        <v>95</v>
      </c>
      <c r="S698" t="s">
        <v>63</v>
      </c>
      <c r="T698" s="5">
        <v>59650</v>
      </c>
      <c r="U698" s="6">
        <v>3</v>
      </c>
      <c r="V698" t="s">
        <v>77</v>
      </c>
      <c r="W698" s="4">
        <v>46100</v>
      </c>
      <c r="X698" t="s">
        <v>64</v>
      </c>
      <c r="Y698" t="s">
        <v>64</v>
      </c>
      <c r="Z698" t="s">
        <v>107</v>
      </c>
      <c r="AA698" t="str">
        <f>VLOOKUP(H698,Departments!$A:$B,2,0)</f>
        <v>Cardiology</v>
      </c>
      <c r="AB698" t="str">
        <f>VLOOKUP(J698,Diagnosis_Guide!$A:$B,2,0)</f>
        <v>Hypertension Crisis</v>
      </c>
      <c r="AC698" s="4" t="str">
        <f>VLOOKUP(J698,Diagnosis_Guide!$A:$C,3,0)</f>
        <v>Cardiovascular</v>
      </c>
      <c r="AD698" s="4" t="str">
        <f>VLOOKUP(R698,Insurance_Plans!$A:$C,3,0)</f>
        <v>Self-Pay</v>
      </c>
      <c r="AE698" s="13">
        <f t="shared" si="30"/>
        <v>2982.5</v>
      </c>
      <c r="AF698" s="13">
        <f t="shared" si="31"/>
        <v>62632.5</v>
      </c>
      <c r="AG698" s="4" t="str">
        <f t="shared" si="32"/>
        <v>Medium</v>
      </c>
    </row>
    <row r="699" spans="1:33">
      <c r="A699" t="s">
        <v>1333</v>
      </c>
      <c r="B699" t="s">
        <v>1200</v>
      </c>
      <c r="C699" s="11">
        <v>46170</v>
      </c>
      <c r="D699" t="s">
        <v>55</v>
      </c>
      <c r="E699" t="s">
        <v>56</v>
      </c>
      <c r="F699" s="4"/>
      <c r="G699" s="4"/>
      <c r="H699" t="s">
        <v>138</v>
      </c>
      <c r="I699" t="s">
        <v>260</v>
      </c>
      <c r="J699" t="s">
        <v>140</v>
      </c>
      <c r="K699" t="s">
        <v>60</v>
      </c>
      <c r="L699" t="s">
        <v>74</v>
      </c>
      <c r="M699" s="5"/>
      <c r="N699" s="5"/>
      <c r="O699" s="5"/>
      <c r="P699" s="5"/>
      <c r="R699" t="s">
        <v>134</v>
      </c>
      <c r="S699" t="s">
        <v>63</v>
      </c>
      <c r="T699" s="5"/>
      <c r="U699" s="6"/>
      <c r="V699" t="s">
        <v>64</v>
      </c>
      <c r="W699" s="4"/>
      <c r="X699" t="s">
        <v>65</v>
      </c>
      <c r="Z699" t="s">
        <v>66</v>
      </c>
      <c r="AA699" t="str">
        <f>VLOOKUP(H699,Departments!$A:$B,2,0)</f>
        <v>Pediatrics</v>
      </c>
      <c r="AB699" t="str">
        <f>VLOOKUP(J699,Diagnosis_Guide!$A:$B,2,0)</f>
        <v>Pediatric Asthma</v>
      </c>
      <c r="AC699" s="4" t="str">
        <f>VLOOKUP(J699,Diagnosis_Guide!$A:$C,3,0)</f>
        <v>Pediatric</v>
      </c>
      <c r="AD699" s="4" t="str">
        <f>VLOOKUP(R699,Insurance_Plans!$A:$C,3,0)</f>
        <v>Community</v>
      </c>
      <c r="AE699" s="13" t="str">
        <f t="shared" si="30"/>
        <v/>
      </c>
      <c r="AF699" s="13" t="str">
        <f t="shared" si="31"/>
        <v/>
      </c>
      <c r="AG699" s="4" t="str">
        <f t="shared" si="32"/>
        <v>Not Available</v>
      </c>
    </row>
    <row r="700" spans="1:33">
      <c r="A700" t="s">
        <v>1334</v>
      </c>
      <c r="B700" t="s">
        <v>1335</v>
      </c>
      <c r="C700" s="11">
        <v>46170</v>
      </c>
      <c r="D700" t="s">
        <v>439</v>
      </c>
      <c r="E700" t="s">
        <v>70</v>
      </c>
      <c r="F700" s="4">
        <v>46171</v>
      </c>
      <c r="G700" s="4">
        <v>46178</v>
      </c>
      <c r="H700" t="s">
        <v>121</v>
      </c>
      <c r="I700" t="s">
        <v>251</v>
      </c>
      <c r="J700" t="s">
        <v>123</v>
      </c>
      <c r="K700" t="s">
        <v>93</v>
      </c>
      <c r="L700" t="s">
        <v>61</v>
      </c>
      <c r="M700" s="5">
        <v>36800</v>
      </c>
      <c r="N700" s="5">
        <v>5000</v>
      </c>
      <c r="O700" s="5">
        <v>6150</v>
      </c>
      <c r="P700" s="5">
        <v>21000</v>
      </c>
      <c r="Q700" s="13">
        <v>70950</v>
      </c>
      <c r="R700" t="s">
        <v>62</v>
      </c>
      <c r="S700" t="s">
        <v>76</v>
      </c>
      <c r="T700" s="5">
        <v>21690</v>
      </c>
      <c r="U700" s="6">
        <v>1</v>
      </c>
      <c r="V700" t="s">
        <v>77</v>
      </c>
      <c r="W700" s="4">
        <v>46199</v>
      </c>
      <c r="X700" t="s">
        <v>64</v>
      </c>
      <c r="Y700" t="s">
        <v>64</v>
      </c>
      <c r="Z700" t="s">
        <v>96</v>
      </c>
      <c r="AA700" t="str">
        <f>VLOOKUP(H700,Departments!$A:$B,2,0)</f>
        <v>Neurology</v>
      </c>
      <c r="AB700" t="str">
        <f>VLOOKUP(J700,Diagnosis_Guide!$A:$B,2,0)</f>
        <v>Seizure Episode</v>
      </c>
      <c r="AC700" s="4" t="str">
        <f>VLOOKUP(J700,Diagnosis_Guide!$A:$C,3,0)</f>
        <v>Neurological</v>
      </c>
      <c r="AD700" s="4" t="str">
        <f>VLOOKUP(R700,Insurance_Plans!$A:$C,3,0)</f>
        <v>Public</v>
      </c>
      <c r="AE700" s="13">
        <f t="shared" si="30"/>
        <v>3547.5</v>
      </c>
      <c r="AF700" s="13">
        <f t="shared" si="31"/>
        <v>74497.5</v>
      </c>
      <c r="AG700" s="4" t="str">
        <f t="shared" si="32"/>
        <v>Low</v>
      </c>
    </row>
    <row r="701" spans="1:33">
      <c r="A701" t="s">
        <v>1336</v>
      </c>
      <c r="B701" t="s">
        <v>1337</v>
      </c>
      <c r="C701" s="11">
        <v>46132</v>
      </c>
      <c r="D701" t="s">
        <v>206</v>
      </c>
      <c r="E701" t="s">
        <v>70</v>
      </c>
      <c r="F701" s="4">
        <v>46132</v>
      </c>
      <c r="G701" s="4">
        <v>46135</v>
      </c>
      <c r="H701" t="s">
        <v>201</v>
      </c>
      <c r="I701" t="s">
        <v>421</v>
      </c>
      <c r="J701" t="s">
        <v>203</v>
      </c>
      <c r="K701" t="s">
        <v>124</v>
      </c>
      <c r="L701" t="s">
        <v>61</v>
      </c>
      <c r="M701" s="5">
        <v>51100</v>
      </c>
      <c r="N701" s="5">
        <v>4400</v>
      </c>
      <c r="O701" s="5">
        <v>10800</v>
      </c>
      <c r="P701" s="5">
        <v>7500</v>
      </c>
      <c r="Q701" s="13">
        <v>74800</v>
      </c>
      <c r="R701" t="s">
        <v>75</v>
      </c>
      <c r="S701" t="s">
        <v>76</v>
      </c>
      <c r="T701" s="5">
        <v>33960</v>
      </c>
      <c r="U701" s="6">
        <v>4</v>
      </c>
      <c r="V701" t="s">
        <v>77</v>
      </c>
      <c r="W701" s="4">
        <v>46147</v>
      </c>
      <c r="X701" t="s">
        <v>77</v>
      </c>
      <c r="Y701" t="s">
        <v>64</v>
      </c>
      <c r="Z701" t="s">
        <v>78</v>
      </c>
      <c r="AA701" t="str">
        <f>VLOOKUP(H701,Departments!$A:$B,2,0)</f>
        <v>Emergency</v>
      </c>
      <c r="AB701" t="str">
        <f>VLOOKUP(J701,Diagnosis_Guide!$A:$B,2,0)</f>
        <v>Trauma Observation</v>
      </c>
      <c r="AC701" s="4" t="str">
        <f>VLOOKUP(J701,Diagnosis_Guide!$A:$C,3,0)</f>
        <v>Emergency</v>
      </c>
      <c r="AD701" s="4" t="str">
        <f>VLOOKUP(R701,Insurance_Plans!$A:$C,3,0)</f>
        <v>Public</v>
      </c>
      <c r="AE701" s="13">
        <f t="shared" si="30"/>
        <v>3740</v>
      </c>
      <c r="AF701" s="13">
        <f t="shared" si="31"/>
        <v>78540</v>
      </c>
      <c r="AG701" s="4" t="str">
        <f t="shared" si="32"/>
        <v>High</v>
      </c>
    </row>
    <row r="702" spans="1:33">
      <c r="A702" t="s">
        <v>1338</v>
      </c>
      <c r="B702" t="s">
        <v>1141</v>
      </c>
      <c r="C702" s="11">
        <v>46123</v>
      </c>
      <c r="D702" t="s">
        <v>225</v>
      </c>
      <c r="E702" t="s">
        <v>70</v>
      </c>
      <c r="F702" s="4">
        <v>46124</v>
      </c>
      <c r="G702" s="4">
        <v>46127</v>
      </c>
      <c r="H702" t="s">
        <v>57</v>
      </c>
      <c r="I702" t="s">
        <v>71</v>
      </c>
      <c r="J702" t="s">
        <v>59</v>
      </c>
      <c r="K702" t="s">
        <v>73</v>
      </c>
      <c r="L702" t="s">
        <v>61</v>
      </c>
      <c r="M702" s="5">
        <v>40700</v>
      </c>
      <c r="N702" s="5">
        <v>4550</v>
      </c>
      <c r="O702" s="5">
        <v>9000</v>
      </c>
      <c r="P702" s="5">
        <v>18000</v>
      </c>
      <c r="Q702" s="13">
        <v>74050</v>
      </c>
      <c r="R702" t="s">
        <v>134</v>
      </c>
      <c r="S702" t="s">
        <v>76</v>
      </c>
      <c r="T702" s="5">
        <v>40930</v>
      </c>
      <c r="U702" s="6">
        <v>3</v>
      </c>
      <c r="V702" t="s">
        <v>77</v>
      </c>
      <c r="W702" s="4">
        <v>46142</v>
      </c>
      <c r="X702" t="s">
        <v>64</v>
      </c>
      <c r="Y702" t="s">
        <v>64</v>
      </c>
      <c r="Z702" t="s">
        <v>96</v>
      </c>
      <c r="AA702" t="str">
        <f>VLOOKUP(H702,Departments!$A:$B,2,0)</f>
        <v>Pulmonology</v>
      </c>
      <c r="AB702" t="str">
        <f>VLOOKUP(J702,Diagnosis_Guide!$A:$B,2,0)</f>
        <v>Pneumonia</v>
      </c>
      <c r="AC702" s="4" t="str">
        <f>VLOOKUP(J702,Diagnosis_Guide!$A:$C,3,0)</f>
        <v>Respiratory</v>
      </c>
      <c r="AD702" s="4" t="str">
        <f>VLOOKUP(R702,Insurance_Plans!$A:$C,3,0)</f>
        <v>Community</v>
      </c>
      <c r="AE702" s="13">
        <f t="shared" si="30"/>
        <v>3702.5</v>
      </c>
      <c r="AF702" s="13">
        <f t="shared" si="31"/>
        <v>77752.5</v>
      </c>
      <c r="AG702" s="4" t="str">
        <f t="shared" si="32"/>
        <v>Medium</v>
      </c>
    </row>
    <row r="703" spans="1:33">
      <c r="A703" t="s">
        <v>1339</v>
      </c>
      <c r="B703" t="s">
        <v>783</v>
      </c>
      <c r="C703" s="11">
        <v>46122</v>
      </c>
      <c r="D703" t="s">
        <v>149</v>
      </c>
      <c r="E703" t="s">
        <v>70</v>
      </c>
      <c r="F703" s="4">
        <v>46122</v>
      </c>
      <c r="G703" s="4">
        <v>46123</v>
      </c>
      <c r="H703" t="s">
        <v>150</v>
      </c>
      <c r="I703" t="s">
        <v>239</v>
      </c>
      <c r="J703" t="s">
        <v>152</v>
      </c>
      <c r="K703" t="s">
        <v>60</v>
      </c>
      <c r="L703" t="s">
        <v>94</v>
      </c>
      <c r="M703" s="5">
        <v>22700</v>
      </c>
      <c r="N703" s="5">
        <v>2750</v>
      </c>
      <c r="O703" s="5">
        <v>5200</v>
      </c>
      <c r="P703" s="5">
        <v>6000</v>
      </c>
      <c r="Q703" s="13">
        <v>38450</v>
      </c>
      <c r="R703" t="s">
        <v>95</v>
      </c>
      <c r="S703" t="s">
        <v>63</v>
      </c>
      <c r="T703" s="5">
        <v>38450</v>
      </c>
      <c r="U703" s="6">
        <v>5</v>
      </c>
      <c r="V703" t="s">
        <v>64</v>
      </c>
      <c r="W703" s="4"/>
      <c r="X703" t="s">
        <v>65</v>
      </c>
      <c r="Y703" t="s">
        <v>64</v>
      </c>
      <c r="Z703" t="s">
        <v>96</v>
      </c>
      <c r="AA703" t="str">
        <f>VLOOKUP(H703,Departments!$A:$B,2,0)</f>
        <v>Obstetrics</v>
      </c>
      <c r="AB703" t="str">
        <f>VLOOKUP(J703,Diagnosis_Guide!$A:$B,2,0)</f>
        <v>Antenatal Complication</v>
      </c>
      <c r="AC703" s="4" t="str">
        <f>VLOOKUP(J703,Diagnosis_Guide!$A:$C,3,0)</f>
        <v>Maternal Health</v>
      </c>
      <c r="AD703" s="4" t="str">
        <f>VLOOKUP(R703,Insurance_Plans!$A:$C,3,0)</f>
        <v>Self-Pay</v>
      </c>
      <c r="AE703" s="13">
        <f t="shared" si="30"/>
        <v>1922.5</v>
      </c>
      <c r="AF703" s="13">
        <f t="shared" si="31"/>
        <v>40372.5</v>
      </c>
      <c r="AG703" s="4" t="str">
        <f t="shared" si="32"/>
        <v>High</v>
      </c>
    </row>
    <row r="704" spans="1:33">
      <c r="A704" t="s">
        <v>1340</v>
      </c>
      <c r="B704" t="s">
        <v>443</v>
      </c>
      <c r="C704" s="11">
        <v>46058</v>
      </c>
      <c r="D704" t="s">
        <v>55</v>
      </c>
      <c r="E704" t="s">
        <v>70</v>
      </c>
      <c r="F704" s="4">
        <v>46058</v>
      </c>
      <c r="G704" s="4">
        <v>46058</v>
      </c>
      <c r="H704" t="s">
        <v>121</v>
      </c>
      <c r="I704" t="s">
        <v>174</v>
      </c>
      <c r="J704" t="s">
        <v>123</v>
      </c>
      <c r="K704" t="s">
        <v>60</v>
      </c>
      <c r="L704" t="s">
        <v>74</v>
      </c>
      <c r="M704" s="5">
        <v>34300</v>
      </c>
      <c r="N704" s="5">
        <v>6150</v>
      </c>
      <c r="O704" s="5">
        <v>5300</v>
      </c>
      <c r="P704" s="5">
        <v>0</v>
      </c>
      <c r="Q704" s="13">
        <v>47550</v>
      </c>
      <c r="R704" t="s">
        <v>106</v>
      </c>
      <c r="S704" t="s">
        <v>76</v>
      </c>
      <c r="T704" s="5">
        <v>17340</v>
      </c>
      <c r="U704" s="6">
        <v>4</v>
      </c>
      <c r="V704" t="s">
        <v>64</v>
      </c>
      <c r="W704" s="4"/>
      <c r="X704" t="s">
        <v>65</v>
      </c>
      <c r="Y704" t="s">
        <v>77</v>
      </c>
      <c r="Z704" t="s">
        <v>78</v>
      </c>
      <c r="AA704" t="str">
        <f>VLOOKUP(H704,Departments!$A:$B,2,0)</f>
        <v>Neurology</v>
      </c>
      <c r="AB704" t="str">
        <f>VLOOKUP(J704,Diagnosis_Guide!$A:$B,2,0)</f>
        <v>Seizure Episode</v>
      </c>
      <c r="AC704" s="4" t="str">
        <f>VLOOKUP(J704,Diagnosis_Guide!$A:$C,3,0)</f>
        <v>Neurological</v>
      </c>
      <c r="AD704" s="4" t="str">
        <f>VLOOKUP(R704,Insurance_Plans!$A:$C,3,0)</f>
        <v>Private</v>
      </c>
      <c r="AE704" s="13">
        <f t="shared" si="30"/>
        <v>2377.5</v>
      </c>
      <c r="AF704" s="13">
        <f t="shared" si="31"/>
        <v>49927.5</v>
      </c>
      <c r="AG704" s="4" t="str">
        <f t="shared" si="32"/>
        <v>High</v>
      </c>
    </row>
    <row r="705" spans="1:33">
      <c r="A705" t="s">
        <v>1341</v>
      </c>
      <c r="B705" t="s">
        <v>258</v>
      </c>
      <c r="C705" s="11">
        <v>46135</v>
      </c>
      <c r="D705" t="s">
        <v>173</v>
      </c>
      <c r="E705" t="s">
        <v>70</v>
      </c>
      <c r="F705" s="4">
        <v>46135</v>
      </c>
      <c r="G705" s="4">
        <v>46135</v>
      </c>
      <c r="H705" t="s">
        <v>90</v>
      </c>
      <c r="I705" t="s">
        <v>133</v>
      </c>
      <c r="J705" t="s">
        <v>92</v>
      </c>
      <c r="K705" t="s">
        <v>60</v>
      </c>
      <c r="L705" t="s">
        <v>74</v>
      </c>
      <c r="M705" s="5">
        <v>52000</v>
      </c>
      <c r="N705" s="5">
        <v>4450</v>
      </c>
      <c r="O705" s="5">
        <v>8150</v>
      </c>
      <c r="P705" s="5">
        <v>0</v>
      </c>
      <c r="Q705" s="13">
        <v>66600</v>
      </c>
      <c r="R705" t="s">
        <v>106</v>
      </c>
      <c r="S705" t="s">
        <v>76</v>
      </c>
      <c r="T705" s="5">
        <v>24010</v>
      </c>
      <c r="U705" s="6">
        <v>4</v>
      </c>
      <c r="V705" t="s">
        <v>77</v>
      </c>
      <c r="W705" s="4">
        <v>46152</v>
      </c>
      <c r="X705" t="s">
        <v>64</v>
      </c>
      <c r="Y705" t="s">
        <v>64</v>
      </c>
      <c r="Z705" t="s">
        <v>96</v>
      </c>
      <c r="AA705" t="str">
        <f>VLOOKUP(H705,Departments!$A:$B,2,0)</f>
        <v>Cardiology</v>
      </c>
      <c r="AB705" t="str">
        <f>VLOOKUP(J705,Diagnosis_Guide!$A:$B,2,0)</f>
        <v>Heart Failure</v>
      </c>
      <c r="AC705" s="4" t="str">
        <f>VLOOKUP(J705,Diagnosis_Guide!$A:$C,3,0)</f>
        <v>Cardiovascular</v>
      </c>
      <c r="AD705" s="4" t="str">
        <f>VLOOKUP(R705,Insurance_Plans!$A:$C,3,0)</f>
        <v>Private</v>
      </c>
      <c r="AE705" s="13">
        <f t="shared" si="30"/>
        <v>3330</v>
      </c>
      <c r="AF705" s="13">
        <f t="shared" si="31"/>
        <v>69930</v>
      </c>
      <c r="AG705" s="4" t="str">
        <f t="shared" si="32"/>
        <v>High</v>
      </c>
    </row>
    <row r="706" spans="1:33">
      <c r="A706" t="s">
        <v>1342</v>
      </c>
      <c r="B706" t="s">
        <v>1343</v>
      </c>
      <c r="C706" s="11">
        <v>46124</v>
      </c>
      <c r="D706" t="s">
        <v>250</v>
      </c>
      <c r="E706" t="s">
        <v>314</v>
      </c>
      <c r="F706" s="4"/>
      <c r="G706" s="4"/>
      <c r="H706" t="s">
        <v>103</v>
      </c>
      <c r="I706" t="s">
        <v>243</v>
      </c>
      <c r="J706" t="s">
        <v>105</v>
      </c>
      <c r="K706" t="s">
        <v>60</v>
      </c>
      <c r="L706" t="s">
        <v>74</v>
      </c>
      <c r="M706" s="5"/>
      <c r="N706" s="5"/>
      <c r="O706" s="5"/>
      <c r="P706" s="5"/>
      <c r="R706" t="s">
        <v>75</v>
      </c>
      <c r="S706" t="s">
        <v>63</v>
      </c>
      <c r="T706" s="5"/>
      <c r="U706" s="6"/>
      <c r="V706" t="s">
        <v>64</v>
      </c>
      <c r="W706" s="4"/>
      <c r="X706" t="s">
        <v>65</v>
      </c>
      <c r="Z706" t="s">
        <v>66</v>
      </c>
      <c r="AA706" t="str">
        <f>VLOOKUP(H706,Departments!$A:$B,2,0)</f>
        <v>Nephrology</v>
      </c>
      <c r="AB706" t="str">
        <f>VLOOKUP(J706,Diagnosis_Guide!$A:$B,2,0)</f>
        <v>Dialysis Complication</v>
      </c>
      <c r="AC706" s="4" t="str">
        <f>VLOOKUP(J706,Diagnosis_Guide!$A:$C,3,0)</f>
        <v>Renal</v>
      </c>
      <c r="AD706" s="4" t="str">
        <f>VLOOKUP(R706,Insurance_Plans!$A:$C,3,0)</f>
        <v>Public</v>
      </c>
      <c r="AE706" s="13" t="str">
        <f t="shared" ref="AE706:AE769" si="33">IF(Q706="","",Q706*0.05)</f>
        <v/>
      </c>
      <c r="AF706" s="13" t="str">
        <f t="shared" ref="AF706:AF769" si="34">IF(Q706="","",Q706+AE706)</f>
        <v/>
      </c>
      <c r="AG706" s="4" t="str">
        <f t="shared" ref="AG706:AG769" si="35">IF(U706="","Not Available",IF(U706&gt;=4,"High",IF(U706=3,"Medium","Low")))</f>
        <v>Not Available</v>
      </c>
    </row>
    <row r="707" spans="1:33">
      <c r="A707" t="s">
        <v>1344</v>
      </c>
      <c r="B707" t="s">
        <v>1345</v>
      </c>
      <c r="C707" s="11">
        <v>46149</v>
      </c>
      <c r="D707" t="s">
        <v>55</v>
      </c>
      <c r="E707" t="s">
        <v>70</v>
      </c>
      <c r="F707" s="4">
        <v>46150</v>
      </c>
      <c r="G707" s="4">
        <v>46161</v>
      </c>
      <c r="H707" t="s">
        <v>82</v>
      </c>
      <c r="I707" t="s">
        <v>331</v>
      </c>
      <c r="J707" t="s">
        <v>156</v>
      </c>
      <c r="K707" t="s">
        <v>93</v>
      </c>
      <c r="L707" t="s">
        <v>74</v>
      </c>
      <c r="M707" s="5">
        <v>85600</v>
      </c>
      <c r="N707" s="5">
        <v>14100</v>
      </c>
      <c r="O707" s="5">
        <v>18850</v>
      </c>
      <c r="P707" s="5">
        <v>27500</v>
      </c>
      <c r="Q707" s="13">
        <v>147550</v>
      </c>
      <c r="R707" t="s">
        <v>85</v>
      </c>
      <c r="S707" t="s">
        <v>76</v>
      </c>
      <c r="T707" s="5">
        <v>37790</v>
      </c>
      <c r="U707" s="6">
        <v>2</v>
      </c>
      <c r="V707" t="s">
        <v>77</v>
      </c>
      <c r="W707" s="4">
        <v>46178</v>
      </c>
      <c r="X707" t="s">
        <v>77</v>
      </c>
      <c r="Y707" t="s">
        <v>64</v>
      </c>
      <c r="Z707" t="s">
        <v>78</v>
      </c>
      <c r="AA707" t="str">
        <f>VLOOKUP(H707,Departments!$A:$B,2,0)</f>
        <v>Orthopedics</v>
      </c>
      <c r="AB707" t="str">
        <f>VLOOKUP(J707,Diagnosis_Guide!$A:$B,2,0)</f>
        <v>Spinal Injury</v>
      </c>
      <c r="AC707" s="4" t="str">
        <f>VLOOKUP(J707,Diagnosis_Guide!$A:$C,3,0)</f>
        <v>Musculoskeletal</v>
      </c>
      <c r="AD707" s="4" t="str">
        <f>VLOOKUP(R707,Insurance_Plans!$A:$C,3,0)</f>
        <v>Employer</v>
      </c>
      <c r="AE707" s="13">
        <f t="shared" si="33"/>
        <v>7377.5</v>
      </c>
      <c r="AF707" s="13">
        <f t="shared" si="34"/>
        <v>154927.5</v>
      </c>
      <c r="AG707" s="4" t="str">
        <f t="shared" si="35"/>
        <v>Low</v>
      </c>
    </row>
    <row r="708" spans="1:33">
      <c r="A708" t="s">
        <v>1346</v>
      </c>
      <c r="B708" t="s">
        <v>1127</v>
      </c>
      <c r="C708" s="11">
        <v>46057</v>
      </c>
      <c r="D708" t="s">
        <v>363</v>
      </c>
      <c r="E708" t="s">
        <v>70</v>
      </c>
      <c r="F708" s="4">
        <v>46057</v>
      </c>
      <c r="G708" s="4">
        <v>46058</v>
      </c>
      <c r="H708" t="s">
        <v>121</v>
      </c>
      <c r="I708" t="s">
        <v>122</v>
      </c>
      <c r="J708" t="s">
        <v>252</v>
      </c>
      <c r="K708" t="s">
        <v>60</v>
      </c>
      <c r="L708" t="s">
        <v>94</v>
      </c>
      <c r="M708" s="5">
        <v>86600</v>
      </c>
      <c r="N708" s="5">
        <v>14700</v>
      </c>
      <c r="O708" s="5">
        <v>14650</v>
      </c>
      <c r="P708" s="5">
        <v>6000</v>
      </c>
      <c r="Q708" s="13">
        <v>122950</v>
      </c>
      <c r="R708" t="s">
        <v>95</v>
      </c>
      <c r="S708" t="s">
        <v>63</v>
      </c>
      <c r="T708" s="5">
        <v>122950</v>
      </c>
      <c r="U708" s="6">
        <v>4</v>
      </c>
      <c r="V708" t="s">
        <v>77</v>
      </c>
      <c r="W708" s="4">
        <v>46069</v>
      </c>
      <c r="X708" t="s">
        <v>77</v>
      </c>
      <c r="Y708" t="s">
        <v>64</v>
      </c>
      <c r="Z708" t="s">
        <v>78</v>
      </c>
      <c r="AA708" t="str">
        <f>VLOOKUP(H708,Departments!$A:$B,2,0)</f>
        <v>Neurology</v>
      </c>
      <c r="AB708" t="str">
        <f>VLOOKUP(J708,Diagnosis_Guide!$A:$B,2,0)</f>
        <v>Stroke Assessment</v>
      </c>
      <c r="AC708" s="4" t="str">
        <f>VLOOKUP(J708,Diagnosis_Guide!$A:$C,3,0)</f>
        <v>Neurological</v>
      </c>
      <c r="AD708" s="4" t="str">
        <f>VLOOKUP(R708,Insurance_Plans!$A:$C,3,0)</f>
        <v>Self-Pay</v>
      </c>
      <c r="AE708" s="13">
        <f t="shared" si="33"/>
        <v>6147.5</v>
      </c>
      <c r="AF708" s="13">
        <f t="shared" si="34"/>
        <v>129097.5</v>
      </c>
      <c r="AG708" s="4" t="str">
        <f t="shared" si="35"/>
        <v>High</v>
      </c>
    </row>
    <row r="709" spans="1:33">
      <c r="A709" t="s">
        <v>1347</v>
      </c>
      <c r="B709" t="s">
        <v>1148</v>
      </c>
      <c r="C709" s="11">
        <v>46069</v>
      </c>
      <c r="D709" t="s">
        <v>225</v>
      </c>
      <c r="E709" t="s">
        <v>70</v>
      </c>
      <c r="F709" s="4">
        <v>46069</v>
      </c>
      <c r="G709" s="4">
        <v>46072</v>
      </c>
      <c r="H709" t="s">
        <v>90</v>
      </c>
      <c r="I709" t="s">
        <v>91</v>
      </c>
      <c r="J709" t="s">
        <v>197</v>
      </c>
      <c r="K709" t="s">
        <v>93</v>
      </c>
      <c r="L709" t="s">
        <v>61</v>
      </c>
      <c r="M709" s="5">
        <v>20600</v>
      </c>
      <c r="N709" s="5">
        <v>2250</v>
      </c>
      <c r="O709" s="5">
        <v>2700</v>
      </c>
      <c r="P709" s="5">
        <v>10500</v>
      </c>
      <c r="Q709" s="13">
        <v>37250</v>
      </c>
      <c r="R709" t="s">
        <v>141</v>
      </c>
      <c r="S709" t="s">
        <v>76</v>
      </c>
      <c r="T709" s="5">
        <v>6790</v>
      </c>
      <c r="U709" s="6"/>
      <c r="V709" t="s">
        <v>64</v>
      </c>
      <c r="W709" s="4"/>
      <c r="X709" t="s">
        <v>65</v>
      </c>
      <c r="Y709" t="s">
        <v>64</v>
      </c>
      <c r="Z709" t="s">
        <v>78</v>
      </c>
      <c r="AA709" t="str">
        <f>VLOOKUP(H709,Departments!$A:$B,2,0)</f>
        <v>Cardiology</v>
      </c>
      <c r="AB709" t="str">
        <f>VLOOKUP(J709,Diagnosis_Guide!$A:$B,2,0)</f>
        <v>Chest Pain</v>
      </c>
      <c r="AC709" s="4" t="str">
        <f>VLOOKUP(J709,Diagnosis_Guide!$A:$C,3,0)</f>
        <v>Cardiovascular</v>
      </c>
      <c r="AD709" s="4" t="str">
        <f>VLOOKUP(R709,Insurance_Plans!$A:$C,3,0)</f>
        <v>Private</v>
      </c>
      <c r="AE709" s="13">
        <f t="shared" si="33"/>
        <v>1862.5</v>
      </c>
      <c r="AF709" s="13">
        <f t="shared" si="34"/>
        <v>39112.5</v>
      </c>
      <c r="AG709" s="4" t="str">
        <f t="shared" si="35"/>
        <v>Not Available</v>
      </c>
    </row>
    <row r="710" spans="1:33">
      <c r="A710" t="s">
        <v>1348</v>
      </c>
      <c r="B710" t="s">
        <v>288</v>
      </c>
      <c r="C710" s="11">
        <v>46122</v>
      </c>
      <c r="D710" t="s">
        <v>234</v>
      </c>
      <c r="E710" t="s">
        <v>70</v>
      </c>
      <c r="F710" s="4">
        <v>46122</v>
      </c>
      <c r="G710" s="4">
        <v>46127</v>
      </c>
      <c r="H710" t="s">
        <v>150</v>
      </c>
      <c r="I710" t="s">
        <v>151</v>
      </c>
      <c r="J710" t="s">
        <v>152</v>
      </c>
      <c r="K710" t="s">
        <v>73</v>
      </c>
      <c r="L710" t="s">
        <v>94</v>
      </c>
      <c r="M710" s="5">
        <v>20300</v>
      </c>
      <c r="N710" s="5">
        <v>3550</v>
      </c>
      <c r="O710" s="5">
        <v>2400</v>
      </c>
      <c r="P710" s="5">
        <v>12500</v>
      </c>
      <c r="Q710" s="13">
        <v>41250</v>
      </c>
      <c r="R710" t="s">
        <v>95</v>
      </c>
      <c r="S710" t="s">
        <v>63</v>
      </c>
      <c r="T710" s="5">
        <v>41250</v>
      </c>
      <c r="U710" s="6">
        <v>3</v>
      </c>
      <c r="V710" t="s">
        <v>77</v>
      </c>
      <c r="W710" s="4">
        <v>46138</v>
      </c>
      <c r="X710" t="s">
        <v>64</v>
      </c>
      <c r="Y710" t="s">
        <v>64</v>
      </c>
      <c r="Z710" t="s">
        <v>107</v>
      </c>
      <c r="AA710" t="str">
        <f>VLOOKUP(H710,Departments!$A:$B,2,0)</f>
        <v>Obstetrics</v>
      </c>
      <c r="AB710" t="str">
        <f>VLOOKUP(J710,Diagnosis_Guide!$A:$B,2,0)</f>
        <v>Antenatal Complication</v>
      </c>
      <c r="AC710" s="4" t="str">
        <f>VLOOKUP(J710,Diagnosis_Guide!$A:$C,3,0)</f>
        <v>Maternal Health</v>
      </c>
      <c r="AD710" s="4" t="str">
        <f>VLOOKUP(R710,Insurance_Plans!$A:$C,3,0)</f>
        <v>Self-Pay</v>
      </c>
      <c r="AE710" s="13">
        <f t="shared" si="33"/>
        <v>2062.5</v>
      </c>
      <c r="AF710" s="13">
        <f t="shared" si="34"/>
        <v>43312.5</v>
      </c>
      <c r="AG710" s="4" t="str">
        <f t="shared" si="35"/>
        <v>Medium</v>
      </c>
    </row>
    <row r="711" spans="1:33">
      <c r="A711" t="s">
        <v>1349</v>
      </c>
      <c r="B711" t="s">
        <v>1350</v>
      </c>
      <c r="C711" s="11">
        <v>46142</v>
      </c>
      <c r="D711" t="s">
        <v>127</v>
      </c>
      <c r="E711" t="s">
        <v>56</v>
      </c>
      <c r="F711" s="4"/>
      <c r="G711" s="4"/>
      <c r="H711" t="s">
        <v>178</v>
      </c>
      <c r="I711" t="s">
        <v>622</v>
      </c>
      <c r="J711" t="s">
        <v>340</v>
      </c>
      <c r="K711" t="s">
        <v>73</v>
      </c>
      <c r="L711" t="s">
        <v>61</v>
      </c>
      <c r="M711" s="5"/>
      <c r="N711" s="5"/>
      <c r="O711" s="5"/>
      <c r="P711" s="5"/>
      <c r="R711" t="s">
        <v>85</v>
      </c>
      <c r="S711" t="s">
        <v>63</v>
      </c>
      <c r="T711" s="5"/>
      <c r="U711" s="6"/>
      <c r="V711" t="s">
        <v>64</v>
      </c>
      <c r="W711" s="4"/>
      <c r="X711" t="s">
        <v>65</v>
      </c>
      <c r="Z711" t="s">
        <v>66</v>
      </c>
      <c r="AA711" t="str">
        <f>VLOOKUP(H711,Departments!$A:$B,2,0)</f>
        <v>Surgery</v>
      </c>
      <c r="AB711" t="str">
        <f>VLOOKUP(J711,Diagnosis_Guide!$A:$B,2,0)</f>
        <v>Post-Operative Infection</v>
      </c>
      <c r="AC711" s="4" t="str">
        <f>VLOOKUP(J711,Diagnosis_Guide!$A:$C,3,0)</f>
        <v>Surgical</v>
      </c>
      <c r="AD711" s="4" t="str">
        <f>VLOOKUP(R711,Insurance_Plans!$A:$C,3,0)</f>
        <v>Employer</v>
      </c>
      <c r="AE711" s="13" t="str">
        <f t="shared" si="33"/>
        <v/>
      </c>
      <c r="AF711" s="13" t="str">
        <f t="shared" si="34"/>
        <v/>
      </c>
      <c r="AG711" s="4" t="str">
        <f t="shared" si="35"/>
        <v>Not Available</v>
      </c>
    </row>
    <row r="712" spans="1:33">
      <c r="A712" t="s">
        <v>1351</v>
      </c>
      <c r="B712" t="s">
        <v>980</v>
      </c>
      <c r="C712" s="11">
        <v>46145</v>
      </c>
      <c r="D712" t="s">
        <v>234</v>
      </c>
      <c r="E712" t="s">
        <v>70</v>
      </c>
      <c r="F712" s="4">
        <v>46145</v>
      </c>
      <c r="G712" s="4">
        <v>46148</v>
      </c>
      <c r="H712" t="s">
        <v>201</v>
      </c>
      <c r="I712" t="s">
        <v>515</v>
      </c>
      <c r="J712" t="s">
        <v>295</v>
      </c>
      <c r="K712" t="s">
        <v>124</v>
      </c>
      <c r="L712" t="s">
        <v>74</v>
      </c>
      <c r="M712" s="5">
        <v>49700</v>
      </c>
      <c r="N712" s="5">
        <v>4650</v>
      </c>
      <c r="O712" s="5">
        <v>7100</v>
      </c>
      <c r="P712" s="5">
        <v>7500</v>
      </c>
      <c r="Q712" s="13">
        <v>70150</v>
      </c>
      <c r="R712" t="s">
        <v>85</v>
      </c>
      <c r="S712" t="s">
        <v>86</v>
      </c>
      <c r="T712" s="5">
        <v>18440</v>
      </c>
      <c r="U712" s="6">
        <v>3</v>
      </c>
      <c r="V712" t="s">
        <v>77</v>
      </c>
      <c r="W712" s="4">
        <v>46155</v>
      </c>
      <c r="X712" t="s">
        <v>77</v>
      </c>
      <c r="Y712" t="s">
        <v>64</v>
      </c>
      <c r="Z712" t="s">
        <v>107</v>
      </c>
      <c r="AA712" t="str">
        <f>VLOOKUP(H712,Departments!$A:$B,2,0)</f>
        <v>Emergency</v>
      </c>
      <c r="AB712" t="str">
        <f>VLOOKUP(J712,Diagnosis_Guide!$A:$B,2,0)</f>
        <v>Accident Injury</v>
      </c>
      <c r="AC712" s="4" t="str">
        <f>VLOOKUP(J712,Diagnosis_Guide!$A:$C,3,0)</f>
        <v>Emergency</v>
      </c>
      <c r="AD712" s="4" t="str">
        <f>VLOOKUP(R712,Insurance_Plans!$A:$C,3,0)</f>
        <v>Employer</v>
      </c>
      <c r="AE712" s="13">
        <f t="shared" si="33"/>
        <v>3507.5</v>
      </c>
      <c r="AF712" s="13">
        <f t="shared" si="34"/>
        <v>73657.5</v>
      </c>
      <c r="AG712" s="4" t="str">
        <f t="shared" si="35"/>
        <v>Medium</v>
      </c>
    </row>
    <row r="713" spans="1:33">
      <c r="A713" t="s">
        <v>1352</v>
      </c>
      <c r="B713" t="s">
        <v>996</v>
      </c>
      <c r="C713" s="11">
        <v>46118</v>
      </c>
      <c r="D713" t="s">
        <v>173</v>
      </c>
      <c r="E713" t="s">
        <v>314</v>
      </c>
      <c r="F713" s="4"/>
      <c r="G713" s="4"/>
      <c r="H713" t="s">
        <v>111</v>
      </c>
      <c r="I713" t="s">
        <v>112</v>
      </c>
      <c r="J713" t="s">
        <v>117</v>
      </c>
      <c r="K713" t="s">
        <v>60</v>
      </c>
      <c r="L713" t="s">
        <v>94</v>
      </c>
      <c r="M713" s="5"/>
      <c r="N713" s="5"/>
      <c r="O713" s="5"/>
      <c r="P713" s="5"/>
      <c r="R713" t="s">
        <v>106</v>
      </c>
      <c r="S713" t="s">
        <v>63</v>
      </c>
      <c r="T713" s="5"/>
      <c r="U713" s="6"/>
      <c r="V713" t="s">
        <v>64</v>
      </c>
      <c r="W713" s="4"/>
      <c r="X713" t="s">
        <v>65</v>
      </c>
      <c r="Z713" t="s">
        <v>66</v>
      </c>
      <c r="AA713" t="str">
        <f>VLOOKUP(H713,Departments!$A:$B,2,0)</f>
        <v>General Medicine</v>
      </c>
      <c r="AB713" t="str">
        <f>VLOOKUP(J713,Diagnosis_Guide!$A:$B,2,0)</f>
        <v>Fever Investigation</v>
      </c>
      <c r="AC713" s="4" t="str">
        <f>VLOOKUP(J713,Diagnosis_Guide!$A:$C,3,0)</f>
        <v>Infectious/General</v>
      </c>
      <c r="AD713" s="4" t="str">
        <f>VLOOKUP(R713,Insurance_Plans!$A:$C,3,0)</f>
        <v>Private</v>
      </c>
      <c r="AE713" s="13" t="str">
        <f t="shared" si="33"/>
        <v/>
      </c>
      <c r="AF713" s="13" t="str">
        <f t="shared" si="34"/>
        <v/>
      </c>
      <c r="AG713" s="4" t="str">
        <f t="shared" si="35"/>
        <v>Not Available</v>
      </c>
    </row>
    <row r="714" spans="1:33">
      <c r="A714" t="s">
        <v>1353</v>
      </c>
      <c r="B714" t="s">
        <v>324</v>
      </c>
      <c r="C714" s="11">
        <v>46114</v>
      </c>
      <c r="D714" t="s">
        <v>250</v>
      </c>
      <c r="E714" t="s">
        <v>177</v>
      </c>
      <c r="F714" s="4"/>
      <c r="G714" s="4"/>
      <c r="H714" t="s">
        <v>111</v>
      </c>
      <c r="I714" t="s">
        <v>397</v>
      </c>
      <c r="J714" t="s">
        <v>113</v>
      </c>
      <c r="K714" t="s">
        <v>124</v>
      </c>
      <c r="L714" t="s">
        <v>74</v>
      </c>
      <c r="M714" s="5"/>
      <c r="N714" s="5"/>
      <c r="O714" s="5"/>
      <c r="P714" s="5"/>
      <c r="R714" t="s">
        <v>85</v>
      </c>
      <c r="S714" t="s">
        <v>63</v>
      </c>
      <c r="T714" s="5"/>
      <c r="U714" s="6"/>
      <c r="V714" t="s">
        <v>64</v>
      </c>
      <c r="W714" s="4"/>
      <c r="X714" t="s">
        <v>65</v>
      </c>
      <c r="Z714" t="s">
        <v>66</v>
      </c>
      <c r="AA714" t="str">
        <f>VLOOKUP(H714,Departments!$A:$B,2,0)</f>
        <v>General Medicine</v>
      </c>
      <c r="AB714" t="str">
        <f>VLOOKUP(J714,Diagnosis_Guide!$A:$B,2,0)</f>
        <v>Diabetes Complication</v>
      </c>
      <c r="AC714" s="4" t="str">
        <f>VLOOKUP(J714,Diagnosis_Guide!$A:$C,3,0)</f>
        <v>Endocrine/General</v>
      </c>
      <c r="AD714" s="4" t="str">
        <f>VLOOKUP(R714,Insurance_Plans!$A:$C,3,0)</f>
        <v>Employer</v>
      </c>
      <c r="AE714" s="13" t="str">
        <f t="shared" si="33"/>
        <v/>
      </c>
      <c r="AF714" s="13" t="str">
        <f t="shared" si="34"/>
        <v/>
      </c>
      <c r="AG714" s="4" t="str">
        <f t="shared" si="35"/>
        <v>Not Available</v>
      </c>
    </row>
    <row r="715" spans="1:33">
      <c r="A715" t="s">
        <v>1354</v>
      </c>
      <c r="B715" t="s">
        <v>246</v>
      </c>
      <c r="C715" s="11">
        <v>46076</v>
      </c>
      <c r="D715" t="s">
        <v>330</v>
      </c>
      <c r="E715" t="s">
        <v>177</v>
      </c>
      <c r="F715" s="4"/>
      <c r="G715" s="4"/>
      <c r="H715" t="s">
        <v>111</v>
      </c>
      <c r="I715" t="s">
        <v>222</v>
      </c>
      <c r="J715" t="s">
        <v>113</v>
      </c>
      <c r="K715" t="s">
        <v>124</v>
      </c>
      <c r="L715" t="s">
        <v>94</v>
      </c>
      <c r="M715" s="5"/>
      <c r="N715" s="5"/>
      <c r="O715" s="5"/>
      <c r="P715" s="5"/>
      <c r="R715" t="s">
        <v>85</v>
      </c>
      <c r="S715" t="s">
        <v>63</v>
      </c>
      <c r="T715" s="5"/>
      <c r="U715" s="6"/>
      <c r="V715" t="s">
        <v>64</v>
      </c>
      <c r="W715" s="4"/>
      <c r="X715" t="s">
        <v>65</v>
      </c>
      <c r="Z715" t="s">
        <v>66</v>
      </c>
      <c r="AA715" t="str">
        <f>VLOOKUP(H715,Departments!$A:$B,2,0)</f>
        <v>General Medicine</v>
      </c>
      <c r="AB715" t="str">
        <f>VLOOKUP(J715,Diagnosis_Guide!$A:$B,2,0)</f>
        <v>Diabetes Complication</v>
      </c>
      <c r="AC715" s="4" t="str">
        <f>VLOOKUP(J715,Diagnosis_Guide!$A:$C,3,0)</f>
        <v>Endocrine/General</v>
      </c>
      <c r="AD715" s="4" t="str">
        <f>VLOOKUP(R715,Insurance_Plans!$A:$C,3,0)</f>
        <v>Employer</v>
      </c>
      <c r="AE715" s="13" t="str">
        <f t="shared" si="33"/>
        <v/>
      </c>
      <c r="AF715" s="13" t="str">
        <f t="shared" si="34"/>
        <v/>
      </c>
      <c r="AG715" s="4" t="str">
        <f t="shared" si="35"/>
        <v>Not Available</v>
      </c>
    </row>
    <row r="716" spans="1:33">
      <c r="A716" t="s">
        <v>1355</v>
      </c>
      <c r="B716" t="s">
        <v>1141</v>
      </c>
      <c r="C716" s="11">
        <v>46094</v>
      </c>
      <c r="D716" t="s">
        <v>173</v>
      </c>
      <c r="E716" t="s">
        <v>70</v>
      </c>
      <c r="F716" s="4">
        <v>46094</v>
      </c>
      <c r="G716" s="4">
        <v>46097</v>
      </c>
      <c r="H716" t="s">
        <v>201</v>
      </c>
      <c r="I716" t="s">
        <v>515</v>
      </c>
      <c r="J716" t="s">
        <v>203</v>
      </c>
      <c r="K716" t="s">
        <v>124</v>
      </c>
      <c r="L716" t="s">
        <v>61</v>
      </c>
      <c r="M716" s="5">
        <v>26900</v>
      </c>
      <c r="N716" s="5">
        <v>2900</v>
      </c>
      <c r="O716" s="5">
        <v>5500</v>
      </c>
      <c r="P716" s="5">
        <v>9000</v>
      </c>
      <c r="Q716" s="13">
        <v>45500</v>
      </c>
      <c r="R716" t="s">
        <v>75</v>
      </c>
      <c r="S716" t="s">
        <v>76</v>
      </c>
      <c r="T716" s="5">
        <v>20770</v>
      </c>
      <c r="U716" s="6">
        <v>5</v>
      </c>
      <c r="V716" t="s">
        <v>77</v>
      </c>
      <c r="W716" s="4">
        <v>46106</v>
      </c>
      <c r="X716" t="s">
        <v>77</v>
      </c>
      <c r="Y716" t="s">
        <v>64</v>
      </c>
      <c r="Z716" t="s">
        <v>96</v>
      </c>
      <c r="AA716" t="str">
        <f>VLOOKUP(H716,Departments!$A:$B,2,0)</f>
        <v>Emergency</v>
      </c>
      <c r="AB716" t="str">
        <f>VLOOKUP(J716,Diagnosis_Guide!$A:$B,2,0)</f>
        <v>Trauma Observation</v>
      </c>
      <c r="AC716" s="4" t="str">
        <f>VLOOKUP(J716,Diagnosis_Guide!$A:$C,3,0)</f>
        <v>Emergency</v>
      </c>
      <c r="AD716" s="4" t="str">
        <f>VLOOKUP(R716,Insurance_Plans!$A:$C,3,0)</f>
        <v>Public</v>
      </c>
      <c r="AE716" s="13">
        <f t="shared" si="33"/>
        <v>2275</v>
      </c>
      <c r="AF716" s="13">
        <f t="shared" si="34"/>
        <v>47775</v>
      </c>
      <c r="AG716" s="4" t="str">
        <f t="shared" si="35"/>
        <v>High</v>
      </c>
    </row>
    <row r="717" spans="1:33">
      <c r="A717" t="s">
        <v>1356</v>
      </c>
      <c r="B717" t="s">
        <v>661</v>
      </c>
      <c r="C717" s="11">
        <v>46049</v>
      </c>
      <c r="D717" t="s">
        <v>149</v>
      </c>
      <c r="E717" t="s">
        <v>70</v>
      </c>
      <c r="F717" s="4">
        <v>46049</v>
      </c>
      <c r="G717" s="4">
        <v>46049</v>
      </c>
      <c r="H717" t="s">
        <v>57</v>
      </c>
      <c r="I717" t="s">
        <v>100</v>
      </c>
      <c r="J717" t="s">
        <v>72</v>
      </c>
      <c r="K717" t="s">
        <v>60</v>
      </c>
      <c r="L717" t="s">
        <v>61</v>
      </c>
      <c r="M717" s="5">
        <v>8600</v>
      </c>
      <c r="N717" s="5">
        <v>1550</v>
      </c>
      <c r="O717" s="5">
        <v>2000</v>
      </c>
      <c r="P717" s="5">
        <v>0</v>
      </c>
      <c r="Q717" s="13">
        <v>14150</v>
      </c>
      <c r="R717" t="s">
        <v>75</v>
      </c>
      <c r="S717" t="s">
        <v>76</v>
      </c>
      <c r="T717" s="5">
        <v>6670</v>
      </c>
      <c r="U717" s="6">
        <v>5</v>
      </c>
      <c r="V717" t="s">
        <v>64</v>
      </c>
      <c r="W717" s="4"/>
      <c r="X717" t="s">
        <v>65</v>
      </c>
      <c r="Y717" t="s">
        <v>64</v>
      </c>
      <c r="Z717" t="s">
        <v>96</v>
      </c>
      <c r="AA717" t="str">
        <f>VLOOKUP(H717,Departments!$A:$B,2,0)</f>
        <v>Pulmonology</v>
      </c>
      <c r="AB717" t="str">
        <f>VLOOKUP(J717,Diagnosis_Guide!$A:$B,2,0)</f>
        <v>Acute Bronchitis</v>
      </c>
      <c r="AC717" s="4" t="str">
        <f>VLOOKUP(J717,Diagnosis_Guide!$A:$C,3,0)</f>
        <v>Respiratory</v>
      </c>
      <c r="AD717" s="4" t="str">
        <f>VLOOKUP(R717,Insurance_Plans!$A:$C,3,0)</f>
        <v>Public</v>
      </c>
      <c r="AE717" s="13">
        <f t="shared" si="33"/>
        <v>707.5</v>
      </c>
      <c r="AF717" s="13">
        <f t="shared" si="34"/>
        <v>14857.5</v>
      </c>
      <c r="AG717" s="4" t="str">
        <f t="shared" si="35"/>
        <v>High</v>
      </c>
    </row>
    <row r="718" spans="1:33">
      <c r="A718" t="s">
        <v>1357</v>
      </c>
      <c r="B718" t="s">
        <v>441</v>
      </c>
      <c r="C718" s="11">
        <v>46152</v>
      </c>
      <c r="D718" t="s">
        <v>132</v>
      </c>
      <c r="E718" t="s">
        <v>314</v>
      </c>
      <c r="F718" s="4"/>
      <c r="G718" s="4"/>
      <c r="H718" t="s">
        <v>57</v>
      </c>
      <c r="I718" t="s">
        <v>169</v>
      </c>
      <c r="J718" t="s">
        <v>59</v>
      </c>
      <c r="K718" t="s">
        <v>73</v>
      </c>
      <c r="L718" t="s">
        <v>94</v>
      </c>
      <c r="M718" s="5"/>
      <c r="N718" s="5"/>
      <c r="O718" s="5"/>
      <c r="P718" s="5"/>
      <c r="R718" t="s">
        <v>106</v>
      </c>
      <c r="S718" t="s">
        <v>63</v>
      </c>
      <c r="T718" s="5"/>
      <c r="U718" s="6"/>
      <c r="V718" t="s">
        <v>64</v>
      </c>
      <c r="W718" s="4"/>
      <c r="X718" t="s">
        <v>65</v>
      </c>
      <c r="Z718" t="s">
        <v>66</v>
      </c>
      <c r="AA718" t="str">
        <f>VLOOKUP(H718,Departments!$A:$B,2,0)</f>
        <v>Pulmonology</v>
      </c>
      <c r="AB718" t="str">
        <f>VLOOKUP(J718,Diagnosis_Guide!$A:$B,2,0)</f>
        <v>Pneumonia</v>
      </c>
      <c r="AC718" s="4" t="str">
        <f>VLOOKUP(J718,Diagnosis_Guide!$A:$C,3,0)</f>
        <v>Respiratory</v>
      </c>
      <c r="AD718" s="4" t="str">
        <f>VLOOKUP(R718,Insurance_Plans!$A:$C,3,0)</f>
        <v>Private</v>
      </c>
      <c r="AE718" s="13" t="str">
        <f t="shared" si="33"/>
        <v/>
      </c>
      <c r="AF718" s="13" t="str">
        <f t="shared" si="34"/>
        <v/>
      </c>
      <c r="AG718" s="4" t="str">
        <f t="shared" si="35"/>
        <v>Not Available</v>
      </c>
    </row>
    <row r="719" spans="1:33">
      <c r="A719" t="s">
        <v>1358</v>
      </c>
      <c r="B719" t="s">
        <v>1020</v>
      </c>
      <c r="C719" s="11">
        <v>46162</v>
      </c>
      <c r="D719" t="s">
        <v>132</v>
      </c>
      <c r="E719" t="s">
        <v>70</v>
      </c>
      <c r="F719" s="4">
        <v>46162</v>
      </c>
      <c r="G719" s="4">
        <v>46163</v>
      </c>
      <c r="H719" t="s">
        <v>138</v>
      </c>
      <c r="I719" t="s">
        <v>139</v>
      </c>
      <c r="J719" t="s">
        <v>140</v>
      </c>
      <c r="K719" t="s">
        <v>73</v>
      </c>
      <c r="L719" t="s">
        <v>94</v>
      </c>
      <c r="M719" s="5">
        <v>14100</v>
      </c>
      <c r="N719" s="5">
        <v>1200</v>
      </c>
      <c r="O719" s="5">
        <v>2900</v>
      </c>
      <c r="P719" s="5">
        <v>3000</v>
      </c>
      <c r="Q719" s="13">
        <v>23200</v>
      </c>
      <c r="R719" t="s">
        <v>95</v>
      </c>
      <c r="S719" t="s">
        <v>63</v>
      </c>
      <c r="T719" s="5">
        <v>23200</v>
      </c>
      <c r="U719" s="6">
        <v>5</v>
      </c>
      <c r="V719" t="s">
        <v>77</v>
      </c>
      <c r="W719" s="4">
        <v>46180</v>
      </c>
      <c r="X719" t="s">
        <v>77</v>
      </c>
      <c r="Y719" t="s">
        <v>64</v>
      </c>
      <c r="Z719" t="s">
        <v>219</v>
      </c>
      <c r="AA719" t="str">
        <f>VLOOKUP(H719,Departments!$A:$B,2,0)</f>
        <v>Pediatrics</v>
      </c>
      <c r="AB719" t="str">
        <f>VLOOKUP(J719,Diagnosis_Guide!$A:$B,2,0)</f>
        <v>Pediatric Asthma</v>
      </c>
      <c r="AC719" s="4" t="str">
        <f>VLOOKUP(J719,Diagnosis_Guide!$A:$C,3,0)</f>
        <v>Pediatric</v>
      </c>
      <c r="AD719" s="4" t="str">
        <f>VLOOKUP(R719,Insurance_Plans!$A:$C,3,0)</f>
        <v>Self-Pay</v>
      </c>
      <c r="AE719" s="13">
        <f t="shared" si="33"/>
        <v>1160</v>
      </c>
      <c r="AF719" s="13">
        <f t="shared" si="34"/>
        <v>24360</v>
      </c>
      <c r="AG719" s="4" t="str">
        <f t="shared" si="35"/>
        <v>High</v>
      </c>
    </row>
    <row r="720" spans="1:33">
      <c r="A720" t="s">
        <v>1359</v>
      </c>
      <c r="B720" t="s">
        <v>1360</v>
      </c>
      <c r="C720" s="11">
        <v>46136</v>
      </c>
      <c r="D720" t="s">
        <v>144</v>
      </c>
      <c r="E720" t="s">
        <v>70</v>
      </c>
      <c r="F720" s="4">
        <v>46136</v>
      </c>
      <c r="G720" s="4">
        <v>46140</v>
      </c>
      <c r="H720" t="s">
        <v>138</v>
      </c>
      <c r="I720" t="s">
        <v>139</v>
      </c>
      <c r="J720" t="s">
        <v>261</v>
      </c>
      <c r="K720" t="s">
        <v>124</v>
      </c>
      <c r="L720" t="s">
        <v>61</v>
      </c>
      <c r="M720" s="5">
        <v>6500</v>
      </c>
      <c r="N720" s="5">
        <v>800</v>
      </c>
      <c r="O720" s="5">
        <v>850</v>
      </c>
      <c r="P720" s="5">
        <v>10000</v>
      </c>
      <c r="Q720" s="13">
        <v>20150</v>
      </c>
      <c r="R720" t="s">
        <v>75</v>
      </c>
      <c r="S720" t="s">
        <v>76</v>
      </c>
      <c r="T720" s="5">
        <v>9370</v>
      </c>
      <c r="U720" s="6"/>
      <c r="V720" t="s">
        <v>77</v>
      </c>
      <c r="W720" s="4">
        <v>46149</v>
      </c>
      <c r="X720" t="s">
        <v>77</v>
      </c>
      <c r="Y720" t="s">
        <v>64</v>
      </c>
      <c r="Z720" t="s">
        <v>96</v>
      </c>
      <c r="AA720" t="str">
        <f>VLOOKUP(H720,Departments!$A:$B,2,0)</f>
        <v>Pediatrics</v>
      </c>
      <c r="AB720" t="str">
        <f>VLOOKUP(J720,Diagnosis_Guide!$A:$B,2,0)</f>
        <v>Child Fever</v>
      </c>
      <c r="AC720" s="4" t="str">
        <f>VLOOKUP(J720,Diagnosis_Guide!$A:$C,3,0)</f>
        <v>Pediatric</v>
      </c>
      <c r="AD720" s="4" t="str">
        <f>VLOOKUP(R720,Insurance_Plans!$A:$C,3,0)</f>
        <v>Public</v>
      </c>
      <c r="AE720" s="13">
        <f t="shared" si="33"/>
        <v>1007.5</v>
      </c>
      <c r="AF720" s="13">
        <f t="shared" si="34"/>
        <v>21157.5</v>
      </c>
      <c r="AG720" s="4" t="str">
        <f t="shared" si="35"/>
        <v>Not Available</v>
      </c>
    </row>
    <row r="721" spans="1:33">
      <c r="A721" t="s">
        <v>1361</v>
      </c>
      <c r="B721" t="s">
        <v>1362</v>
      </c>
      <c r="C721" s="11">
        <v>46107</v>
      </c>
      <c r="D721" t="s">
        <v>266</v>
      </c>
      <c r="E721" t="s">
        <v>70</v>
      </c>
      <c r="F721" s="4">
        <v>46107</v>
      </c>
      <c r="G721" s="4">
        <v>46113</v>
      </c>
      <c r="H721" t="s">
        <v>178</v>
      </c>
      <c r="I721" t="s">
        <v>179</v>
      </c>
      <c r="J721" t="s">
        <v>340</v>
      </c>
      <c r="K721" t="s">
        <v>93</v>
      </c>
      <c r="L721" t="s">
        <v>74</v>
      </c>
      <c r="M721" s="5">
        <v>59700</v>
      </c>
      <c r="N721" s="5">
        <v>7600</v>
      </c>
      <c r="O721" s="5">
        <v>8450</v>
      </c>
      <c r="P721" s="5">
        <v>15000</v>
      </c>
      <c r="Q721" s="13">
        <v>91750</v>
      </c>
      <c r="R721" t="s">
        <v>75</v>
      </c>
      <c r="S721" t="s">
        <v>76</v>
      </c>
      <c r="T721" s="5">
        <v>41590</v>
      </c>
      <c r="U721" s="6">
        <v>4</v>
      </c>
      <c r="V721" t="s">
        <v>77</v>
      </c>
      <c r="W721" s="4">
        <v>46132</v>
      </c>
      <c r="X721" t="s">
        <v>64</v>
      </c>
      <c r="Y721" t="s">
        <v>64</v>
      </c>
      <c r="Z721" t="s">
        <v>96</v>
      </c>
      <c r="AA721" t="str">
        <f>VLOOKUP(H721,Departments!$A:$B,2,0)</f>
        <v>Surgery</v>
      </c>
      <c r="AB721" t="str">
        <f>VLOOKUP(J721,Diagnosis_Guide!$A:$B,2,0)</f>
        <v>Post-Operative Infection</v>
      </c>
      <c r="AC721" s="4" t="str">
        <f>VLOOKUP(J721,Diagnosis_Guide!$A:$C,3,0)</f>
        <v>Surgical</v>
      </c>
      <c r="AD721" s="4" t="str">
        <f>VLOOKUP(R721,Insurance_Plans!$A:$C,3,0)</f>
        <v>Public</v>
      </c>
      <c r="AE721" s="13">
        <f t="shared" si="33"/>
        <v>4587.5</v>
      </c>
      <c r="AF721" s="13">
        <f t="shared" si="34"/>
        <v>96337.5</v>
      </c>
      <c r="AG721" s="4" t="str">
        <f t="shared" si="35"/>
        <v>High</v>
      </c>
    </row>
    <row r="722" spans="1:33">
      <c r="A722" t="s">
        <v>1363</v>
      </c>
      <c r="B722" t="s">
        <v>254</v>
      </c>
      <c r="C722" s="11">
        <v>46100</v>
      </c>
      <c r="D722" t="s">
        <v>206</v>
      </c>
      <c r="E722" t="s">
        <v>70</v>
      </c>
      <c r="F722" s="4">
        <v>46100</v>
      </c>
      <c r="G722" s="4">
        <v>46109</v>
      </c>
      <c r="H722" t="s">
        <v>121</v>
      </c>
      <c r="I722" t="s">
        <v>251</v>
      </c>
      <c r="J722" t="s">
        <v>252</v>
      </c>
      <c r="K722" t="s">
        <v>73</v>
      </c>
      <c r="L722" t="s">
        <v>74</v>
      </c>
      <c r="M722" s="5">
        <v>59900</v>
      </c>
      <c r="N722" s="5">
        <v>7250</v>
      </c>
      <c r="O722" s="5">
        <v>10800</v>
      </c>
      <c r="P722" s="5">
        <v>40500</v>
      </c>
      <c r="Q722" s="13">
        <v>120450</v>
      </c>
      <c r="R722" t="s">
        <v>75</v>
      </c>
      <c r="S722" t="s">
        <v>76</v>
      </c>
      <c r="T722" s="5">
        <v>54500</v>
      </c>
      <c r="U722" s="6">
        <v>2</v>
      </c>
      <c r="V722" t="s">
        <v>64</v>
      </c>
      <c r="W722" s="4"/>
      <c r="X722" t="s">
        <v>65</v>
      </c>
      <c r="Y722" t="s">
        <v>64</v>
      </c>
      <c r="Z722" t="s">
        <v>436</v>
      </c>
      <c r="AA722" t="str">
        <f>VLOOKUP(H722,Departments!$A:$B,2,0)</f>
        <v>Neurology</v>
      </c>
      <c r="AB722" t="str">
        <f>VLOOKUP(J722,Diagnosis_Guide!$A:$B,2,0)</f>
        <v>Stroke Assessment</v>
      </c>
      <c r="AC722" s="4" t="str">
        <f>VLOOKUP(J722,Diagnosis_Guide!$A:$C,3,0)</f>
        <v>Neurological</v>
      </c>
      <c r="AD722" s="4" t="str">
        <f>VLOOKUP(R722,Insurance_Plans!$A:$C,3,0)</f>
        <v>Public</v>
      </c>
      <c r="AE722" s="13">
        <f t="shared" si="33"/>
        <v>6022.5</v>
      </c>
      <c r="AF722" s="13">
        <f t="shared" si="34"/>
        <v>126472.5</v>
      </c>
      <c r="AG722" s="4" t="str">
        <f t="shared" si="35"/>
        <v>Low</v>
      </c>
    </row>
    <row r="723" spans="1:33">
      <c r="A723" t="s">
        <v>1364</v>
      </c>
      <c r="B723" t="s">
        <v>309</v>
      </c>
      <c r="C723" s="11">
        <v>46154</v>
      </c>
      <c r="D723" t="s">
        <v>439</v>
      </c>
      <c r="E723" t="s">
        <v>70</v>
      </c>
      <c r="F723" s="4">
        <v>46154</v>
      </c>
      <c r="G723" s="4">
        <v>46159</v>
      </c>
      <c r="H723" t="s">
        <v>90</v>
      </c>
      <c r="I723" t="s">
        <v>91</v>
      </c>
      <c r="J723" t="s">
        <v>92</v>
      </c>
      <c r="K723" t="s">
        <v>124</v>
      </c>
      <c r="L723" t="s">
        <v>74</v>
      </c>
      <c r="M723" s="5">
        <v>64100</v>
      </c>
      <c r="N723" s="5">
        <v>6550</v>
      </c>
      <c r="O723" s="5">
        <v>15850</v>
      </c>
      <c r="P723" s="5">
        <v>17500</v>
      </c>
      <c r="Q723" s="13">
        <v>105200</v>
      </c>
      <c r="R723" t="s">
        <v>95</v>
      </c>
      <c r="S723" t="s">
        <v>63</v>
      </c>
      <c r="T723" s="5">
        <v>105200</v>
      </c>
      <c r="U723" s="6">
        <v>4</v>
      </c>
      <c r="V723" t="s">
        <v>77</v>
      </c>
      <c r="W723" s="4">
        <v>46176</v>
      </c>
      <c r="X723" t="s">
        <v>77</v>
      </c>
      <c r="Y723" t="s">
        <v>64</v>
      </c>
      <c r="Z723" t="s">
        <v>107</v>
      </c>
      <c r="AA723" t="str">
        <f>VLOOKUP(H723,Departments!$A:$B,2,0)</f>
        <v>Cardiology</v>
      </c>
      <c r="AB723" t="str">
        <f>VLOOKUP(J723,Diagnosis_Guide!$A:$B,2,0)</f>
        <v>Heart Failure</v>
      </c>
      <c r="AC723" s="4" t="str">
        <f>VLOOKUP(J723,Diagnosis_Guide!$A:$C,3,0)</f>
        <v>Cardiovascular</v>
      </c>
      <c r="AD723" s="4" t="str">
        <f>VLOOKUP(R723,Insurance_Plans!$A:$C,3,0)</f>
        <v>Self-Pay</v>
      </c>
      <c r="AE723" s="13">
        <f t="shared" si="33"/>
        <v>5260</v>
      </c>
      <c r="AF723" s="13">
        <f t="shared" si="34"/>
        <v>110460</v>
      </c>
      <c r="AG723" s="4" t="str">
        <f t="shared" si="35"/>
        <v>High</v>
      </c>
    </row>
    <row r="724" spans="1:33">
      <c r="A724" t="s">
        <v>1365</v>
      </c>
      <c r="B724" t="s">
        <v>598</v>
      </c>
      <c r="C724" s="11">
        <v>46092</v>
      </c>
      <c r="D724" t="s">
        <v>302</v>
      </c>
      <c r="E724" t="s">
        <v>70</v>
      </c>
      <c r="F724" s="4">
        <v>46092</v>
      </c>
      <c r="G724" s="4">
        <v>46093</v>
      </c>
      <c r="H724" t="s">
        <v>57</v>
      </c>
      <c r="I724" t="s">
        <v>71</v>
      </c>
      <c r="J724" t="s">
        <v>72</v>
      </c>
      <c r="K724" t="s">
        <v>60</v>
      </c>
      <c r="L724" t="s">
        <v>74</v>
      </c>
      <c r="M724" s="5">
        <v>9600</v>
      </c>
      <c r="N724" s="5">
        <v>1100</v>
      </c>
      <c r="O724" s="5">
        <v>2050</v>
      </c>
      <c r="P724" s="5">
        <v>4500</v>
      </c>
      <c r="Q724" s="13">
        <v>19050</v>
      </c>
      <c r="R724" t="s">
        <v>106</v>
      </c>
      <c r="S724" t="s">
        <v>76</v>
      </c>
      <c r="T724" s="5">
        <v>7370</v>
      </c>
      <c r="U724" s="6">
        <v>4</v>
      </c>
      <c r="V724" t="s">
        <v>64</v>
      </c>
      <c r="W724" s="4"/>
      <c r="X724" t="s">
        <v>65</v>
      </c>
      <c r="Y724" t="s">
        <v>64</v>
      </c>
      <c r="Z724" t="s">
        <v>78</v>
      </c>
      <c r="AA724" t="str">
        <f>VLOOKUP(H724,Departments!$A:$B,2,0)</f>
        <v>Pulmonology</v>
      </c>
      <c r="AB724" t="str">
        <f>VLOOKUP(J724,Diagnosis_Guide!$A:$B,2,0)</f>
        <v>Acute Bronchitis</v>
      </c>
      <c r="AC724" s="4" t="str">
        <f>VLOOKUP(J724,Diagnosis_Guide!$A:$C,3,0)</f>
        <v>Respiratory</v>
      </c>
      <c r="AD724" s="4" t="str">
        <f>VLOOKUP(R724,Insurance_Plans!$A:$C,3,0)</f>
        <v>Private</v>
      </c>
      <c r="AE724" s="13">
        <f t="shared" si="33"/>
        <v>952.5</v>
      </c>
      <c r="AF724" s="13">
        <f t="shared" si="34"/>
        <v>20002.5</v>
      </c>
      <c r="AG724" s="4" t="str">
        <f t="shared" si="35"/>
        <v>High</v>
      </c>
    </row>
    <row r="725" spans="1:33">
      <c r="A725" t="s">
        <v>1366</v>
      </c>
      <c r="B725" t="s">
        <v>461</v>
      </c>
      <c r="C725" s="11">
        <v>46133</v>
      </c>
      <c r="D725" t="s">
        <v>99</v>
      </c>
      <c r="E725" t="s">
        <v>70</v>
      </c>
      <c r="F725" s="4">
        <v>46133</v>
      </c>
      <c r="G725" s="4">
        <v>46134</v>
      </c>
      <c r="H725" t="s">
        <v>90</v>
      </c>
      <c r="I725" t="s">
        <v>299</v>
      </c>
      <c r="J725" t="s">
        <v>92</v>
      </c>
      <c r="K725" t="s">
        <v>60</v>
      </c>
      <c r="L725" t="s">
        <v>61</v>
      </c>
      <c r="M725" s="5">
        <v>46500</v>
      </c>
      <c r="N725" s="5">
        <v>6200</v>
      </c>
      <c r="O725" s="5">
        <v>11450</v>
      </c>
      <c r="P725" s="5">
        <v>3000</v>
      </c>
      <c r="Q725" s="13">
        <v>68650</v>
      </c>
      <c r="R725" t="s">
        <v>106</v>
      </c>
      <c r="S725" t="s">
        <v>76</v>
      </c>
      <c r="T725" s="5">
        <v>24730</v>
      </c>
      <c r="U725" s="6">
        <v>3</v>
      </c>
      <c r="V725" t="s">
        <v>77</v>
      </c>
      <c r="W725" s="4">
        <v>46144</v>
      </c>
      <c r="X725" t="s">
        <v>64</v>
      </c>
      <c r="Y725" t="s">
        <v>77</v>
      </c>
      <c r="Z725" t="s">
        <v>107</v>
      </c>
      <c r="AA725" t="str">
        <f>VLOOKUP(H725,Departments!$A:$B,2,0)</f>
        <v>Cardiology</v>
      </c>
      <c r="AB725" t="str">
        <f>VLOOKUP(J725,Diagnosis_Guide!$A:$B,2,0)</f>
        <v>Heart Failure</v>
      </c>
      <c r="AC725" s="4" t="str">
        <f>VLOOKUP(J725,Diagnosis_Guide!$A:$C,3,0)</f>
        <v>Cardiovascular</v>
      </c>
      <c r="AD725" s="4" t="str">
        <f>VLOOKUP(R725,Insurance_Plans!$A:$C,3,0)</f>
        <v>Private</v>
      </c>
      <c r="AE725" s="13">
        <f t="shared" si="33"/>
        <v>3432.5</v>
      </c>
      <c r="AF725" s="13">
        <f t="shared" si="34"/>
        <v>72082.5</v>
      </c>
      <c r="AG725" s="4" t="str">
        <f t="shared" si="35"/>
        <v>Medium</v>
      </c>
    </row>
    <row r="726" spans="1:33">
      <c r="A726" t="s">
        <v>1367</v>
      </c>
      <c r="B726" t="s">
        <v>764</v>
      </c>
      <c r="C726" s="11">
        <v>46052</v>
      </c>
      <c r="D726" t="s">
        <v>206</v>
      </c>
      <c r="E726" t="s">
        <v>70</v>
      </c>
      <c r="F726" s="4">
        <v>46052</v>
      </c>
      <c r="G726" s="4">
        <v>46054</v>
      </c>
      <c r="H726" t="s">
        <v>82</v>
      </c>
      <c r="I726" t="s">
        <v>331</v>
      </c>
      <c r="J726" t="s">
        <v>84</v>
      </c>
      <c r="K726" t="s">
        <v>73</v>
      </c>
      <c r="L726" t="s">
        <v>61</v>
      </c>
      <c r="M726" s="5">
        <v>8200</v>
      </c>
      <c r="N726" s="5">
        <v>750</v>
      </c>
      <c r="O726" s="5">
        <v>1550</v>
      </c>
      <c r="P726" s="5">
        <v>12000</v>
      </c>
      <c r="Q726" s="13">
        <v>24000</v>
      </c>
      <c r="R726" t="s">
        <v>95</v>
      </c>
      <c r="S726" t="s">
        <v>63</v>
      </c>
      <c r="T726" s="5">
        <v>24000</v>
      </c>
      <c r="U726" s="6">
        <v>4</v>
      </c>
      <c r="V726" t="s">
        <v>64</v>
      </c>
      <c r="W726" s="4"/>
      <c r="X726" t="s">
        <v>65</v>
      </c>
      <c r="Y726" t="s">
        <v>64</v>
      </c>
      <c r="Z726" t="s">
        <v>78</v>
      </c>
      <c r="AA726" t="str">
        <f>VLOOKUP(H726,Departments!$A:$B,2,0)</f>
        <v>Orthopedics</v>
      </c>
      <c r="AB726" t="str">
        <f>VLOOKUP(J726,Diagnosis_Guide!$A:$B,2,0)</f>
        <v>Joint Pain</v>
      </c>
      <c r="AC726" s="4" t="str">
        <f>VLOOKUP(J726,Diagnosis_Guide!$A:$C,3,0)</f>
        <v>Musculoskeletal</v>
      </c>
      <c r="AD726" s="4" t="str">
        <f>VLOOKUP(R726,Insurance_Plans!$A:$C,3,0)</f>
        <v>Self-Pay</v>
      </c>
      <c r="AE726" s="13">
        <f t="shared" si="33"/>
        <v>1200</v>
      </c>
      <c r="AF726" s="13">
        <f t="shared" si="34"/>
        <v>25200</v>
      </c>
      <c r="AG726" s="4" t="str">
        <f t="shared" si="35"/>
        <v>High</v>
      </c>
    </row>
    <row r="727" spans="1:33">
      <c r="A727" t="s">
        <v>1368</v>
      </c>
      <c r="B727" t="s">
        <v>1369</v>
      </c>
      <c r="C727" s="11">
        <v>46115</v>
      </c>
      <c r="D727" t="s">
        <v>284</v>
      </c>
      <c r="E727" t="s">
        <v>70</v>
      </c>
      <c r="F727" s="4">
        <v>46116</v>
      </c>
      <c r="G727" s="4">
        <v>46123</v>
      </c>
      <c r="H727" t="s">
        <v>90</v>
      </c>
      <c r="I727" t="s">
        <v>299</v>
      </c>
      <c r="J727" t="s">
        <v>92</v>
      </c>
      <c r="K727" t="s">
        <v>124</v>
      </c>
      <c r="L727" t="s">
        <v>61</v>
      </c>
      <c r="M727" s="5">
        <v>44900</v>
      </c>
      <c r="N727" s="5">
        <v>5900</v>
      </c>
      <c r="O727" s="5">
        <v>5150</v>
      </c>
      <c r="P727" s="5">
        <v>31500</v>
      </c>
      <c r="Q727" s="13">
        <v>88950</v>
      </c>
      <c r="R727" t="s">
        <v>75</v>
      </c>
      <c r="S727" t="s">
        <v>76</v>
      </c>
      <c r="T727" s="5">
        <v>40330</v>
      </c>
      <c r="U727" s="6">
        <v>3</v>
      </c>
      <c r="V727" t="s">
        <v>77</v>
      </c>
      <c r="W727" s="4">
        <v>46143</v>
      </c>
      <c r="X727" t="s">
        <v>77</v>
      </c>
      <c r="Y727" t="s">
        <v>64</v>
      </c>
      <c r="Z727" t="s">
        <v>219</v>
      </c>
      <c r="AA727" t="str">
        <f>VLOOKUP(H727,Departments!$A:$B,2,0)</f>
        <v>Cardiology</v>
      </c>
      <c r="AB727" t="str">
        <f>VLOOKUP(J727,Diagnosis_Guide!$A:$B,2,0)</f>
        <v>Heart Failure</v>
      </c>
      <c r="AC727" s="4" t="str">
        <f>VLOOKUP(J727,Diagnosis_Guide!$A:$C,3,0)</f>
        <v>Cardiovascular</v>
      </c>
      <c r="AD727" s="4" t="str">
        <f>VLOOKUP(R727,Insurance_Plans!$A:$C,3,0)</f>
        <v>Public</v>
      </c>
      <c r="AE727" s="13">
        <f t="shared" si="33"/>
        <v>4447.5</v>
      </c>
      <c r="AF727" s="13">
        <f t="shared" si="34"/>
        <v>93397.5</v>
      </c>
      <c r="AG727" s="4" t="str">
        <f t="shared" si="35"/>
        <v>Medium</v>
      </c>
    </row>
    <row r="728" spans="1:33">
      <c r="A728" t="s">
        <v>1370</v>
      </c>
      <c r="B728" t="s">
        <v>1371</v>
      </c>
      <c r="C728" s="11">
        <v>46098</v>
      </c>
      <c r="D728" t="s">
        <v>110</v>
      </c>
      <c r="E728" t="s">
        <v>314</v>
      </c>
      <c r="F728" s="4"/>
      <c r="G728" s="4"/>
      <c r="H728" t="s">
        <v>103</v>
      </c>
      <c r="I728" t="s">
        <v>104</v>
      </c>
      <c r="J728" t="s">
        <v>145</v>
      </c>
      <c r="K728" t="s">
        <v>73</v>
      </c>
      <c r="L728" t="s">
        <v>74</v>
      </c>
      <c r="M728" s="5"/>
      <c r="N728" s="5"/>
      <c r="O728" s="5"/>
      <c r="P728" s="5"/>
      <c r="R728" t="s">
        <v>95</v>
      </c>
      <c r="S728" t="s">
        <v>63</v>
      </c>
      <c r="T728" s="5"/>
      <c r="U728" s="6"/>
      <c r="V728" t="s">
        <v>64</v>
      </c>
      <c r="W728" s="4"/>
      <c r="X728" t="s">
        <v>65</v>
      </c>
      <c r="Z728" t="s">
        <v>66</v>
      </c>
      <c r="AA728" t="str">
        <f>VLOOKUP(H728,Departments!$A:$B,2,0)</f>
        <v>Nephrology</v>
      </c>
      <c r="AB728" t="str">
        <f>VLOOKUP(J728,Diagnosis_Guide!$A:$B,2,0)</f>
        <v>Kidney Stone</v>
      </c>
      <c r="AC728" s="4" t="str">
        <f>VLOOKUP(J728,Diagnosis_Guide!$A:$C,3,0)</f>
        <v>Renal</v>
      </c>
      <c r="AD728" s="4" t="str">
        <f>VLOOKUP(R728,Insurance_Plans!$A:$C,3,0)</f>
        <v>Self-Pay</v>
      </c>
      <c r="AE728" s="13" t="str">
        <f t="shared" si="33"/>
        <v/>
      </c>
      <c r="AF728" s="13" t="str">
        <f t="shared" si="34"/>
        <v/>
      </c>
      <c r="AG728" s="4" t="str">
        <f t="shared" si="35"/>
        <v>Not Available</v>
      </c>
    </row>
    <row r="729" spans="1:33">
      <c r="A729" t="s">
        <v>1372</v>
      </c>
      <c r="B729" t="s">
        <v>706</v>
      </c>
      <c r="C729" s="11">
        <v>46083</v>
      </c>
      <c r="D729" t="s">
        <v>110</v>
      </c>
      <c r="E729" t="s">
        <v>70</v>
      </c>
      <c r="F729" s="4">
        <v>46083</v>
      </c>
      <c r="G729" s="4">
        <v>46092</v>
      </c>
      <c r="H729" t="s">
        <v>201</v>
      </c>
      <c r="I729" t="s">
        <v>449</v>
      </c>
      <c r="J729" t="s">
        <v>295</v>
      </c>
      <c r="K729" t="s">
        <v>124</v>
      </c>
      <c r="L729" t="s">
        <v>74</v>
      </c>
      <c r="M729" s="5">
        <v>50400</v>
      </c>
      <c r="N729" s="5">
        <v>4300</v>
      </c>
      <c r="O729" s="5">
        <v>10400</v>
      </c>
      <c r="P729" s="5">
        <v>40500</v>
      </c>
      <c r="Q729" s="13">
        <v>106400</v>
      </c>
      <c r="R729" t="s">
        <v>106</v>
      </c>
      <c r="S729" t="s">
        <v>76</v>
      </c>
      <c r="T729" s="5">
        <v>37940</v>
      </c>
      <c r="U729" s="6">
        <v>2</v>
      </c>
      <c r="V729" t="s">
        <v>64</v>
      </c>
      <c r="W729" s="4"/>
      <c r="X729" t="s">
        <v>65</v>
      </c>
      <c r="Y729" t="s">
        <v>64</v>
      </c>
      <c r="Z729" t="s">
        <v>78</v>
      </c>
      <c r="AA729" t="str">
        <f>VLOOKUP(H729,Departments!$A:$B,2,0)</f>
        <v>Emergency</v>
      </c>
      <c r="AB729" t="str">
        <f>VLOOKUP(J729,Diagnosis_Guide!$A:$B,2,0)</f>
        <v>Accident Injury</v>
      </c>
      <c r="AC729" s="4" t="str">
        <f>VLOOKUP(J729,Diagnosis_Guide!$A:$C,3,0)</f>
        <v>Emergency</v>
      </c>
      <c r="AD729" s="4" t="str">
        <f>VLOOKUP(R729,Insurance_Plans!$A:$C,3,0)</f>
        <v>Private</v>
      </c>
      <c r="AE729" s="13">
        <f t="shared" si="33"/>
        <v>5320</v>
      </c>
      <c r="AF729" s="13">
        <f t="shared" si="34"/>
        <v>111720</v>
      </c>
      <c r="AG729" s="4" t="str">
        <f t="shared" si="35"/>
        <v>Low</v>
      </c>
    </row>
    <row r="730" spans="1:33">
      <c r="A730" t="s">
        <v>1373</v>
      </c>
      <c r="B730" t="s">
        <v>1081</v>
      </c>
      <c r="C730" s="11">
        <v>46130</v>
      </c>
      <c r="D730" t="s">
        <v>383</v>
      </c>
      <c r="E730" t="s">
        <v>70</v>
      </c>
      <c r="F730" s="4">
        <v>46130</v>
      </c>
      <c r="G730" s="4">
        <v>46133</v>
      </c>
      <c r="H730" t="s">
        <v>90</v>
      </c>
      <c r="I730" t="s">
        <v>128</v>
      </c>
      <c r="J730" t="s">
        <v>129</v>
      </c>
      <c r="K730" t="s">
        <v>73</v>
      </c>
      <c r="L730" t="s">
        <v>61</v>
      </c>
      <c r="M730" s="5">
        <v>40500</v>
      </c>
      <c r="N730" s="5">
        <v>5100</v>
      </c>
      <c r="O730" s="5">
        <v>4450</v>
      </c>
      <c r="P730" s="5">
        <v>18000</v>
      </c>
      <c r="Q730" s="13">
        <v>70050</v>
      </c>
      <c r="R730" t="s">
        <v>75</v>
      </c>
      <c r="S730" t="s">
        <v>76</v>
      </c>
      <c r="T730" s="5">
        <v>31820</v>
      </c>
      <c r="U730" s="6">
        <v>5</v>
      </c>
      <c r="V730" t="s">
        <v>77</v>
      </c>
      <c r="W730" s="4">
        <v>46149</v>
      </c>
      <c r="X730" t="s">
        <v>77</v>
      </c>
      <c r="Y730" t="s">
        <v>64</v>
      </c>
      <c r="Z730" t="s">
        <v>78</v>
      </c>
      <c r="AA730" t="str">
        <f>VLOOKUP(H730,Departments!$A:$B,2,0)</f>
        <v>Cardiology</v>
      </c>
      <c r="AB730" t="str">
        <f>VLOOKUP(J730,Diagnosis_Guide!$A:$B,2,0)</f>
        <v>Hypertension Crisis</v>
      </c>
      <c r="AC730" s="4" t="str">
        <f>VLOOKUP(J730,Diagnosis_Guide!$A:$C,3,0)</f>
        <v>Cardiovascular</v>
      </c>
      <c r="AD730" s="4" t="str">
        <f>VLOOKUP(R730,Insurance_Plans!$A:$C,3,0)</f>
        <v>Public</v>
      </c>
      <c r="AE730" s="13">
        <f t="shared" si="33"/>
        <v>3502.5</v>
      </c>
      <c r="AF730" s="13">
        <f t="shared" si="34"/>
        <v>73552.5</v>
      </c>
      <c r="AG730" s="4" t="str">
        <f t="shared" si="35"/>
        <v>High</v>
      </c>
    </row>
    <row r="731" spans="1:33">
      <c r="A731" t="s">
        <v>1374</v>
      </c>
      <c r="B731" t="s">
        <v>493</v>
      </c>
      <c r="C731" s="11">
        <v>46128</v>
      </c>
      <c r="D731" t="s">
        <v>69</v>
      </c>
      <c r="E731" t="s">
        <v>314</v>
      </c>
      <c r="F731" s="4"/>
      <c r="G731" s="4"/>
      <c r="H731" t="s">
        <v>138</v>
      </c>
      <c r="I731" t="s">
        <v>235</v>
      </c>
      <c r="J731" t="s">
        <v>236</v>
      </c>
      <c r="K731" t="s">
        <v>73</v>
      </c>
      <c r="L731" t="s">
        <v>74</v>
      </c>
      <c r="M731" s="5"/>
      <c r="N731" s="5"/>
      <c r="O731" s="5"/>
      <c r="P731" s="5"/>
      <c r="R731" t="s">
        <v>106</v>
      </c>
      <c r="S731" t="s">
        <v>63</v>
      </c>
      <c r="T731" s="5"/>
      <c r="U731" s="6"/>
      <c r="V731" t="s">
        <v>64</v>
      </c>
      <c r="W731" s="4"/>
      <c r="X731" t="s">
        <v>65</v>
      </c>
      <c r="Z731" t="s">
        <v>66</v>
      </c>
      <c r="AA731" t="str">
        <f>VLOOKUP(H731,Departments!$A:$B,2,0)</f>
        <v>Pediatrics</v>
      </c>
      <c r="AB731" t="str">
        <f>VLOOKUP(J731,Diagnosis_Guide!$A:$B,2,0)</f>
        <v>Neonatal Observation</v>
      </c>
      <c r="AC731" s="4" t="str">
        <f>VLOOKUP(J731,Diagnosis_Guide!$A:$C,3,0)</f>
        <v>Pediatric</v>
      </c>
      <c r="AD731" s="4" t="str">
        <f>VLOOKUP(R731,Insurance_Plans!$A:$C,3,0)</f>
        <v>Private</v>
      </c>
      <c r="AE731" s="13" t="str">
        <f t="shared" si="33"/>
        <v/>
      </c>
      <c r="AF731" s="13" t="str">
        <f t="shared" si="34"/>
        <v/>
      </c>
      <c r="AG731" s="4" t="str">
        <f t="shared" si="35"/>
        <v>Not Available</v>
      </c>
    </row>
    <row r="732" spans="1:33">
      <c r="A732" t="s">
        <v>1375</v>
      </c>
      <c r="B732" t="s">
        <v>1376</v>
      </c>
      <c r="C732" s="11">
        <v>46050</v>
      </c>
      <c r="D732" t="s">
        <v>217</v>
      </c>
      <c r="E732" t="s">
        <v>56</v>
      </c>
      <c r="F732" s="4"/>
      <c r="G732" s="4"/>
      <c r="H732" t="s">
        <v>103</v>
      </c>
      <c r="I732" t="s">
        <v>412</v>
      </c>
      <c r="J732" t="s">
        <v>105</v>
      </c>
      <c r="K732" t="s">
        <v>73</v>
      </c>
      <c r="L732" t="s">
        <v>94</v>
      </c>
      <c r="M732" s="5"/>
      <c r="N732" s="5"/>
      <c r="O732" s="5"/>
      <c r="P732" s="5"/>
      <c r="R732" t="s">
        <v>141</v>
      </c>
      <c r="S732" t="s">
        <v>63</v>
      </c>
      <c r="T732" s="5"/>
      <c r="U732" s="6"/>
      <c r="V732" t="s">
        <v>64</v>
      </c>
      <c r="W732" s="4"/>
      <c r="X732" t="s">
        <v>65</v>
      </c>
      <c r="Z732" t="s">
        <v>66</v>
      </c>
      <c r="AA732" t="str">
        <f>VLOOKUP(H732,Departments!$A:$B,2,0)</f>
        <v>Nephrology</v>
      </c>
      <c r="AB732" t="str">
        <f>VLOOKUP(J732,Diagnosis_Guide!$A:$B,2,0)</f>
        <v>Dialysis Complication</v>
      </c>
      <c r="AC732" s="4" t="str">
        <f>VLOOKUP(J732,Diagnosis_Guide!$A:$C,3,0)</f>
        <v>Renal</v>
      </c>
      <c r="AD732" s="4" t="str">
        <f>VLOOKUP(R732,Insurance_Plans!$A:$C,3,0)</f>
        <v>Private</v>
      </c>
      <c r="AE732" s="13" t="str">
        <f t="shared" si="33"/>
        <v/>
      </c>
      <c r="AF732" s="13" t="str">
        <f t="shared" si="34"/>
        <v/>
      </c>
      <c r="AG732" s="4" t="str">
        <f t="shared" si="35"/>
        <v>Not Available</v>
      </c>
    </row>
    <row r="733" spans="1:33">
      <c r="A733" t="s">
        <v>1377</v>
      </c>
      <c r="B733" t="s">
        <v>1378</v>
      </c>
      <c r="C733" s="11">
        <v>46048</v>
      </c>
      <c r="D733" t="s">
        <v>110</v>
      </c>
      <c r="E733" t="s">
        <v>314</v>
      </c>
      <c r="F733" s="4"/>
      <c r="G733" s="4"/>
      <c r="H733" t="s">
        <v>138</v>
      </c>
      <c r="I733" t="s">
        <v>444</v>
      </c>
      <c r="J733" t="s">
        <v>236</v>
      </c>
      <c r="K733" t="s">
        <v>60</v>
      </c>
      <c r="L733" t="s">
        <v>94</v>
      </c>
      <c r="M733" s="5"/>
      <c r="N733" s="5"/>
      <c r="O733" s="5"/>
      <c r="P733" s="5"/>
      <c r="R733" t="s">
        <v>134</v>
      </c>
      <c r="S733" t="s">
        <v>63</v>
      </c>
      <c r="T733" s="5"/>
      <c r="U733" s="6"/>
      <c r="V733" t="s">
        <v>64</v>
      </c>
      <c r="W733" s="4"/>
      <c r="X733" t="s">
        <v>65</v>
      </c>
      <c r="Z733" t="s">
        <v>66</v>
      </c>
      <c r="AA733" t="str">
        <f>VLOOKUP(H733,Departments!$A:$B,2,0)</f>
        <v>Pediatrics</v>
      </c>
      <c r="AB733" t="str">
        <f>VLOOKUP(J733,Diagnosis_Guide!$A:$B,2,0)</f>
        <v>Neonatal Observation</v>
      </c>
      <c r="AC733" s="4" t="str">
        <f>VLOOKUP(J733,Diagnosis_Guide!$A:$C,3,0)</f>
        <v>Pediatric</v>
      </c>
      <c r="AD733" s="4" t="str">
        <f>VLOOKUP(R733,Insurance_Plans!$A:$C,3,0)</f>
        <v>Community</v>
      </c>
      <c r="AE733" s="13" t="str">
        <f t="shared" si="33"/>
        <v/>
      </c>
      <c r="AF733" s="13" t="str">
        <f t="shared" si="34"/>
        <v/>
      </c>
      <c r="AG733" s="4" t="str">
        <f t="shared" si="35"/>
        <v>Not Available</v>
      </c>
    </row>
    <row r="734" spans="1:33">
      <c r="A734" t="s">
        <v>1379</v>
      </c>
      <c r="B734" t="s">
        <v>950</v>
      </c>
      <c r="C734" s="11">
        <v>46024</v>
      </c>
      <c r="D734" t="s">
        <v>183</v>
      </c>
      <c r="E734" t="s">
        <v>70</v>
      </c>
      <c r="F734" s="4">
        <v>46024</v>
      </c>
      <c r="G734" s="4">
        <v>46031</v>
      </c>
      <c r="H734" t="s">
        <v>57</v>
      </c>
      <c r="I734" t="s">
        <v>58</v>
      </c>
      <c r="J734" t="s">
        <v>59</v>
      </c>
      <c r="K734" t="s">
        <v>124</v>
      </c>
      <c r="L734" t="s">
        <v>94</v>
      </c>
      <c r="M734" s="5">
        <v>47600</v>
      </c>
      <c r="N734" s="5">
        <v>4500</v>
      </c>
      <c r="O734" s="5">
        <v>8700</v>
      </c>
      <c r="P734" s="5">
        <v>21000</v>
      </c>
      <c r="Q734" s="13">
        <v>84300</v>
      </c>
      <c r="R734" t="s">
        <v>75</v>
      </c>
      <c r="S734" t="s">
        <v>86</v>
      </c>
      <c r="T734" s="5">
        <v>38230</v>
      </c>
      <c r="U734" s="6">
        <v>3</v>
      </c>
      <c r="V734" t="s">
        <v>77</v>
      </c>
      <c r="W734" s="4">
        <v>46052</v>
      </c>
      <c r="X734" t="s">
        <v>64</v>
      </c>
      <c r="Y734" t="s">
        <v>64</v>
      </c>
      <c r="Z734" t="s">
        <v>436</v>
      </c>
      <c r="AA734" t="str">
        <f>VLOOKUP(H734,Departments!$A:$B,2,0)</f>
        <v>Pulmonology</v>
      </c>
      <c r="AB734" t="str">
        <f>VLOOKUP(J734,Diagnosis_Guide!$A:$B,2,0)</f>
        <v>Pneumonia</v>
      </c>
      <c r="AC734" s="4" t="str">
        <f>VLOOKUP(J734,Diagnosis_Guide!$A:$C,3,0)</f>
        <v>Respiratory</v>
      </c>
      <c r="AD734" s="4" t="str">
        <f>VLOOKUP(R734,Insurance_Plans!$A:$C,3,0)</f>
        <v>Public</v>
      </c>
      <c r="AE734" s="13">
        <f t="shared" si="33"/>
        <v>4215</v>
      </c>
      <c r="AF734" s="13">
        <f t="shared" si="34"/>
        <v>88515</v>
      </c>
      <c r="AG734" s="4" t="str">
        <f t="shared" si="35"/>
        <v>Medium</v>
      </c>
    </row>
    <row r="735" spans="1:33">
      <c r="A735" t="s">
        <v>1380</v>
      </c>
      <c r="B735" t="s">
        <v>986</v>
      </c>
      <c r="C735" s="11">
        <v>46128</v>
      </c>
      <c r="D735" t="s">
        <v>469</v>
      </c>
      <c r="E735" t="s">
        <v>177</v>
      </c>
      <c r="F735" s="4"/>
      <c r="G735" s="4"/>
      <c r="H735" t="s">
        <v>111</v>
      </c>
      <c r="I735" t="s">
        <v>397</v>
      </c>
      <c r="J735" t="s">
        <v>113</v>
      </c>
      <c r="K735" t="s">
        <v>60</v>
      </c>
      <c r="L735" t="s">
        <v>74</v>
      </c>
      <c r="M735" s="5"/>
      <c r="N735" s="5"/>
      <c r="O735" s="5"/>
      <c r="P735" s="5"/>
      <c r="R735" t="s">
        <v>85</v>
      </c>
      <c r="S735" t="s">
        <v>63</v>
      </c>
      <c r="T735" s="5"/>
      <c r="U735" s="6"/>
      <c r="V735" t="s">
        <v>64</v>
      </c>
      <c r="W735" s="4"/>
      <c r="X735" t="s">
        <v>65</v>
      </c>
      <c r="Z735" t="s">
        <v>66</v>
      </c>
      <c r="AA735" t="str">
        <f>VLOOKUP(H735,Departments!$A:$B,2,0)</f>
        <v>General Medicine</v>
      </c>
      <c r="AB735" t="str">
        <f>VLOOKUP(J735,Diagnosis_Guide!$A:$B,2,0)</f>
        <v>Diabetes Complication</v>
      </c>
      <c r="AC735" s="4" t="str">
        <f>VLOOKUP(J735,Diagnosis_Guide!$A:$C,3,0)</f>
        <v>Endocrine/General</v>
      </c>
      <c r="AD735" s="4" t="str">
        <f>VLOOKUP(R735,Insurance_Plans!$A:$C,3,0)</f>
        <v>Employer</v>
      </c>
      <c r="AE735" s="13" t="str">
        <f t="shared" si="33"/>
        <v/>
      </c>
      <c r="AF735" s="13" t="str">
        <f t="shared" si="34"/>
        <v/>
      </c>
      <c r="AG735" s="4" t="str">
        <f t="shared" si="35"/>
        <v>Not Available</v>
      </c>
    </row>
    <row r="736" spans="1:33">
      <c r="A736" t="s">
        <v>1381</v>
      </c>
      <c r="B736" t="s">
        <v>497</v>
      </c>
      <c r="C736" s="11">
        <v>46083</v>
      </c>
      <c r="D736" t="s">
        <v>330</v>
      </c>
      <c r="E736" t="s">
        <v>314</v>
      </c>
      <c r="F736" s="4"/>
      <c r="G736" s="4"/>
      <c r="H736" t="s">
        <v>150</v>
      </c>
      <c r="I736" t="s">
        <v>228</v>
      </c>
      <c r="J736" t="s">
        <v>229</v>
      </c>
      <c r="K736" t="s">
        <v>124</v>
      </c>
      <c r="L736" t="s">
        <v>61</v>
      </c>
      <c r="M736" s="5"/>
      <c r="N736" s="5"/>
      <c r="O736" s="5"/>
      <c r="P736" s="5"/>
      <c r="R736" t="s">
        <v>141</v>
      </c>
      <c r="S736" t="s">
        <v>63</v>
      </c>
      <c r="T736" s="5"/>
      <c r="U736" s="6"/>
      <c r="V736" t="s">
        <v>64</v>
      </c>
      <c r="W736" s="4"/>
      <c r="X736" t="s">
        <v>65</v>
      </c>
      <c r="Z736" t="s">
        <v>66</v>
      </c>
      <c r="AA736" t="str">
        <f>VLOOKUP(H736,Departments!$A:$B,2,0)</f>
        <v>Obstetrics</v>
      </c>
      <c r="AB736" t="str">
        <f>VLOOKUP(J736,Diagnosis_Guide!$A:$B,2,0)</f>
        <v>Delivery Care</v>
      </c>
      <c r="AC736" s="4" t="str">
        <f>VLOOKUP(J736,Diagnosis_Guide!$A:$C,3,0)</f>
        <v>Maternal Health</v>
      </c>
      <c r="AD736" s="4" t="str">
        <f>VLOOKUP(R736,Insurance_Plans!$A:$C,3,0)</f>
        <v>Private</v>
      </c>
      <c r="AE736" s="13" t="str">
        <f t="shared" si="33"/>
        <v/>
      </c>
      <c r="AF736" s="13" t="str">
        <f t="shared" si="34"/>
        <v/>
      </c>
      <c r="AG736" s="4" t="str">
        <f t="shared" si="35"/>
        <v>Not Available</v>
      </c>
    </row>
    <row r="737" spans="1:33">
      <c r="A737" t="s">
        <v>1382</v>
      </c>
      <c r="B737" t="s">
        <v>313</v>
      </c>
      <c r="C737" s="11">
        <v>46104</v>
      </c>
      <c r="D737" t="s">
        <v>132</v>
      </c>
      <c r="E737" t="s">
        <v>70</v>
      </c>
      <c r="F737" s="4">
        <v>46104</v>
      </c>
      <c r="G737" s="4">
        <v>46109</v>
      </c>
      <c r="H737" t="s">
        <v>103</v>
      </c>
      <c r="I737" t="s">
        <v>412</v>
      </c>
      <c r="J737" t="s">
        <v>105</v>
      </c>
      <c r="K737" t="s">
        <v>73</v>
      </c>
      <c r="L737" t="s">
        <v>74</v>
      </c>
      <c r="M737" s="5">
        <v>55700</v>
      </c>
      <c r="N737" s="5">
        <v>6000</v>
      </c>
      <c r="O737" s="5">
        <v>5950</v>
      </c>
      <c r="P737" s="5">
        <v>17500</v>
      </c>
      <c r="Q737" s="13">
        <v>86350</v>
      </c>
      <c r="R737" t="s">
        <v>134</v>
      </c>
      <c r="S737" t="s">
        <v>76</v>
      </c>
      <c r="T737" s="5">
        <v>47690</v>
      </c>
      <c r="U737" s="6">
        <v>4</v>
      </c>
      <c r="V737" t="s">
        <v>77</v>
      </c>
      <c r="W737" s="4">
        <v>46117</v>
      </c>
      <c r="X737" t="s">
        <v>77</v>
      </c>
      <c r="Y737" t="s">
        <v>64</v>
      </c>
      <c r="Z737" t="s">
        <v>78</v>
      </c>
      <c r="AA737" t="str">
        <f>VLOOKUP(H737,Departments!$A:$B,2,0)</f>
        <v>Nephrology</v>
      </c>
      <c r="AB737" t="str">
        <f>VLOOKUP(J737,Diagnosis_Guide!$A:$B,2,0)</f>
        <v>Dialysis Complication</v>
      </c>
      <c r="AC737" s="4" t="str">
        <f>VLOOKUP(J737,Diagnosis_Guide!$A:$C,3,0)</f>
        <v>Renal</v>
      </c>
      <c r="AD737" s="4" t="str">
        <f>VLOOKUP(R737,Insurance_Plans!$A:$C,3,0)</f>
        <v>Community</v>
      </c>
      <c r="AE737" s="13">
        <f t="shared" si="33"/>
        <v>4317.5</v>
      </c>
      <c r="AF737" s="13">
        <f t="shared" si="34"/>
        <v>90667.5</v>
      </c>
      <c r="AG737" s="4" t="str">
        <f t="shared" si="35"/>
        <v>High</v>
      </c>
    </row>
    <row r="738" spans="1:33">
      <c r="A738" t="s">
        <v>1383</v>
      </c>
      <c r="B738" t="s">
        <v>517</v>
      </c>
      <c r="C738" s="11">
        <v>46125</v>
      </c>
      <c r="D738" t="s">
        <v>284</v>
      </c>
      <c r="E738" t="s">
        <v>70</v>
      </c>
      <c r="F738" s="4">
        <v>46125</v>
      </c>
      <c r="G738" s="4">
        <v>46127</v>
      </c>
      <c r="H738" t="s">
        <v>201</v>
      </c>
      <c r="I738" t="s">
        <v>449</v>
      </c>
      <c r="J738" t="s">
        <v>203</v>
      </c>
      <c r="K738" t="s">
        <v>124</v>
      </c>
      <c r="L738" t="s">
        <v>146</v>
      </c>
      <c r="M738" s="5">
        <v>42800</v>
      </c>
      <c r="N738" s="5">
        <v>6050</v>
      </c>
      <c r="O738" s="5">
        <v>7750</v>
      </c>
      <c r="P738" s="5">
        <v>6000</v>
      </c>
      <c r="Q738" s="13">
        <v>63400</v>
      </c>
      <c r="R738" t="s">
        <v>106</v>
      </c>
      <c r="S738" t="s">
        <v>163</v>
      </c>
      <c r="T738" s="5">
        <v>22890</v>
      </c>
      <c r="U738" s="6">
        <v>5</v>
      </c>
      <c r="V738" t="s">
        <v>64</v>
      </c>
      <c r="W738" s="4"/>
      <c r="X738" t="s">
        <v>65</v>
      </c>
      <c r="Y738" t="s">
        <v>64</v>
      </c>
      <c r="Z738" t="s">
        <v>96</v>
      </c>
      <c r="AA738" t="str">
        <f>VLOOKUP(H738,Departments!$A:$B,2,0)</f>
        <v>Emergency</v>
      </c>
      <c r="AB738" t="str">
        <f>VLOOKUP(J738,Diagnosis_Guide!$A:$B,2,0)</f>
        <v>Trauma Observation</v>
      </c>
      <c r="AC738" s="4" t="str">
        <f>VLOOKUP(J738,Diagnosis_Guide!$A:$C,3,0)</f>
        <v>Emergency</v>
      </c>
      <c r="AD738" s="4" t="str">
        <f>VLOOKUP(R738,Insurance_Plans!$A:$C,3,0)</f>
        <v>Private</v>
      </c>
      <c r="AE738" s="13">
        <f t="shared" si="33"/>
        <v>3170</v>
      </c>
      <c r="AF738" s="13">
        <f t="shared" si="34"/>
        <v>66570</v>
      </c>
      <c r="AG738" s="4" t="str">
        <f t="shared" si="35"/>
        <v>High</v>
      </c>
    </row>
    <row r="739" spans="1:33">
      <c r="A739" t="s">
        <v>1384</v>
      </c>
      <c r="B739" t="s">
        <v>532</v>
      </c>
      <c r="C739" s="11">
        <v>46132</v>
      </c>
      <c r="D739" t="s">
        <v>206</v>
      </c>
      <c r="E739" t="s">
        <v>70</v>
      </c>
      <c r="F739" s="4">
        <v>46132</v>
      </c>
      <c r="G739" s="4">
        <v>46132</v>
      </c>
      <c r="H739" t="s">
        <v>57</v>
      </c>
      <c r="I739" t="s">
        <v>58</v>
      </c>
      <c r="J739" t="s">
        <v>170</v>
      </c>
      <c r="K739" t="s">
        <v>60</v>
      </c>
      <c r="L739" t="s">
        <v>61</v>
      </c>
      <c r="M739" s="5">
        <v>67800</v>
      </c>
      <c r="N739" s="5">
        <v>6850</v>
      </c>
      <c r="O739" s="5">
        <v>8000</v>
      </c>
      <c r="P739" s="5">
        <v>0</v>
      </c>
      <c r="Q739" s="13">
        <v>85150</v>
      </c>
      <c r="R739" t="s">
        <v>85</v>
      </c>
      <c r="S739" t="s">
        <v>76</v>
      </c>
      <c r="T739" s="5">
        <v>22190</v>
      </c>
      <c r="U739" s="6">
        <v>4</v>
      </c>
      <c r="V739" t="s">
        <v>77</v>
      </c>
      <c r="W739" s="4">
        <v>46153</v>
      </c>
      <c r="X739" t="s">
        <v>77</v>
      </c>
      <c r="Y739" t="s">
        <v>64</v>
      </c>
      <c r="Z739" t="s">
        <v>96</v>
      </c>
      <c r="AA739" t="str">
        <f>VLOOKUP(H739,Departments!$A:$B,2,0)</f>
        <v>Pulmonology</v>
      </c>
      <c r="AB739" t="str">
        <f>VLOOKUP(J739,Diagnosis_Guide!$A:$B,2,0)</f>
        <v>COPD Exacerbation</v>
      </c>
      <c r="AC739" s="4" t="str">
        <f>VLOOKUP(J739,Diagnosis_Guide!$A:$C,3,0)</f>
        <v>Respiratory</v>
      </c>
      <c r="AD739" s="4" t="str">
        <f>VLOOKUP(R739,Insurance_Plans!$A:$C,3,0)</f>
        <v>Employer</v>
      </c>
      <c r="AE739" s="13">
        <f t="shared" si="33"/>
        <v>4257.5</v>
      </c>
      <c r="AF739" s="13">
        <f t="shared" si="34"/>
        <v>89407.5</v>
      </c>
      <c r="AG739" s="4" t="str">
        <f t="shared" si="35"/>
        <v>High</v>
      </c>
    </row>
    <row r="740" spans="1:33">
      <c r="A740" t="s">
        <v>1385</v>
      </c>
      <c r="B740" t="s">
        <v>109</v>
      </c>
      <c r="C740" s="11">
        <v>46167</v>
      </c>
      <c r="D740" t="s">
        <v>294</v>
      </c>
      <c r="E740" t="s">
        <v>70</v>
      </c>
      <c r="F740" s="4">
        <v>46167</v>
      </c>
      <c r="G740" s="4">
        <v>46174</v>
      </c>
      <c r="H740" t="s">
        <v>57</v>
      </c>
      <c r="I740" t="s">
        <v>71</v>
      </c>
      <c r="J740" t="s">
        <v>170</v>
      </c>
      <c r="K740" t="s">
        <v>93</v>
      </c>
      <c r="L740" t="s">
        <v>94</v>
      </c>
      <c r="M740" s="5">
        <v>49300</v>
      </c>
      <c r="N740" s="5">
        <v>8850</v>
      </c>
      <c r="O740" s="5">
        <v>7700</v>
      </c>
      <c r="P740" s="5">
        <v>42000</v>
      </c>
      <c r="Q740" s="13">
        <v>109650</v>
      </c>
      <c r="R740" t="s">
        <v>106</v>
      </c>
      <c r="S740" t="s">
        <v>76</v>
      </c>
      <c r="T740" s="5">
        <v>39080</v>
      </c>
      <c r="U740" s="6">
        <v>4</v>
      </c>
      <c r="V740" t="s">
        <v>77</v>
      </c>
      <c r="W740" s="4">
        <v>46190</v>
      </c>
      <c r="X740" t="s">
        <v>77</v>
      </c>
      <c r="Y740" t="s">
        <v>64</v>
      </c>
      <c r="Z740" t="s">
        <v>96</v>
      </c>
      <c r="AA740" t="str">
        <f>VLOOKUP(H740,Departments!$A:$B,2,0)</f>
        <v>Pulmonology</v>
      </c>
      <c r="AB740" t="str">
        <f>VLOOKUP(J740,Diagnosis_Guide!$A:$B,2,0)</f>
        <v>COPD Exacerbation</v>
      </c>
      <c r="AC740" s="4" t="str">
        <f>VLOOKUP(J740,Diagnosis_Guide!$A:$C,3,0)</f>
        <v>Respiratory</v>
      </c>
      <c r="AD740" s="4" t="str">
        <f>VLOOKUP(R740,Insurance_Plans!$A:$C,3,0)</f>
        <v>Private</v>
      </c>
      <c r="AE740" s="13">
        <f t="shared" si="33"/>
        <v>5482.5</v>
      </c>
      <c r="AF740" s="13">
        <f t="shared" si="34"/>
        <v>115132.5</v>
      </c>
      <c r="AG740" s="4" t="str">
        <f t="shared" si="35"/>
        <v>High</v>
      </c>
    </row>
    <row r="741" spans="1:33">
      <c r="A741" t="s">
        <v>1386</v>
      </c>
      <c r="B741" t="s">
        <v>491</v>
      </c>
      <c r="C741" s="11">
        <v>46111</v>
      </c>
      <c r="D741" t="s">
        <v>144</v>
      </c>
      <c r="E741" t="s">
        <v>70</v>
      </c>
      <c r="F741" s="4">
        <v>46112</v>
      </c>
      <c r="G741" s="4">
        <v>46118</v>
      </c>
      <c r="H741" t="s">
        <v>121</v>
      </c>
      <c r="I741" t="s">
        <v>386</v>
      </c>
      <c r="J741" t="s">
        <v>123</v>
      </c>
      <c r="K741" t="s">
        <v>73</v>
      </c>
      <c r="L741" t="s">
        <v>94</v>
      </c>
      <c r="M741" s="5">
        <v>29800</v>
      </c>
      <c r="N741" s="5">
        <v>2550</v>
      </c>
      <c r="O741" s="5">
        <v>3000</v>
      </c>
      <c r="P741" s="5">
        <v>15000</v>
      </c>
      <c r="Q741" s="13">
        <v>52850</v>
      </c>
      <c r="R741" t="s">
        <v>62</v>
      </c>
      <c r="S741" t="s">
        <v>86</v>
      </c>
      <c r="T741" s="5">
        <v>16260</v>
      </c>
      <c r="U741" s="6">
        <v>3</v>
      </c>
      <c r="V741" t="s">
        <v>77</v>
      </c>
      <c r="W741" s="4">
        <v>46135</v>
      </c>
      <c r="X741" t="s">
        <v>77</v>
      </c>
      <c r="Y741" t="s">
        <v>64</v>
      </c>
      <c r="Z741" t="s">
        <v>436</v>
      </c>
      <c r="AA741" t="str">
        <f>VLOOKUP(H741,Departments!$A:$B,2,0)</f>
        <v>Neurology</v>
      </c>
      <c r="AB741" t="str">
        <f>VLOOKUP(J741,Diagnosis_Guide!$A:$B,2,0)</f>
        <v>Seizure Episode</v>
      </c>
      <c r="AC741" s="4" t="str">
        <f>VLOOKUP(J741,Diagnosis_Guide!$A:$C,3,0)</f>
        <v>Neurological</v>
      </c>
      <c r="AD741" s="4" t="str">
        <f>VLOOKUP(R741,Insurance_Plans!$A:$C,3,0)</f>
        <v>Public</v>
      </c>
      <c r="AE741" s="13">
        <f t="shared" si="33"/>
        <v>2642.5</v>
      </c>
      <c r="AF741" s="13">
        <f t="shared" si="34"/>
        <v>55492.5</v>
      </c>
      <c r="AG741" s="4" t="str">
        <f t="shared" si="35"/>
        <v>Medium</v>
      </c>
    </row>
    <row r="742" spans="1:33">
      <c r="A742" t="s">
        <v>1387</v>
      </c>
      <c r="B742" t="s">
        <v>1240</v>
      </c>
      <c r="C742" s="11">
        <v>46145</v>
      </c>
      <c r="D742" t="s">
        <v>439</v>
      </c>
      <c r="E742" t="s">
        <v>70</v>
      </c>
      <c r="F742" s="4">
        <v>46146</v>
      </c>
      <c r="G742" s="4">
        <v>46146</v>
      </c>
      <c r="H742" t="s">
        <v>57</v>
      </c>
      <c r="I742" t="s">
        <v>169</v>
      </c>
      <c r="J742" t="s">
        <v>170</v>
      </c>
      <c r="K742" t="s">
        <v>60</v>
      </c>
      <c r="L742" t="s">
        <v>94</v>
      </c>
      <c r="M742" s="5">
        <v>78400</v>
      </c>
      <c r="N742" s="5">
        <v>13000</v>
      </c>
      <c r="O742" s="5">
        <v>14150</v>
      </c>
      <c r="P742" s="5">
        <v>0</v>
      </c>
      <c r="Q742" s="13">
        <v>106350</v>
      </c>
      <c r="R742" t="s">
        <v>106</v>
      </c>
      <c r="S742" t="s">
        <v>76</v>
      </c>
      <c r="T742" s="5">
        <v>37920</v>
      </c>
      <c r="U742" s="6">
        <v>2</v>
      </c>
      <c r="V742" t="s">
        <v>77</v>
      </c>
      <c r="W742" s="4">
        <v>46156</v>
      </c>
      <c r="X742" t="s">
        <v>64</v>
      </c>
      <c r="Y742" t="s">
        <v>77</v>
      </c>
      <c r="Z742" t="s">
        <v>107</v>
      </c>
      <c r="AA742" t="str">
        <f>VLOOKUP(H742,Departments!$A:$B,2,0)</f>
        <v>Pulmonology</v>
      </c>
      <c r="AB742" t="str">
        <f>VLOOKUP(J742,Diagnosis_Guide!$A:$B,2,0)</f>
        <v>COPD Exacerbation</v>
      </c>
      <c r="AC742" s="4" t="str">
        <f>VLOOKUP(J742,Diagnosis_Guide!$A:$C,3,0)</f>
        <v>Respiratory</v>
      </c>
      <c r="AD742" s="4" t="str">
        <f>VLOOKUP(R742,Insurance_Plans!$A:$C,3,0)</f>
        <v>Private</v>
      </c>
      <c r="AE742" s="13">
        <f t="shared" si="33"/>
        <v>5317.5</v>
      </c>
      <c r="AF742" s="13">
        <f t="shared" si="34"/>
        <v>111667.5</v>
      </c>
      <c r="AG742" s="4" t="str">
        <f t="shared" si="35"/>
        <v>Low</v>
      </c>
    </row>
    <row r="743" spans="1:33">
      <c r="A743" t="s">
        <v>1388</v>
      </c>
      <c r="B743" t="s">
        <v>926</v>
      </c>
      <c r="C743" s="11">
        <v>46052</v>
      </c>
      <c r="D743" t="s">
        <v>469</v>
      </c>
      <c r="E743" t="s">
        <v>70</v>
      </c>
      <c r="F743" s="4">
        <v>46053</v>
      </c>
      <c r="G743" s="4">
        <v>46055</v>
      </c>
      <c r="H743" t="s">
        <v>178</v>
      </c>
      <c r="I743" t="s">
        <v>462</v>
      </c>
      <c r="J743" t="s">
        <v>358</v>
      </c>
      <c r="K743" t="s">
        <v>93</v>
      </c>
      <c r="L743" t="s">
        <v>94</v>
      </c>
      <c r="M743" s="5">
        <v>45800</v>
      </c>
      <c r="N743" s="5">
        <v>8050</v>
      </c>
      <c r="O743" s="5">
        <v>4600</v>
      </c>
      <c r="P743" s="5">
        <v>7000</v>
      </c>
      <c r="Q743" s="13">
        <v>67950</v>
      </c>
      <c r="R743" t="s">
        <v>95</v>
      </c>
      <c r="S743" t="s">
        <v>63</v>
      </c>
      <c r="T743" s="5">
        <v>67950</v>
      </c>
      <c r="U743" s="6">
        <v>4</v>
      </c>
      <c r="V743" t="s">
        <v>64</v>
      </c>
      <c r="W743" s="4"/>
      <c r="X743" t="s">
        <v>65</v>
      </c>
      <c r="Y743" t="s">
        <v>64</v>
      </c>
      <c r="Z743" t="s">
        <v>107</v>
      </c>
      <c r="AA743" t="str">
        <f>VLOOKUP(H743,Departments!$A:$B,2,0)</f>
        <v>Surgery</v>
      </c>
      <c r="AB743" t="str">
        <f>VLOOKUP(J743,Diagnosis_Guide!$A:$B,2,0)</f>
        <v>Gallbladder Surgery</v>
      </c>
      <c r="AC743" s="4" t="str">
        <f>VLOOKUP(J743,Diagnosis_Guide!$A:$C,3,0)</f>
        <v>Surgical</v>
      </c>
      <c r="AD743" s="4" t="str">
        <f>VLOOKUP(R743,Insurance_Plans!$A:$C,3,0)</f>
        <v>Self-Pay</v>
      </c>
      <c r="AE743" s="13">
        <f t="shared" si="33"/>
        <v>3397.5</v>
      </c>
      <c r="AF743" s="13">
        <f t="shared" si="34"/>
        <v>71347.5</v>
      </c>
      <c r="AG743" s="4" t="str">
        <f t="shared" si="35"/>
        <v>High</v>
      </c>
    </row>
    <row r="744" spans="1:33">
      <c r="A744" t="s">
        <v>1389</v>
      </c>
      <c r="B744" t="s">
        <v>288</v>
      </c>
      <c r="C744" s="11">
        <v>46033</v>
      </c>
      <c r="D744" t="s">
        <v>330</v>
      </c>
      <c r="E744" t="s">
        <v>70</v>
      </c>
      <c r="F744" s="4">
        <v>46034</v>
      </c>
      <c r="G744" s="4">
        <v>46038</v>
      </c>
      <c r="H744" t="s">
        <v>57</v>
      </c>
      <c r="I744" t="s">
        <v>211</v>
      </c>
      <c r="J744" t="s">
        <v>59</v>
      </c>
      <c r="K744" t="s">
        <v>93</v>
      </c>
      <c r="L744" t="s">
        <v>94</v>
      </c>
      <c r="M744" s="5">
        <v>54000</v>
      </c>
      <c r="N744" s="5">
        <v>7650</v>
      </c>
      <c r="O744" s="5">
        <v>8050</v>
      </c>
      <c r="P744" s="5">
        <v>14000</v>
      </c>
      <c r="Q744" s="13">
        <v>85700</v>
      </c>
      <c r="R744" t="s">
        <v>106</v>
      </c>
      <c r="S744" t="s">
        <v>76</v>
      </c>
      <c r="T744" s="5">
        <v>30690</v>
      </c>
      <c r="U744" s="6">
        <v>4</v>
      </c>
      <c r="V744" t="s">
        <v>77</v>
      </c>
      <c r="W744" s="4">
        <v>46045</v>
      </c>
      <c r="X744" t="s">
        <v>77</v>
      </c>
      <c r="Y744" t="s">
        <v>64</v>
      </c>
      <c r="Z744" t="s">
        <v>96</v>
      </c>
      <c r="AA744" t="str">
        <f>VLOOKUP(H744,Departments!$A:$B,2,0)</f>
        <v>Pulmonology</v>
      </c>
      <c r="AB744" t="str">
        <f>VLOOKUP(J744,Diagnosis_Guide!$A:$B,2,0)</f>
        <v>Pneumonia</v>
      </c>
      <c r="AC744" s="4" t="str">
        <f>VLOOKUP(J744,Diagnosis_Guide!$A:$C,3,0)</f>
        <v>Respiratory</v>
      </c>
      <c r="AD744" s="4" t="str">
        <f>VLOOKUP(R744,Insurance_Plans!$A:$C,3,0)</f>
        <v>Private</v>
      </c>
      <c r="AE744" s="13">
        <f t="shared" si="33"/>
        <v>4285</v>
      </c>
      <c r="AF744" s="13">
        <f t="shared" si="34"/>
        <v>89985</v>
      </c>
      <c r="AG744" s="4" t="str">
        <f t="shared" si="35"/>
        <v>High</v>
      </c>
    </row>
    <row r="745" spans="1:33">
      <c r="A745" t="s">
        <v>1390</v>
      </c>
      <c r="B745" t="s">
        <v>1391</v>
      </c>
      <c r="C745" s="11">
        <v>46036</v>
      </c>
      <c r="D745" t="s">
        <v>137</v>
      </c>
      <c r="E745" t="s">
        <v>70</v>
      </c>
      <c r="F745" s="4">
        <v>46036</v>
      </c>
      <c r="G745" s="4">
        <v>46038</v>
      </c>
      <c r="H745" t="s">
        <v>150</v>
      </c>
      <c r="I745" t="s">
        <v>228</v>
      </c>
      <c r="J745" t="s">
        <v>152</v>
      </c>
      <c r="K745" t="s">
        <v>124</v>
      </c>
      <c r="L745" t="s">
        <v>74</v>
      </c>
      <c r="M745" s="5">
        <v>28200</v>
      </c>
      <c r="N745" s="5">
        <v>4450</v>
      </c>
      <c r="O745" s="5">
        <v>4350</v>
      </c>
      <c r="P745" s="5">
        <v>9000</v>
      </c>
      <c r="Q745" s="13">
        <v>47500</v>
      </c>
      <c r="R745" t="s">
        <v>62</v>
      </c>
      <c r="S745" t="s">
        <v>76</v>
      </c>
      <c r="T745" s="5">
        <v>14650</v>
      </c>
      <c r="U745" s="6">
        <v>4</v>
      </c>
      <c r="V745" t="s">
        <v>64</v>
      </c>
      <c r="W745" s="4"/>
      <c r="X745" t="s">
        <v>65</v>
      </c>
      <c r="Y745" t="s">
        <v>64</v>
      </c>
      <c r="Z745" t="s">
        <v>78</v>
      </c>
      <c r="AA745" t="str">
        <f>VLOOKUP(H745,Departments!$A:$B,2,0)</f>
        <v>Obstetrics</v>
      </c>
      <c r="AB745" t="str">
        <f>VLOOKUP(J745,Diagnosis_Guide!$A:$B,2,0)</f>
        <v>Antenatal Complication</v>
      </c>
      <c r="AC745" s="4" t="str">
        <f>VLOOKUP(J745,Diagnosis_Guide!$A:$C,3,0)</f>
        <v>Maternal Health</v>
      </c>
      <c r="AD745" s="4" t="str">
        <f>VLOOKUP(R745,Insurance_Plans!$A:$C,3,0)</f>
        <v>Public</v>
      </c>
      <c r="AE745" s="13">
        <f t="shared" si="33"/>
        <v>2375</v>
      </c>
      <c r="AF745" s="13">
        <f t="shared" si="34"/>
        <v>49875</v>
      </c>
      <c r="AG745" s="4" t="str">
        <f t="shared" si="35"/>
        <v>High</v>
      </c>
    </row>
    <row r="746" spans="1:33">
      <c r="A746" t="s">
        <v>1392</v>
      </c>
      <c r="B746" t="s">
        <v>702</v>
      </c>
      <c r="C746" s="11">
        <v>46105</v>
      </c>
      <c r="D746" t="s">
        <v>99</v>
      </c>
      <c r="E746" t="s">
        <v>70</v>
      </c>
      <c r="F746" s="4">
        <v>46105</v>
      </c>
      <c r="G746" s="4">
        <v>46105</v>
      </c>
      <c r="H746" t="s">
        <v>90</v>
      </c>
      <c r="I746" t="s">
        <v>133</v>
      </c>
      <c r="J746" t="s">
        <v>197</v>
      </c>
      <c r="K746" t="s">
        <v>60</v>
      </c>
      <c r="L746" t="s">
        <v>61</v>
      </c>
      <c r="M746" s="5">
        <v>16000</v>
      </c>
      <c r="N746" s="5">
        <v>2350</v>
      </c>
      <c r="O746" s="5">
        <v>3700</v>
      </c>
      <c r="P746" s="5">
        <v>0</v>
      </c>
      <c r="Q746" s="13">
        <v>24050</v>
      </c>
      <c r="R746" t="s">
        <v>106</v>
      </c>
      <c r="S746" t="s">
        <v>76</v>
      </c>
      <c r="T746" s="5">
        <v>9120</v>
      </c>
      <c r="U746" s="6"/>
      <c r="V746" t="s">
        <v>64</v>
      </c>
      <c r="W746" s="4"/>
      <c r="X746" t="s">
        <v>65</v>
      </c>
      <c r="Y746" t="s">
        <v>64</v>
      </c>
      <c r="Z746" t="s">
        <v>78</v>
      </c>
      <c r="AA746" t="str">
        <f>VLOOKUP(H746,Departments!$A:$B,2,0)</f>
        <v>Cardiology</v>
      </c>
      <c r="AB746" t="str">
        <f>VLOOKUP(J746,Diagnosis_Guide!$A:$B,2,0)</f>
        <v>Chest Pain</v>
      </c>
      <c r="AC746" s="4" t="str">
        <f>VLOOKUP(J746,Diagnosis_Guide!$A:$C,3,0)</f>
        <v>Cardiovascular</v>
      </c>
      <c r="AD746" s="4" t="str">
        <f>VLOOKUP(R746,Insurance_Plans!$A:$C,3,0)</f>
        <v>Private</v>
      </c>
      <c r="AE746" s="13">
        <f t="shared" si="33"/>
        <v>1202.5</v>
      </c>
      <c r="AF746" s="13">
        <f t="shared" si="34"/>
        <v>25252.5</v>
      </c>
      <c r="AG746" s="4" t="str">
        <f t="shared" si="35"/>
        <v>Not Available</v>
      </c>
    </row>
    <row r="747" spans="1:33">
      <c r="A747" t="s">
        <v>1393</v>
      </c>
      <c r="B747" t="s">
        <v>520</v>
      </c>
      <c r="C747" s="11">
        <v>46044</v>
      </c>
      <c r="D747" t="s">
        <v>89</v>
      </c>
      <c r="E747" t="s">
        <v>70</v>
      </c>
      <c r="F747" s="4">
        <v>46044</v>
      </c>
      <c r="G747" s="4">
        <v>46045</v>
      </c>
      <c r="H747" t="s">
        <v>111</v>
      </c>
      <c r="I747" t="s">
        <v>116</v>
      </c>
      <c r="J747" t="s">
        <v>113</v>
      </c>
      <c r="K747" t="s">
        <v>124</v>
      </c>
      <c r="L747" t="s">
        <v>61</v>
      </c>
      <c r="M747" s="5">
        <v>17600</v>
      </c>
      <c r="N747" s="5">
        <v>2650</v>
      </c>
      <c r="O747" s="5">
        <v>3300</v>
      </c>
      <c r="P747" s="5">
        <v>6000</v>
      </c>
      <c r="Q747" s="13">
        <v>30350</v>
      </c>
      <c r="R747" t="s">
        <v>141</v>
      </c>
      <c r="S747" t="s">
        <v>76</v>
      </c>
      <c r="T747" s="5">
        <v>5750</v>
      </c>
      <c r="U747" s="6"/>
      <c r="V747" t="s">
        <v>77</v>
      </c>
      <c r="W747" s="4">
        <v>46053</v>
      </c>
      <c r="X747" t="s">
        <v>77</v>
      </c>
      <c r="Y747" t="s">
        <v>64</v>
      </c>
      <c r="Z747" t="s">
        <v>96</v>
      </c>
      <c r="AA747" t="str">
        <f>VLOOKUP(H747,Departments!$A:$B,2,0)</f>
        <v>General Medicine</v>
      </c>
      <c r="AB747" t="str">
        <f>VLOOKUP(J747,Diagnosis_Guide!$A:$B,2,0)</f>
        <v>Diabetes Complication</v>
      </c>
      <c r="AC747" s="4" t="str">
        <f>VLOOKUP(J747,Diagnosis_Guide!$A:$C,3,0)</f>
        <v>Endocrine/General</v>
      </c>
      <c r="AD747" s="4" t="str">
        <f>VLOOKUP(R747,Insurance_Plans!$A:$C,3,0)</f>
        <v>Private</v>
      </c>
      <c r="AE747" s="13">
        <f t="shared" si="33"/>
        <v>1517.5</v>
      </c>
      <c r="AF747" s="13">
        <f t="shared" si="34"/>
        <v>31867.5</v>
      </c>
      <c r="AG747" s="4" t="str">
        <f t="shared" si="35"/>
        <v>Not Available</v>
      </c>
    </row>
    <row r="748" spans="1:33">
      <c r="A748" t="s">
        <v>1394</v>
      </c>
      <c r="B748" t="s">
        <v>423</v>
      </c>
      <c r="C748" s="11">
        <v>46158</v>
      </c>
      <c r="D748" t="s">
        <v>168</v>
      </c>
      <c r="E748" t="s">
        <v>70</v>
      </c>
      <c r="F748" s="4">
        <v>46158</v>
      </c>
      <c r="G748" s="4">
        <v>46161</v>
      </c>
      <c r="H748" t="s">
        <v>138</v>
      </c>
      <c r="I748" t="s">
        <v>343</v>
      </c>
      <c r="J748" t="s">
        <v>140</v>
      </c>
      <c r="K748" t="s">
        <v>124</v>
      </c>
      <c r="L748" t="s">
        <v>74</v>
      </c>
      <c r="M748" s="5">
        <v>13400</v>
      </c>
      <c r="N748" s="5">
        <v>1200</v>
      </c>
      <c r="O748" s="5">
        <v>1450</v>
      </c>
      <c r="P748" s="5">
        <v>9000</v>
      </c>
      <c r="Q748" s="13">
        <v>26850</v>
      </c>
      <c r="R748" t="s">
        <v>141</v>
      </c>
      <c r="S748" t="s">
        <v>76</v>
      </c>
      <c r="T748" s="5">
        <v>5230</v>
      </c>
      <c r="U748" s="6">
        <v>4</v>
      </c>
      <c r="V748" t="s">
        <v>77</v>
      </c>
      <c r="W748" s="4">
        <v>46169</v>
      </c>
      <c r="X748" t="s">
        <v>64</v>
      </c>
      <c r="Y748" t="s">
        <v>77</v>
      </c>
      <c r="Z748" t="s">
        <v>78</v>
      </c>
      <c r="AA748" t="str">
        <f>VLOOKUP(H748,Departments!$A:$B,2,0)</f>
        <v>Pediatrics</v>
      </c>
      <c r="AB748" t="str">
        <f>VLOOKUP(J748,Diagnosis_Guide!$A:$B,2,0)</f>
        <v>Pediatric Asthma</v>
      </c>
      <c r="AC748" s="4" t="str">
        <f>VLOOKUP(J748,Diagnosis_Guide!$A:$C,3,0)</f>
        <v>Pediatric</v>
      </c>
      <c r="AD748" s="4" t="str">
        <f>VLOOKUP(R748,Insurance_Plans!$A:$C,3,0)</f>
        <v>Private</v>
      </c>
      <c r="AE748" s="13">
        <f t="shared" si="33"/>
        <v>1342.5</v>
      </c>
      <c r="AF748" s="13">
        <f t="shared" si="34"/>
        <v>28192.5</v>
      </c>
      <c r="AG748" s="4" t="str">
        <f t="shared" si="35"/>
        <v>High</v>
      </c>
    </row>
    <row r="749" spans="1:33">
      <c r="A749" t="s">
        <v>1395</v>
      </c>
      <c r="B749" t="s">
        <v>1396</v>
      </c>
      <c r="C749" s="11">
        <v>46107</v>
      </c>
      <c r="D749" t="s">
        <v>132</v>
      </c>
      <c r="E749" t="s">
        <v>70</v>
      </c>
      <c r="F749" s="4">
        <v>46107</v>
      </c>
      <c r="G749" s="4">
        <v>46109</v>
      </c>
      <c r="H749" t="s">
        <v>138</v>
      </c>
      <c r="I749" t="s">
        <v>260</v>
      </c>
      <c r="J749" t="s">
        <v>261</v>
      </c>
      <c r="K749" t="s">
        <v>73</v>
      </c>
      <c r="L749" t="s">
        <v>94</v>
      </c>
      <c r="M749" s="5">
        <v>7400</v>
      </c>
      <c r="N749" s="5">
        <v>1200</v>
      </c>
      <c r="O749" s="5">
        <v>1450</v>
      </c>
      <c r="P749" s="5">
        <v>6000</v>
      </c>
      <c r="Q749" s="13">
        <v>18550</v>
      </c>
      <c r="R749" t="s">
        <v>62</v>
      </c>
      <c r="S749" t="s">
        <v>76</v>
      </c>
      <c r="T749" s="5">
        <v>5970</v>
      </c>
      <c r="U749" s="6"/>
      <c r="V749" t="s">
        <v>64</v>
      </c>
      <c r="W749" s="4"/>
      <c r="X749" t="s">
        <v>65</v>
      </c>
      <c r="Y749" t="s">
        <v>64</v>
      </c>
      <c r="Z749" t="s">
        <v>96</v>
      </c>
      <c r="AA749" t="str">
        <f>VLOOKUP(H749,Departments!$A:$B,2,0)</f>
        <v>Pediatrics</v>
      </c>
      <c r="AB749" t="str">
        <f>VLOOKUP(J749,Diagnosis_Guide!$A:$B,2,0)</f>
        <v>Child Fever</v>
      </c>
      <c r="AC749" s="4" t="str">
        <f>VLOOKUP(J749,Diagnosis_Guide!$A:$C,3,0)</f>
        <v>Pediatric</v>
      </c>
      <c r="AD749" s="4" t="str">
        <f>VLOOKUP(R749,Insurance_Plans!$A:$C,3,0)</f>
        <v>Public</v>
      </c>
      <c r="AE749" s="13">
        <f t="shared" si="33"/>
        <v>927.5</v>
      </c>
      <c r="AF749" s="13">
        <f t="shared" si="34"/>
        <v>19477.5</v>
      </c>
      <c r="AG749" s="4" t="str">
        <f t="shared" si="35"/>
        <v>Not Available</v>
      </c>
    </row>
    <row r="750" spans="1:33">
      <c r="A750" t="s">
        <v>1397</v>
      </c>
      <c r="B750" t="s">
        <v>411</v>
      </c>
      <c r="C750" s="11">
        <v>46108</v>
      </c>
      <c r="D750" t="s">
        <v>120</v>
      </c>
      <c r="E750" t="s">
        <v>338</v>
      </c>
      <c r="F750" s="4"/>
      <c r="G750" s="4"/>
      <c r="H750" t="s">
        <v>150</v>
      </c>
      <c r="I750" t="s">
        <v>247</v>
      </c>
      <c r="J750" t="s">
        <v>188</v>
      </c>
      <c r="K750" t="s">
        <v>60</v>
      </c>
      <c r="L750" t="s">
        <v>61</v>
      </c>
      <c r="M750" s="5"/>
      <c r="N750" s="5"/>
      <c r="O750" s="5"/>
      <c r="P750" s="5"/>
      <c r="R750" t="s">
        <v>141</v>
      </c>
      <c r="S750" t="s">
        <v>63</v>
      </c>
      <c r="T750" s="5"/>
      <c r="U750" s="6"/>
      <c r="V750" t="s">
        <v>64</v>
      </c>
      <c r="W750" s="4"/>
      <c r="X750" t="s">
        <v>65</v>
      </c>
      <c r="Z750" t="s">
        <v>66</v>
      </c>
      <c r="AA750" t="str">
        <f>VLOOKUP(H750,Departments!$A:$B,2,0)</f>
        <v>Obstetrics</v>
      </c>
      <c r="AB750" t="str">
        <f>VLOOKUP(J750,Diagnosis_Guide!$A:$B,2,0)</f>
        <v>Emergency C-Section</v>
      </c>
      <c r="AC750" s="4" t="str">
        <f>VLOOKUP(J750,Diagnosis_Guide!$A:$C,3,0)</f>
        <v>Maternal Health</v>
      </c>
      <c r="AD750" s="4" t="str">
        <f>VLOOKUP(R750,Insurance_Plans!$A:$C,3,0)</f>
        <v>Private</v>
      </c>
      <c r="AE750" s="13" t="str">
        <f t="shared" si="33"/>
        <v/>
      </c>
      <c r="AF750" s="13" t="str">
        <f t="shared" si="34"/>
        <v/>
      </c>
      <c r="AG750" s="4" t="str">
        <f t="shared" si="35"/>
        <v>Not Available</v>
      </c>
    </row>
    <row r="751" spans="1:33">
      <c r="A751" t="s">
        <v>1398</v>
      </c>
      <c r="B751" t="s">
        <v>290</v>
      </c>
      <c r="C751" s="11">
        <v>46145</v>
      </c>
      <c r="D751" t="s">
        <v>225</v>
      </c>
      <c r="E751" t="s">
        <v>70</v>
      </c>
      <c r="F751" s="4">
        <v>46145</v>
      </c>
      <c r="G751" s="4">
        <v>46146</v>
      </c>
      <c r="H751" t="s">
        <v>90</v>
      </c>
      <c r="I751" t="s">
        <v>128</v>
      </c>
      <c r="J751" t="s">
        <v>92</v>
      </c>
      <c r="K751" t="s">
        <v>60</v>
      </c>
      <c r="L751" t="s">
        <v>94</v>
      </c>
      <c r="M751" s="5">
        <v>48500</v>
      </c>
      <c r="N751" s="5">
        <v>7450</v>
      </c>
      <c r="O751" s="5">
        <v>5850</v>
      </c>
      <c r="P751" s="5">
        <v>3000</v>
      </c>
      <c r="Q751" s="13">
        <v>66800</v>
      </c>
      <c r="R751" t="s">
        <v>95</v>
      </c>
      <c r="S751" t="s">
        <v>63</v>
      </c>
      <c r="T751" s="5">
        <v>66800</v>
      </c>
      <c r="U751" s="6">
        <v>5</v>
      </c>
      <c r="V751" t="s">
        <v>77</v>
      </c>
      <c r="W751" s="4">
        <v>46153</v>
      </c>
      <c r="X751" t="s">
        <v>64</v>
      </c>
      <c r="Y751" t="s">
        <v>64</v>
      </c>
      <c r="Z751" t="s">
        <v>78</v>
      </c>
      <c r="AA751" t="str">
        <f>VLOOKUP(H751,Departments!$A:$B,2,0)</f>
        <v>Cardiology</v>
      </c>
      <c r="AB751" t="str">
        <f>VLOOKUP(J751,Diagnosis_Guide!$A:$B,2,0)</f>
        <v>Heart Failure</v>
      </c>
      <c r="AC751" s="4" t="str">
        <f>VLOOKUP(J751,Diagnosis_Guide!$A:$C,3,0)</f>
        <v>Cardiovascular</v>
      </c>
      <c r="AD751" s="4" t="str">
        <f>VLOOKUP(R751,Insurance_Plans!$A:$C,3,0)</f>
        <v>Self-Pay</v>
      </c>
      <c r="AE751" s="13">
        <f t="shared" si="33"/>
        <v>3340</v>
      </c>
      <c r="AF751" s="13">
        <f t="shared" si="34"/>
        <v>70140</v>
      </c>
      <c r="AG751" s="4" t="str">
        <f t="shared" si="35"/>
        <v>High</v>
      </c>
    </row>
    <row r="752" spans="1:33">
      <c r="A752" t="s">
        <v>1399</v>
      </c>
      <c r="B752" t="s">
        <v>423</v>
      </c>
      <c r="C752" s="11">
        <v>46034</v>
      </c>
      <c r="D752" t="s">
        <v>81</v>
      </c>
      <c r="E752" t="s">
        <v>70</v>
      </c>
      <c r="F752" s="4">
        <v>46034</v>
      </c>
      <c r="G752" s="4">
        <v>46036</v>
      </c>
      <c r="H752" t="s">
        <v>201</v>
      </c>
      <c r="I752" t="s">
        <v>515</v>
      </c>
      <c r="J752" t="s">
        <v>281</v>
      </c>
      <c r="K752" t="s">
        <v>124</v>
      </c>
      <c r="L752" t="s">
        <v>61</v>
      </c>
      <c r="M752" s="5">
        <v>6500</v>
      </c>
      <c r="N752" s="5">
        <v>950</v>
      </c>
      <c r="O752" s="5">
        <v>1000</v>
      </c>
      <c r="P752" s="5">
        <v>12000</v>
      </c>
      <c r="Q752" s="13">
        <v>21650</v>
      </c>
      <c r="R752" t="s">
        <v>106</v>
      </c>
      <c r="S752" t="s">
        <v>163</v>
      </c>
      <c r="T752" s="5">
        <v>8280</v>
      </c>
      <c r="U752" s="6">
        <v>5</v>
      </c>
      <c r="V752" t="s">
        <v>64</v>
      </c>
      <c r="W752" s="4"/>
      <c r="X752" t="s">
        <v>65</v>
      </c>
      <c r="Y752" t="s">
        <v>64</v>
      </c>
      <c r="Z752" t="s">
        <v>107</v>
      </c>
      <c r="AA752" t="str">
        <f>VLOOKUP(H752,Departments!$A:$B,2,0)</f>
        <v>Emergency</v>
      </c>
      <c r="AB752" t="str">
        <f>VLOOKUP(J752,Diagnosis_Guide!$A:$B,2,0)</f>
        <v>Food Poisoning</v>
      </c>
      <c r="AC752" s="4" t="str">
        <f>VLOOKUP(J752,Diagnosis_Guide!$A:$C,3,0)</f>
        <v>Emergency</v>
      </c>
      <c r="AD752" s="4" t="str">
        <f>VLOOKUP(R752,Insurance_Plans!$A:$C,3,0)</f>
        <v>Private</v>
      </c>
      <c r="AE752" s="13">
        <f t="shared" si="33"/>
        <v>1082.5</v>
      </c>
      <c r="AF752" s="13">
        <f t="shared" si="34"/>
        <v>22732.5</v>
      </c>
      <c r="AG752" s="4" t="str">
        <f t="shared" si="35"/>
        <v>High</v>
      </c>
    </row>
    <row r="753" spans="1:33">
      <c r="A753" t="s">
        <v>1400</v>
      </c>
      <c r="B753" t="s">
        <v>727</v>
      </c>
      <c r="C753" s="11">
        <v>46099</v>
      </c>
      <c r="D753" t="s">
        <v>55</v>
      </c>
      <c r="E753" t="s">
        <v>70</v>
      </c>
      <c r="F753" s="4">
        <v>46100</v>
      </c>
      <c r="G753" s="4">
        <v>46100</v>
      </c>
      <c r="H753" t="s">
        <v>121</v>
      </c>
      <c r="I753" t="s">
        <v>174</v>
      </c>
      <c r="J753" t="s">
        <v>252</v>
      </c>
      <c r="K753" t="s">
        <v>60</v>
      </c>
      <c r="L753" t="s">
        <v>61</v>
      </c>
      <c r="M753" s="5">
        <v>73800</v>
      </c>
      <c r="N753" s="5">
        <v>8550</v>
      </c>
      <c r="O753" s="5">
        <v>12200</v>
      </c>
      <c r="P753" s="5">
        <v>0</v>
      </c>
      <c r="Q753" s="13">
        <v>96350</v>
      </c>
      <c r="R753" t="s">
        <v>141</v>
      </c>
      <c r="S753" t="s">
        <v>76</v>
      </c>
      <c r="T753" s="5">
        <v>15650</v>
      </c>
      <c r="U753" s="6">
        <v>4</v>
      </c>
      <c r="V753" t="s">
        <v>77</v>
      </c>
      <c r="W753" s="4">
        <v>46120</v>
      </c>
      <c r="X753" t="s">
        <v>64</v>
      </c>
      <c r="Y753" t="s">
        <v>64</v>
      </c>
      <c r="Z753" t="s">
        <v>78</v>
      </c>
      <c r="AA753" t="str">
        <f>VLOOKUP(H753,Departments!$A:$B,2,0)</f>
        <v>Neurology</v>
      </c>
      <c r="AB753" t="str">
        <f>VLOOKUP(J753,Diagnosis_Guide!$A:$B,2,0)</f>
        <v>Stroke Assessment</v>
      </c>
      <c r="AC753" s="4" t="str">
        <f>VLOOKUP(J753,Diagnosis_Guide!$A:$C,3,0)</f>
        <v>Neurological</v>
      </c>
      <c r="AD753" s="4" t="str">
        <f>VLOOKUP(R753,Insurance_Plans!$A:$C,3,0)</f>
        <v>Private</v>
      </c>
      <c r="AE753" s="13">
        <f t="shared" si="33"/>
        <v>4817.5</v>
      </c>
      <c r="AF753" s="13">
        <f t="shared" si="34"/>
        <v>101167.5</v>
      </c>
      <c r="AG753" s="4" t="str">
        <f t="shared" si="35"/>
        <v>High</v>
      </c>
    </row>
    <row r="754" spans="1:33">
      <c r="A754" t="s">
        <v>1401</v>
      </c>
      <c r="B754" t="s">
        <v>324</v>
      </c>
      <c r="C754" s="11">
        <v>46108</v>
      </c>
      <c r="D754" t="s">
        <v>110</v>
      </c>
      <c r="E754" t="s">
        <v>177</v>
      </c>
      <c r="F754" s="4"/>
      <c r="G754" s="4"/>
      <c r="H754" t="s">
        <v>150</v>
      </c>
      <c r="I754" t="s">
        <v>304</v>
      </c>
      <c r="J754" t="s">
        <v>229</v>
      </c>
      <c r="K754" t="s">
        <v>60</v>
      </c>
      <c r="L754" t="s">
        <v>94</v>
      </c>
      <c r="M754" s="5"/>
      <c r="N754" s="5"/>
      <c r="O754" s="5"/>
      <c r="P754" s="5"/>
      <c r="R754" t="s">
        <v>95</v>
      </c>
      <c r="S754" t="s">
        <v>63</v>
      </c>
      <c r="T754" s="5"/>
      <c r="U754" s="6"/>
      <c r="V754" t="s">
        <v>64</v>
      </c>
      <c r="W754" s="4"/>
      <c r="X754" t="s">
        <v>65</v>
      </c>
      <c r="Z754" t="s">
        <v>66</v>
      </c>
      <c r="AA754" t="str">
        <f>VLOOKUP(H754,Departments!$A:$B,2,0)</f>
        <v>Obstetrics</v>
      </c>
      <c r="AB754" t="str">
        <f>VLOOKUP(J754,Diagnosis_Guide!$A:$B,2,0)</f>
        <v>Delivery Care</v>
      </c>
      <c r="AC754" s="4" t="str">
        <f>VLOOKUP(J754,Diagnosis_Guide!$A:$C,3,0)</f>
        <v>Maternal Health</v>
      </c>
      <c r="AD754" s="4" t="str">
        <f>VLOOKUP(R754,Insurance_Plans!$A:$C,3,0)</f>
        <v>Self-Pay</v>
      </c>
      <c r="AE754" s="13" t="str">
        <f t="shared" si="33"/>
        <v/>
      </c>
      <c r="AF754" s="13" t="str">
        <f t="shared" si="34"/>
        <v/>
      </c>
      <c r="AG754" s="4" t="str">
        <f t="shared" si="35"/>
        <v>Not Available</v>
      </c>
    </row>
    <row r="755" spans="1:33">
      <c r="A755" t="s">
        <v>1402</v>
      </c>
      <c r="B755" t="s">
        <v>154</v>
      </c>
      <c r="C755" s="11">
        <v>46063</v>
      </c>
      <c r="D755" t="s">
        <v>302</v>
      </c>
      <c r="E755" t="s">
        <v>56</v>
      </c>
      <c r="F755" s="4"/>
      <c r="G755" s="4"/>
      <c r="H755" t="s">
        <v>111</v>
      </c>
      <c r="I755" t="s">
        <v>222</v>
      </c>
      <c r="J755" t="s">
        <v>384</v>
      </c>
      <c r="K755" t="s">
        <v>73</v>
      </c>
      <c r="L755" t="s">
        <v>74</v>
      </c>
      <c r="M755" s="5"/>
      <c r="N755" s="5"/>
      <c r="O755" s="5"/>
      <c r="P755" s="5"/>
      <c r="R755" t="s">
        <v>141</v>
      </c>
      <c r="S755" t="s">
        <v>63</v>
      </c>
      <c r="T755" s="5"/>
      <c r="U755" s="6"/>
      <c r="V755" t="s">
        <v>64</v>
      </c>
      <c r="W755" s="4"/>
      <c r="X755" t="s">
        <v>65</v>
      </c>
      <c r="Z755" t="s">
        <v>66</v>
      </c>
      <c r="AA755" t="str">
        <f>VLOOKUP(H755,Departments!$A:$B,2,0)</f>
        <v>General Medicine</v>
      </c>
      <c r="AB755" t="str">
        <f>VLOOKUP(J755,Diagnosis_Guide!$A:$B,2,0)</f>
        <v>Severe Infection</v>
      </c>
      <c r="AC755" s="4" t="str">
        <f>VLOOKUP(J755,Diagnosis_Guide!$A:$C,3,0)</f>
        <v>Infectious/General</v>
      </c>
      <c r="AD755" s="4" t="str">
        <f>VLOOKUP(R755,Insurance_Plans!$A:$C,3,0)</f>
        <v>Private</v>
      </c>
      <c r="AE755" s="13" t="str">
        <f t="shared" si="33"/>
        <v/>
      </c>
      <c r="AF755" s="13" t="str">
        <f t="shared" si="34"/>
        <v/>
      </c>
      <c r="AG755" s="4" t="str">
        <f t="shared" si="35"/>
        <v>Not Available</v>
      </c>
    </row>
    <row r="756" spans="1:33">
      <c r="A756" t="s">
        <v>1403</v>
      </c>
      <c r="B756" t="s">
        <v>1404</v>
      </c>
      <c r="C756" s="11">
        <v>46079</v>
      </c>
      <c r="D756" t="s">
        <v>363</v>
      </c>
      <c r="E756" t="s">
        <v>314</v>
      </c>
      <c r="F756" s="4"/>
      <c r="G756" s="4"/>
      <c r="H756" t="s">
        <v>111</v>
      </c>
      <c r="I756" t="s">
        <v>355</v>
      </c>
      <c r="J756" t="s">
        <v>384</v>
      </c>
      <c r="K756" t="s">
        <v>60</v>
      </c>
      <c r="L756" t="s">
        <v>94</v>
      </c>
      <c r="M756" s="5"/>
      <c r="N756" s="5"/>
      <c r="O756" s="5"/>
      <c r="P756" s="5"/>
      <c r="R756" t="s">
        <v>134</v>
      </c>
      <c r="S756" t="s">
        <v>63</v>
      </c>
      <c r="T756" s="5"/>
      <c r="U756" s="6"/>
      <c r="V756" t="s">
        <v>64</v>
      </c>
      <c r="W756" s="4"/>
      <c r="X756" t="s">
        <v>65</v>
      </c>
      <c r="Z756" t="s">
        <v>66</v>
      </c>
      <c r="AA756" t="str">
        <f>VLOOKUP(H756,Departments!$A:$B,2,0)</f>
        <v>General Medicine</v>
      </c>
      <c r="AB756" t="str">
        <f>VLOOKUP(J756,Diagnosis_Guide!$A:$B,2,0)</f>
        <v>Severe Infection</v>
      </c>
      <c r="AC756" s="4" t="str">
        <f>VLOOKUP(J756,Diagnosis_Guide!$A:$C,3,0)</f>
        <v>Infectious/General</v>
      </c>
      <c r="AD756" s="4" t="str">
        <f>VLOOKUP(R756,Insurance_Plans!$A:$C,3,0)</f>
        <v>Community</v>
      </c>
      <c r="AE756" s="13" t="str">
        <f t="shared" si="33"/>
        <v/>
      </c>
      <c r="AF756" s="13" t="str">
        <f t="shared" si="34"/>
        <v/>
      </c>
      <c r="AG756" s="4" t="str">
        <f t="shared" si="35"/>
        <v>Not Available</v>
      </c>
    </row>
    <row r="757" spans="1:33">
      <c r="A757" t="s">
        <v>1405</v>
      </c>
      <c r="B757" t="s">
        <v>1110</v>
      </c>
      <c r="C757" s="11">
        <v>46134</v>
      </c>
      <c r="D757" t="s">
        <v>302</v>
      </c>
      <c r="E757" t="s">
        <v>70</v>
      </c>
      <c r="F757" s="4">
        <v>46135</v>
      </c>
      <c r="G757" s="4">
        <v>46142</v>
      </c>
      <c r="H757" t="s">
        <v>201</v>
      </c>
      <c r="I757" t="s">
        <v>202</v>
      </c>
      <c r="J757" t="s">
        <v>295</v>
      </c>
      <c r="K757" t="s">
        <v>124</v>
      </c>
      <c r="L757" t="s">
        <v>94</v>
      </c>
      <c r="M757" s="5">
        <v>51500</v>
      </c>
      <c r="N757" s="5">
        <v>7100</v>
      </c>
      <c r="O757" s="5">
        <v>12000</v>
      </c>
      <c r="P757" s="5">
        <v>21000</v>
      </c>
      <c r="Q757" s="13">
        <v>94100</v>
      </c>
      <c r="R757" t="s">
        <v>75</v>
      </c>
      <c r="S757" t="s">
        <v>76</v>
      </c>
      <c r="T757" s="5">
        <v>42640</v>
      </c>
      <c r="U757" s="6">
        <v>4</v>
      </c>
      <c r="V757" t="s">
        <v>64</v>
      </c>
      <c r="W757" s="4"/>
      <c r="X757" t="s">
        <v>65</v>
      </c>
      <c r="Y757" t="s">
        <v>64</v>
      </c>
      <c r="Z757" t="s">
        <v>96</v>
      </c>
      <c r="AA757" t="str">
        <f>VLOOKUP(H757,Departments!$A:$B,2,0)</f>
        <v>Emergency</v>
      </c>
      <c r="AB757" t="str">
        <f>VLOOKUP(J757,Diagnosis_Guide!$A:$B,2,0)</f>
        <v>Accident Injury</v>
      </c>
      <c r="AC757" s="4" t="str">
        <f>VLOOKUP(J757,Diagnosis_Guide!$A:$C,3,0)</f>
        <v>Emergency</v>
      </c>
      <c r="AD757" s="4" t="str">
        <f>VLOOKUP(R757,Insurance_Plans!$A:$C,3,0)</f>
        <v>Public</v>
      </c>
      <c r="AE757" s="13">
        <f t="shared" si="33"/>
        <v>4705</v>
      </c>
      <c r="AF757" s="13">
        <f t="shared" si="34"/>
        <v>98805</v>
      </c>
      <c r="AG757" s="4" t="str">
        <f t="shared" si="35"/>
        <v>High</v>
      </c>
    </row>
    <row r="758" spans="1:33">
      <c r="A758" t="s">
        <v>1406</v>
      </c>
      <c r="B758" t="s">
        <v>647</v>
      </c>
      <c r="C758" s="11">
        <v>46163</v>
      </c>
      <c r="D758" t="s">
        <v>210</v>
      </c>
      <c r="E758" t="s">
        <v>70</v>
      </c>
      <c r="F758" s="4">
        <v>46164</v>
      </c>
      <c r="G758" s="4">
        <v>46167</v>
      </c>
      <c r="H758" t="s">
        <v>201</v>
      </c>
      <c r="I758" t="s">
        <v>515</v>
      </c>
      <c r="J758" t="s">
        <v>295</v>
      </c>
      <c r="K758" t="s">
        <v>124</v>
      </c>
      <c r="L758" t="s">
        <v>74</v>
      </c>
      <c r="M758" s="5">
        <v>34300</v>
      </c>
      <c r="N758" s="5">
        <v>5250</v>
      </c>
      <c r="O758" s="5">
        <v>4200</v>
      </c>
      <c r="P758" s="5">
        <v>18000</v>
      </c>
      <c r="Q758" s="13">
        <v>62950</v>
      </c>
      <c r="R758" t="s">
        <v>141</v>
      </c>
      <c r="S758" t="s">
        <v>76</v>
      </c>
      <c r="T758" s="5">
        <v>10640</v>
      </c>
      <c r="U758" s="6">
        <v>3</v>
      </c>
      <c r="V758" t="s">
        <v>77</v>
      </c>
      <c r="W758" s="4">
        <v>46186</v>
      </c>
      <c r="X758" t="s">
        <v>64</v>
      </c>
      <c r="Y758" t="s">
        <v>64</v>
      </c>
      <c r="Z758" t="s">
        <v>96</v>
      </c>
      <c r="AA758" t="str">
        <f>VLOOKUP(H758,Departments!$A:$B,2,0)</f>
        <v>Emergency</v>
      </c>
      <c r="AB758" t="str">
        <f>VLOOKUP(J758,Diagnosis_Guide!$A:$B,2,0)</f>
        <v>Accident Injury</v>
      </c>
      <c r="AC758" s="4" t="str">
        <f>VLOOKUP(J758,Diagnosis_Guide!$A:$C,3,0)</f>
        <v>Emergency</v>
      </c>
      <c r="AD758" s="4" t="str">
        <f>VLOOKUP(R758,Insurance_Plans!$A:$C,3,0)</f>
        <v>Private</v>
      </c>
      <c r="AE758" s="13">
        <f t="shared" si="33"/>
        <v>3147.5</v>
      </c>
      <c r="AF758" s="13">
        <f t="shared" si="34"/>
        <v>66097.5</v>
      </c>
      <c r="AG758" s="4" t="str">
        <f t="shared" si="35"/>
        <v>Medium</v>
      </c>
    </row>
    <row r="759" spans="1:33">
      <c r="A759" t="s">
        <v>1407</v>
      </c>
      <c r="B759" t="s">
        <v>485</v>
      </c>
      <c r="C759" s="11">
        <v>46073</v>
      </c>
      <c r="D759" t="s">
        <v>132</v>
      </c>
      <c r="E759" t="s">
        <v>70</v>
      </c>
      <c r="F759" s="4">
        <v>46074</v>
      </c>
      <c r="G759" s="4">
        <v>46081</v>
      </c>
      <c r="H759" t="s">
        <v>201</v>
      </c>
      <c r="I759" t="s">
        <v>280</v>
      </c>
      <c r="J759" t="s">
        <v>203</v>
      </c>
      <c r="K759" t="s">
        <v>73</v>
      </c>
      <c r="L759" t="s">
        <v>74</v>
      </c>
      <c r="M759" s="5">
        <v>29700</v>
      </c>
      <c r="N759" s="5">
        <v>4850</v>
      </c>
      <c r="O759" s="5">
        <v>3000</v>
      </c>
      <c r="P759" s="5">
        <v>17500</v>
      </c>
      <c r="Q759" s="13">
        <v>56050</v>
      </c>
      <c r="R759" t="s">
        <v>106</v>
      </c>
      <c r="S759" t="s">
        <v>76</v>
      </c>
      <c r="T759" s="5">
        <v>20320</v>
      </c>
      <c r="U759" s="6">
        <v>2</v>
      </c>
      <c r="V759" t="s">
        <v>64</v>
      </c>
      <c r="W759" s="4"/>
      <c r="X759" t="s">
        <v>65</v>
      </c>
      <c r="Y759" t="s">
        <v>64</v>
      </c>
      <c r="Z759" t="s">
        <v>96</v>
      </c>
      <c r="AA759" t="str">
        <f>VLOOKUP(H759,Departments!$A:$B,2,0)</f>
        <v>Emergency</v>
      </c>
      <c r="AB759" t="str">
        <f>VLOOKUP(J759,Diagnosis_Guide!$A:$B,2,0)</f>
        <v>Trauma Observation</v>
      </c>
      <c r="AC759" s="4" t="str">
        <f>VLOOKUP(J759,Diagnosis_Guide!$A:$C,3,0)</f>
        <v>Emergency</v>
      </c>
      <c r="AD759" s="4" t="str">
        <f>VLOOKUP(R759,Insurance_Plans!$A:$C,3,0)</f>
        <v>Private</v>
      </c>
      <c r="AE759" s="13">
        <f t="shared" si="33"/>
        <v>2802.5</v>
      </c>
      <c r="AF759" s="13">
        <f t="shared" si="34"/>
        <v>58852.5</v>
      </c>
      <c r="AG759" s="4" t="str">
        <f t="shared" si="35"/>
        <v>Low</v>
      </c>
    </row>
    <row r="760" spans="1:33">
      <c r="A760" t="s">
        <v>1408</v>
      </c>
      <c r="B760" t="s">
        <v>221</v>
      </c>
      <c r="C760" s="11">
        <v>46073</v>
      </c>
      <c r="D760" t="s">
        <v>144</v>
      </c>
      <c r="E760" t="s">
        <v>314</v>
      </c>
      <c r="F760" s="4"/>
      <c r="G760" s="4"/>
      <c r="H760" t="s">
        <v>201</v>
      </c>
      <c r="I760" t="s">
        <v>202</v>
      </c>
      <c r="J760" t="s">
        <v>281</v>
      </c>
      <c r="K760" t="s">
        <v>124</v>
      </c>
      <c r="L760" t="s">
        <v>94</v>
      </c>
      <c r="M760" s="5"/>
      <c r="N760" s="5"/>
      <c r="O760" s="5"/>
      <c r="P760" s="5"/>
      <c r="R760" t="s">
        <v>62</v>
      </c>
      <c r="S760" t="s">
        <v>63</v>
      </c>
      <c r="T760" s="5"/>
      <c r="U760" s="6"/>
      <c r="V760" t="s">
        <v>64</v>
      </c>
      <c r="W760" s="4"/>
      <c r="X760" t="s">
        <v>65</v>
      </c>
      <c r="Z760" t="s">
        <v>66</v>
      </c>
      <c r="AA760" t="str">
        <f>VLOOKUP(H760,Departments!$A:$B,2,0)</f>
        <v>Emergency</v>
      </c>
      <c r="AB760" t="str">
        <f>VLOOKUP(J760,Diagnosis_Guide!$A:$B,2,0)</f>
        <v>Food Poisoning</v>
      </c>
      <c r="AC760" s="4" t="str">
        <f>VLOOKUP(J760,Diagnosis_Guide!$A:$C,3,0)</f>
        <v>Emergency</v>
      </c>
      <c r="AD760" s="4" t="str">
        <f>VLOOKUP(R760,Insurance_Plans!$A:$C,3,0)</f>
        <v>Public</v>
      </c>
      <c r="AE760" s="13" t="str">
        <f t="shared" si="33"/>
        <v/>
      </c>
      <c r="AF760" s="13" t="str">
        <f t="shared" si="34"/>
        <v/>
      </c>
      <c r="AG760" s="4" t="str">
        <f t="shared" si="35"/>
        <v>Not Available</v>
      </c>
    </row>
    <row r="761" spans="1:33">
      <c r="A761" t="s">
        <v>1409</v>
      </c>
      <c r="B761" t="s">
        <v>209</v>
      </c>
      <c r="C761" s="11">
        <v>46065</v>
      </c>
      <c r="D761" t="s">
        <v>250</v>
      </c>
      <c r="E761" t="s">
        <v>70</v>
      </c>
      <c r="F761" s="4">
        <v>46065</v>
      </c>
      <c r="G761" s="4">
        <v>46065</v>
      </c>
      <c r="H761" t="s">
        <v>201</v>
      </c>
      <c r="I761" t="s">
        <v>515</v>
      </c>
      <c r="J761" t="s">
        <v>281</v>
      </c>
      <c r="K761" t="s">
        <v>73</v>
      </c>
      <c r="L761" t="s">
        <v>61</v>
      </c>
      <c r="M761" s="5">
        <v>9100</v>
      </c>
      <c r="N761" s="5">
        <v>1450</v>
      </c>
      <c r="O761" s="5">
        <v>1750</v>
      </c>
      <c r="P761" s="5">
        <v>0</v>
      </c>
      <c r="Q761" s="13">
        <v>13500</v>
      </c>
      <c r="R761" t="s">
        <v>106</v>
      </c>
      <c r="S761" t="s">
        <v>76</v>
      </c>
      <c r="T761" s="5">
        <v>5420</v>
      </c>
      <c r="U761" s="6">
        <v>4</v>
      </c>
      <c r="V761" t="s">
        <v>77</v>
      </c>
      <c r="W761" s="4">
        <v>46085</v>
      </c>
      <c r="X761" t="s">
        <v>77</v>
      </c>
      <c r="Y761" t="s">
        <v>64</v>
      </c>
      <c r="Z761" t="s">
        <v>96</v>
      </c>
      <c r="AA761" t="str">
        <f>VLOOKUP(H761,Departments!$A:$B,2,0)</f>
        <v>Emergency</v>
      </c>
      <c r="AB761" t="str">
        <f>VLOOKUP(J761,Diagnosis_Guide!$A:$B,2,0)</f>
        <v>Food Poisoning</v>
      </c>
      <c r="AC761" s="4" t="str">
        <f>VLOOKUP(J761,Diagnosis_Guide!$A:$C,3,0)</f>
        <v>Emergency</v>
      </c>
      <c r="AD761" s="4" t="str">
        <f>VLOOKUP(R761,Insurance_Plans!$A:$C,3,0)</f>
        <v>Private</v>
      </c>
      <c r="AE761" s="13">
        <f t="shared" si="33"/>
        <v>675</v>
      </c>
      <c r="AF761" s="13">
        <f t="shared" si="34"/>
        <v>14175</v>
      </c>
      <c r="AG761" s="4" t="str">
        <f t="shared" si="35"/>
        <v>High</v>
      </c>
    </row>
    <row r="762" spans="1:33">
      <c r="A762" t="s">
        <v>1410</v>
      </c>
      <c r="B762" t="s">
        <v>1378</v>
      </c>
      <c r="C762" s="11">
        <v>46029</v>
      </c>
      <c r="D762" t="s">
        <v>432</v>
      </c>
      <c r="E762" t="s">
        <v>70</v>
      </c>
      <c r="F762" s="4">
        <v>46029</v>
      </c>
      <c r="G762" s="4">
        <v>46029</v>
      </c>
      <c r="H762" t="s">
        <v>103</v>
      </c>
      <c r="I762" t="s">
        <v>207</v>
      </c>
      <c r="J762" t="s">
        <v>105</v>
      </c>
      <c r="K762" t="s">
        <v>60</v>
      </c>
      <c r="L762" t="s">
        <v>61</v>
      </c>
      <c r="M762" s="5">
        <v>46400</v>
      </c>
      <c r="N762" s="5">
        <v>7300</v>
      </c>
      <c r="O762" s="5">
        <v>4850</v>
      </c>
      <c r="P762" s="5">
        <v>0</v>
      </c>
      <c r="Q762" s="13">
        <v>60050</v>
      </c>
      <c r="R762" t="s">
        <v>141</v>
      </c>
      <c r="S762" t="s">
        <v>76</v>
      </c>
      <c r="T762" s="5">
        <v>10210</v>
      </c>
      <c r="U762" s="6">
        <v>2</v>
      </c>
      <c r="V762" t="s">
        <v>77</v>
      </c>
      <c r="W762" s="4">
        <v>46040</v>
      </c>
      <c r="X762" t="s">
        <v>64</v>
      </c>
      <c r="Y762" t="s">
        <v>77</v>
      </c>
      <c r="Z762" t="s">
        <v>96</v>
      </c>
      <c r="AA762" t="str">
        <f>VLOOKUP(H762,Departments!$A:$B,2,0)</f>
        <v>Nephrology</v>
      </c>
      <c r="AB762" t="str">
        <f>VLOOKUP(J762,Diagnosis_Guide!$A:$B,2,0)</f>
        <v>Dialysis Complication</v>
      </c>
      <c r="AC762" s="4" t="str">
        <f>VLOOKUP(J762,Diagnosis_Guide!$A:$C,3,0)</f>
        <v>Renal</v>
      </c>
      <c r="AD762" s="4" t="str">
        <f>VLOOKUP(R762,Insurance_Plans!$A:$C,3,0)</f>
        <v>Private</v>
      </c>
      <c r="AE762" s="13">
        <f t="shared" si="33"/>
        <v>3002.5</v>
      </c>
      <c r="AF762" s="13">
        <f t="shared" si="34"/>
        <v>63052.5</v>
      </c>
      <c r="AG762" s="4" t="str">
        <f t="shared" si="35"/>
        <v>Low</v>
      </c>
    </row>
    <row r="763" spans="1:33">
      <c r="A763" t="s">
        <v>1411</v>
      </c>
      <c r="B763" t="s">
        <v>1412</v>
      </c>
      <c r="C763" s="11">
        <v>46075</v>
      </c>
      <c r="D763" t="s">
        <v>206</v>
      </c>
      <c r="E763" t="s">
        <v>70</v>
      </c>
      <c r="F763" s="4">
        <v>46075</v>
      </c>
      <c r="G763" s="4">
        <v>46083</v>
      </c>
      <c r="H763" t="s">
        <v>150</v>
      </c>
      <c r="I763" t="s">
        <v>247</v>
      </c>
      <c r="J763" t="s">
        <v>188</v>
      </c>
      <c r="K763" t="s">
        <v>124</v>
      </c>
      <c r="L763" t="s">
        <v>74</v>
      </c>
      <c r="M763" s="5">
        <v>83500</v>
      </c>
      <c r="N763" s="5">
        <v>8500</v>
      </c>
      <c r="O763" s="5">
        <v>9300</v>
      </c>
      <c r="P763" s="5">
        <v>28000</v>
      </c>
      <c r="Q763" s="13">
        <v>130300</v>
      </c>
      <c r="R763" t="s">
        <v>62</v>
      </c>
      <c r="S763" t="s">
        <v>76</v>
      </c>
      <c r="T763" s="5">
        <v>39490</v>
      </c>
      <c r="U763" s="6">
        <v>2</v>
      </c>
      <c r="V763" t="s">
        <v>77</v>
      </c>
      <c r="W763" s="4">
        <v>46094</v>
      </c>
      <c r="X763" t="s">
        <v>77</v>
      </c>
      <c r="Y763" t="s">
        <v>64</v>
      </c>
      <c r="Z763" t="s">
        <v>96</v>
      </c>
      <c r="AA763" t="str">
        <f>VLOOKUP(H763,Departments!$A:$B,2,0)</f>
        <v>Obstetrics</v>
      </c>
      <c r="AB763" t="str">
        <f>VLOOKUP(J763,Diagnosis_Guide!$A:$B,2,0)</f>
        <v>Emergency C-Section</v>
      </c>
      <c r="AC763" s="4" t="str">
        <f>VLOOKUP(J763,Diagnosis_Guide!$A:$C,3,0)</f>
        <v>Maternal Health</v>
      </c>
      <c r="AD763" s="4" t="str">
        <f>VLOOKUP(R763,Insurance_Plans!$A:$C,3,0)</f>
        <v>Public</v>
      </c>
      <c r="AE763" s="13">
        <f t="shared" si="33"/>
        <v>6515</v>
      </c>
      <c r="AF763" s="13">
        <f t="shared" si="34"/>
        <v>136815</v>
      </c>
      <c r="AG763" s="4" t="str">
        <f t="shared" si="35"/>
        <v>Low</v>
      </c>
    </row>
    <row r="764" spans="1:33">
      <c r="A764" t="s">
        <v>1413</v>
      </c>
      <c r="B764" t="s">
        <v>678</v>
      </c>
      <c r="C764" s="11">
        <v>46129</v>
      </c>
      <c r="D764" t="s">
        <v>439</v>
      </c>
      <c r="E764" t="s">
        <v>70</v>
      </c>
      <c r="F764" s="4">
        <v>46129</v>
      </c>
      <c r="G764" s="4">
        <v>46134</v>
      </c>
      <c r="H764" t="s">
        <v>82</v>
      </c>
      <c r="I764" t="s">
        <v>83</v>
      </c>
      <c r="J764" t="s">
        <v>291</v>
      </c>
      <c r="K764" t="s">
        <v>73</v>
      </c>
      <c r="L764" t="s">
        <v>61</v>
      </c>
      <c r="M764" s="5">
        <v>47400</v>
      </c>
      <c r="N764" s="5">
        <v>6650</v>
      </c>
      <c r="O764" s="5">
        <v>6500</v>
      </c>
      <c r="P764" s="5">
        <v>15000</v>
      </c>
      <c r="Q764" s="13">
        <v>77350</v>
      </c>
      <c r="R764" t="s">
        <v>75</v>
      </c>
      <c r="S764" t="s">
        <v>86</v>
      </c>
      <c r="T764" s="5">
        <v>35110</v>
      </c>
      <c r="U764" s="6">
        <v>3</v>
      </c>
      <c r="V764" t="s">
        <v>77</v>
      </c>
      <c r="W764" s="4">
        <v>46149</v>
      </c>
      <c r="X764" t="s">
        <v>64</v>
      </c>
      <c r="Y764" t="s">
        <v>64</v>
      </c>
      <c r="Z764" t="s">
        <v>107</v>
      </c>
      <c r="AA764" t="str">
        <f>VLOOKUP(H764,Departments!$A:$B,2,0)</f>
        <v>Orthopedics</v>
      </c>
      <c r="AB764" t="str">
        <f>VLOOKUP(J764,Diagnosis_Guide!$A:$B,2,0)</f>
        <v>Fracture Repair</v>
      </c>
      <c r="AC764" s="4" t="str">
        <f>VLOOKUP(J764,Diagnosis_Guide!$A:$C,3,0)</f>
        <v>Musculoskeletal</v>
      </c>
      <c r="AD764" s="4" t="str">
        <f>VLOOKUP(R764,Insurance_Plans!$A:$C,3,0)</f>
        <v>Public</v>
      </c>
      <c r="AE764" s="13">
        <f t="shared" si="33"/>
        <v>3867.5</v>
      </c>
      <c r="AF764" s="13">
        <f t="shared" si="34"/>
        <v>81217.5</v>
      </c>
      <c r="AG764" s="4" t="str">
        <f t="shared" si="35"/>
        <v>Medium</v>
      </c>
    </row>
    <row r="765" spans="1:33">
      <c r="A765" t="s">
        <v>1414</v>
      </c>
      <c r="B765" t="s">
        <v>1198</v>
      </c>
      <c r="C765" s="11">
        <v>46167</v>
      </c>
      <c r="D765" t="s">
        <v>137</v>
      </c>
      <c r="E765" t="s">
        <v>314</v>
      </c>
      <c r="F765" s="4"/>
      <c r="G765" s="4"/>
      <c r="H765" t="s">
        <v>90</v>
      </c>
      <c r="I765" t="s">
        <v>128</v>
      </c>
      <c r="J765" t="s">
        <v>129</v>
      </c>
      <c r="K765" t="s">
        <v>60</v>
      </c>
      <c r="L765" t="s">
        <v>94</v>
      </c>
      <c r="M765" s="5"/>
      <c r="N765" s="5"/>
      <c r="O765" s="5"/>
      <c r="P765" s="5"/>
      <c r="R765" t="s">
        <v>85</v>
      </c>
      <c r="S765" t="s">
        <v>63</v>
      </c>
      <c r="T765" s="5"/>
      <c r="U765" s="6"/>
      <c r="V765" t="s">
        <v>64</v>
      </c>
      <c r="W765" s="4"/>
      <c r="X765" t="s">
        <v>65</v>
      </c>
      <c r="Z765" t="s">
        <v>66</v>
      </c>
      <c r="AA765" t="str">
        <f>VLOOKUP(H765,Departments!$A:$B,2,0)</f>
        <v>Cardiology</v>
      </c>
      <c r="AB765" t="str">
        <f>VLOOKUP(J765,Diagnosis_Guide!$A:$B,2,0)</f>
        <v>Hypertension Crisis</v>
      </c>
      <c r="AC765" s="4" t="str">
        <f>VLOOKUP(J765,Diagnosis_Guide!$A:$C,3,0)</f>
        <v>Cardiovascular</v>
      </c>
      <c r="AD765" s="4" t="str">
        <f>VLOOKUP(R765,Insurance_Plans!$A:$C,3,0)</f>
        <v>Employer</v>
      </c>
      <c r="AE765" s="13" t="str">
        <f t="shared" si="33"/>
        <v/>
      </c>
      <c r="AF765" s="13" t="str">
        <f t="shared" si="34"/>
        <v/>
      </c>
      <c r="AG765" s="4" t="str">
        <f t="shared" si="35"/>
        <v>Not Available</v>
      </c>
    </row>
    <row r="766" spans="1:33">
      <c r="A766" t="s">
        <v>1415</v>
      </c>
      <c r="B766" t="s">
        <v>606</v>
      </c>
      <c r="C766" s="11">
        <v>46048</v>
      </c>
      <c r="D766" t="s">
        <v>137</v>
      </c>
      <c r="E766" t="s">
        <v>70</v>
      </c>
      <c r="F766" s="4">
        <v>46048</v>
      </c>
      <c r="G766" s="4">
        <v>46052</v>
      </c>
      <c r="H766" t="s">
        <v>90</v>
      </c>
      <c r="I766" t="s">
        <v>128</v>
      </c>
      <c r="J766" t="s">
        <v>92</v>
      </c>
      <c r="K766" t="s">
        <v>124</v>
      </c>
      <c r="L766" t="s">
        <v>94</v>
      </c>
      <c r="M766" s="5">
        <v>48500</v>
      </c>
      <c r="N766" s="5">
        <v>4550</v>
      </c>
      <c r="O766" s="5">
        <v>11450</v>
      </c>
      <c r="P766" s="5">
        <v>10000</v>
      </c>
      <c r="Q766" s="13">
        <v>76500</v>
      </c>
      <c r="R766" t="s">
        <v>75</v>
      </c>
      <c r="S766" t="s">
        <v>86</v>
      </c>
      <c r="T766" s="5">
        <v>34720</v>
      </c>
      <c r="U766" s="6">
        <v>3</v>
      </c>
      <c r="V766" t="s">
        <v>77</v>
      </c>
      <c r="W766" s="4">
        <v>46069</v>
      </c>
      <c r="X766" t="s">
        <v>77</v>
      </c>
      <c r="Y766" t="s">
        <v>77</v>
      </c>
      <c r="Z766" t="s">
        <v>78</v>
      </c>
      <c r="AA766" t="str">
        <f>VLOOKUP(H766,Departments!$A:$B,2,0)</f>
        <v>Cardiology</v>
      </c>
      <c r="AB766" t="str">
        <f>VLOOKUP(J766,Diagnosis_Guide!$A:$B,2,0)</f>
        <v>Heart Failure</v>
      </c>
      <c r="AC766" s="4" t="str">
        <f>VLOOKUP(J766,Diagnosis_Guide!$A:$C,3,0)</f>
        <v>Cardiovascular</v>
      </c>
      <c r="AD766" s="4" t="str">
        <f>VLOOKUP(R766,Insurance_Plans!$A:$C,3,0)</f>
        <v>Public</v>
      </c>
      <c r="AE766" s="13">
        <f t="shared" si="33"/>
        <v>3825</v>
      </c>
      <c r="AF766" s="13">
        <f t="shared" si="34"/>
        <v>80325</v>
      </c>
      <c r="AG766" s="4" t="str">
        <f t="shared" si="35"/>
        <v>Medium</v>
      </c>
    </row>
    <row r="767" spans="1:33">
      <c r="A767" t="s">
        <v>1416</v>
      </c>
      <c r="B767" t="s">
        <v>1067</v>
      </c>
      <c r="C767" s="11">
        <v>46077</v>
      </c>
      <c r="D767" t="s">
        <v>183</v>
      </c>
      <c r="E767" t="s">
        <v>314</v>
      </c>
      <c r="F767" s="4"/>
      <c r="G767" s="4"/>
      <c r="H767" t="s">
        <v>150</v>
      </c>
      <c r="I767" t="s">
        <v>239</v>
      </c>
      <c r="J767" t="s">
        <v>229</v>
      </c>
      <c r="K767" t="s">
        <v>60</v>
      </c>
      <c r="L767" t="s">
        <v>94</v>
      </c>
      <c r="M767" s="5"/>
      <c r="N767" s="5"/>
      <c r="O767" s="5"/>
      <c r="P767" s="5"/>
      <c r="R767" t="s">
        <v>106</v>
      </c>
      <c r="S767" t="s">
        <v>63</v>
      </c>
      <c r="T767" s="5"/>
      <c r="U767" s="6"/>
      <c r="V767" t="s">
        <v>64</v>
      </c>
      <c r="W767" s="4"/>
      <c r="X767" t="s">
        <v>65</v>
      </c>
      <c r="Z767" t="s">
        <v>66</v>
      </c>
      <c r="AA767" t="str">
        <f>VLOOKUP(H767,Departments!$A:$B,2,0)</f>
        <v>Obstetrics</v>
      </c>
      <c r="AB767" t="str">
        <f>VLOOKUP(J767,Diagnosis_Guide!$A:$B,2,0)</f>
        <v>Delivery Care</v>
      </c>
      <c r="AC767" s="4" t="str">
        <f>VLOOKUP(J767,Diagnosis_Guide!$A:$C,3,0)</f>
        <v>Maternal Health</v>
      </c>
      <c r="AD767" s="4" t="str">
        <f>VLOOKUP(R767,Insurance_Plans!$A:$C,3,0)</f>
        <v>Private</v>
      </c>
      <c r="AE767" s="13" t="str">
        <f t="shared" si="33"/>
        <v/>
      </c>
      <c r="AF767" s="13" t="str">
        <f t="shared" si="34"/>
        <v/>
      </c>
      <c r="AG767" s="4" t="str">
        <f t="shared" si="35"/>
        <v>Not Available</v>
      </c>
    </row>
    <row r="768" spans="1:33">
      <c r="A768" t="s">
        <v>1417</v>
      </c>
      <c r="B768" t="s">
        <v>1418</v>
      </c>
      <c r="C768" s="11">
        <v>46032</v>
      </c>
      <c r="D768" t="s">
        <v>383</v>
      </c>
      <c r="E768" t="s">
        <v>70</v>
      </c>
      <c r="F768" s="4">
        <v>46032</v>
      </c>
      <c r="G768" s="4">
        <v>46033</v>
      </c>
      <c r="H768" t="s">
        <v>121</v>
      </c>
      <c r="I768" t="s">
        <v>386</v>
      </c>
      <c r="J768" t="s">
        <v>123</v>
      </c>
      <c r="K768" t="s">
        <v>60</v>
      </c>
      <c r="L768" t="s">
        <v>146</v>
      </c>
      <c r="M768" s="5">
        <v>39500</v>
      </c>
      <c r="N768" s="5">
        <v>5700</v>
      </c>
      <c r="O768" s="5">
        <v>4650</v>
      </c>
      <c r="P768" s="5">
        <v>3500</v>
      </c>
      <c r="Q768" s="13">
        <v>55850</v>
      </c>
      <c r="R768" t="s">
        <v>95</v>
      </c>
      <c r="S768" t="s">
        <v>63</v>
      </c>
      <c r="T768" s="5">
        <v>55850</v>
      </c>
      <c r="U768" s="6">
        <v>4</v>
      </c>
      <c r="V768" t="s">
        <v>77</v>
      </c>
      <c r="W768" s="4">
        <v>46043</v>
      </c>
      <c r="X768" t="s">
        <v>77</v>
      </c>
      <c r="Y768" t="s">
        <v>64</v>
      </c>
      <c r="Z768" t="s">
        <v>78</v>
      </c>
      <c r="AA768" t="str">
        <f>VLOOKUP(H768,Departments!$A:$B,2,0)</f>
        <v>Neurology</v>
      </c>
      <c r="AB768" t="str">
        <f>VLOOKUP(J768,Diagnosis_Guide!$A:$B,2,0)</f>
        <v>Seizure Episode</v>
      </c>
      <c r="AC768" s="4" t="str">
        <f>VLOOKUP(J768,Diagnosis_Guide!$A:$C,3,0)</f>
        <v>Neurological</v>
      </c>
      <c r="AD768" s="4" t="str">
        <f>VLOOKUP(R768,Insurance_Plans!$A:$C,3,0)</f>
        <v>Self-Pay</v>
      </c>
      <c r="AE768" s="13">
        <f t="shared" si="33"/>
        <v>2792.5</v>
      </c>
      <c r="AF768" s="13">
        <f t="shared" si="34"/>
        <v>58642.5</v>
      </c>
      <c r="AG768" s="4" t="str">
        <f t="shared" si="35"/>
        <v>High</v>
      </c>
    </row>
    <row r="769" spans="1:33">
      <c r="A769" t="s">
        <v>1419</v>
      </c>
      <c r="B769" t="s">
        <v>543</v>
      </c>
      <c r="C769" s="11">
        <v>46109</v>
      </c>
      <c r="D769" t="s">
        <v>259</v>
      </c>
      <c r="E769" t="s">
        <v>70</v>
      </c>
      <c r="F769" s="4">
        <v>46109</v>
      </c>
      <c r="G769" s="4">
        <v>46118</v>
      </c>
      <c r="H769" t="s">
        <v>138</v>
      </c>
      <c r="I769" t="s">
        <v>352</v>
      </c>
      <c r="J769" t="s">
        <v>236</v>
      </c>
      <c r="K769" t="s">
        <v>73</v>
      </c>
      <c r="L769" t="s">
        <v>94</v>
      </c>
      <c r="M769" s="5">
        <v>38800</v>
      </c>
      <c r="N769" s="5">
        <v>6750</v>
      </c>
      <c r="O769" s="5">
        <v>6600</v>
      </c>
      <c r="P769" s="5">
        <v>54000</v>
      </c>
      <c r="Q769" s="13">
        <v>107950</v>
      </c>
      <c r="R769" t="s">
        <v>85</v>
      </c>
      <c r="S769" t="s">
        <v>76</v>
      </c>
      <c r="T769" s="5">
        <v>27890</v>
      </c>
      <c r="U769" s="6">
        <v>3</v>
      </c>
      <c r="V769" t="s">
        <v>77</v>
      </c>
      <c r="W769" s="4">
        <v>46139</v>
      </c>
      <c r="X769" t="s">
        <v>64</v>
      </c>
      <c r="Y769" t="s">
        <v>64</v>
      </c>
      <c r="Z769" t="s">
        <v>78</v>
      </c>
      <c r="AA769" t="str">
        <f>VLOOKUP(H769,Departments!$A:$B,2,0)</f>
        <v>Pediatrics</v>
      </c>
      <c r="AB769" t="str">
        <f>VLOOKUP(J769,Diagnosis_Guide!$A:$B,2,0)</f>
        <v>Neonatal Observation</v>
      </c>
      <c r="AC769" s="4" t="str">
        <f>VLOOKUP(J769,Diagnosis_Guide!$A:$C,3,0)</f>
        <v>Pediatric</v>
      </c>
      <c r="AD769" s="4" t="str">
        <f>VLOOKUP(R769,Insurance_Plans!$A:$C,3,0)</f>
        <v>Employer</v>
      </c>
      <c r="AE769" s="13">
        <f t="shared" si="33"/>
        <v>5397.5</v>
      </c>
      <c r="AF769" s="13">
        <f t="shared" si="34"/>
        <v>113347.5</v>
      </c>
      <c r="AG769" s="4" t="str">
        <f t="shared" si="35"/>
        <v>Medium</v>
      </c>
    </row>
    <row r="770" spans="1:33">
      <c r="A770" t="s">
        <v>1420</v>
      </c>
      <c r="B770" t="s">
        <v>165</v>
      </c>
      <c r="C770" s="11">
        <v>46110</v>
      </c>
      <c r="D770" t="s">
        <v>183</v>
      </c>
      <c r="E770" t="s">
        <v>70</v>
      </c>
      <c r="F770" s="4">
        <v>46110</v>
      </c>
      <c r="G770" s="4">
        <v>46111</v>
      </c>
      <c r="H770" t="s">
        <v>121</v>
      </c>
      <c r="I770" t="s">
        <v>122</v>
      </c>
      <c r="J770" t="s">
        <v>256</v>
      </c>
      <c r="K770" t="s">
        <v>73</v>
      </c>
      <c r="L770" t="s">
        <v>74</v>
      </c>
      <c r="M770" s="5">
        <v>16900</v>
      </c>
      <c r="N770" s="5">
        <v>2200</v>
      </c>
      <c r="O770" s="5">
        <v>3950</v>
      </c>
      <c r="P770" s="5">
        <v>3000</v>
      </c>
      <c r="Q770" s="13">
        <v>27050</v>
      </c>
      <c r="R770" t="s">
        <v>141</v>
      </c>
      <c r="S770" t="s">
        <v>76</v>
      </c>
      <c r="T770" s="5">
        <v>5260</v>
      </c>
      <c r="U770" s="6">
        <v>5</v>
      </c>
      <c r="V770" t="s">
        <v>64</v>
      </c>
      <c r="W770" s="4"/>
      <c r="X770" t="s">
        <v>65</v>
      </c>
      <c r="Y770" t="s">
        <v>64</v>
      </c>
      <c r="Z770" t="s">
        <v>96</v>
      </c>
      <c r="AA770" t="str">
        <f>VLOOKUP(H770,Departments!$A:$B,2,0)</f>
        <v>Neurology</v>
      </c>
      <c r="AB770" t="str">
        <f>VLOOKUP(J770,Diagnosis_Guide!$A:$B,2,0)</f>
        <v>Migraine Complication</v>
      </c>
      <c r="AC770" s="4" t="str">
        <f>VLOOKUP(J770,Diagnosis_Guide!$A:$C,3,0)</f>
        <v>Neurological</v>
      </c>
      <c r="AD770" s="4" t="str">
        <f>VLOOKUP(R770,Insurance_Plans!$A:$C,3,0)</f>
        <v>Private</v>
      </c>
      <c r="AE770" s="13">
        <f t="shared" ref="AE770:AE833" si="36">IF(Q770="","",Q770*0.05)</f>
        <v>1352.5</v>
      </c>
      <c r="AF770" s="13">
        <f t="shared" ref="AF770:AF833" si="37">IF(Q770="","",Q770+AE770)</f>
        <v>28402.5</v>
      </c>
      <c r="AG770" s="4" t="str">
        <f t="shared" ref="AG770:AG833" si="38">IF(U770="","Not Available",IF(U770&gt;=4,"High",IF(U770=3,"Medium","Low")))</f>
        <v>High</v>
      </c>
    </row>
    <row r="771" spans="1:33">
      <c r="A771" t="s">
        <v>1421</v>
      </c>
      <c r="B771" t="s">
        <v>102</v>
      </c>
      <c r="C771" s="11">
        <v>46044</v>
      </c>
      <c r="D771" t="s">
        <v>200</v>
      </c>
      <c r="E771" t="s">
        <v>70</v>
      </c>
      <c r="F771" s="4">
        <v>46045</v>
      </c>
      <c r="G771" s="4">
        <v>46045</v>
      </c>
      <c r="H771" t="s">
        <v>90</v>
      </c>
      <c r="I771" t="s">
        <v>388</v>
      </c>
      <c r="J771" t="s">
        <v>197</v>
      </c>
      <c r="K771" t="s">
        <v>60</v>
      </c>
      <c r="L771" t="s">
        <v>146</v>
      </c>
      <c r="M771" s="5">
        <v>17100</v>
      </c>
      <c r="N771" s="5">
        <v>1450</v>
      </c>
      <c r="O771" s="5">
        <v>3500</v>
      </c>
      <c r="P771" s="5">
        <v>0</v>
      </c>
      <c r="Q771" s="13">
        <v>23550</v>
      </c>
      <c r="R771" t="s">
        <v>141</v>
      </c>
      <c r="S771" t="s">
        <v>86</v>
      </c>
      <c r="T771" s="5">
        <v>4730</v>
      </c>
      <c r="U771" s="6">
        <v>4</v>
      </c>
      <c r="V771" t="s">
        <v>64</v>
      </c>
      <c r="W771" s="4"/>
      <c r="X771" t="s">
        <v>65</v>
      </c>
      <c r="Y771" t="s">
        <v>77</v>
      </c>
      <c r="Z771" t="s">
        <v>78</v>
      </c>
      <c r="AA771" t="str">
        <f>VLOOKUP(H771,Departments!$A:$B,2,0)</f>
        <v>Cardiology</v>
      </c>
      <c r="AB771" t="str">
        <f>VLOOKUP(J771,Diagnosis_Guide!$A:$B,2,0)</f>
        <v>Chest Pain</v>
      </c>
      <c r="AC771" s="4" t="str">
        <f>VLOOKUP(J771,Diagnosis_Guide!$A:$C,3,0)</f>
        <v>Cardiovascular</v>
      </c>
      <c r="AD771" s="4" t="str">
        <f>VLOOKUP(R771,Insurance_Plans!$A:$C,3,0)</f>
        <v>Private</v>
      </c>
      <c r="AE771" s="13">
        <f t="shared" si="36"/>
        <v>1177.5</v>
      </c>
      <c r="AF771" s="13">
        <f t="shared" si="37"/>
        <v>24727.5</v>
      </c>
      <c r="AG771" s="4" t="str">
        <f t="shared" si="38"/>
        <v>High</v>
      </c>
    </row>
    <row r="772" spans="1:33">
      <c r="A772" t="s">
        <v>1422</v>
      </c>
      <c r="B772" t="s">
        <v>451</v>
      </c>
      <c r="C772" s="11">
        <v>46059</v>
      </c>
      <c r="D772" t="s">
        <v>234</v>
      </c>
      <c r="E772" t="s">
        <v>70</v>
      </c>
      <c r="F772" s="4">
        <v>46059</v>
      </c>
      <c r="G772" s="4">
        <v>46059</v>
      </c>
      <c r="H772" t="s">
        <v>111</v>
      </c>
      <c r="I772" t="s">
        <v>397</v>
      </c>
      <c r="J772" t="s">
        <v>117</v>
      </c>
      <c r="K772" t="s">
        <v>60</v>
      </c>
      <c r="L772" t="s">
        <v>94</v>
      </c>
      <c r="M772" s="5">
        <v>7800</v>
      </c>
      <c r="N772" s="5">
        <v>750</v>
      </c>
      <c r="O772" s="5">
        <v>1050</v>
      </c>
      <c r="P772" s="5">
        <v>0</v>
      </c>
      <c r="Q772" s="13">
        <v>11600</v>
      </c>
      <c r="R772" t="s">
        <v>85</v>
      </c>
      <c r="S772" t="s">
        <v>76</v>
      </c>
      <c r="T772" s="5">
        <v>3800</v>
      </c>
      <c r="U772" s="6">
        <v>5</v>
      </c>
      <c r="V772" t="s">
        <v>64</v>
      </c>
      <c r="W772" s="4"/>
      <c r="X772" t="s">
        <v>65</v>
      </c>
      <c r="Y772" t="s">
        <v>64</v>
      </c>
      <c r="Z772" t="s">
        <v>96</v>
      </c>
      <c r="AA772" t="str">
        <f>VLOOKUP(H772,Departments!$A:$B,2,0)</f>
        <v>General Medicine</v>
      </c>
      <c r="AB772" t="str">
        <f>VLOOKUP(J772,Diagnosis_Guide!$A:$B,2,0)</f>
        <v>Fever Investigation</v>
      </c>
      <c r="AC772" s="4" t="str">
        <f>VLOOKUP(J772,Diagnosis_Guide!$A:$C,3,0)</f>
        <v>Infectious/General</v>
      </c>
      <c r="AD772" s="4" t="str">
        <f>VLOOKUP(R772,Insurance_Plans!$A:$C,3,0)</f>
        <v>Employer</v>
      </c>
      <c r="AE772" s="13">
        <f t="shared" si="36"/>
        <v>580</v>
      </c>
      <c r="AF772" s="13">
        <f t="shared" si="37"/>
        <v>12180</v>
      </c>
      <c r="AG772" s="4" t="str">
        <f t="shared" si="38"/>
        <v>High</v>
      </c>
    </row>
    <row r="773" spans="1:33">
      <c r="A773" t="s">
        <v>1423</v>
      </c>
      <c r="B773" t="s">
        <v>1195</v>
      </c>
      <c r="C773" s="11">
        <v>46046</v>
      </c>
      <c r="D773" t="s">
        <v>120</v>
      </c>
      <c r="E773" t="s">
        <v>70</v>
      </c>
      <c r="F773" s="4">
        <v>46046</v>
      </c>
      <c r="G773" s="4">
        <v>46051</v>
      </c>
      <c r="H773" t="s">
        <v>90</v>
      </c>
      <c r="I773" t="s">
        <v>162</v>
      </c>
      <c r="J773" t="s">
        <v>92</v>
      </c>
      <c r="K773" t="s">
        <v>124</v>
      </c>
      <c r="L773" t="s">
        <v>61</v>
      </c>
      <c r="M773" s="5">
        <v>58700</v>
      </c>
      <c r="N773" s="5">
        <v>10250</v>
      </c>
      <c r="O773" s="5">
        <v>8650</v>
      </c>
      <c r="P773" s="5">
        <v>17500</v>
      </c>
      <c r="Q773" s="13">
        <v>96300</v>
      </c>
      <c r="R773" t="s">
        <v>134</v>
      </c>
      <c r="S773" t="s">
        <v>163</v>
      </c>
      <c r="T773" s="5">
        <v>53170</v>
      </c>
      <c r="U773" s="6">
        <v>3</v>
      </c>
      <c r="V773" t="s">
        <v>77</v>
      </c>
      <c r="W773" s="4">
        <v>46068</v>
      </c>
      <c r="X773" t="s">
        <v>77</v>
      </c>
      <c r="Y773" t="s">
        <v>64</v>
      </c>
      <c r="Z773" t="s">
        <v>78</v>
      </c>
      <c r="AA773" t="str">
        <f>VLOOKUP(H773,Departments!$A:$B,2,0)</f>
        <v>Cardiology</v>
      </c>
      <c r="AB773" t="str">
        <f>VLOOKUP(J773,Diagnosis_Guide!$A:$B,2,0)</f>
        <v>Heart Failure</v>
      </c>
      <c r="AC773" s="4" t="str">
        <f>VLOOKUP(J773,Diagnosis_Guide!$A:$C,3,0)</f>
        <v>Cardiovascular</v>
      </c>
      <c r="AD773" s="4" t="str">
        <f>VLOOKUP(R773,Insurance_Plans!$A:$C,3,0)</f>
        <v>Community</v>
      </c>
      <c r="AE773" s="13">
        <f t="shared" si="36"/>
        <v>4815</v>
      </c>
      <c r="AF773" s="13">
        <f t="shared" si="37"/>
        <v>101115</v>
      </c>
      <c r="AG773" s="4" t="str">
        <f t="shared" si="38"/>
        <v>Medium</v>
      </c>
    </row>
    <row r="774" spans="1:33">
      <c r="A774" t="s">
        <v>1424</v>
      </c>
      <c r="B774" t="s">
        <v>1425</v>
      </c>
      <c r="C774" s="11">
        <v>46141</v>
      </c>
      <c r="D774" t="s">
        <v>469</v>
      </c>
      <c r="E774" t="s">
        <v>70</v>
      </c>
      <c r="F774" s="4">
        <v>46141</v>
      </c>
      <c r="G774" s="4">
        <v>46141</v>
      </c>
      <c r="H774" t="s">
        <v>138</v>
      </c>
      <c r="I774" t="s">
        <v>343</v>
      </c>
      <c r="J774" t="s">
        <v>261</v>
      </c>
      <c r="K774" t="s">
        <v>93</v>
      </c>
      <c r="L774" t="s">
        <v>61</v>
      </c>
      <c r="M774" s="5">
        <v>4200</v>
      </c>
      <c r="N774" s="5">
        <v>450</v>
      </c>
      <c r="O774" s="5">
        <v>800</v>
      </c>
      <c r="P774" s="5">
        <v>0</v>
      </c>
      <c r="Q774" s="13">
        <v>7250</v>
      </c>
      <c r="R774" t="s">
        <v>62</v>
      </c>
      <c r="S774" t="s">
        <v>76</v>
      </c>
      <c r="T774" s="5">
        <v>2580</v>
      </c>
      <c r="U774" s="6">
        <v>5</v>
      </c>
      <c r="V774" t="s">
        <v>77</v>
      </c>
      <c r="W774" s="4">
        <v>46152</v>
      </c>
      <c r="X774" t="s">
        <v>77</v>
      </c>
      <c r="Y774" t="s">
        <v>64</v>
      </c>
      <c r="Z774" t="s">
        <v>78</v>
      </c>
      <c r="AA774" t="str">
        <f>VLOOKUP(H774,Departments!$A:$B,2,0)</f>
        <v>Pediatrics</v>
      </c>
      <c r="AB774" t="str">
        <f>VLOOKUP(J774,Diagnosis_Guide!$A:$B,2,0)</f>
        <v>Child Fever</v>
      </c>
      <c r="AC774" s="4" t="str">
        <f>VLOOKUP(J774,Diagnosis_Guide!$A:$C,3,0)</f>
        <v>Pediatric</v>
      </c>
      <c r="AD774" s="4" t="str">
        <f>VLOOKUP(R774,Insurance_Plans!$A:$C,3,0)</f>
        <v>Public</v>
      </c>
      <c r="AE774" s="13">
        <f t="shared" si="36"/>
        <v>362.5</v>
      </c>
      <c r="AF774" s="13">
        <f t="shared" si="37"/>
        <v>7612.5</v>
      </c>
      <c r="AG774" s="4" t="str">
        <f t="shared" si="38"/>
        <v>High</v>
      </c>
    </row>
    <row r="775" spans="1:33">
      <c r="A775" t="s">
        <v>1426</v>
      </c>
      <c r="B775" t="s">
        <v>1427</v>
      </c>
      <c r="C775" s="11">
        <v>46096</v>
      </c>
      <c r="D775" t="s">
        <v>217</v>
      </c>
      <c r="E775" t="s">
        <v>70</v>
      </c>
      <c r="F775" s="4">
        <v>46096</v>
      </c>
      <c r="G775" s="4">
        <v>46105</v>
      </c>
      <c r="H775" t="s">
        <v>103</v>
      </c>
      <c r="I775" t="s">
        <v>207</v>
      </c>
      <c r="J775" t="s">
        <v>244</v>
      </c>
      <c r="K775" t="s">
        <v>73</v>
      </c>
      <c r="L775" t="s">
        <v>94</v>
      </c>
      <c r="M775" s="5">
        <v>64200</v>
      </c>
      <c r="N775" s="5">
        <v>11350</v>
      </c>
      <c r="O775" s="5">
        <v>12900</v>
      </c>
      <c r="P775" s="5">
        <v>27000</v>
      </c>
      <c r="Q775" s="13">
        <v>116950</v>
      </c>
      <c r="R775" t="s">
        <v>141</v>
      </c>
      <c r="S775" t="s">
        <v>76</v>
      </c>
      <c r="T775" s="5">
        <v>18740</v>
      </c>
      <c r="U775" s="6">
        <v>4</v>
      </c>
      <c r="V775" t="s">
        <v>77</v>
      </c>
      <c r="W775" s="4">
        <v>46114</v>
      </c>
      <c r="X775" t="s">
        <v>77</v>
      </c>
      <c r="Y775" t="s">
        <v>64</v>
      </c>
      <c r="Z775" t="s">
        <v>78</v>
      </c>
      <c r="AA775" t="str">
        <f>VLOOKUP(H775,Departments!$A:$B,2,0)</f>
        <v>Nephrology</v>
      </c>
      <c r="AB775" t="str">
        <f>VLOOKUP(J775,Diagnosis_Guide!$A:$B,2,0)</f>
        <v>Chronic Kidney Disease</v>
      </c>
      <c r="AC775" s="4" t="str">
        <f>VLOOKUP(J775,Diagnosis_Guide!$A:$C,3,0)</f>
        <v>Renal</v>
      </c>
      <c r="AD775" s="4" t="str">
        <f>VLOOKUP(R775,Insurance_Plans!$A:$C,3,0)</f>
        <v>Private</v>
      </c>
      <c r="AE775" s="13">
        <f t="shared" si="36"/>
        <v>5847.5</v>
      </c>
      <c r="AF775" s="13">
        <f t="shared" si="37"/>
        <v>122797.5</v>
      </c>
      <c r="AG775" s="4" t="str">
        <f t="shared" si="38"/>
        <v>High</v>
      </c>
    </row>
    <row r="776" spans="1:33">
      <c r="A776" t="s">
        <v>1428</v>
      </c>
      <c r="B776" t="s">
        <v>1429</v>
      </c>
      <c r="C776" s="11">
        <v>46104</v>
      </c>
      <c r="D776" t="s">
        <v>149</v>
      </c>
      <c r="E776" t="s">
        <v>177</v>
      </c>
      <c r="F776" s="4"/>
      <c r="G776" s="4"/>
      <c r="H776" t="s">
        <v>138</v>
      </c>
      <c r="I776" t="s">
        <v>343</v>
      </c>
      <c r="J776" t="s">
        <v>140</v>
      </c>
      <c r="K776" t="s">
        <v>93</v>
      </c>
      <c r="L776" t="s">
        <v>94</v>
      </c>
      <c r="M776" s="5"/>
      <c r="N776" s="5"/>
      <c r="O776" s="5"/>
      <c r="P776" s="5"/>
      <c r="R776" t="s">
        <v>95</v>
      </c>
      <c r="S776" t="s">
        <v>63</v>
      </c>
      <c r="T776" s="5"/>
      <c r="U776" s="6"/>
      <c r="V776" t="s">
        <v>64</v>
      </c>
      <c r="W776" s="4"/>
      <c r="X776" t="s">
        <v>65</v>
      </c>
      <c r="Z776" t="s">
        <v>66</v>
      </c>
      <c r="AA776" t="str">
        <f>VLOOKUP(H776,Departments!$A:$B,2,0)</f>
        <v>Pediatrics</v>
      </c>
      <c r="AB776" t="str">
        <f>VLOOKUP(J776,Diagnosis_Guide!$A:$B,2,0)</f>
        <v>Pediatric Asthma</v>
      </c>
      <c r="AC776" s="4" t="str">
        <f>VLOOKUP(J776,Diagnosis_Guide!$A:$C,3,0)</f>
        <v>Pediatric</v>
      </c>
      <c r="AD776" s="4" t="str">
        <f>VLOOKUP(R776,Insurance_Plans!$A:$C,3,0)</f>
        <v>Self-Pay</v>
      </c>
      <c r="AE776" s="13" t="str">
        <f t="shared" si="36"/>
        <v/>
      </c>
      <c r="AF776" s="13" t="str">
        <f t="shared" si="37"/>
        <v/>
      </c>
      <c r="AG776" s="4" t="str">
        <f t="shared" si="38"/>
        <v>Not Available</v>
      </c>
    </row>
    <row r="777" spans="1:33">
      <c r="A777" t="s">
        <v>1430</v>
      </c>
      <c r="B777" t="s">
        <v>468</v>
      </c>
      <c r="C777" s="11">
        <v>46162</v>
      </c>
      <c r="D777" t="s">
        <v>161</v>
      </c>
      <c r="E777" t="s">
        <v>70</v>
      </c>
      <c r="F777" s="4">
        <v>46163</v>
      </c>
      <c r="G777" s="4">
        <v>46167</v>
      </c>
      <c r="H777" t="s">
        <v>82</v>
      </c>
      <c r="I777" t="s">
        <v>194</v>
      </c>
      <c r="J777" t="s">
        <v>291</v>
      </c>
      <c r="K777" t="s">
        <v>124</v>
      </c>
      <c r="L777" t="s">
        <v>94</v>
      </c>
      <c r="M777" s="5">
        <v>41000</v>
      </c>
      <c r="N777" s="5">
        <v>3500</v>
      </c>
      <c r="O777" s="5">
        <v>5950</v>
      </c>
      <c r="P777" s="5">
        <v>12000</v>
      </c>
      <c r="Q777" s="13">
        <v>64250</v>
      </c>
      <c r="R777" t="s">
        <v>141</v>
      </c>
      <c r="S777" t="s">
        <v>86</v>
      </c>
      <c r="T777" s="5">
        <v>10840</v>
      </c>
      <c r="U777" s="6">
        <v>3</v>
      </c>
      <c r="V777" t="s">
        <v>77</v>
      </c>
      <c r="W777" s="4">
        <v>46180</v>
      </c>
      <c r="X777" t="s">
        <v>77</v>
      </c>
      <c r="Y777" t="s">
        <v>77</v>
      </c>
      <c r="Z777" t="s">
        <v>96</v>
      </c>
      <c r="AA777" t="str">
        <f>VLOOKUP(H777,Departments!$A:$B,2,0)</f>
        <v>Orthopedics</v>
      </c>
      <c r="AB777" t="str">
        <f>VLOOKUP(J777,Diagnosis_Guide!$A:$B,2,0)</f>
        <v>Fracture Repair</v>
      </c>
      <c r="AC777" s="4" t="str">
        <f>VLOOKUP(J777,Diagnosis_Guide!$A:$C,3,0)</f>
        <v>Musculoskeletal</v>
      </c>
      <c r="AD777" s="4" t="str">
        <f>VLOOKUP(R777,Insurance_Plans!$A:$C,3,0)</f>
        <v>Private</v>
      </c>
      <c r="AE777" s="13">
        <f t="shared" si="36"/>
        <v>3212.5</v>
      </c>
      <c r="AF777" s="13">
        <f t="shared" si="37"/>
        <v>67462.5</v>
      </c>
      <c r="AG777" s="4" t="str">
        <f t="shared" si="38"/>
        <v>Medium</v>
      </c>
    </row>
    <row r="778" spans="1:33">
      <c r="A778" t="s">
        <v>1431</v>
      </c>
      <c r="B778" t="s">
        <v>1432</v>
      </c>
      <c r="C778" s="11">
        <v>46059</v>
      </c>
      <c r="D778" t="s">
        <v>266</v>
      </c>
      <c r="E778" t="s">
        <v>70</v>
      </c>
      <c r="F778" s="4">
        <v>46059</v>
      </c>
      <c r="G778" s="4">
        <v>46059</v>
      </c>
      <c r="H778" t="s">
        <v>121</v>
      </c>
      <c r="I778" t="s">
        <v>251</v>
      </c>
      <c r="J778" t="s">
        <v>256</v>
      </c>
      <c r="K778" t="s">
        <v>60</v>
      </c>
      <c r="L778" t="s">
        <v>94</v>
      </c>
      <c r="M778" s="5">
        <v>16800</v>
      </c>
      <c r="N778" s="5">
        <v>2400</v>
      </c>
      <c r="O778" s="5">
        <v>2950</v>
      </c>
      <c r="P778" s="5">
        <v>0</v>
      </c>
      <c r="Q778" s="13">
        <v>24150</v>
      </c>
      <c r="R778" t="s">
        <v>75</v>
      </c>
      <c r="S778" t="s">
        <v>76</v>
      </c>
      <c r="T778" s="5">
        <v>11170</v>
      </c>
      <c r="U778" s="6">
        <v>5</v>
      </c>
      <c r="V778" t="s">
        <v>64</v>
      </c>
      <c r="W778" s="4"/>
      <c r="X778" t="s">
        <v>65</v>
      </c>
      <c r="Y778" t="s">
        <v>64</v>
      </c>
      <c r="Z778" t="s">
        <v>96</v>
      </c>
      <c r="AA778" t="str">
        <f>VLOOKUP(H778,Departments!$A:$B,2,0)</f>
        <v>Neurology</v>
      </c>
      <c r="AB778" t="str">
        <f>VLOOKUP(J778,Diagnosis_Guide!$A:$B,2,0)</f>
        <v>Migraine Complication</v>
      </c>
      <c r="AC778" s="4" t="str">
        <f>VLOOKUP(J778,Diagnosis_Guide!$A:$C,3,0)</f>
        <v>Neurological</v>
      </c>
      <c r="AD778" s="4" t="str">
        <f>VLOOKUP(R778,Insurance_Plans!$A:$C,3,0)</f>
        <v>Public</v>
      </c>
      <c r="AE778" s="13">
        <f t="shared" si="36"/>
        <v>1207.5</v>
      </c>
      <c r="AF778" s="13">
        <f t="shared" si="37"/>
        <v>25357.5</v>
      </c>
      <c r="AG778" s="4" t="str">
        <f t="shared" si="38"/>
        <v>High</v>
      </c>
    </row>
    <row r="779" spans="1:33">
      <c r="A779" t="s">
        <v>1433</v>
      </c>
      <c r="B779" t="s">
        <v>286</v>
      </c>
      <c r="C779" s="11">
        <v>46159</v>
      </c>
      <c r="D779" t="s">
        <v>161</v>
      </c>
      <c r="E779" t="s">
        <v>70</v>
      </c>
      <c r="F779" s="4">
        <v>46159</v>
      </c>
      <c r="G779" s="4">
        <v>46160</v>
      </c>
      <c r="H779" t="s">
        <v>111</v>
      </c>
      <c r="I779" t="s">
        <v>267</v>
      </c>
      <c r="J779" t="s">
        <v>384</v>
      </c>
      <c r="K779" t="s">
        <v>60</v>
      </c>
      <c r="L779" t="s">
        <v>61</v>
      </c>
      <c r="M779" s="5">
        <v>47600</v>
      </c>
      <c r="N779" s="5">
        <v>5950</v>
      </c>
      <c r="O779" s="5">
        <v>5650</v>
      </c>
      <c r="P779" s="5">
        <v>2500</v>
      </c>
      <c r="Q779" s="13">
        <v>62900</v>
      </c>
      <c r="R779" t="s">
        <v>95</v>
      </c>
      <c r="S779" t="s">
        <v>63</v>
      </c>
      <c r="T779" s="5">
        <v>62900</v>
      </c>
      <c r="U779" s="6">
        <v>5</v>
      </c>
      <c r="V779" t="s">
        <v>77</v>
      </c>
      <c r="W779" s="4">
        <v>46180</v>
      </c>
      <c r="X779" t="s">
        <v>77</v>
      </c>
      <c r="Y779" t="s">
        <v>77</v>
      </c>
      <c r="Z779" t="s">
        <v>78</v>
      </c>
      <c r="AA779" t="str">
        <f>VLOOKUP(H779,Departments!$A:$B,2,0)</f>
        <v>General Medicine</v>
      </c>
      <c r="AB779" t="str">
        <f>VLOOKUP(J779,Diagnosis_Guide!$A:$B,2,0)</f>
        <v>Severe Infection</v>
      </c>
      <c r="AC779" s="4" t="str">
        <f>VLOOKUP(J779,Diagnosis_Guide!$A:$C,3,0)</f>
        <v>Infectious/General</v>
      </c>
      <c r="AD779" s="4" t="str">
        <f>VLOOKUP(R779,Insurance_Plans!$A:$C,3,0)</f>
        <v>Self-Pay</v>
      </c>
      <c r="AE779" s="13">
        <f t="shared" si="36"/>
        <v>3145</v>
      </c>
      <c r="AF779" s="13">
        <f t="shared" si="37"/>
        <v>66045</v>
      </c>
      <c r="AG779" s="4" t="str">
        <f t="shared" si="38"/>
        <v>High</v>
      </c>
    </row>
    <row r="780" spans="1:33">
      <c r="A780" t="s">
        <v>1434</v>
      </c>
      <c r="B780" t="s">
        <v>1435</v>
      </c>
      <c r="C780" s="11">
        <v>46119</v>
      </c>
      <c r="D780" t="s">
        <v>99</v>
      </c>
      <c r="E780" t="s">
        <v>70</v>
      </c>
      <c r="F780" s="4">
        <v>46119</v>
      </c>
      <c r="G780" s="4">
        <v>46121</v>
      </c>
      <c r="H780" t="s">
        <v>201</v>
      </c>
      <c r="I780" t="s">
        <v>280</v>
      </c>
      <c r="J780" t="s">
        <v>203</v>
      </c>
      <c r="K780" t="s">
        <v>124</v>
      </c>
      <c r="L780" t="s">
        <v>146</v>
      </c>
      <c r="M780" s="5">
        <v>39200</v>
      </c>
      <c r="N780" s="5">
        <v>4300</v>
      </c>
      <c r="O780" s="5">
        <v>5000</v>
      </c>
      <c r="P780" s="5">
        <v>6000</v>
      </c>
      <c r="Q780" s="13">
        <v>55500</v>
      </c>
      <c r="R780" t="s">
        <v>95</v>
      </c>
      <c r="S780" t="s">
        <v>63</v>
      </c>
      <c r="T780" s="5">
        <v>55500</v>
      </c>
      <c r="U780" s="6">
        <v>2</v>
      </c>
      <c r="V780" t="s">
        <v>77</v>
      </c>
      <c r="W780" s="4">
        <v>46136</v>
      </c>
      <c r="X780" t="s">
        <v>64</v>
      </c>
      <c r="Y780" t="s">
        <v>77</v>
      </c>
      <c r="Z780" t="s">
        <v>96</v>
      </c>
      <c r="AA780" t="str">
        <f>VLOOKUP(H780,Departments!$A:$B,2,0)</f>
        <v>Emergency</v>
      </c>
      <c r="AB780" t="str">
        <f>VLOOKUP(J780,Diagnosis_Guide!$A:$B,2,0)</f>
        <v>Trauma Observation</v>
      </c>
      <c r="AC780" s="4" t="str">
        <f>VLOOKUP(J780,Diagnosis_Guide!$A:$C,3,0)</f>
        <v>Emergency</v>
      </c>
      <c r="AD780" s="4" t="str">
        <f>VLOOKUP(R780,Insurance_Plans!$A:$C,3,0)</f>
        <v>Self-Pay</v>
      </c>
      <c r="AE780" s="13">
        <f t="shared" si="36"/>
        <v>2775</v>
      </c>
      <c r="AF780" s="13">
        <f t="shared" si="37"/>
        <v>58275</v>
      </c>
      <c r="AG780" s="4" t="str">
        <f t="shared" si="38"/>
        <v>Low</v>
      </c>
    </row>
    <row r="781" spans="1:33">
      <c r="A781" t="s">
        <v>1436</v>
      </c>
      <c r="B781" t="s">
        <v>1437</v>
      </c>
      <c r="C781" s="11">
        <v>46046</v>
      </c>
      <c r="D781" t="s">
        <v>307</v>
      </c>
      <c r="E781" t="s">
        <v>70</v>
      </c>
      <c r="F781" s="4">
        <v>46046</v>
      </c>
      <c r="G781" s="4">
        <v>46051</v>
      </c>
      <c r="H781" t="s">
        <v>201</v>
      </c>
      <c r="I781" t="s">
        <v>515</v>
      </c>
      <c r="J781" t="s">
        <v>295</v>
      </c>
      <c r="K781" t="s">
        <v>124</v>
      </c>
      <c r="L781" t="s">
        <v>61</v>
      </c>
      <c r="M781" s="5">
        <v>41000</v>
      </c>
      <c r="N781" s="5">
        <v>5500</v>
      </c>
      <c r="O781" s="5">
        <v>8850</v>
      </c>
      <c r="P781" s="5">
        <v>12500</v>
      </c>
      <c r="Q781" s="13">
        <v>69050</v>
      </c>
      <c r="R781" t="s">
        <v>106</v>
      </c>
      <c r="S781" t="s">
        <v>76</v>
      </c>
      <c r="T781" s="5">
        <v>24870</v>
      </c>
      <c r="U781" s="6">
        <v>3</v>
      </c>
      <c r="V781" t="s">
        <v>77</v>
      </c>
      <c r="W781" s="4">
        <v>46064</v>
      </c>
      <c r="X781" t="s">
        <v>77</v>
      </c>
      <c r="Y781" t="s">
        <v>64</v>
      </c>
      <c r="Z781" t="s">
        <v>219</v>
      </c>
      <c r="AA781" t="str">
        <f>VLOOKUP(H781,Departments!$A:$B,2,0)</f>
        <v>Emergency</v>
      </c>
      <c r="AB781" t="str">
        <f>VLOOKUP(J781,Diagnosis_Guide!$A:$B,2,0)</f>
        <v>Accident Injury</v>
      </c>
      <c r="AC781" s="4" t="str">
        <f>VLOOKUP(J781,Diagnosis_Guide!$A:$C,3,0)</f>
        <v>Emergency</v>
      </c>
      <c r="AD781" s="4" t="str">
        <f>VLOOKUP(R781,Insurance_Plans!$A:$C,3,0)</f>
        <v>Private</v>
      </c>
      <c r="AE781" s="13">
        <f t="shared" si="36"/>
        <v>3452.5</v>
      </c>
      <c r="AF781" s="13">
        <f t="shared" si="37"/>
        <v>72502.5</v>
      </c>
      <c r="AG781" s="4" t="str">
        <f t="shared" si="38"/>
        <v>Medium</v>
      </c>
    </row>
    <row r="782" spans="1:33">
      <c r="A782" t="s">
        <v>1438</v>
      </c>
      <c r="B782" t="s">
        <v>992</v>
      </c>
      <c r="C782" s="11">
        <v>46063</v>
      </c>
      <c r="D782" t="s">
        <v>419</v>
      </c>
      <c r="E782" t="s">
        <v>70</v>
      </c>
      <c r="F782" s="4">
        <v>46063</v>
      </c>
      <c r="G782" s="4">
        <v>46064</v>
      </c>
      <c r="H782" t="s">
        <v>57</v>
      </c>
      <c r="I782" t="s">
        <v>211</v>
      </c>
      <c r="J782" t="s">
        <v>72</v>
      </c>
      <c r="K782" t="s">
        <v>124</v>
      </c>
      <c r="L782" t="s">
        <v>94</v>
      </c>
      <c r="M782" s="5">
        <v>6900</v>
      </c>
      <c r="N782" s="5">
        <v>950</v>
      </c>
      <c r="O782" s="5">
        <v>800</v>
      </c>
      <c r="P782" s="5">
        <v>3000</v>
      </c>
      <c r="Q782" s="13">
        <v>13650</v>
      </c>
      <c r="R782" t="s">
        <v>85</v>
      </c>
      <c r="S782" t="s">
        <v>76</v>
      </c>
      <c r="T782" s="5">
        <v>4310</v>
      </c>
      <c r="U782" s="6">
        <v>5</v>
      </c>
      <c r="V782" t="s">
        <v>64</v>
      </c>
      <c r="W782" s="4"/>
      <c r="X782" t="s">
        <v>65</v>
      </c>
      <c r="Y782" t="s">
        <v>64</v>
      </c>
      <c r="Z782" t="s">
        <v>96</v>
      </c>
      <c r="AA782" t="str">
        <f>VLOOKUP(H782,Departments!$A:$B,2,0)</f>
        <v>Pulmonology</v>
      </c>
      <c r="AB782" t="str">
        <f>VLOOKUP(J782,Diagnosis_Guide!$A:$B,2,0)</f>
        <v>Acute Bronchitis</v>
      </c>
      <c r="AC782" s="4" t="str">
        <f>VLOOKUP(J782,Diagnosis_Guide!$A:$C,3,0)</f>
        <v>Respiratory</v>
      </c>
      <c r="AD782" s="4" t="str">
        <f>VLOOKUP(R782,Insurance_Plans!$A:$C,3,0)</f>
        <v>Employer</v>
      </c>
      <c r="AE782" s="13">
        <f t="shared" si="36"/>
        <v>682.5</v>
      </c>
      <c r="AF782" s="13">
        <f t="shared" si="37"/>
        <v>14332.5</v>
      </c>
      <c r="AG782" s="4" t="str">
        <f t="shared" si="38"/>
        <v>High</v>
      </c>
    </row>
    <row r="783" spans="1:33">
      <c r="A783" t="s">
        <v>1439</v>
      </c>
      <c r="B783" t="s">
        <v>758</v>
      </c>
      <c r="C783" s="11">
        <v>46060</v>
      </c>
      <c r="D783" t="s">
        <v>259</v>
      </c>
      <c r="E783" t="s">
        <v>70</v>
      </c>
      <c r="F783" s="4">
        <v>46061</v>
      </c>
      <c r="G783" s="4">
        <v>46070</v>
      </c>
      <c r="H783" t="s">
        <v>111</v>
      </c>
      <c r="I783" t="s">
        <v>222</v>
      </c>
      <c r="J783" t="s">
        <v>384</v>
      </c>
      <c r="K783" t="s">
        <v>124</v>
      </c>
      <c r="L783" t="s">
        <v>74</v>
      </c>
      <c r="M783" s="5">
        <v>50200</v>
      </c>
      <c r="N783" s="5">
        <v>8900</v>
      </c>
      <c r="O783" s="5">
        <v>7350</v>
      </c>
      <c r="P783" s="5">
        <v>40500</v>
      </c>
      <c r="Q783" s="13">
        <v>107950</v>
      </c>
      <c r="R783" t="s">
        <v>85</v>
      </c>
      <c r="S783" t="s">
        <v>76</v>
      </c>
      <c r="T783" s="5">
        <v>27890</v>
      </c>
      <c r="U783" s="6">
        <v>2</v>
      </c>
      <c r="V783" t="s">
        <v>77</v>
      </c>
      <c r="W783" s="4">
        <v>46081</v>
      </c>
      <c r="X783" t="s">
        <v>64</v>
      </c>
      <c r="Y783" t="s">
        <v>64</v>
      </c>
      <c r="Z783" t="s">
        <v>96</v>
      </c>
      <c r="AA783" t="str">
        <f>VLOOKUP(H783,Departments!$A:$B,2,0)</f>
        <v>General Medicine</v>
      </c>
      <c r="AB783" t="str">
        <f>VLOOKUP(J783,Diagnosis_Guide!$A:$B,2,0)</f>
        <v>Severe Infection</v>
      </c>
      <c r="AC783" s="4" t="str">
        <f>VLOOKUP(J783,Diagnosis_Guide!$A:$C,3,0)</f>
        <v>Infectious/General</v>
      </c>
      <c r="AD783" s="4" t="str">
        <f>VLOOKUP(R783,Insurance_Plans!$A:$C,3,0)</f>
        <v>Employer</v>
      </c>
      <c r="AE783" s="13">
        <f t="shared" si="36"/>
        <v>5397.5</v>
      </c>
      <c r="AF783" s="13">
        <f t="shared" si="37"/>
        <v>113347.5</v>
      </c>
      <c r="AG783" s="4" t="str">
        <f t="shared" si="38"/>
        <v>Low</v>
      </c>
    </row>
    <row r="784" spans="1:33">
      <c r="A784" t="s">
        <v>1440</v>
      </c>
      <c r="B784" t="s">
        <v>619</v>
      </c>
      <c r="C784" s="11">
        <v>46107</v>
      </c>
      <c r="D784" t="s">
        <v>250</v>
      </c>
      <c r="E784" t="s">
        <v>70</v>
      </c>
      <c r="F784" s="4">
        <v>46107</v>
      </c>
      <c r="G784" s="4">
        <v>46107</v>
      </c>
      <c r="H784" t="s">
        <v>57</v>
      </c>
      <c r="I784" t="s">
        <v>184</v>
      </c>
      <c r="J784" t="s">
        <v>170</v>
      </c>
      <c r="K784" t="s">
        <v>60</v>
      </c>
      <c r="L784" t="s">
        <v>61</v>
      </c>
      <c r="M784" s="5">
        <v>63400</v>
      </c>
      <c r="N784" s="5">
        <v>10850</v>
      </c>
      <c r="O784" s="5">
        <v>15100</v>
      </c>
      <c r="P784" s="5">
        <v>0</v>
      </c>
      <c r="Q784" s="13">
        <v>90550</v>
      </c>
      <c r="R784" t="s">
        <v>85</v>
      </c>
      <c r="S784" t="s">
        <v>163</v>
      </c>
      <c r="T784" s="5">
        <v>23540</v>
      </c>
      <c r="U784" s="6">
        <v>3</v>
      </c>
      <c r="V784" t="s">
        <v>77</v>
      </c>
      <c r="W784" s="4">
        <v>46120</v>
      </c>
      <c r="X784" t="s">
        <v>64</v>
      </c>
      <c r="Y784" t="s">
        <v>64</v>
      </c>
      <c r="Z784" t="s">
        <v>78</v>
      </c>
      <c r="AA784" t="str">
        <f>VLOOKUP(H784,Departments!$A:$B,2,0)</f>
        <v>Pulmonology</v>
      </c>
      <c r="AB784" t="str">
        <f>VLOOKUP(J784,Diagnosis_Guide!$A:$B,2,0)</f>
        <v>COPD Exacerbation</v>
      </c>
      <c r="AC784" s="4" t="str">
        <f>VLOOKUP(J784,Diagnosis_Guide!$A:$C,3,0)</f>
        <v>Respiratory</v>
      </c>
      <c r="AD784" s="4" t="str">
        <f>VLOOKUP(R784,Insurance_Plans!$A:$C,3,0)</f>
        <v>Employer</v>
      </c>
      <c r="AE784" s="13">
        <f t="shared" si="36"/>
        <v>4527.5</v>
      </c>
      <c r="AF784" s="13">
        <f t="shared" si="37"/>
        <v>95077.5</v>
      </c>
      <c r="AG784" s="4" t="str">
        <f t="shared" si="38"/>
        <v>Medium</v>
      </c>
    </row>
    <row r="785" spans="1:33">
      <c r="A785" t="s">
        <v>1441</v>
      </c>
      <c r="B785" t="s">
        <v>598</v>
      </c>
      <c r="C785" s="11">
        <v>46105</v>
      </c>
      <c r="D785" t="s">
        <v>132</v>
      </c>
      <c r="E785" t="s">
        <v>70</v>
      </c>
      <c r="F785" s="4">
        <v>46105</v>
      </c>
      <c r="G785" s="4">
        <v>46105</v>
      </c>
      <c r="H785" t="s">
        <v>121</v>
      </c>
      <c r="I785" t="s">
        <v>386</v>
      </c>
      <c r="J785" t="s">
        <v>252</v>
      </c>
      <c r="K785" t="s">
        <v>60</v>
      </c>
      <c r="L785" t="s">
        <v>94</v>
      </c>
      <c r="M785" s="5">
        <v>64100</v>
      </c>
      <c r="N785" s="5">
        <v>8200</v>
      </c>
      <c r="O785" s="5">
        <v>11650</v>
      </c>
      <c r="P785" s="5">
        <v>0</v>
      </c>
      <c r="Q785" s="13">
        <v>86450</v>
      </c>
      <c r="R785" t="s">
        <v>62</v>
      </c>
      <c r="S785" t="s">
        <v>76</v>
      </c>
      <c r="T785" s="5">
        <v>26340</v>
      </c>
      <c r="U785" s="6">
        <v>5</v>
      </c>
      <c r="V785" t="s">
        <v>77</v>
      </c>
      <c r="W785" s="4">
        <v>46119</v>
      </c>
      <c r="X785" t="s">
        <v>77</v>
      </c>
      <c r="Y785" t="s">
        <v>64</v>
      </c>
      <c r="Z785" t="s">
        <v>96</v>
      </c>
      <c r="AA785" t="str">
        <f>VLOOKUP(H785,Departments!$A:$B,2,0)</f>
        <v>Neurology</v>
      </c>
      <c r="AB785" t="str">
        <f>VLOOKUP(J785,Diagnosis_Guide!$A:$B,2,0)</f>
        <v>Stroke Assessment</v>
      </c>
      <c r="AC785" s="4" t="str">
        <f>VLOOKUP(J785,Diagnosis_Guide!$A:$C,3,0)</f>
        <v>Neurological</v>
      </c>
      <c r="AD785" s="4" t="str">
        <f>VLOOKUP(R785,Insurance_Plans!$A:$C,3,0)</f>
        <v>Public</v>
      </c>
      <c r="AE785" s="13">
        <f t="shared" si="36"/>
        <v>4322.5</v>
      </c>
      <c r="AF785" s="13">
        <f t="shared" si="37"/>
        <v>90772.5</v>
      </c>
      <c r="AG785" s="4" t="str">
        <f t="shared" si="38"/>
        <v>High</v>
      </c>
    </row>
    <row r="786" spans="1:33">
      <c r="A786" t="s">
        <v>1442</v>
      </c>
      <c r="B786" t="s">
        <v>1418</v>
      </c>
      <c r="C786" s="11">
        <v>46155</v>
      </c>
      <c r="D786" t="s">
        <v>200</v>
      </c>
      <c r="E786" t="s">
        <v>70</v>
      </c>
      <c r="F786" s="4">
        <v>46155</v>
      </c>
      <c r="G786" s="4">
        <v>46157</v>
      </c>
      <c r="H786" t="s">
        <v>57</v>
      </c>
      <c r="I786" t="s">
        <v>58</v>
      </c>
      <c r="J786" t="s">
        <v>72</v>
      </c>
      <c r="K786" t="s">
        <v>93</v>
      </c>
      <c r="L786" t="s">
        <v>61</v>
      </c>
      <c r="M786" s="5">
        <v>8300</v>
      </c>
      <c r="N786" s="5">
        <v>700</v>
      </c>
      <c r="O786" s="5">
        <v>2000</v>
      </c>
      <c r="P786" s="5">
        <v>6000</v>
      </c>
      <c r="Q786" s="13">
        <v>19500</v>
      </c>
      <c r="R786" t="s">
        <v>141</v>
      </c>
      <c r="S786" t="s">
        <v>76</v>
      </c>
      <c r="T786" s="5">
        <v>4120</v>
      </c>
      <c r="U786" s="6">
        <v>4</v>
      </c>
      <c r="V786" t="s">
        <v>64</v>
      </c>
      <c r="W786" s="4"/>
      <c r="X786" t="s">
        <v>65</v>
      </c>
      <c r="Y786" t="s">
        <v>64</v>
      </c>
      <c r="Z786" t="s">
        <v>78</v>
      </c>
      <c r="AA786" t="str">
        <f>VLOOKUP(H786,Departments!$A:$B,2,0)</f>
        <v>Pulmonology</v>
      </c>
      <c r="AB786" t="str">
        <f>VLOOKUP(J786,Diagnosis_Guide!$A:$B,2,0)</f>
        <v>Acute Bronchitis</v>
      </c>
      <c r="AC786" s="4" t="str">
        <f>VLOOKUP(J786,Diagnosis_Guide!$A:$C,3,0)</f>
        <v>Respiratory</v>
      </c>
      <c r="AD786" s="4" t="str">
        <f>VLOOKUP(R786,Insurance_Plans!$A:$C,3,0)</f>
        <v>Private</v>
      </c>
      <c r="AE786" s="13">
        <f t="shared" si="36"/>
        <v>975</v>
      </c>
      <c r="AF786" s="13">
        <f t="shared" si="37"/>
        <v>20475</v>
      </c>
      <c r="AG786" s="4" t="str">
        <f t="shared" si="38"/>
        <v>High</v>
      </c>
    </row>
    <row r="787" spans="1:33">
      <c r="A787" t="s">
        <v>1443</v>
      </c>
      <c r="B787" t="s">
        <v>1444</v>
      </c>
      <c r="C787" s="11">
        <v>46076</v>
      </c>
      <c r="D787" t="s">
        <v>110</v>
      </c>
      <c r="E787" t="s">
        <v>70</v>
      </c>
      <c r="F787" s="4">
        <v>46076</v>
      </c>
      <c r="G787" s="4">
        <v>46077</v>
      </c>
      <c r="H787" t="s">
        <v>201</v>
      </c>
      <c r="I787" t="s">
        <v>202</v>
      </c>
      <c r="J787" t="s">
        <v>203</v>
      </c>
      <c r="K787" t="s">
        <v>124</v>
      </c>
      <c r="L787" t="s">
        <v>74</v>
      </c>
      <c r="M787" s="5">
        <v>35900</v>
      </c>
      <c r="N787" s="5">
        <v>4100</v>
      </c>
      <c r="O787" s="5">
        <v>4000</v>
      </c>
      <c r="P787" s="5">
        <v>3500</v>
      </c>
      <c r="Q787" s="13">
        <v>50000</v>
      </c>
      <c r="R787" t="s">
        <v>62</v>
      </c>
      <c r="S787" t="s">
        <v>86</v>
      </c>
      <c r="T787" s="5">
        <v>15400</v>
      </c>
      <c r="U787" s="6">
        <v>4</v>
      </c>
      <c r="V787" t="s">
        <v>77</v>
      </c>
      <c r="W787" s="4">
        <v>46085</v>
      </c>
      <c r="X787" t="s">
        <v>77</v>
      </c>
      <c r="Y787" t="s">
        <v>64</v>
      </c>
      <c r="Z787" t="s">
        <v>107</v>
      </c>
      <c r="AA787" t="str">
        <f>VLOOKUP(H787,Departments!$A:$B,2,0)</f>
        <v>Emergency</v>
      </c>
      <c r="AB787" t="str">
        <f>VLOOKUP(J787,Diagnosis_Guide!$A:$B,2,0)</f>
        <v>Trauma Observation</v>
      </c>
      <c r="AC787" s="4" t="str">
        <f>VLOOKUP(J787,Diagnosis_Guide!$A:$C,3,0)</f>
        <v>Emergency</v>
      </c>
      <c r="AD787" s="4" t="str">
        <f>VLOOKUP(R787,Insurance_Plans!$A:$C,3,0)</f>
        <v>Public</v>
      </c>
      <c r="AE787" s="13">
        <f t="shared" si="36"/>
        <v>2500</v>
      </c>
      <c r="AF787" s="13">
        <f t="shared" si="37"/>
        <v>52500</v>
      </c>
      <c r="AG787" s="4" t="str">
        <f t="shared" si="38"/>
        <v>High</v>
      </c>
    </row>
    <row r="788" spans="1:33">
      <c r="A788" t="s">
        <v>1445</v>
      </c>
      <c r="B788" t="s">
        <v>1011</v>
      </c>
      <c r="C788" s="11">
        <v>46117</v>
      </c>
      <c r="D788" t="s">
        <v>330</v>
      </c>
      <c r="E788" t="s">
        <v>70</v>
      </c>
      <c r="F788" s="4">
        <v>46117</v>
      </c>
      <c r="G788" s="4">
        <v>46119</v>
      </c>
      <c r="H788" t="s">
        <v>82</v>
      </c>
      <c r="I788" t="s">
        <v>369</v>
      </c>
      <c r="J788" t="s">
        <v>84</v>
      </c>
      <c r="K788" t="s">
        <v>93</v>
      </c>
      <c r="L788" t="s">
        <v>74</v>
      </c>
      <c r="M788" s="5">
        <v>8100</v>
      </c>
      <c r="N788" s="5">
        <v>1400</v>
      </c>
      <c r="O788" s="5">
        <v>1250</v>
      </c>
      <c r="P788" s="5">
        <v>9000</v>
      </c>
      <c r="Q788" s="13">
        <v>20550</v>
      </c>
      <c r="R788" t="s">
        <v>106</v>
      </c>
      <c r="S788" t="s">
        <v>76</v>
      </c>
      <c r="T788" s="5">
        <v>7890</v>
      </c>
      <c r="U788" s="6">
        <v>4</v>
      </c>
      <c r="V788" t="s">
        <v>77</v>
      </c>
      <c r="W788" s="4">
        <v>46132</v>
      </c>
      <c r="X788" t="s">
        <v>77</v>
      </c>
      <c r="Y788" t="s">
        <v>64</v>
      </c>
      <c r="Z788" t="s">
        <v>96</v>
      </c>
      <c r="AA788" t="str">
        <f>VLOOKUP(H788,Departments!$A:$B,2,0)</f>
        <v>Orthopedics</v>
      </c>
      <c r="AB788" t="str">
        <f>VLOOKUP(J788,Diagnosis_Guide!$A:$B,2,0)</f>
        <v>Joint Pain</v>
      </c>
      <c r="AC788" s="4" t="str">
        <f>VLOOKUP(J788,Diagnosis_Guide!$A:$C,3,0)</f>
        <v>Musculoskeletal</v>
      </c>
      <c r="AD788" s="4" t="str">
        <f>VLOOKUP(R788,Insurance_Plans!$A:$C,3,0)</f>
        <v>Private</v>
      </c>
      <c r="AE788" s="13">
        <f t="shared" si="36"/>
        <v>1027.5</v>
      </c>
      <c r="AF788" s="13">
        <f t="shared" si="37"/>
        <v>21577.5</v>
      </c>
      <c r="AG788" s="4" t="str">
        <f t="shared" si="38"/>
        <v>High</v>
      </c>
    </row>
    <row r="789" spans="1:33">
      <c r="A789" t="s">
        <v>1446</v>
      </c>
      <c r="B789" t="s">
        <v>1447</v>
      </c>
      <c r="C789" s="11">
        <v>46101</v>
      </c>
      <c r="D789" t="s">
        <v>432</v>
      </c>
      <c r="E789" t="s">
        <v>70</v>
      </c>
      <c r="F789" s="4">
        <v>46102</v>
      </c>
      <c r="G789" s="4">
        <v>46113</v>
      </c>
      <c r="H789" t="s">
        <v>57</v>
      </c>
      <c r="I789" t="s">
        <v>100</v>
      </c>
      <c r="J789" t="s">
        <v>170</v>
      </c>
      <c r="K789" t="s">
        <v>93</v>
      </c>
      <c r="L789" t="s">
        <v>94</v>
      </c>
      <c r="M789" s="5">
        <v>82600</v>
      </c>
      <c r="N789" s="5">
        <v>13700</v>
      </c>
      <c r="O789" s="5">
        <v>10050</v>
      </c>
      <c r="P789" s="5">
        <v>27500</v>
      </c>
      <c r="Q789" s="13">
        <v>135850</v>
      </c>
      <c r="R789" t="s">
        <v>95</v>
      </c>
      <c r="S789" t="s">
        <v>63</v>
      </c>
      <c r="T789" s="5">
        <v>135850</v>
      </c>
      <c r="U789" s="6">
        <v>3</v>
      </c>
      <c r="V789" t="s">
        <v>77</v>
      </c>
      <c r="W789" s="4">
        <v>46132</v>
      </c>
      <c r="X789" t="s">
        <v>77</v>
      </c>
      <c r="Y789" t="s">
        <v>64</v>
      </c>
      <c r="Z789" t="s">
        <v>436</v>
      </c>
      <c r="AA789" t="str">
        <f>VLOOKUP(H789,Departments!$A:$B,2,0)</f>
        <v>Pulmonology</v>
      </c>
      <c r="AB789" t="str">
        <f>VLOOKUP(J789,Diagnosis_Guide!$A:$B,2,0)</f>
        <v>COPD Exacerbation</v>
      </c>
      <c r="AC789" s="4" t="str">
        <f>VLOOKUP(J789,Diagnosis_Guide!$A:$C,3,0)</f>
        <v>Respiratory</v>
      </c>
      <c r="AD789" s="4" t="str">
        <f>VLOOKUP(R789,Insurance_Plans!$A:$C,3,0)</f>
        <v>Self-Pay</v>
      </c>
      <c r="AE789" s="13">
        <f t="shared" si="36"/>
        <v>6792.5</v>
      </c>
      <c r="AF789" s="13">
        <f t="shared" si="37"/>
        <v>142642.5</v>
      </c>
      <c r="AG789" s="4" t="str">
        <f t="shared" si="38"/>
        <v>Medium</v>
      </c>
    </row>
    <row r="790" spans="1:33">
      <c r="A790" t="s">
        <v>1448</v>
      </c>
      <c r="B790" t="s">
        <v>589</v>
      </c>
      <c r="C790" s="11">
        <v>46091</v>
      </c>
      <c r="D790" t="s">
        <v>217</v>
      </c>
      <c r="E790" t="s">
        <v>70</v>
      </c>
      <c r="F790" s="4">
        <v>46091</v>
      </c>
      <c r="G790" s="4">
        <v>46091</v>
      </c>
      <c r="H790" t="s">
        <v>57</v>
      </c>
      <c r="I790" t="s">
        <v>184</v>
      </c>
      <c r="J790" t="s">
        <v>170</v>
      </c>
      <c r="K790" t="s">
        <v>60</v>
      </c>
      <c r="L790" t="s">
        <v>74</v>
      </c>
      <c r="M790" s="5">
        <v>59700</v>
      </c>
      <c r="N790" s="5">
        <v>8050</v>
      </c>
      <c r="O790" s="5">
        <v>13650</v>
      </c>
      <c r="P790" s="5">
        <v>0</v>
      </c>
      <c r="Q790" s="13">
        <v>82600</v>
      </c>
      <c r="R790" t="s">
        <v>62</v>
      </c>
      <c r="S790" t="s">
        <v>76</v>
      </c>
      <c r="T790" s="5">
        <v>25180</v>
      </c>
      <c r="U790" s="6">
        <v>4</v>
      </c>
      <c r="V790" t="s">
        <v>77</v>
      </c>
      <c r="W790" s="4">
        <v>46098</v>
      </c>
      <c r="X790" t="s">
        <v>77</v>
      </c>
      <c r="Y790" t="s">
        <v>64</v>
      </c>
      <c r="Z790" t="s">
        <v>78</v>
      </c>
      <c r="AA790" t="str">
        <f>VLOOKUP(H790,Departments!$A:$B,2,0)</f>
        <v>Pulmonology</v>
      </c>
      <c r="AB790" t="str">
        <f>VLOOKUP(J790,Diagnosis_Guide!$A:$B,2,0)</f>
        <v>COPD Exacerbation</v>
      </c>
      <c r="AC790" s="4" t="str">
        <f>VLOOKUP(J790,Diagnosis_Guide!$A:$C,3,0)</f>
        <v>Respiratory</v>
      </c>
      <c r="AD790" s="4" t="str">
        <f>VLOOKUP(R790,Insurance_Plans!$A:$C,3,0)</f>
        <v>Public</v>
      </c>
      <c r="AE790" s="13">
        <f t="shared" si="36"/>
        <v>4130</v>
      </c>
      <c r="AF790" s="13">
        <f t="shared" si="37"/>
        <v>86730</v>
      </c>
      <c r="AG790" s="4" t="str">
        <f t="shared" si="38"/>
        <v>High</v>
      </c>
    </row>
    <row r="791" spans="1:33">
      <c r="A791" t="s">
        <v>1449</v>
      </c>
      <c r="B791" t="s">
        <v>1450</v>
      </c>
      <c r="C791" s="11">
        <v>46140</v>
      </c>
      <c r="D791" t="s">
        <v>99</v>
      </c>
      <c r="E791" t="s">
        <v>70</v>
      </c>
      <c r="F791" s="4">
        <v>46140</v>
      </c>
      <c r="G791" s="4">
        <v>46145</v>
      </c>
      <c r="H791" t="s">
        <v>57</v>
      </c>
      <c r="I791" t="s">
        <v>100</v>
      </c>
      <c r="J791" t="s">
        <v>170</v>
      </c>
      <c r="K791" t="s">
        <v>73</v>
      </c>
      <c r="L791" t="s">
        <v>61</v>
      </c>
      <c r="M791" s="5">
        <v>73900</v>
      </c>
      <c r="N791" s="5">
        <v>12900</v>
      </c>
      <c r="O791" s="5">
        <v>18300</v>
      </c>
      <c r="P791" s="5">
        <v>15000</v>
      </c>
      <c r="Q791" s="13">
        <v>122100</v>
      </c>
      <c r="R791" t="s">
        <v>95</v>
      </c>
      <c r="S791" t="s">
        <v>63</v>
      </c>
      <c r="T791" s="5">
        <v>122100</v>
      </c>
      <c r="U791" s="6">
        <v>1</v>
      </c>
      <c r="V791" t="s">
        <v>77</v>
      </c>
      <c r="W791" s="4">
        <v>46162</v>
      </c>
      <c r="X791" t="s">
        <v>64</v>
      </c>
      <c r="Y791" t="s">
        <v>77</v>
      </c>
      <c r="Z791" t="s">
        <v>78</v>
      </c>
      <c r="AA791" t="str">
        <f>VLOOKUP(H791,Departments!$A:$B,2,0)</f>
        <v>Pulmonology</v>
      </c>
      <c r="AB791" t="str">
        <f>VLOOKUP(J791,Diagnosis_Guide!$A:$B,2,0)</f>
        <v>COPD Exacerbation</v>
      </c>
      <c r="AC791" s="4" t="str">
        <f>VLOOKUP(J791,Diagnosis_Guide!$A:$C,3,0)</f>
        <v>Respiratory</v>
      </c>
      <c r="AD791" s="4" t="str">
        <f>VLOOKUP(R791,Insurance_Plans!$A:$C,3,0)</f>
        <v>Self-Pay</v>
      </c>
      <c r="AE791" s="13">
        <f t="shared" si="36"/>
        <v>6105</v>
      </c>
      <c r="AF791" s="13">
        <f t="shared" si="37"/>
        <v>128205</v>
      </c>
      <c r="AG791" s="4" t="str">
        <f t="shared" si="38"/>
        <v>Low</v>
      </c>
    </row>
    <row r="792" spans="1:33">
      <c r="A792" t="s">
        <v>1451</v>
      </c>
      <c r="B792" t="s">
        <v>1452</v>
      </c>
      <c r="C792" s="11">
        <v>46136</v>
      </c>
      <c r="D792" t="s">
        <v>234</v>
      </c>
      <c r="E792" t="s">
        <v>70</v>
      </c>
      <c r="F792" s="4">
        <v>46137</v>
      </c>
      <c r="G792" s="4">
        <v>46142</v>
      </c>
      <c r="H792" t="s">
        <v>138</v>
      </c>
      <c r="I792" t="s">
        <v>139</v>
      </c>
      <c r="J792" t="s">
        <v>236</v>
      </c>
      <c r="K792" t="s">
        <v>73</v>
      </c>
      <c r="L792" t="s">
        <v>94</v>
      </c>
      <c r="M792" s="5">
        <v>40100</v>
      </c>
      <c r="N792" s="5">
        <v>6500</v>
      </c>
      <c r="O792" s="5">
        <v>4150</v>
      </c>
      <c r="P792" s="5">
        <v>12500</v>
      </c>
      <c r="Q792" s="13">
        <v>65250</v>
      </c>
      <c r="R792" t="s">
        <v>62</v>
      </c>
      <c r="S792" t="s">
        <v>76</v>
      </c>
      <c r="T792" s="5">
        <v>19980</v>
      </c>
      <c r="U792" s="6">
        <v>2</v>
      </c>
      <c r="V792" t="s">
        <v>77</v>
      </c>
      <c r="W792" s="4">
        <v>46157</v>
      </c>
      <c r="X792" t="s">
        <v>64</v>
      </c>
      <c r="Y792" t="s">
        <v>77</v>
      </c>
      <c r="Z792" t="s">
        <v>107</v>
      </c>
      <c r="AA792" t="str">
        <f>VLOOKUP(H792,Departments!$A:$B,2,0)</f>
        <v>Pediatrics</v>
      </c>
      <c r="AB792" t="str">
        <f>VLOOKUP(J792,Diagnosis_Guide!$A:$B,2,0)</f>
        <v>Neonatal Observation</v>
      </c>
      <c r="AC792" s="4" t="str">
        <f>VLOOKUP(J792,Diagnosis_Guide!$A:$C,3,0)</f>
        <v>Pediatric</v>
      </c>
      <c r="AD792" s="4" t="str">
        <f>VLOOKUP(R792,Insurance_Plans!$A:$C,3,0)</f>
        <v>Public</v>
      </c>
      <c r="AE792" s="13">
        <f t="shared" si="36"/>
        <v>3262.5</v>
      </c>
      <c r="AF792" s="13">
        <f t="shared" si="37"/>
        <v>68512.5</v>
      </c>
      <c r="AG792" s="4" t="str">
        <f t="shared" si="38"/>
        <v>Low</v>
      </c>
    </row>
    <row r="793" spans="1:33">
      <c r="A793" t="s">
        <v>1453</v>
      </c>
      <c r="B793" t="s">
        <v>851</v>
      </c>
      <c r="C793" s="11">
        <v>46028</v>
      </c>
      <c r="D793" t="s">
        <v>469</v>
      </c>
      <c r="E793" t="s">
        <v>56</v>
      </c>
      <c r="F793" s="4"/>
      <c r="G793" s="4"/>
      <c r="H793" t="s">
        <v>57</v>
      </c>
      <c r="I793" t="s">
        <v>58</v>
      </c>
      <c r="J793" t="s">
        <v>72</v>
      </c>
      <c r="K793" t="s">
        <v>73</v>
      </c>
      <c r="L793" t="s">
        <v>74</v>
      </c>
      <c r="M793" s="5"/>
      <c r="N793" s="5"/>
      <c r="O793" s="5"/>
      <c r="P793" s="5"/>
      <c r="R793" t="s">
        <v>62</v>
      </c>
      <c r="S793" t="s">
        <v>63</v>
      </c>
      <c r="T793" s="5"/>
      <c r="U793" s="6"/>
      <c r="V793" t="s">
        <v>64</v>
      </c>
      <c r="W793" s="4"/>
      <c r="X793" t="s">
        <v>65</v>
      </c>
      <c r="Z793" t="s">
        <v>66</v>
      </c>
      <c r="AA793" t="str">
        <f>VLOOKUP(H793,Departments!$A:$B,2,0)</f>
        <v>Pulmonology</v>
      </c>
      <c r="AB793" t="str">
        <f>VLOOKUP(J793,Diagnosis_Guide!$A:$B,2,0)</f>
        <v>Acute Bronchitis</v>
      </c>
      <c r="AC793" s="4" t="str">
        <f>VLOOKUP(J793,Diagnosis_Guide!$A:$C,3,0)</f>
        <v>Respiratory</v>
      </c>
      <c r="AD793" s="4" t="str">
        <f>VLOOKUP(R793,Insurance_Plans!$A:$C,3,0)</f>
        <v>Public</v>
      </c>
      <c r="AE793" s="13" t="str">
        <f t="shared" si="36"/>
        <v/>
      </c>
      <c r="AF793" s="13" t="str">
        <f t="shared" si="37"/>
        <v/>
      </c>
      <c r="AG793" s="4" t="str">
        <f t="shared" si="38"/>
        <v>Not Available</v>
      </c>
    </row>
    <row r="794" spans="1:33">
      <c r="A794" t="s">
        <v>1454</v>
      </c>
      <c r="B794" t="s">
        <v>1455</v>
      </c>
      <c r="C794" s="11">
        <v>46025</v>
      </c>
      <c r="D794" t="s">
        <v>149</v>
      </c>
      <c r="E794" t="s">
        <v>70</v>
      </c>
      <c r="F794" s="4">
        <v>46025</v>
      </c>
      <c r="G794" s="4">
        <v>46026</v>
      </c>
      <c r="H794" t="s">
        <v>103</v>
      </c>
      <c r="I794" t="s">
        <v>207</v>
      </c>
      <c r="J794" t="s">
        <v>244</v>
      </c>
      <c r="K794" t="s">
        <v>60</v>
      </c>
      <c r="L794" t="s">
        <v>74</v>
      </c>
      <c r="M794" s="5"/>
      <c r="N794" s="5">
        <v>9150</v>
      </c>
      <c r="O794" s="5">
        <v>6500</v>
      </c>
      <c r="P794" s="5">
        <v>3000</v>
      </c>
      <c r="Q794" s="13">
        <v>80450</v>
      </c>
      <c r="R794" t="s">
        <v>75</v>
      </c>
      <c r="S794" t="s">
        <v>76</v>
      </c>
      <c r="T794" s="5">
        <v>36500</v>
      </c>
      <c r="U794" s="6">
        <v>4</v>
      </c>
      <c r="V794" t="s">
        <v>77</v>
      </c>
      <c r="W794" s="4">
        <v>46034</v>
      </c>
      <c r="X794" t="s">
        <v>64</v>
      </c>
      <c r="Y794" t="s">
        <v>64</v>
      </c>
      <c r="Z794" t="s">
        <v>78</v>
      </c>
      <c r="AA794" t="str">
        <f>VLOOKUP(H794,Departments!$A:$B,2,0)</f>
        <v>Nephrology</v>
      </c>
      <c r="AB794" t="str">
        <f>VLOOKUP(J794,Diagnosis_Guide!$A:$B,2,0)</f>
        <v>Chronic Kidney Disease</v>
      </c>
      <c r="AC794" s="4" t="str">
        <f>VLOOKUP(J794,Diagnosis_Guide!$A:$C,3,0)</f>
        <v>Renal</v>
      </c>
      <c r="AD794" s="4" t="str">
        <f>VLOOKUP(R794,Insurance_Plans!$A:$C,3,0)</f>
        <v>Public</v>
      </c>
      <c r="AE794" s="13">
        <f t="shared" si="36"/>
        <v>4022.5</v>
      </c>
      <c r="AF794" s="13">
        <f t="shared" si="37"/>
        <v>84472.5</v>
      </c>
      <c r="AG794" s="4" t="str">
        <f t="shared" si="38"/>
        <v>High</v>
      </c>
    </row>
    <row r="795" spans="1:33">
      <c r="A795" t="s">
        <v>1456</v>
      </c>
      <c r="B795" t="s">
        <v>713</v>
      </c>
      <c r="C795" s="11">
        <v>46144</v>
      </c>
      <c r="D795" t="s">
        <v>168</v>
      </c>
      <c r="E795" t="s">
        <v>70</v>
      </c>
      <c r="F795" s="4">
        <v>46144</v>
      </c>
      <c r="G795" s="4">
        <v>46144</v>
      </c>
      <c r="H795" t="s">
        <v>178</v>
      </c>
      <c r="I795" t="s">
        <v>339</v>
      </c>
      <c r="J795" t="s">
        <v>180</v>
      </c>
      <c r="K795" t="s">
        <v>60</v>
      </c>
      <c r="L795" t="s">
        <v>94</v>
      </c>
      <c r="M795" s="5">
        <v>51100</v>
      </c>
      <c r="N795" s="5">
        <v>6150</v>
      </c>
      <c r="O795" s="5">
        <v>11950</v>
      </c>
      <c r="P795" s="5">
        <v>0</v>
      </c>
      <c r="Q795" s="13">
        <v>70000</v>
      </c>
      <c r="R795" t="s">
        <v>106</v>
      </c>
      <c r="S795" t="s">
        <v>76</v>
      </c>
      <c r="T795" s="5">
        <v>25200</v>
      </c>
      <c r="U795" s="6">
        <v>5</v>
      </c>
      <c r="V795" t="s">
        <v>77</v>
      </c>
      <c r="W795" s="4">
        <v>46161</v>
      </c>
      <c r="X795" t="s">
        <v>77</v>
      </c>
      <c r="Y795" t="s">
        <v>64</v>
      </c>
      <c r="Z795" t="s">
        <v>78</v>
      </c>
      <c r="AA795" t="str">
        <f>VLOOKUP(H795,Departments!$A:$B,2,0)</f>
        <v>Surgery</v>
      </c>
      <c r="AB795" t="str">
        <f>VLOOKUP(J795,Diagnosis_Guide!$A:$B,2,0)</f>
        <v>Appendicitis Surgery</v>
      </c>
      <c r="AC795" s="4" t="str">
        <f>VLOOKUP(J795,Diagnosis_Guide!$A:$C,3,0)</f>
        <v>Surgical</v>
      </c>
      <c r="AD795" s="4" t="str">
        <f>VLOOKUP(R795,Insurance_Plans!$A:$C,3,0)</f>
        <v>Private</v>
      </c>
      <c r="AE795" s="13">
        <f t="shared" si="36"/>
        <v>3500</v>
      </c>
      <c r="AF795" s="13">
        <f t="shared" si="37"/>
        <v>73500</v>
      </c>
      <c r="AG795" s="4" t="str">
        <f t="shared" si="38"/>
        <v>High</v>
      </c>
    </row>
    <row r="796" spans="1:33">
      <c r="A796" t="s">
        <v>1457</v>
      </c>
      <c r="B796" t="s">
        <v>1083</v>
      </c>
      <c r="C796" s="11">
        <v>46155</v>
      </c>
      <c r="D796" t="s">
        <v>89</v>
      </c>
      <c r="E796" t="s">
        <v>70</v>
      </c>
      <c r="F796" s="4">
        <v>46156</v>
      </c>
      <c r="G796" s="4">
        <v>46156</v>
      </c>
      <c r="H796" t="s">
        <v>121</v>
      </c>
      <c r="I796" t="s">
        <v>174</v>
      </c>
      <c r="J796" t="s">
        <v>256</v>
      </c>
      <c r="K796" t="s">
        <v>60</v>
      </c>
      <c r="L796" t="s">
        <v>94</v>
      </c>
      <c r="M796" s="5">
        <v>13800</v>
      </c>
      <c r="N796" s="5">
        <v>2450</v>
      </c>
      <c r="O796" s="5">
        <v>2650</v>
      </c>
      <c r="P796" s="5">
        <v>0</v>
      </c>
      <c r="Q796" s="13">
        <v>20700</v>
      </c>
      <c r="R796" t="s">
        <v>75</v>
      </c>
      <c r="S796" t="s">
        <v>76</v>
      </c>
      <c r="T796" s="5">
        <v>9610</v>
      </c>
      <c r="U796" s="6">
        <v>5</v>
      </c>
      <c r="V796" t="s">
        <v>64</v>
      </c>
      <c r="W796" s="4"/>
      <c r="X796" t="s">
        <v>65</v>
      </c>
      <c r="Y796" t="s">
        <v>64</v>
      </c>
      <c r="Z796" t="s">
        <v>78</v>
      </c>
      <c r="AA796" t="str">
        <f>VLOOKUP(H796,Departments!$A:$B,2,0)</f>
        <v>Neurology</v>
      </c>
      <c r="AB796" t="str">
        <f>VLOOKUP(J796,Diagnosis_Guide!$A:$B,2,0)</f>
        <v>Migraine Complication</v>
      </c>
      <c r="AC796" s="4" t="str">
        <f>VLOOKUP(J796,Diagnosis_Guide!$A:$C,3,0)</f>
        <v>Neurological</v>
      </c>
      <c r="AD796" s="4" t="str">
        <f>VLOOKUP(R796,Insurance_Plans!$A:$C,3,0)</f>
        <v>Public</v>
      </c>
      <c r="AE796" s="13">
        <f t="shared" si="36"/>
        <v>1035</v>
      </c>
      <c r="AF796" s="13">
        <f t="shared" si="37"/>
        <v>21735</v>
      </c>
      <c r="AG796" s="4" t="str">
        <f t="shared" si="38"/>
        <v>High</v>
      </c>
    </row>
    <row r="797" spans="1:33">
      <c r="A797" t="s">
        <v>1458</v>
      </c>
      <c r="B797" t="s">
        <v>909</v>
      </c>
      <c r="C797" s="11">
        <v>46122</v>
      </c>
      <c r="D797" t="s">
        <v>183</v>
      </c>
      <c r="E797" t="s">
        <v>70</v>
      </c>
      <c r="F797" s="4">
        <v>46123</v>
      </c>
      <c r="G797" s="4">
        <v>46123</v>
      </c>
      <c r="H797" t="s">
        <v>121</v>
      </c>
      <c r="I797" t="s">
        <v>665</v>
      </c>
      <c r="J797" t="s">
        <v>256</v>
      </c>
      <c r="K797" t="s">
        <v>73</v>
      </c>
      <c r="L797" t="s">
        <v>74</v>
      </c>
      <c r="M797" s="5">
        <v>17700</v>
      </c>
      <c r="N797" s="5">
        <v>1750</v>
      </c>
      <c r="O797" s="5">
        <v>2300</v>
      </c>
      <c r="P797" s="5">
        <v>0</v>
      </c>
      <c r="Q797" s="13">
        <v>22750</v>
      </c>
      <c r="R797" t="s">
        <v>141</v>
      </c>
      <c r="S797" t="s">
        <v>76</v>
      </c>
      <c r="T797" s="5">
        <v>4610</v>
      </c>
      <c r="U797" s="6">
        <v>5</v>
      </c>
      <c r="V797" t="s">
        <v>77</v>
      </c>
      <c r="W797" s="4">
        <v>46135</v>
      </c>
      <c r="X797" t="s">
        <v>64</v>
      </c>
      <c r="Y797" t="s">
        <v>64</v>
      </c>
      <c r="Z797" t="s">
        <v>96</v>
      </c>
      <c r="AA797" t="str">
        <f>VLOOKUP(H797,Departments!$A:$B,2,0)</f>
        <v>Neurology</v>
      </c>
      <c r="AB797" t="str">
        <f>VLOOKUP(J797,Diagnosis_Guide!$A:$B,2,0)</f>
        <v>Migraine Complication</v>
      </c>
      <c r="AC797" s="4" t="str">
        <f>VLOOKUP(J797,Diagnosis_Guide!$A:$C,3,0)</f>
        <v>Neurological</v>
      </c>
      <c r="AD797" s="4" t="str">
        <f>VLOOKUP(R797,Insurance_Plans!$A:$C,3,0)</f>
        <v>Private</v>
      </c>
      <c r="AE797" s="13">
        <f t="shared" si="36"/>
        <v>1137.5</v>
      </c>
      <c r="AF797" s="13">
        <f t="shared" si="37"/>
        <v>23887.5</v>
      </c>
      <c r="AG797" s="4" t="str">
        <f t="shared" si="38"/>
        <v>High</v>
      </c>
    </row>
    <row r="798" spans="1:33">
      <c r="A798" t="s">
        <v>1459</v>
      </c>
      <c r="B798" t="s">
        <v>233</v>
      </c>
      <c r="C798" s="11">
        <v>46061</v>
      </c>
      <c r="D798" t="s">
        <v>337</v>
      </c>
      <c r="E798" t="s">
        <v>70</v>
      </c>
      <c r="F798" s="4">
        <v>46061</v>
      </c>
      <c r="G798" s="4">
        <v>46065</v>
      </c>
      <c r="H798" t="s">
        <v>111</v>
      </c>
      <c r="I798" t="s">
        <v>116</v>
      </c>
      <c r="J798" t="s">
        <v>113</v>
      </c>
      <c r="K798" t="s">
        <v>93</v>
      </c>
      <c r="L798" t="s">
        <v>146</v>
      </c>
      <c r="M798" s="5">
        <v>22200</v>
      </c>
      <c r="N798" s="5">
        <v>2650</v>
      </c>
      <c r="O798" s="5">
        <v>4400</v>
      </c>
      <c r="P798" s="5">
        <v>10000</v>
      </c>
      <c r="Q798" s="13">
        <v>40050</v>
      </c>
      <c r="R798" t="s">
        <v>141</v>
      </c>
      <c r="S798" t="s">
        <v>76</v>
      </c>
      <c r="T798" s="5">
        <v>7210</v>
      </c>
      <c r="U798" s="6">
        <v>5</v>
      </c>
      <c r="V798" t="s">
        <v>77</v>
      </c>
      <c r="W798" s="4">
        <v>46080</v>
      </c>
      <c r="X798" t="s">
        <v>77</v>
      </c>
      <c r="Y798" t="s">
        <v>64</v>
      </c>
      <c r="Z798" t="s">
        <v>436</v>
      </c>
      <c r="AA798" t="str">
        <f>VLOOKUP(H798,Departments!$A:$B,2,0)</f>
        <v>General Medicine</v>
      </c>
      <c r="AB798" t="str">
        <f>VLOOKUP(J798,Diagnosis_Guide!$A:$B,2,0)</f>
        <v>Diabetes Complication</v>
      </c>
      <c r="AC798" s="4" t="str">
        <f>VLOOKUP(J798,Diagnosis_Guide!$A:$C,3,0)</f>
        <v>Endocrine/General</v>
      </c>
      <c r="AD798" s="4" t="str">
        <f>VLOOKUP(R798,Insurance_Plans!$A:$C,3,0)</f>
        <v>Private</v>
      </c>
      <c r="AE798" s="13">
        <f t="shared" si="36"/>
        <v>2002.5</v>
      </c>
      <c r="AF798" s="13">
        <f t="shared" si="37"/>
        <v>42052.5</v>
      </c>
      <c r="AG798" s="4" t="str">
        <f t="shared" si="38"/>
        <v>High</v>
      </c>
    </row>
    <row r="799" spans="1:33">
      <c r="A799" t="s">
        <v>1460</v>
      </c>
      <c r="B799" t="s">
        <v>1461</v>
      </c>
      <c r="C799" s="11">
        <v>46024</v>
      </c>
      <c r="D799" t="s">
        <v>259</v>
      </c>
      <c r="E799" t="s">
        <v>70</v>
      </c>
      <c r="F799" s="4">
        <v>46025</v>
      </c>
      <c r="G799" s="4">
        <v>46030</v>
      </c>
      <c r="H799" t="s">
        <v>150</v>
      </c>
      <c r="I799" t="s">
        <v>151</v>
      </c>
      <c r="J799" t="s">
        <v>188</v>
      </c>
      <c r="K799" t="s">
        <v>124</v>
      </c>
      <c r="L799" t="s">
        <v>74</v>
      </c>
      <c r="M799" s="5"/>
      <c r="N799" s="5">
        <v>10800</v>
      </c>
      <c r="O799" s="5">
        <v>11300</v>
      </c>
      <c r="P799" s="5">
        <v>17500</v>
      </c>
      <c r="Q799" s="13">
        <v>144600</v>
      </c>
      <c r="R799" t="s">
        <v>95</v>
      </c>
      <c r="S799" t="s">
        <v>63</v>
      </c>
      <c r="T799" s="5">
        <v>144600</v>
      </c>
      <c r="U799" s="6">
        <v>4</v>
      </c>
      <c r="V799" t="s">
        <v>77</v>
      </c>
      <c r="W799" s="4">
        <v>46039</v>
      </c>
      <c r="X799" t="s">
        <v>77</v>
      </c>
      <c r="Y799" t="s">
        <v>64</v>
      </c>
      <c r="Z799" t="s">
        <v>78</v>
      </c>
      <c r="AA799" t="str">
        <f>VLOOKUP(H799,Departments!$A:$B,2,0)</f>
        <v>Obstetrics</v>
      </c>
      <c r="AB799" t="str">
        <f>VLOOKUP(J799,Diagnosis_Guide!$A:$B,2,0)</f>
        <v>Emergency C-Section</v>
      </c>
      <c r="AC799" s="4" t="str">
        <f>VLOOKUP(J799,Diagnosis_Guide!$A:$C,3,0)</f>
        <v>Maternal Health</v>
      </c>
      <c r="AD799" s="4" t="str">
        <f>VLOOKUP(R799,Insurance_Plans!$A:$C,3,0)</f>
        <v>Self-Pay</v>
      </c>
      <c r="AE799" s="13">
        <f t="shared" si="36"/>
        <v>7230</v>
      </c>
      <c r="AF799" s="13">
        <f t="shared" si="37"/>
        <v>151830</v>
      </c>
      <c r="AG799" s="4" t="str">
        <f t="shared" si="38"/>
        <v>High</v>
      </c>
    </row>
    <row r="800" spans="1:33">
      <c r="A800" t="s">
        <v>1462</v>
      </c>
      <c r="B800" t="s">
        <v>684</v>
      </c>
      <c r="C800" s="11">
        <v>46160</v>
      </c>
      <c r="D800" t="s">
        <v>242</v>
      </c>
      <c r="E800" t="s">
        <v>70</v>
      </c>
      <c r="F800" s="4">
        <v>46160</v>
      </c>
      <c r="G800" s="4">
        <v>46162</v>
      </c>
      <c r="H800" t="s">
        <v>201</v>
      </c>
      <c r="I800" t="s">
        <v>421</v>
      </c>
      <c r="J800" t="s">
        <v>295</v>
      </c>
      <c r="K800" t="s">
        <v>124</v>
      </c>
      <c r="L800" t="s">
        <v>74</v>
      </c>
      <c r="M800" s="5">
        <v>54400</v>
      </c>
      <c r="N800" s="5">
        <v>5250</v>
      </c>
      <c r="O800" s="5">
        <v>9400</v>
      </c>
      <c r="P800" s="5">
        <v>9000</v>
      </c>
      <c r="Q800" s="13">
        <v>79050</v>
      </c>
      <c r="R800" t="s">
        <v>141</v>
      </c>
      <c r="S800" t="s">
        <v>86</v>
      </c>
      <c r="T800" s="5">
        <v>13060</v>
      </c>
      <c r="U800" s="6">
        <v>3</v>
      </c>
      <c r="V800" t="s">
        <v>77</v>
      </c>
      <c r="W800" s="4">
        <v>46183</v>
      </c>
      <c r="X800" t="s">
        <v>64</v>
      </c>
      <c r="Y800" t="s">
        <v>64</v>
      </c>
      <c r="Z800" t="s">
        <v>78</v>
      </c>
      <c r="AA800" t="str">
        <f>VLOOKUP(H800,Departments!$A:$B,2,0)</f>
        <v>Emergency</v>
      </c>
      <c r="AB800" t="str">
        <f>VLOOKUP(J800,Diagnosis_Guide!$A:$B,2,0)</f>
        <v>Accident Injury</v>
      </c>
      <c r="AC800" s="4" t="str">
        <f>VLOOKUP(J800,Diagnosis_Guide!$A:$C,3,0)</f>
        <v>Emergency</v>
      </c>
      <c r="AD800" s="4" t="str">
        <f>VLOOKUP(R800,Insurance_Plans!$A:$C,3,0)</f>
        <v>Private</v>
      </c>
      <c r="AE800" s="13">
        <f t="shared" si="36"/>
        <v>3952.5</v>
      </c>
      <c r="AF800" s="13">
        <f t="shared" si="37"/>
        <v>83002.5</v>
      </c>
      <c r="AG800" s="4" t="str">
        <f t="shared" si="38"/>
        <v>Medium</v>
      </c>
    </row>
    <row r="801" spans="1:33">
      <c r="A801" t="s">
        <v>1463</v>
      </c>
      <c r="B801" t="s">
        <v>680</v>
      </c>
      <c r="C801" s="11">
        <v>46060</v>
      </c>
      <c r="D801" t="s">
        <v>81</v>
      </c>
      <c r="E801" t="s">
        <v>314</v>
      </c>
      <c r="F801" s="4"/>
      <c r="G801" s="4"/>
      <c r="H801" t="s">
        <v>90</v>
      </c>
      <c r="I801" t="s">
        <v>388</v>
      </c>
      <c r="J801" t="s">
        <v>197</v>
      </c>
      <c r="K801" t="s">
        <v>60</v>
      </c>
      <c r="L801" t="s">
        <v>61</v>
      </c>
      <c r="M801" s="5"/>
      <c r="N801" s="5"/>
      <c r="O801" s="5"/>
      <c r="P801" s="5"/>
      <c r="R801" t="s">
        <v>62</v>
      </c>
      <c r="S801" t="s">
        <v>63</v>
      </c>
      <c r="T801" s="5"/>
      <c r="U801" s="6"/>
      <c r="V801" t="s">
        <v>64</v>
      </c>
      <c r="W801" s="4"/>
      <c r="X801" t="s">
        <v>65</v>
      </c>
      <c r="Z801" t="s">
        <v>66</v>
      </c>
      <c r="AA801" t="str">
        <f>VLOOKUP(H801,Departments!$A:$B,2,0)</f>
        <v>Cardiology</v>
      </c>
      <c r="AB801" t="str">
        <f>VLOOKUP(J801,Diagnosis_Guide!$A:$B,2,0)</f>
        <v>Chest Pain</v>
      </c>
      <c r="AC801" s="4" t="str">
        <f>VLOOKUP(J801,Diagnosis_Guide!$A:$C,3,0)</f>
        <v>Cardiovascular</v>
      </c>
      <c r="AD801" s="4" t="str">
        <f>VLOOKUP(R801,Insurance_Plans!$A:$C,3,0)</f>
        <v>Public</v>
      </c>
      <c r="AE801" s="13" t="str">
        <f t="shared" si="36"/>
        <v/>
      </c>
      <c r="AF801" s="13" t="str">
        <f t="shared" si="37"/>
        <v/>
      </c>
      <c r="AG801" s="4" t="str">
        <f t="shared" si="38"/>
        <v>Not Available</v>
      </c>
    </row>
    <row r="802" spans="1:33">
      <c r="A802" t="s">
        <v>1464</v>
      </c>
      <c r="B802" t="s">
        <v>651</v>
      </c>
      <c r="C802" s="11">
        <v>46036</v>
      </c>
      <c r="D802" t="s">
        <v>89</v>
      </c>
      <c r="E802" t="s">
        <v>314</v>
      </c>
      <c r="F802" s="4"/>
      <c r="G802" s="4"/>
      <c r="H802" t="s">
        <v>138</v>
      </c>
      <c r="I802" t="s">
        <v>139</v>
      </c>
      <c r="J802" t="s">
        <v>140</v>
      </c>
      <c r="K802" t="s">
        <v>73</v>
      </c>
      <c r="L802" t="s">
        <v>74</v>
      </c>
      <c r="M802" s="5"/>
      <c r="N802" s="5"/>
      <c r="O802" s="5"/>
      <c r="P802" s="5"/>
      <c r="R802" t="s">
        <v>134</v>
      </c>
      <c r="S802" t="s">
        <v>63</v>
      </c>
      <c r="T802" s="5"/>
      <c r="U802" s="6"/>
      <c r="V802" t="s">
        <v>64</v>
      </c>
      <c r="W802" s="4"/>
      <c r="X802" t="s">
        <v>65</v>
      </c>
      <c r="Z802" t="s">
        <v>66</v>
      </c>
      <c r="AA802" t="str">
        <f>VLOOKUP(H802,Departments!$A:$B,2,0)</f>
        <v>Pediatrics</v>
      </c>
      <c r="AB802" t="str">
        <f>VLOOKUP(J802,Diagnosis_Guide!$A:$B,2,0)</f>
        <v>Pediatric Asthma</v>
      </c>
      <c r="AC802" s="4" t="str">
        <f>VLOOKUP(J802,Diagnosis_Guide!$A:$C,3,0)</f>
        <v>Pediatric</v>
      </c>
      <c r="AD802" s="4" t="str">
        <f>VLOOKUP(R802,Insurance_Plans!$A:$C,3,0)</f>
        <v>Community</v>
      </c>
      <c r="AE802" s="13" t="str">
        <f t="shared" si="36"/>
        <v/>
      </c>
      <c r="AF802" s="13" t="str">
        <f t="shared" si="37"/>
        <v/>
      </c>
      <c r="AG802" s="4" t="str">
        <f t="shared" si="38"/>
        <v>Not Available</v>
      </c>
    </row>
    <row r="803" spans="1:33">
      <c r="A803" t="s">
        <v>1465</v>
      </c>
      <c r="B803" t="s">
        <v>1466</v>
      </c>
      <c r="C803" s="11">
        <v>46171</v>
      </c>
      <c r="D803" t="s">
        <v>242</v>
      </c>
      <c r="E803" t="s">
        <v>70</v>
      </c>
      <c r="F803" s="4">
        <v>46172</v>
      </c>
      <c r="G803" s="4">
        <v>46177</v>
      </c>
      <c r="H803" t="s">
        <v>201</v>
      </c>
      <c r="I803" t="s">
        <v>515</v>
      </c>
      <c r="J803" t="s">
        <v>295</v>
      </c>
      <c r="K803" t="s">
        <v>124</v>
      </c>
      <c r="L803" t="s">
        <v>74</v>
      </c>
      <c r="M803" s="5">
        <v>45500</v>
      </c>
      <c r="N803" s="5">
        <v>6750</v>
      </c>
      <c r="O803" s="5">
        <v>8150</v>
      </c>
      <c r="P803" s="5">
        <v>15000</v>
      </c>
      <c r="Q803" s="13">
        <v>76600</v>
      </c>
      <c r="R803" t="s">
        <v>75</v>
      </c>
      <c r="S803" t="s">
        <v>76</v>
      </c>
      <c r="T803" s="5">
        <v>34770</v>
      </c>
      <c r="U803" s="6">
        <v>2</v>
      </c>
      <c r="V803" t="s">
        <v>77</v>
      </c>
      <c r="W803" s="4">
        <v>46193</v>
      </c>
      <c r="X803" t="s">
        <v>64</v>
      </c>
      <c r="Y803" t="s">
        <v>77</v>
      </c>
      <c r="Z803" t="s">
        <v>219</v>
      </c>
      <c r="AA803" t="str">
        <f>VLOOKUP(H803,Departments!$A:$B,2,0)</f>
        <v>Emergency</v>
      </c>
      <c r="AB803" t="str">
        <f>VLOOKUP(J803,Diagnosis_Guide!$A:$B,2,0)</f>
        <v>Accident Injury</v>
      </c>
      <c r="AC803" s="4" t="str">
        <f>VLOOKUP(J803,Diagnosis_Guide!$A:$C,3,0)</f>
        <v>Emergency</v>
      </c>
      <c r="AD803" s="4" t="str">
        <f>VLOOKUP(R803,Insurance_Plans!$A:$C,3,0)</f>
        <v>Public</v>
      </c>
      <c r="AE803" s="13">
        <f t="shared" si="36"/>
        <v>3830</v>
      </c>
      <c r="AF803" s="13">
        <f t="shared" si="37"/>
        <v>80430</v>
      </c>
      <c r="AG803" s="4" t="str">
        <f t="shared" si="38"/>
        <v>Low</v>
      </c>
    </row>
    <row r="804" spans="1:33">
      <c r="A804" t="s">
        <v>1467</v>
      </c>
      <c r="B804" t="s">
        <v>276</v>
      </c>
      <c r="C804" s="11">
        <v>46069</v>
      </c>
      <c r="D804" t="s">
        <v>217</v>
      </c>
      <c r="E804" t="s">
        <v>70</v>
      </c>
      <c r="F804" s="4">
        <v>46069</v>
      </c>
      <c r="G804" s="4">
        <v>46075</v>
      </c>
      <c r="H804" t="s">
        <v>103</v>
      </c>
      <c r="I804" t="s">
        <v>412</v>
      </c>
      <c r="J804" t="s">
        <v>244</v>
      </c>
      <c r="K804" t="s">
        <v>124</v>
      </c>
      <c r="L804" t="s">
        <v>61</v>
      </c>
      <c r="M804" s="5">
        <v>71400</v>
      </c>
      <c r="N804" s="5">
        <v>7750</v>
      </c>
      <c r="O804" s="5">
        <v>14350</v>
      </c>
      <c r="P804" s="5">
        <v>27000</v>
      </c>
      <c r="Q804" s="13">
        <v>121700</v>
      </c>
      <c r="R804" t="s">
        <v>75</v>
      </c>
      <c r="S804" t="s">
        <v>76</v>
      </c>
      <c r="T804" s="5">
        <v>55060</v>
      </c>
      <c r="U804" s="6">
        <v>3</v>
      </c>
      <c r="V804" t="s">
        <v>77</v>
      </c>
      <c r="W804" s="4">
        <v>46092</v>
      </c>
      <c r="X804" t="s">
        <v>77</v>
      </c>
      <c r="Y804" t="s">
        <v>77</v>
      </c>
      <c r="Z804" t="s">
        <v>78</v>
      </c>
      <c r="AA804" t="str">
        <f>VLOOKUP(H804,Departments!$A:$B,2,0)</f>
        <v>Nephrology</v>
      </c>
      <c r="AB804" t="str">
        <f>VLOOKUP(J804,Diagnosis_Guide!$A:$B,2,0)</f>
        <v>Chronic Kidney Disease</v>
      </c>
      <c r="AC804" s="4" t="str">
        <f>VLOOKUP(J804,Diagnosis_Guide!$A:$C,3,0)</f>
        <v>Renal</v>
      </c>
      <c r="AD804" s="4" t="str">
        <f>VLOOKUP(R804,Insurance_Plans!$A:$C,3,0)</f>
        <v>Public</v>
      </c>
      <c r="AE804" s="13">
        <f t="shared" si="36"/>
        <v>6085</v>
      </c>
      <c r="AF804" s="13">
        <f t="shared" si="37"/>
        <v>127785</v>
      </c>
      <c r="AG804" s="4" t="str">
        <f t="shared" si="38"/>
        <v>Medium</v>
      </c>
    </row>
    <row r="805" spans="1:33">
      <c r="A805" t="s">
        <v>1468</v>
      </c>
      <c r="B805" t="s">
        <v>1469</v>
      </c>
      <c r="C805" s="11">
        <v>46152</v>
      </c>
      <c r="D805" t="s">
        <v>99</v>
      </c>
      <c r="E805" t="s">
        <v>70</v>
      </c>
      <c r="F805" s="4">
        <v>46152</v>
      </c>
      <c r="G805" s="4">
        <v>46157</v>
      </c>
      <c r="H805" t="s">
        <v>121</v>
      </c>
      <c r="I805" t="s">
        <v>386</v>
      </c>
      <c r="J805" t="s">
        <v>123</v>
      </c>
      <c r="K805" t="s">
        <v>73</v>
      </c>
      <c r="L805" t="s">
        <v>94</v>
      </c>
      <c r="M805" s="5">
        <v>50100</v>
      </c>
      <c r="N805" s="5">
        <v>8600</v>
      </c>
      <c r="O805" s="5">
        <v>6550</v>
      </c>
      <c r="P805" s="5">
        <v>17500</v>
      </c>
      <c r="Q805" s="13">
        <v>85250</v>
      </c>
      <c r="R805" t="s">
        <v>106</v>
      </c>
      <c r="S805" t="s">
        <v>76</v>
      </c>
      <c r="T805" s="5">
        <v>30540</v>
      </c>
      <c r="U805" s="6">
        <v>2</v>
      </c>
      <c r="V805" t="s">
        <v>77</v>
      </c>
      <c r="W805" s="4">
        <v>46171</v>
      </c>
      <c r="X805" t="s">
        <v>64</v>
      </c>
      <c r="Y805" t="s">
        <v>64</v>
      </c>
      <c r="Z805" t="s">
        <v>96</v>
      </c>
      <c r="AA805" t="str">
        <f>VLOOKUP(H805,Departments!$A:$B,2,0)</f>
        <v>Neurology</v>
      </c>
      <c r="AB805" t="str">
        <f>VLOOKUP(J805,Diagnosis_Guide!$A:$B,2,0)</f>
        <v>Seizure Episode</v>
      </c>
      <c r="AC805" s="4" t="str">
        <f>VLOOKUP(J805,Diagnosis_Guide!$A:$C,3,0)</f>
        <v>Neurological</v>
      </c>
      <c r="AD805" s="4" t="str">
        <f>VLOOKUP(R805,Insurance_Plans!$A:$C,3,0)</f>
        <v>Private</v>
      </c>
      <c r="AE805" s="13">
        <f t="shared" si="36"/>
        <v>4262.5</v>
      </c>
      <c r="AF805" s="13">
        <f t="shared" si="37"/>
        <v>89512.5</v>
      </c>
      <c r="AG805" s="4" t="str">
        <f t="shared" si="38"/>
        <v>Low</v>
      </c>
    </row>
    <row r="806" spans="1:33">
      <c r="A806" t="s">
        <v>1470</v>
      </c>
      <c r="B806" t="s">
        <v>943</v>
      </c>
      <c r="C806" s="11">
        <v>46122</v>
      </c>
      <c r="D806" t="s">
        <v>161</v>
      </c>
      <c r="E806" t="s">
        <v>191</v>
      </c>
      <c r="F806" s="4"/>
      <c r="G806" s="4"/>
      <c r="H806" t="s">
        <v>201</v>
      </c>
      <c r="I806" t="s">
        <v>515</v>
      </c>
      <c r="J806" t="s">
        <v>295</v>
      </c>
      <c r="K806" t="s">
        <v>60</v>
      </c>
      <c r="L806" t="s">
        <v>74</v>
      </c>
      <c r="M806" s="5"/>
      <c r="N806" s="5"/>
      <c r="O806" s="5"/>
      <c r="P806" s="5"/>
      <c r="R806" t="s">
        <v>106</v>
      </c>
      <c r="S806" t="s">
        <v>63</v>
      </c>
      <c r="T806" s="5"/>
      <c r="U806" s="6"/>
      <c r="V806" t="s">
        <v>64</v>
      </c>
      <c r="W806" s="4"/>
      <c r="X806" t="s">
        <v>65</v>
      </c>
      <c r="Z806" t="s">
        <v>66</v>
      </c>
      <c r="AA806" t="str">
        <f>VLOOKUP(H806,Departments!$A:$B,2,0)</f>
        <v>Emergency</v>
      </c>
      <c r="AB806" t="str">
        <f>VLOOKUP(J806,Diagnosis_Guide!$A:$B,2,0)</f>
        <v>Accident Injury</v>
      </c>
      <c r="AC806" s="4" t="str">
        <f>VLOOKUP(J806,Diagnosis_Guide!$A:$C,3,0)</f>
        <v>Emergency</v>
      </c>
      <c r="AD806" s="4" t="str">
        <f>VLOOKUP(R806,Insurance_Plans!$A:$C,3,0)</f>
        <v>Private</v>
      </c>
      <c r="AE806" s="13" t="str">
        <f t="shared" si="36"/>
        <v/>
      </c>
      <c r="AF806" s="13" t="str">
        <f t="shared" si="37"/>
        <v/>
      </c>
      <c r="AG806" s="4" t="str">
        <f t="shared" si="38"/>
        <v>Not Available</v>
      </c>
    </row>
    <row r="807" spans="1:33">
      <c r="A807" t="s">
        <v>1471</v>
      </c>
      <c r="B807" t="s">
        <v>1335</v>
      </c>
      <c r="C807" s="11">
        <v>46155</v>
      </c>
      <c r="D807" t="s">
        <v>259</v>
      </c>
      <c r="E807" t="s">
        <v>70</v>
      </c>
      <c r="F807" s="4">
        <v>46155</v>
      </c>
      <c r="G807" s="4">
        <v>46156</v>
      </c>
      <c r="H807" t="s">
        <v>178</v>
      </c>
      <c r="I807" t="s">
        <v>462</v>
      </c>
      <c r="J807" t="s">
        <v>358</v>
      </c>
      <c r="K807" t="s">
        <v>73</v>
      </c>
      <c r="L807" t="s">
        <v>94</v>
      </c>
      <c r="M807" s="5">
        <v>59900</v>
      </c>
      <c r="N807" s="5">
        <v>7800</v>
      </c>
      <c r="O807" s="5">
        <v>7150</v>
      </c>
      <c r="P807" s="5">
        <v>2500</v>
      </c>
      <c r="Q807" s="13">
        <v>79850</v>
      </c>
      <c r="R807" t="s">
        <v>75</v>
      </c>
      <c r="S807" t="s">
        <v>76</v>
      </c>
      <c r="T807" s="5">
        <v>36230</v>
      </c>
      <c r="U807" s="6"/>
      <c r="V807" t="s">
        <v>64</v>
      </c>
      <c r="W807" s="4"/>
      <c r="X807" t="s">
        <v>65</v>
      </c>
      <c r="Y807" t="s">
        <v>64</v>
      </c>
      <c r="Z807" t="s">
        <v>96</v>
      </c>
      <c r="AA807" t="str">
        <f>VLOOKUP(H807,Departments!$A:$B,2,0)</f>
        <v>Surgery</v>
      </c>
      <c r="AB807" t="str">
        <f>VLOOKUP(J807,Diagnosis_Guide!$A:$B,2,0)</f>
        <v>Gallbladder Surgery</v>
      </c>
      <c r="AC807" s="4" t="str">
        <f>VLOOKUP(J807,Diagnosis_Guide!$A:$C,3,0)</f>
        <v>Surgical</v>
      </c>
      <c r="AD807" s="4" t="str">
        <f>VLOOKUP(R807,Insurance_Plans!$A:$C,3,0)</f>
        <v>Public</v>
      </c>
      <c r="AE807" s="13">
        <f t="shared" si="36"/>
        <v>3992.5</v>
      </c>
      <c r="AF807" s="13">
        <f t="shared" si="37"/>
        <v>83842.5</v>
      </c>
      <c r="AG807" s="4" t="str">
        <f t="shared" si="38"/>
        <v>Not Available</v>
      </c>
    </row>
    <row r="808" spans="1:33">
      <c r="A808" t="s">
        <v>1472</v>
      </c>
      <c r="B808" t="s">
        <v>1125</v>
      </c>
      <c r="C808" s="11">
        <v>46029</v>
      </c>
      <c r="D808" t="s">
        <v>337</v>
      </c>
      <c r="E808" t="s">
        <v>70</v>
      </c>
      <c r="F808" s="4">
        <v>46029</v>
      </c>
      <c r="G808" s="4">
        <v>46029</v>
      </c>
      <c r="H808" t="s">
        <v>121</v>
      </c>
      <c r="I808" t="s">
        <v>665</v>
      </c>
      <c r="J808" t="s">
        <v>256</v>
      </c>
      <c r="K808" t="s">
        <v>124</v>
      </c>
      <c r="L808" t="s">
        <v>74</v>
      </c>
      <c r="M808" s="5">
        <v>17800</v>
      </c>
      <c r="N808" s="5">
        <v>3000</v>
      </c>
      <c r="O808" s="5">
        <v>3650</v>
      </c>
      <c r="P808" s="5">
        <v>0</v>
      </c>
      <c r="Q808" s="13">
        <v>25450</v>
      </c>
      <c r="R808" t="s">
        <v>75</v>
      </c>
      <c r="S808" t="s">
        <v>76</v>
      </c>
      <c r="T808" s="5">
        <v>11750</v>
      </c>
      <c r="U808" s="6">
        <v>5</v>
      </c>
      <c r="V808" t="s">
        <v>64</v>
      </c>
      <c r="W808" s="4"/>
      <c r="X808" t="s">
        <v>65</v>
      </c>
      <c r="Y808" t="s">
        <v>64</v>
      </c>
      <c r="Z808" t="s">
        <v>78</v>
      </c>
      <c r="AA808" t="str">
        <f>VLOOKUP(H808,Departments!$A:$B,2,0)</f>
        <v>Neurology</v>
      </c>
      <c r="AB808" t="str">
        <f>VLOOKUP(J808,Diagnosis_Guide!$A:$B,2,0)</f>
        <v>Migraine Complication</v>
      </c>
      <c r="AC808" s="4" t="str">
        <f>VLOOKUP(J808,Diagnosis_Guide!$A:$C,3,0)</f>
        <v>Neurological</v>
      </c>
      <c r="AD808" s="4" t="str">
        <f>VLOOKUP(R808,Insurance_Plans!$A:$C,3,0)</f>
        <v>Public</v>
      </c>
      <c r="AE808" s="13">
        <f t="shared" si="36"/>
        <v>1272.5</v>
      </c>
      <c r="AF808" s="13">
        <f t="shared" si="37"/>
        <v>26722.5</v>
      </c>
      <c r="AG808" s="4" t="str">
        <f t="shared" si="38"/>
        <v>High</v>
      </c>
    </row>
    <row r="809" spans="1:33">
      <c r="A809" t="s">
        <v>1473</v>
      </c>
      <c r="B809" t="s">
        <v>1474</v>
      </c>
      <c r="C809" s="11">
        <v>46036</v>
      </c>
      <c r="D809" t="s">
        <v>469</v>
      </c>
      <c r="E809" t="s">
        <v>70</v>
      </c>
      <c r="F809" s="4">
        <v>46036</v>
      </c>
      <c r="G809" s="4">
        <v>46043</v>
      </c>
      <c r="H809" t="s">
        <v>90</v>
      </c>
      <c r="I809" t="s">
        <v>388</v>
      </c>
      <c r="J809" t="s">
        <v>92</v>
      </c>
      <c r="K809" t="s">
        <v>73</v>
      </c>
      <c r="L809" t="s">
        <v>61</v>
      </c>
      <c r="M809" s="5">
        <v>45400</v>
      </c>
      <c r="N809" s="5">
        <v>7350</v>
      </c>
      <c r="O809" s="5">
        <v>11150</v>
      </c>
      <c r="P809" s="5">
        <v>21000</v>
      </c>
      <c r="Q809" s="13">
        <v>86400</v>
      </c>
      <c r="R809" t="s">
        <v>141</v>
      </c>
      <c r="S809" t="s">
        <v>163</v>
      </c>
      <c r="T809" s="5">
        <v>14160</v>
      </c>
      <c r="U809" s="6">
        <v>3</v>
      </c>
      <c r="V809" t="s">
        <v>77</v>
      </c>
      <c r="W809" s="4">
        <v>46061</v>
      </c>
      <c r="X809" t="s">
        <v>64</v>
      </c>
      <c r="Y809" t="s">
        <v>77</v>
      </c>
      <c r="Z809" t="s">
        <v>78</v>
      </c>
      <c r="AA809" t="str">
        <f>VLOOKUP(H809,Departments!$A:$B,2,0)</f>
        <v>Cardiology</v>
      </c>
      <c r="AB809" t="str">
        <f>VLOOKUP(J809,Diagnosis_Guide!$A:$B,2,0)</f>
        <v>Heart Failure</v>
      </c>
      <c r="AC809" s="4" t="str">
        <f>VLOOKUP(J809,Diagnosis_Guide!$A:$C,3,0)</f>
        <v>Cardiovascular</v>
      </c>
      <c r="AD809" s="4" t="str">
        <f>VLOOKUP(R809,Insurance_Plans!$A:$C,3,0)</f>
        <v>Private</v>
      </c>
      <c r="AE809" s="13">
        <f t="shared" si="36"/>
        <v>4320</v>
      </c>
      <c r="AF809" s="13">
        <f t="shared" si="37"/>
        <v>90720</v>
      </c>
      <c r="AG809" s="4" t="str">
        <f t="shared" si="38"/>
        <v>Medium</v>
      </c>
    </row>
    <row r="810" spans="1:33">
      <c r="A810" t="s">
        <v>1475</v>
      </c>
      <c r="B810" t="s">
        <v>978</v>
      </c>
      <c r="C810" s="11">
        <v>46079</v>
      </c>
      <c r="D810" t="s">
        <v>266</v>
      </c>
      <c r="E810" t="s">
        <v>70</v>
      </c>
      <c r="F810" s="4">
        <v>46079</v>
      </c>
      <c r="G810" s="4">
        <v>46080</v>
      </c>
      <c r="H810" t="s">
        <v>90</v>
      </c>
      <c r="I810" t="s">
        <v>162</v>
      </c>
      <c r="J810" t="s">
        <v>92</v>
      </c>
      <c r="K810" t="s">
        <v>60</v>
      </c>
      <c r="L810" t="s">
        <v>74</v>
      </c>
      <c r="M810" s="5">
        <v>46600</v>
      </c>
      <c r="N810" s="5">
        <v>4350</v>
      </c>
      <c r="O810" s="5">
        <v>9100</v>
      </c>
      <c r="P810" s="5">
        <v>6000</v>
      </c>
      <c r="Q810" s="13">
        <v>67250</v>
      </c>
      <c r="R810" t="s">
        <v>75</v>
      </c>
      <c r="S810" t="s">
        <v>86</v>
      </c>
      <c r="T810" s="5">
        <v>30560</v>
      </c>
      <c r="U810" s="6">
        <v>5</v>
      </c>
      <c r="V810" t="s">
        <v>64</v>
      </c>
      <c r="W810" s="4"/>
      <c r="X810" t="s">
        <v>65</v>
      </c>
      <c r="Y810" t="s">
        <v>64</v>
      </c>
      <c r="Z810" t="s">
        <v>107</v>
      </c>
      <c r="AA810" t="str">
        <f>VLOOKUP(H810,Departments!$A:$B,2,0)</f>
        <v>Cardiology</v>
      </c>
      <c r="AB810" t="str">
        <f>VLOOKUP(J810,Diagnosis_Guide!$A:$B,2,0)</f>
        <v>Heart Failure</v>
      </c>
      <c r="AC810" s="4" t="str">
        <f>VLOOKUP(J810,Diagnosis_Guide!$A:$C,3,0)</f>
        <v>Cardiovascular</v>
      </c>
      <c r="AD810" s="4" t="str">
        <f>VLOOKUP(R810,Insurance_Plans!$A:$C,3,0)</f>
        <v>Public</v>
      </c>
      <c r="AE810" s="13">
        <f t="shared" si="36"/>
        <v>3362.5</v>
      </c>
      <c r="AF810" s="13">
        <f t="shared" si="37"/>
        <v>70612.5</v>
      </c>
      <c r="AG810" s="4" t="str">
        <f t="shared" si="38"/>
        <v>High</v>
      </c>
    </row>
    <row r="811" spans="1:33">
      <c r="A811" t="s">
        <v>1476</v>
      </c>
      <c r="B811" t="s">
        <v>1378</v>
      </c>
      <c r="C811" s="11">
        <v>46163</v>
      </c>
      <c r="D811" t="s">
        <v>127</v>
      </c>
      <c r="E811" t="s">
        <v>70</v>
      </c>
      <c r="F811" s="4">
        <v>46163</v>
      </c>
      <c r="G811" s="4">
        <v>46168</v>
      </c>
      <c r="H811" t="s">
        <v>90</v>
      </c>
      <c r="I811" t="s">
        <v>162</v>
      </c>
      <c r="J811" t="s">
        <v>92</v>
      </c>
      <c r="K811" t="s">
        <v>73</v>
      </c>
      <c r="L811" t="s">
        <v>74</v>
      </c>
      <c r="M811" s="5">
        <v>53300</v>
      </c>
      <c r="N811" s="5">
        <v>5800</v>
      </c>
      <c r="O811" s="5">
        <v>6450</v>
      </c>
      <c r="P811" s="5">
        <v>30000</v>
      </c>
      <c r="Q811" s="13">
        <v>96750</v>
      </c>
      <c r="R811" t="s">
        <v>85</v>
      </c>
      <c r="S811" t="s">
        <v>76</v>
      </c>
      <c r="T811" s="5">
        <v>25090</v>
      </c>
      <c r="U811" s="6">
        <v>4</v>
      </c>
      <c r="V811" t="s">
        <v>77</v>
      </c>
      <c r="W811" s="4">
        <v>46185</v>
      </c>
      <c r="X811" t="s">
        <v>77</v>
      </c>
      <c r="Y811" t="s">
        <v>64</v>
      </c>
      <c r="Z811" t="s">
        <v>96</v>
      </c>
      <c r="AA811" t="str">
        <f>VLOOKUP(H811,Departments!$A:$B,2,0)</f>
        <v>Cardiology</v>
      </c>
      <c r="AB811" t="str">
        <f>VLOOKUP(J811,Diagnosis_Guide!$A:$B,2,0)</f>
        <v>Heart Failure</v>
      </c>
      <c r="AC811" s="4" t="str">
        <f>VLOOKUP(J811,Diagnosis_Guide!$A:$C,3,0)</f>
        <v>Cardiovascular</v>
      </c>
      <c r="AD811" s="4" t="str">
        <f>VLOOKUP(R811,Insurance_Plans!$A:$C,3,0)</f>
        <v>Employer</v>
      </c>
      <c r="AE811" s="13">
        <f t="shared" si="36"/>
        <v>4837.5</v>
      </c>
      <c r="AF811" s="13">
        <f t="shared" si="37"/>
        <v>101587.5</v>
      </c>
      <c r="AG811" s="4" t="str">
        <f t="shared" si="38"/>
        <v>High</v>
      </c>
    </row>
    <row r="812" spans="1:33">
      <c r="A812" t="s">
        <v>1477</v>
      </c>
      <c r="B812" t="s">
        <v>446</v>
      </c>
      <c r="C812" s="11">
        <v>46048</v>
      </c>
      <c r="D812" t="s">
        <v>284</v>
      </c>
      <c r="E812" t="s">
        <v>70</v>
      </c>
      <c r="F812" s="4">
        <v>46048</v>
      </c>
      <c r="G812" s="4">
        <v>46050</v>
      </c>
      <c r="H812" t="s">
        <v>178</v>
      </c>
      <c r="I812" t="s">
        <v>415</v>
      </c>
      <c r="J812" t="s">
        <v>358</v>
      </c>
      <c r="K812" t="s">
        <v>93</v>
      </c>
      <c r="L812" t="s">
        <v>74</v>
      </c>
      <c r="M812" s="5">
        <v>49000</v>
      </c>
      <c r="N812" s="5">
        <v>8350</v>
      </c>
      <c r="O812" s="5">
        <v>9800</v>
      </c>
      <c r="P812" s="5">
        <v>5000</v>
      </c>
      <c r="Q812" s="13">
        <v>72950</v>
      </c>
      <c r="R812" t="s">
        <v>75</v>
      </c>
      <c r="S812" t="s">
        <v>76</v>
      </c>
      <c r="T812" s="5">
        <v>33130</v>
      </c>
      <c r="U812" s="6">
        <v>5</v>
      </c>
      <c r="V812" t="s">
        <v>64</v>
      </c>
      <c r="W812" s="4"/>
      <c r="X812" t="s">
        <v>65</v>
      </c>
      <c r="Y812" t="s">
        <v>64</v>
      </c>
      <c r="Z812" t="s">
        <v>96</v>
      </c>
      <c r="AA812" t="str">
        <f>VLOOKUP(H812,Departments!$A:$B,2,0)</f>
        <v>Surgery</v>
      </c>
      <c r="AB812" t="str">
        <f>VLOOKUP(J812,Diagnosis_Guide!$A:$B,2,0)</f>
        <v>Gallbladder Surgery</v>
      </c>
      <c r="AC812" s="4" t="str">
        <f>VLOOKUP(J812,Diagnosis_Guide!$A:$C,3,0)</f>
        <v>Surgical</v>
      </c>
      <c r="AD812" s="4" t="str">
        <f>VLOOKUP(R812,Insurance_Plans!$A:$C,3,0)</f>
        <v>Public</v>
      </c>
      <c r="AE812" s="13">
        <f t="shared" si="36"/>
        <v>3647.5</v>
      </c>
      <c r="AF812" s="13">
        <f t="shared" si="37"/>
        <v>76597.5</v>
      </c>
      <c r="AG812" s="4" t="str">
        <f t="shared" si="38"/>
        <v>High</v>
      </c>
    </row>
    <row r="813" spans="1:33">
      <c r="A813" t="s">
        <v>1478</v>
      </c>
      <c r="B813" t="s">
        <v>621</v>
      </c>
      <c r="C813" s="11">
        <v>46154</v>
      </c>
      <c r="D813" t="s">
        <v>99</v>
      </c>
      <c r="E813" t="s">
        <v>70</v>
      </c>
      <c r="F813" s="4">
        <v>46154</v>
      </c>
      <c r="G813" s="4">
        <v>46154</v>
      </c>
      <c r="H813" t="s">
        <v>138</v>
      </c>
      <c r="I813" t="s">
        <v>139</v>
      </c>
      <c r="J813" t="s">
        <v>140</v>
      </c>
      <c r="K813" t="s">
        <v>60</v>
      </c>
      <c r="L813" t="s">
        <v>146</v>
      </c>
      <c r="M813" s="5">
        <v>17400</v>
      </c>
      <c r="N813" s="5">
        <v>2500</v>
      </c>
      <c r="O813" s="5">
        <v>3500</v>
      </c>
      <c r="P813" s="5">
        <v>0</v>
      </c>
      <c r="Q813" s="13">
        <v>25400</v>
      </c>
      <c r="R813" t="s">
        <v>95</v>
      </c>
      <c r="S813" t="s">
        <v>63</v>
      </c>
      <c r="T813" s="5">
        <v>25400</v>
      </c>
      <c r="U813" s="6">
        <v>4</v>
      </c>
      <c r="V813" t="s">
        <v>64</v>
      </c>
      <c r="W813" s="4"/>
      <c r="X813" t="s">
        <v>65</v>
      </c>
      <c r="Y813" t="s">
        <v>77</v>
      </c>
      <c r="Z813" t="s">
        <v>96</v>
      </c>
      <c r="AA813" t="str">
        <f>VLOOKUP(H813,Departments!$A:$B,2,0)</f>
        <v>Pediatrics</v>
      </c>
      <c r="AB813" t="str">
        <f>VLOOKUP(J813,Diagnosis_Guide!$A:$B,2,0)</f>
        <v>Pediatric Asthma</v>
      </c>
      <c r="AC813" s="4" t="str">
        <f>VLOOKUP(J813,Diagnosis_Guide!$A:$C,3,0)</f>
        <v>Pediatric</v>
      </c>
      <c r="AD813" s="4" t="str">
        <f>VLOOKUP(R813,Insurance_Plans!$A:$C,3,0)</f>
        <v>Self-Pay</v>
      </c>
      <c r="AE813" s="13">
        <f t="shared" si="36"/>
        <v>1270</v>
      </c>
      <c r="AF813" s="13">
        <f t="shared" si="37"/>
        <v>26670</v>
      </c>
      <c r="AG813" s="4" t="str">
        <f t="shared" si="38"/>
        <v>High</v>
      </c>
    </row>
    <row r="814" spans="1:33">
      <c r="A814" t="s">
        <v>1479</v>
      </c>
      <c r="B814" t="s">
        <v>758</v>
      </c>
      <c r="C814" s="11">
        <v>46142</v>
      </c>
      <c r="D814" t="s">
        <v>110</v>
      </c>
      <c r="E814" t="s">
        <v>70</v>
      </c>
      <c r="F814" s="4">
        <v>46142</v>
      </c>
      <c r="G814" s="4">
        <v>46150</v>
      </c>
      <c r="H814" t="s">
        <v>103</v>
      </c>
      <c r="I814" t="s">
        <v>207</v>
      </c>
      <c r="J814" t="s">
        <v>244</v>
      </c>
      <c r="K814" t="s">
        <v>73</v>
      </c>
      <c r="L814" t="s">
        <v>74</v>
      </c>
      <c r="M814" s="5">
        <v>55800</v>
      </c>
      <c r="N814" s="5">
        <v>8600</v>
      </c>
      <c r="O814" s="5">
        <v>5800</v>
      </c>
      <c r="P814" s="5">
        <v>20000</v>
      </c>
      <c r="Q814" s="13">
        <v>91700</v>
      </c>
      <c r="R814" t="s">
        <v>62</v>
      </c>
      <c r="S814" t="s">
        <v>86</v>
      </c>
      <c r="T814" s="5">
        <v>27910</v>
      </c>
      <c r="U814" s="6">
        <v>3</v>
      </c>
      <c r="V814" t="s">
        <v>77</v>
      </c>
      <c r="W814" s="4">
        <v>46169</v>
      </c>
      <c r="X814" t="s">
        <v>77</v>
      </c>
      <c r="Y814" t="s">
        <v>64</v>
      </c>
      <c r="Z814" t="s">
        <v>78</v>
      </c>
      <c r="AA814" t="str">
        <f>VLOOKUP(H814,Departments!$A:$B,2,0)</f>
        <v>Nephrology</v>
      </c>
      <c r="AB814" t="str">
        <f>VLOOKUP(J814,Diagnosis_Guide!$A:$B,2,0)</f>
        <v>Chronic Kidney Disease</v>
      </c>
      <c r="AC814" s="4" t="str">
        <f>VLOOKUP(J814,Diagnosis_Guide!$A:$C,3,0)</f>
        <v>Renal</v>
      </c>
      <c r="AD814" s="4" t="str">
        <f>VLOOKUP(R814,Insurance_Plans!$A:$C,3,0)</f>
        <v>Public</v>
      </c>
      <c r="AE814" s="13">
        <f t="shared" si="36"/>
        <v>4585</v>
      </c>
      <c r="AF814" s="13">
        <f t="shared" si="37"/>
        <v>96285</v>
      </c>
      <c r="AG814" s="4" t="str">
        <f t="shared" si="38"/>
        <v>Medium</v>
      </c>
    </row>
    <row r="815" spans="1:33">
      <c r="A815" t="s">
        <v>1480</v>
      </c>
      <c r="B815" t="s">
        <v>1481</v>
      </c>
      <c r="C815" s="11">
        <v>46046</v>
      </c>
      <c r="D815" t="s">
        <v>284</v>
      </c>
      <c r="E815" t="s">
        <v>70</v>
      </c>
      <c r="F815" s="4">
        <v>46047</v>
      </c>
      <c r="G815" s="4">
        <v>46047</v>
      </c>
      <c r="H815" t="s">
        <v>150</v>
      </c>
      <c r="I815" t="s">
        <v>187</v>
      </c>
      <c r="J815" t="s">
        <v>229</v>
      </c>
      <c r="K815" t="s">
        <v>60</v>
      </c>
      <c r="L815" t="s">
        <v>146</v>
      </c>
      <c r="M815" s="5">
        <v>58000</v>
      </c>
      <c r="N815" s="5">
        <v>6750</v>
      </c>
      <c r="O815" s="5">
        <v>6200</v>
      </c>
      <c r="P815" s="5">
        <v>0</v>
      </c>
      <c r="Q815" s="13">
        <v>73450</v>
      </c>
      <c r="R815" t="s">
        <v>95</v>
      </c>
      <c r="S815" t="s">
        <v>63</v>
      </c>
      <c r="T815" s="5">
        <v>73450</v>
      </c>
      <c r="U815" s="6">
        <v>5</v>
      </c>
      <c r="V815" t="s">
        <v>77</v>
      </c>
      <c r="W815" s="4">
        <v>46058</v>
      </c>
      <c r="X815" t="s">
        <v>77</v>
      </c>
      <c r="Y815" t="s">
        <v>64</v>
      </c>
      <c r="Z815" t="s">
        <v>78</v>
      </c>
      <c r="AA815" t="str">
        <f>VLOOKUP(H815,Departments!$A:$B,2,0)</f>
        <v>Obstetrics</v>
      </c>
      <c r="AB815" t="str">
        <f>VLOOKUP(J815,Diagnosis_Guide!$A:$B,2,0)</f>
        <v>Delivery Care</v>
      </c>
      <c r="AC815" s="4" t="str">
        <f>VLOOKUP(J815,Diagnosis_Guide!$A:$C,3,0)</f>
        <v>Maternal Health</v>
      </c>
      <c r="AD815" s="4" t="str">
        <f>VLOOKUP(R815,Insurance_Plans!$A:$C,3,0)</f>
        <v>Self-Pay</v>
      </c>
      <c r="AE815" s="13">
        <f t="shared" si="36"/>
        <v>3672.5</v>
      </c>
      <c r="AF815" s="13">
        <f t="shared" si="37"/>
        <v>77122.5</v>
      </c>
      <c r="AG815" s="4" t="str">
        <f t="shared" si="38"/>
        <v>High</v>
      </c>
    </row>
    <row r="816" spans="1:33">
      <c r="A816" t="s">
        <v>1482</v>
      </c>
      <c r="B816" t="s">
        <v>655</v>
      </c>
      <c r="C816" s="11">
        <v>46027</v>
      </c>
      <c r="D816" t="s">
        <v>298</v>
      </c>
      <c r="E816" t="s">
        <v>70</v>
      </c>
      <c r="F816" s="4">
        <v>46027</v>
      </c>
      <c r="G816" s="4">
        <v>46028</v>
      </c>
      <c r="H816" t="s">
        <v>57</v>
      </c>
      <c r="I816" t="s">
        <v>169</v>
      </c>
      <c r="J816" t="s">
        <v>59</v>
      </c>
      <c r="K816" t="s">
        <v>60</v>
      </c>
      <c r="L816" t="s">
        <v>94</v>
      </c>
      <c r="M816" s="5">
        <v>34600</v>
      </c>
      <c r="N816" s="5">
        <v>3700</v>
      </c>
      <c r="O816" s="5">
        <v>6450</v>
      </c>
      <c r="P816" s="5">
        <v>2500</v>
      </c>
      <c r="Q816" s="13">
        <v>48050</v>
      </c>
      <c r="R816" t="s">
        <v>141</v>
      </c>
      <c r="S816" t="s">
        <v>76</v>
      </c>
      <c r="T816" s="5">
        <v>8410</v>
      </c>
      <c r="U816" s="6">
        <v>5</v>
      </c>
      <c r="V816" t="s">
        <v>77</v>
      </c>
      <c r="W816" s="4">
        <v>46037</v>
      </c>
      <c r="X816" t="s">
        <v>77</v>
      </c>
      <c r="Y816" t="s">
        <v>64</v>
      </c>
      <c r="Z816" t="s">
        <v>107</v>
      </c>
      <c r="AA816" t="str">
        <f>VLOOKUP(H816,Departments!$A:$B,2,0)</f>
        <v>Pulmonology</v>
      </c>
      <c r="AB816" t="str">
        <f>VLOOKUP(J816,Diagnosis_Guide!$A:$B,2,0)</f>
        <v>Pneumonia</v>
      </c>
      <c r="AC816" s="4" t="str">
        <f>VLOOKUP(J816,Diagnosis_Guide!$A:$C,3,0)</f>
        <v>Respiratory</v>
      </c>
      <c r="AD816" s="4" t="str">
        <f>VLOOKUP(R816,Insurance_Plans!$A:$C,3,0)</f>
        <v>Private</v>
      </c>
      <c r="AE816" s="13">
        <f t="shared" si="36"/>
        <v>2402.5</v>
      </c>
      <c r="AF816" s="13">
        <f t="shared" si="37"/>
        <v>50452.5</v>
      </c>
      <c r="AG816" s="4" t="str">
        <f t="shared" si="38"/>
        <v>High</v>
      </c>
    </row>
    <row r="817" spans="1:33">
      <c r="A817" t="s">
        <v>1483</v>
      </c>
      <c r="B817" t="s">
        <v>847</v>
      </c>
      <c r="C817" s="11">
        <v>46073</v>
      </c>
      <c r="D817" t="s">
        <v>99</v>
      </c>
      <c r="E817" t="s">
        <v>314</v>
      </c>
      <c r="F817" s="4"/>
      <c r="G817" s="4"/>
      <c r="H817" t="s">
        <v>90</v>
      </c>
      <c r="I817" t="s">
        <v>128</v>
      </c>
      <c r="J817" t="s">
        <v>197</v>
      </c>
      <c r="K817" t="s">
        <v>124</v>
      </c>
      <c r="L817" t="s">
        <v>94</v>
      </c>
      <c r="M817" s="5"/>
      <c r="N817" s="5"/>
      <c r="O817" s="5"/>
      <c r="P817" s="5"/>
      <c r="R817" t="s">
        <v>85</v>
      </c>
      <c r="S817" t="s">
        <v>63</v>
      </c>
      <c r="T817" s="5"/>
      <c r="U817" s="6"/>
      <c r="V817" t="s">
        <v>64</v>
      </c>
      <c r="W817" s="4"/>
      <c r="X817" t="s">
        <v>65</v>
      </c>
      <c r="Z817" t="s">
        <v>66</v>
      </c>
      <c r="AA817" t="str">
        <f>VLOOKUP(H817,Departments!$A:$B,2,0)</f>
        <v>Cardiology</v>
      </c>
      <c r="AB817" t="str">
        <f>VLOOKUP(J817,Diagnosis_Guide!$A:$B,2,0)</f>
        <v>Chest Pain</v>
      </c>
      <c r="AC817" s="4" t="str">
        <f>VLOOKUP(J817,Diagnosis_Guide!$A:$C,3,0)</f>
        <v>Cardiovascular</v>
      </c>
      <c r="AD817" s="4" t="str">
        <f>VLOOKUP(R817,Insurance_Plans!$A:$C,3,0)</f>
        <v>Employer</v>
      </c>
      <c r="AE817" s="13" t="str">
        <f t="shared" si="36"/>
        <v/>
      </c>
      <c r="AF817" s="13" t="str">
        <f t="shared" si="37"/>
        <v/>
      </c>
      <c r="AG817" s="4" t="str">
        <f t="shared" si="38"/>
        <v>Not Available</v>
      </c>
    </row>
    <row r="818" spans="1:33">
      <c r="A818" t="s">
        <v>1484</v>
      </c>
      <c r="B818" t="s">
        <v>1485</v>
      </c>
      <c r="C818" s="11">
        <v>46138</v>
      </c>
      <c r="D818" t="s">
        <v>302</v>
      </c>
      <c r="E818" t="s">
        <v>70</v>
      </c>
      <c r="F818" s="4">
        <v>46138</v>
      </c>
      <c r="G818" s="4">
        <v>46141</v>
      </c>
      <c r="H818" t="s">
        <v>121</v>
      </c>
      <c r="I818" t="s">
        <v>665</v>
      </c>
      <c r="J818" t="s">
        <v>123</v>
      </c>
      <c r="K818" t="s">
        <v>124</v>
      </c>
      <c r="L818" t="s">
        <v>94</v>
      </c>
      <c r="M818" s="5">
        <v>43400</v>
      </c>
      <c r="N818" s="5">
        <v>7300</v>
      </c>
      <c r="O818" s="5">
        <v>8850</v>
      </c>
      <c r="P818" s="5">
        <v>10500</v>
      </c>
      <c r="Q818" s="13">
        <v>71050</v>
      </c>
      <c r="R818" t="s">
        <v>106</v>
      </c>
      <c r="S818" t="s">
        <v>163</v>
      </c>
      <c r="T818" s="5">
        <v>25570</v>
      </c>
      <c r="U818" s="6">
        <v>4</v>
      </c>
      <c r="V818" t="s">
        <v>64</v>
      </c>
      <c r="W818" s="4"/>
      <c r="X818" t="s">
        <v>65</v>
      </c>
      <c r="Y818" t="s">
        <v>64</v>
      </c>
      <c r="Z818" t="s">
        <v>78</v>
      </c>
      <c r="AA818" t="str">
        <f>VLOOKUP(H818,Departments!$A:$B,2,0)</f>
        <v>Neurology</v>
      </c>
      <c r="AB818" t="str">
        <f>VLOOKUP(J818,Diagnosis_Guide!$A:$B,2,0)</f>
        <v>Seizure Episode</v>
      </c>
      <c r="AC818" s="4" t="str">
        <f>VLOOKUP(J818,Diagnosis_Guide!$A:$C,3,0)</f>
        <v>Neurological</v>
      </c>
      <c r="AD818" s="4" t="str">
        <f>VLOOKUP(R818,Insurance_Plans!$A:$C,3,0)</f>
        <v>Private</v>
      </c>
      <c r="AE818" s="13">
        <f t="shared" si="36"/>
        <v>3552.5</v>
      </c>
      <c r="AF818" s="13">
        <f t="shared" si="37"/>
        <v>74602.5</v>
      </c>
      <c r="AG818" s="4" t="str">
        <f t="shared" si="38"/>
        <v>High</v>
      </c>
    </row>
    <row r="819" spans="1:33">
      <c r="A819" t="s">
        <v>1486</v>
      </c>
      <c r="B819" t="s">
        <v>727</v>
      </c>
      <c r="C819" s="11">
        <v>46079</v>
      </c>
      <c r="D819" t="s">
        <v>200</v>
      </c>
      <c r="E819" t="s">
        <v>70</v>
      </c>
      <c r="F819" s="4">
        <v>46080</v>
      </c>
      <c r="G819" s="4">
        <v>46081</v>
      </c>
      <c r="H819" t="s">
        <v>121</v>
      </c>
      <c r="I819" t="s">
        <v>251</v>
      </c>
      <c r="J819" t="s">
        <v>123</v>
      </c>
      <c r="K819" t="s">
        <v>60</v>
      </c>
      <c r="L819" t="s">
        <v>94</v>
      </c>
      <c r="M819" s="5">
        <v>42300</v>
      </c>
      <c r="N819" s="5">
        <v>6700</v>
      </c>
      <c r="O819" s="5">
        <v>7800</v>
      </c>
      <c r="P819" s="5">
        <v>3000</v>
      </c>
      <c r="Q819" s="13">
        <v>61800</v>
      </c>
      <c r="R819" t="s">
        <v>85</v>
      </c>
      <c r="S819" t="s">
        <v>86</v>
      </c>
      <c r="T819" s="5">
        <v>16350</v>
      </c>
      <c r="U819" s="6">
        <v>4</v>
      </c>
      <c r="V819" t="s">
        <v>77</v>
      </c>
      <c r="W819" s="4">
        <v>46094</v>
      </c>
      <c r="X819" t="s">
        <v>77</v>
      </c>
      <c r="Y819" t="s">
        <v>64</v>
      </c>
      <c r="Z819" t="s">
        <v>219</v>
      </c>
      <c r="AA819" t="str">
        <f>VLOOKUP(H819,Departments!$A:$B,2,0)</f>
        <v>Neurology</v>
      </c>
      <c r="AB819" t="str">
        <f>VLOOKUP(J819,Diagnosis_Guide!$A:$B,2,0)</f>
        <v>Seizure Episode</v>
      </c>
      <c r="AC819" s="4" t="str">
        <f>VLOOKUP(J819,Diagnosis_Guide!$A:$C,3,0)</f>
        <v>Neurological</v>
      </c>
      <c r="AD819" s="4" t="str">
        <f>VLOOKUP(R819,Insurance_Plans!$A:$C,3,0)</f>
        <v>Employer</v>
      </c>
      <c r="AE819" s="13">
        <f t="shared" si="36"/>
        <v>3090</v>
      </c>
      <c r="AF819" s="13">
        <f t="shared" si="37"/>
        <v>64890</v>
      </c>
      <c r="AG819" s="4" t="str">
        <f t="shared" si="38"/>
        <v>High</v>
      </c>
    </row>
    <row r="820" spans="1:33">
      <c r="A820" t="s">
        <v>1487</v>
      </c>
      <c r="B820" t="s">
        <v>557</v>
      </c>
      <c r="C820" s="11">
        <v>46144</v>
      </c>
      <c r="D820" t="s">
        <v>89</v>
      </c>
      <c r="E820" t="s">
        <v>70</v>
      </c>
      <c r="F820" s="4">
        <v>46144</v>
      </c>
      <c r="G820" s="4">
        <v>46155</v>
      </c>
      <c r="H820" t="s">
        <v>150</v>
      </c>
      <c r="I820" t="s">
        <v>228</v>
      </c>
      <c r="J820" t="s">
        <v>188</v>
      </c>
      <c r="K820" t="s">
        <v>73</v>
      </c>
      <c r="L820" t="s">
        <v>94</v>
      </c>
      <c r="M820" s="5">
        <v>79800</v>
      </c>
      <c r="N820" s="5">
        <v>12800</v>
      </c>
      <c r="O820" s="5">
        <v>14700</v>
      </c>
      <c r="P820" s="5">
        <v>38500</v>
      </c>
      <c r="Q820" s="13">
        <v>147300</v>
      </c>
      <c r="R820" t="s">
        <v>106</v>
      </c>
      <c r="S820" t="s">
        <v>86</v>
      </c>
      <c r="T820" s="5">
        <v>52260</v>
      </c>
      <c r="U820" s="6">
        <v>2</v>
      </c>
      <c r="V820" t="s">
        <v>77</v>
      </c>
      <c r="W820" s="4">
        <v>46171</v>
      </c>
      <c r="X820" t="s">
        <v>77</v>
      </c>
      <c r="Y820" t="s">
        <v>64</v>
      </c>
      <c r="Z820" t="s">
        <v>107</v>
      </c>
      <c r="AA820" t="str">
        <f>VLOOKUP(H820,Departments!$A:$B,2,0)</f>
        <v>Obstetrics</v>
      </c>
      <c r="AB820" t="str">
        <f>VLOOKUP(J820,Diagnosis_Guide!$A:$B,2,0)</f>
        <v>Emergency C-Section</v>
      </c>
      <c r="AC820" s="4" t="str">
        <f>VLOOKUP(J820,Diagnosis_Guide!$A:$C,3,0)</f>
        <v>Maternal Health</v>
      </c>
      <c r="AD820" s="4" t="str">
        <f>VLOOKUP(R820,Insurance_Plans!$A:$C,3,0)</f>
        <v>Private</v>
      </c>
      <c r="AE820" s="13">
        <f t="shared" si="36"/>
        <v>7365</v>
      </c>
      <c r="AF820" s="13">
        <f t="shared" si="37"/>
        <v>154665</v>
      </c>
      <c r="AG820" s="4" t="str">
        <f t="shared" si="38"/>
        <v>Low</v>
      </c>
    </row>
    <row r="821" spans="1:33">
      <c r="A821" t="s">
        <v>1488</v>
      </c>
      <c r="B821" t="s">
        <v>890</v>
      </c>
      <c r="C821" s="11">
        <v>46091</v>
      </c>
      <c r="D821" t="s">
        <v>183</v>
      </c>
      <c r="E821" t="s">
        <v>70</v>
      </c>
      <c r="F821" s="4">
        <v>46091</v>
      </c>
      <c r="G821" s="4">
        <v>46095</v>
      </c>
      <c r="H821" t="s">
        <v>103</v>
      </c>
      <c r="I821" t="s">
        <v>243</v>
      </c>
      <c r="J821" t="s">
        <v>105</v>
      </c>
      <c r="K821" t="s">
        <v>124</v>
      </c>
      <c r="L821" t="s">
        <v>61</v>
      </c>
      <c r="M821" s="5">
        <v>57000</v>
      </c>
      <c r="N821" s="5">
        <v>7800</v>
      </c>
      <c r="O821" s="5">
        <v>11650</v>
      </c>
      <c r="P821" s="5">
        <v>18000</v>
      </c>
      <c r="Q821" s="13">
        <v>96250</v>
      </c>
      <c r="R821" t="s">
        <v>75</v>
      </c>
      <c r="S821" t="s">
        <v>76</v>
      </c>
      <c r="T821" s="5">
        <v>43610</v>
      </c>
      <c r="U821" s="6">
        <v>4</v>
      </c>
      <c r="V821" t="s">
        <v>64</v>
      </c>
      <c r="W821" s="4"/>
      <c r="X821" t="s">
        <v>65</v>
      </c>
      <c r="Y821" t="s">
        <v>64</v>
      </c>
      <c r="Z821" t="s">
        <v>436</v>
      </c>
      <c r="AA821" t="str">
        <f>VLOOKUP(H821,Departments!$A:$B,2,0)</f>
        <v>Nephrology</v>
      </c>
      <c r="AB821" t="str">
        <f>VLOOKUP(J821,Diagnosis_Guide!$A:$B,2,0)</f>
        <v>Dialysis Complication</v>
      </c>
      <c r="AC821" s="4" t="str">
        <f>VLOOKUP(J821,Diagnosis_Guide!$A:$C,3,0)</f>
        <v>Renal</v>
      </c>
      <c r="AD821" s="4" t="str">
        <f>VLOOKUP(R821,Insurance_Plans!$A:$C,3,0)</f>
        <v>Public</v>
      </c>
      <c r="AE821" s="13">
        <f t="shared" si="36"/>
        <v>4812.5</v>
      </c>
      <c r="AF821" s="13">
        <f t="shared" si="37"/>
        <v>101062.5</v>
      </c>
      <c r="AG821" s="4" t="str">
        <f t="shared" si="38"/>
        <v>High</v>
      </c>
    </row>
    <row r="822" spans="1:33">
      <c r="A822" t="s">
        <v>1489</v>
      </c>
      <c r="B822" t="s">
        <v>471</v>
      </c>
      <c r="C822" s="11">
        <v>46130</v>
      </c>
      <c r="D822" t="s">
        <v>259</v>
      </c>
      <c r="E822" t="s">
        <v>70</v>
      </c>
      <c r="F822" s="4">
        <v>46130</v>
      </c>
      <c r="G822" s="4">
        <v>46139</v>
      </c>
      <c r="H822" t="s">
        <v>201</v>
      </c>
      <c r="I822" t="s">
        <v>421</v>
      </c>
      <c r="J822" t="s">
        <v>295</v>
      </c>
      <c r="K822" t="s">
        <v>124</v>
      </c>
      <c r="L822" t="s">
        <v>94</v>
      </c>
      <c r="M822" s="5">
        <v>32500</v>
      </c>
      <c r="N822" s="5">
        <v>3200</v>
      </c>
      <c r="O822" s="5">
        <v>6000</v>
      </c>
      <c r="P822" s="5">
        <v>31500</v>
      </c>
      <c r="Q822" s="13">
        <v>74200</v>
      </c>
      <c r="R822" t="s">
        <v>75</v>
      </c>
      <c r="S822" t="s">
        <v>76</v>
      </c>
      <c r="T822" s="5">
        <v>33690</v>
      </c>
      <c r="U822" s="6">
        <v>3</v>
      </c>
      <c r="V822" t="s">
        <v>77</v>
      </c>
      <c r="W822" s="4">
        <v>46160</v>
      </c>
      <c r="X822" t="s">
        <v>77</v>
      </c>
      <c r="Y822" t="s">
        <v>64</v>
      </c>
      <c r="Z822" t="s">
        <v>107</v>
      </c>
      <c r="AA822" t="str">
        <f>VLOOKUP(H822,Departments!$A:$B,2,0)</f>
        <v>Emergency</v>
      </c>
      <c r="AB822" t="str">
        <f>VLOOKUP(J822,Diagnosis_Guide!$A:$B,2,0)</f>
        <v>Accident Injury</v>
      </c>
      <c r="AC822" s="4" t="str">
        <f>VLOOKUP(J822,Diagnosis_Guide!$A:$C,3,0)</f>
        <v>Emergency</v>
      </c>
      <c r="AD822" s="4" t="str">
        <f>VLOOKUP(R822,Insurance_Plans!$A:$C,3,0)</f>
        <v>Public</v>
      </c>
      <c r="AE822" s="13">
        <f t="shared" si="36"/>
        <v>3710</v>
      </c>
      <c r="AF822" s="13">
        <f t="shared" si="37"/>
        <v>77910</v>
      </c>
      <c r="AG822" s="4" t="str">
        <f t="shared" si="38"/>
        <v>Medium</v>
      </c>
    </row>
    <row r="823" spans="1:33">
      <c r="A823" t="s">
        <v>1490</v>
      </c>
      <c r="B823" t="s">
        <v>1491</v>
      </c>
      <c r="C823" s="11">
        <v>46048</v>
      </c>
      <c r="D823" t="s">
        <v>330</v>
      </c>
      <c r="E823" t="s">
        <v>70</v>
      </c>
      <c r="F823" s="4">
        <v>46048</v>
      </c>
      <c r="G823" s="4">
        <v>46048</v>
      </c>
      <c r="H823" t="s">
        <v>57</v>
      </c>
      <c r="I823" t="s">
        <v>169</v>
      </c>
      <c r="J823" t="s">
        <v>170</v>
      </c>
      <c r="K823" t="s">
        <v>60</v>
      </c>
      <c r="L823" t="s">
        <v>61</v>
      </c>
      <c r="M823" s="5">
        <v>69400</v>
      </c>
      <c r="N823" s="5">
        <v>11400</v>
      </c>
      <c r="O823" s="5">
        <v>10900</v>
      </c>
      <c r="P823" s="5">
        <v>0</v>
      </c>
      <c r="Q823" s="13">
        <v>92500</v>
      </c>
      <c r="R823" t="s">
        <v>75</v>
      </c>
      <c r="S823" t="s">
        <v>76</v>
      </c>
      <c r="T823" s="5">
        <v>41920</v>
      </c>
      <c r="U823" s="6">
        <v>5</v>
      </c>
      <c r="V823" t="s">
        <v>77</v>
      </c>
      <c r="W823" s="4">
        <v>46055</v>
      </c>
      <c r="X823" t="s">
        <v>77</v>
      </c>
      <c r="Y823" t="s">
        <v>64</v>
      </c>
      <c r="Z823" t="s">
        <v>78</v>
      </c>
      <c r="AA823" t="str">
        <f>VLOOKUP(H823,Departments!$A:$B,2,0)</f>
        <v>Pulmonology</v>
      </c>
      <c r="AB823" t="str">
        <f>VLOOKUP(J823,Diagnosis_Guide!$A:$B,2,0)</f>
        <v>COPD Exacerbation</v>
      </c>
      <c r="AC823" s="4" t="str">
        <f>VLOOKUP(J823,Diagnosis_Guide!$A:$C,3,0)</f>
        <v>Respiratory</v>
      </c>
      <c r="AD823" s="4" t="str">
        <f>VLOOKUP(R823,Insurance_Plans!$A:$C,3,0)</f>
        <v>Public</v>
      </c>
      <c r="AE823" s="13">
        <f t="shared" si="36"/>
        <v>4625</v>
      </c>
      <c r="AF823" s="13">
        <f t="shared" si="37"/>
        <v>97125</v>
      </c>
      <c r="AG823" s="4" t="str">
        <f t="shared" si="38"/>
        <v>High</v>
      </c>
    </row>
    <row r="824" spans="1:33">
      <c r="A824" t="s">
        <v>1492</v>
      </c>
      <c r="B824" t="s">
        <v>1081</v>
      </c>
      <c r="C824" s="11">
        <v>46033</v>
      </c>
      <c r="D824" t="s">
        <v>173</v>
      </c>
      <c r="E824" t="s">
        <v>70</v>
      </c>
      <c r="F824" s="4">
        <v>46033</v>
      </c>
      <c r="G824" s="4">
        <v>46033</v>
      </c>
      <c r="H824" t="s">
        <v>103</v>
      </c>
      <c r="I824" t="s">
        <v>207</v>
      </c>
      <c r="J824" t="s">
        <v>105</v>
      </c>
      <c r="K824" t="s">
        <v>60</v>
      </c>
      <c r="L824" t="s">
        <v>61</v>
      </c>
      <c r="M824" s="5">
        <v>55000</v>
      </c>
      <c r="N824" s="5">
        <v>8200</v>
      </c>
      <c r="O824" s="5">
        <v>11250</v>
      </c>
      <c r="P824" s="5">
        <v>0</v>
      </c>
      <c r="Q824" s="13">
        <v>75950</v>
      </c>
      <c r="R824" t="s">
        <v>62</v>
      </c>
      <c r="S824" t="s">
        <v>76</v>
      </c>
      <c r="T824" s="5">
        <v>23190</v>
      </c>
      <c r="U824" s="6">
        <v>3</v>
      </c>
      <c r="V824" t="s">
        <v>77</v>
      </c>
      <c r="W824" s="4">
        <v>46048</v>
      </c>
      <c r="X824" t="s">
        <v>64</v>
      </c>
      <c r="Y824" t="s">
        <v>64</v>
      </c>
      <c r="Z824" t="s">
        <v>96</v>
      </c>
      <c r="AA824" t="str">
        <f>VLOOKUP(H824,Departments!$A:$B,2,0)</f>
        <v>Nephrology</v>
      </c>
      <c r="AB824" t="str">
        <f>VLOOKUP(J824,Diagnosis_Guide!$A:$B,2,0)</f>
        <v>Dialysis Complication</v>
      </c>
      <c r="AC824" s="4" t="str">
        <f>VLOOKUP(J824,Diagnosis_Guide!$A:$C,3,0)</f>
        <v>Renal</v>
      </c>
      <c r="AD824" s="4" t="str">
        <f>VLOOKUP(R824,Insurance_Plans!$A:$C,3,0)</f>
        <v>Public</v>
      </c>
      <c r="AE824" s="13">
        <f t="shared" si="36"/>
        <v>3797.5</v>
      </c>
      <c r="AF824" s="13">
        <f t="shared" si="37"/>
        <v>79747.5</v>
      </c>
      <c r="AG824" s="4" t="str">
        <f t="shared" si="38"/>
        <v>Medium</v>
      </c>
    </row>
    <row r="825" spans="1:33">
      <c r="A825" t="s">
        <v>1493</v>
      </c>
      <c r="B825" t="s">
        <v>551</v>
      </c>
      <c r="C825" s="11">
        <v>46131</v>
      </c>
      <c r="D825" t="s">
        <v>110</v>
      </c>
      <c r="E825" t="s">
        <v>70</v>
      </c>
      <c r="F825" s="4">
        <v>46131</v>
      </c>
      <c r="G825" s="4">
        <v>46132</v>
      </c>
      <c r="H825" t="s">
        <v>150</v>
      </c>
      <c r="I825" t="s">
        <v>187</v>
      </c>
      <c r="J825" t="s">
        <v>188</v>
      </c>
      <c r="K825" t="s">
        <v>60</v>
      </c>
      <c r="L825" t="s">
        <v>94</v>
      </c>
      <c r="M825" s="5">
        <v>81300</v>
      </c>
      <c r="N825" s="5">
        <v>7800</v>
      </c>
      <c r="O825" s="5">
        <v>15300</v>
      </c>
      <c r="P825" s="5">
        <v>2500</v>
      </c>
      <c r="Q825" s="13">
        <v>109400</v>
      </c>
      <c r="R825" t="s">
        <v>141</v>
      </c>
      <c r="S825" t="s">
        <v>76</v>
      </c>
      <c r="T825" s="5">
        <v>17610</v>
      </c>
      <c r="U825" s="6">
        <v>5</v>
      </c>
      <c r="V825" t="s">
        <v>77</v>
      </c>
      <c r="W825" s="4">
        <v>46145</v>
      </c>
      <c r="X825" t="s">
        <v>77</v>
      </c>
      <c r="Y825" t="s">
        <v>64</v>
      </c>
      <c r="Z825" t="s">
        <v>78</v>
      </c>
      <c r="AA825" t="str">
        <f>VLOOKUP(H825,Departments!$A:$B,2,0)</f>
        <v>Obstetrics</v>
      </c>
      <c r="AB825" t="str">
        <f>VLOOKUP(J825,Diagnosis_Guide!$A:$B,2,0)</f>
        <v>Emergency C-Section</v>
      </c>
      <c r="AC825" s="4" t="str">
        <f>VLOOKUP(J825,Diagnosis_Guide!$A:$C,3,0)</f>
        <v>Maternal Health</v>
      </c>
      <c r="AD825" s="4" t="str">
        <f>VLOOKUP(R825,Insurance_Plans!$A:$C,3,0)</f>
        <v>Private</v>
      </c>
      <c r="AE825" s="13">
        <f t="shared" si="36"/>
        <v>5470</v>
      </c>
      <c r="AF825" s="13">
        <f t="shared" si="37"/>
        <v>114870</v>
      </c>
      <c r="AG825" s="4" t="str">
        <f t="shared" si="38"/>
        <v>High</v>
      </c>
    </row>
    <row r="826" spans="1:33">
      <c r="A826" t="s">
        <v>1494</v>
      </c>
      <c r="B826" t="s">
        <v>606</v>
      </c>
      <c r="C826" s="11">
        <v>46107</v>
      </c>
      <c r="D826" t="s">
        <v>279</v>
      </c>
      <c r="E826" t="s">
        <v>338</v>
      </c>
      <c r="F826" s="4"/>
      <c r="G826" s="4"/>
      <c r="H826" t="s">
        <v>121</v>
      </c>
      <c r="I826" t="s">
        <v>386</v>
      </c>
      <c r="J826" t="s">
        <v>252</v>
      </c>
      <c r="K826" t="s">
        <v>73</v>
      </c>
      <c r="L826" t="s">
        <v>94</v>
      </c>
      <c r="M826" s="5"/>
      <c r="N826" s="5"/>
      <c r="O826" s="5"/>
      <c r="P826" s="5"/>
      <c r="R826" t="s">
        <v>85</v>
      </c>
      <c r="S826" t="s">
        <v>63</v>
      </c>
      <c r="T826" s="5"/>
      <c r="U826" s="6"/>
      <c r="V826" t="s">
        <v>64</v>
      </c>
      <c r="W826" s="4"/>
      <c r="X826" t="s">
        <v>65</v>
      </c>
      <c r="Z826" t="s">
        <v>66</v>
      </c>
      <c r="AA826" t="str">
        <f>VLOOKUP(H826,Departments!$A:$B,2,0)</f>
        <v>Neurology</v>
      </c>
      <c r="AB826" t="str">
        <f>VLOOKUP(J826,Diagnosis_Guide!$A:$B,2,0)</f>
        <v>Stroke Assessment</v>
      </c>
      <c r="AC826" s="4" t="str">
        <f>VLOOKUP(J826,Diagnosis_Guide!$A:$C,3,0)</f>
        <v>Neurological</v>
      </c>
      <c r="AD826" s="4" t="str">
        <f>VLOOKUP(R826,Insurance_Plans!$A:$C,3,0)</f>
        <v>Employer</v>
      </c>
      <c r="AE826" s="13" t="str">
        <f t="shared" si="36"/>
        <v/>
      </c>
      <c r="AF826" s="13" t="str">
        <f t="shared" si="37"/>
        <v/>
      </c>
      <c r="AG826" s="4" t="str">
        <f t="shared" si="38"/>
        <v>Not Available</v>
      </c>
    </row>
    <row r="827" spans="1:33">
      <c r="A827" t="s">
        <v>1495</v>
      </c>
      <c r="B827" t="s">
        <v>1496</v>
      </c>
      <c r="C827" s="11">
        <v>46067</v>
      </c>
      <c r="D827" t="s">
        <v>210</v>
      </c>
      <c r="E827" t="s">
        <v>314</v>
      </c>
      <c r="F827" s="4"/>
      <c r="G827" s="4"/>
      <c r="H827" t="s">
        <v>103</v>
      </c>
      <c r="I827" t="s">
        <v>214</v>
      </c>
      <c r="J827" t="s">
        <v>244</v>
      </c>
      <c r="K827" t="s">
        <v>73</v>
      </c>
      <c r="L827" t="s">
        <v>94</v>
      </c>
      <c r="M827" s="5"/>
      <c r="N827" s="5"/>
      <c r="O827" s="5"/>
      <c r="P827" s="5"/>
      <c r="R827" t="s">
        <v>75</v>
      </c>
      <c r="S827" t="s">
        <v>63</v>
      </c>
      <c r="T827" s="5"/>
      <c r="U827" s="6"/>
      <c r="V827" t="s">
        <v>64</v>
      </c>
      <c r="W827" s="4"/>
      <c r="X827" t="s">
        <v>65</v>
      </c>
      <c r="Z827" t="s">
        <v>66</v>
      </c>
      <c r="AA827" t="str">
        <f>VLOOKUP(H827,Departments!$A:$B,2,0)</f>
        <v>Nephrology</v>
      </c>
      <c r="AB827" t="str">
        <f>VLOOKUP(J827,Diagnosis_Guide!$A:$B,2,0)</f>
        <v>Chronic Kidney Disease</v>
      </c>
      <c r="AC827" s="4" t="str">
        <f>VLOOKUP(J827,Diagnosis_Guide!$A:$C,3,0)</f>
        <v>Renal</v>
      </c>
      <c r="AD827" s="4" t="str">
        <f>VLOOKUP(R827,Insurance_Plans!$A:$C,3,0)</f>
        <v>Public</v>
      </c>
      <c r="AE827" s="13" t="str">
        <f t="shared" si="36"/>
        <v/>
      </c>
      <c r="AF827" s="13" t="str">
        <f t="shared" si="37"/>
        <v/>
      </c>
      <c r="AG827" s="4" t="str">
        <f t="shared" si="38"/>
        <v>Not Available</v>
      </c>
    </row>
    <row r="828" spans="1:33">
      <c r="A828" t="s">
        <v>1497</v>
      </c>
      <c r="B828" t="s">
        <v>1498</v>
      </c>
      <c r="C828" s="11">
        <v>46097</v>
      </c>
      <c r="D828" t="s">
        <v>217</v>
      </c>
      <c r="E828" t="s">
        <v>70</v>
      </c>
      <c r="F828" s="4">
        <v>46097</v>
      </c>
      <c r="G828" s="4">
        <v>46098</v>
      </c>
      <c r="H828" t="s">
        <v>138</v>
      </c>
      <c r="I828" t="s">
        <v>343</v>
      </c>
      <c r="J828" t="s">
        <v>261</v>
      </c>
      <c r="K828" t="s">
        <v>73</v>
      </c>
      <c r="L828" t="s">
        <v>61</v>
      </c>
      <c r="M828" s="5">
        <v>5100</v>
      </c>
      <c r="N828" s="5">
        <v>850</v>
      </c>
      <c r="O828" s="5">
        <v>600</v>
      </c>
      <c r="P828" s="5">
        <v>3000</v>
      </c>
      <c r="Q828" s="13">
        <v>11350</v>
      </c>
      <c r="R828" t="s">
        <v>95</v>
      </c>
      <c r="S828" t="s">
        <v>63</v>
      </c>
      <c r="T828" s="5">
        <v>11350</v>
      </c>
      <c r="U828" s="6">
        <v>5</v>
      </c>
      <c r="V828" t="s">
        <v>77</v>
      </c>
      <c r="W828" s="4">
        <v>46108</v>
      </c>
      <c r="X828" t="s">
        <v>77</v>
      </c>
      <c r="Y828" t="s">
        <v>64</v>
      </c>
      <c r="Z828" t="s">
        <v>78</v>
      </c>
      <c r="AA828" t="str">
        <f>VLOOKUP(H828,Departments!$A:$B,2,0)</f>
        <v>Pediatrics</v>
      </c>
      <c r="AB828" t="str">
        <f>VLOOKUP(J828,Diagnosis_Guide!$A:$B,2,0)</f>
        <v>Child Fever</v>
      </c>
      <c r="AC828" s="4" t="str">
        <f>VLOOKUP(J828,Diagnosis_Guide!$A:$C,3,0)</f>
        <v>Pediatric</v>
      </c>
      <c r="AD828" s="4" t="str">
        <f>VLOOKUP(R828,Insurance_Plans!$A:$C,3,0)</f>
        <v>Self-Pay</v>
      </c>
      <c r="AE828" s="13">
        <f t="shared" si="36"/>
        <v>567.5</v>
      </c>
      <c r="AF828" s="13">
        <f t="shared" si="37"/>
        <v>11917.5</v>
      </c>
      <c r="AG828" s="4" t="str">
        <f t="shared" si="38"/>
        <v>High</v>
      </c>
    </row>
    <row r="829" spans="1:33">
      <c r="A829" t="s">
        <v>1499</v>
      </c>
      <c r="B829" t="s">
        <v>1500</v>
      </c>
      <c r="C829" s="11">
        <v>46096</v>
      </c>
      <c r="D829" t="s">
        <v>161</v>
      </c>
      <c r="E829" t="s">
        <v>56</v>
      </c>
      <c r="F829" s="4"/>
      <c r="G829" s="4"/>
      <c r="H829" t="s">
        <v>103</v>
      </c>
      <c r="I829" t="s">
        <v>412</v>
      </c>
      <c r="J829" t="s">
        <v>244</v>
      </c>
      <c r="K829" t="s">
        <v>124</v>
      </c>
      <c r="L829" t="s">
        <v>94</v>
      </c>
      <c r="M829" s="5"/>
      <c r="N829" s="5"/>
      <c r="O829" s="5"/>
      <c r="P829" s="5"/>
      <c r="R829" t="s">
        <v>106</v>
      </c>
      <c r="S829" t="s">
        <v>63</v>
      </c>
      <c r="T829" s="5"/>
      <c r="U829" s="6"/>
      <c r="V829" t="s">
        <v>64</v>
      </c>
      <c r="W829" s="4"/>
      <c r="X829" t="s">
        <v>65</v>
      </c>
      <c r="Z829" t="s">
        <v>66</v>
      </c>
      <c r="AA829" t="str">
        <f>VLOOKUP(H829,Departments!$A:$B,2,0)</f>
        <v>Nephrology</v>
      </c>
      <c r="AB829" t="str">
        <f>VLOOKUP(J829,Diagnosis_Guide!$A:$B,2,0)</f>
        <v>Chronic Kidney Disease</v>
      </c>
      <c r="AC829" s="4" t="str">
        <f>VLOOKUP(J829,Diagnosis_Guide!$A:$C,3,0)</f>
        <v>Renal</v>
      </c>
      <c r="AD829" s="4" t="str">
        <f>VLOOKUP(R829,Insurance_Plans!$A:$C,3,0)</f>
        <v>Private</v>
      </c>
      <c r="AE829" s="13" t="str">
        <f t="shared" si="36"/>
        <v/>
      </c>
      <c r="AF829" s="13" t="str">
        <f t="shared" si="37"/>
        <v/>
      </c>
      <c r="AG829" s="4" t="str">
        <f t="shared" si="38"/>
        <v>Not Available</v>
      </c>
    </row>
    <row r="830" spans="1:33">
      <c r="A830" t="s">
        <v>1501</v>
      </c>
      <c r="B830" t="s">
        <v>872</v>
      </c>
      <c r="C830" s="11">
        <v>46080</v>
      </c>
      <c r="D830" t="s">
        <v>81</v>
      </c>
      <c r="E830" t="s">
        <v>70</v>
      </c>
      <c r="F830" s="4">
        <v>46081</v>
      </c>
      <c r="G830" s="4">
        <v>46082</v>
      </c>
      <c r="H830" t="s">
        <v>150</v>
      </c>
      <c r="I830" t="s">
        <v>187</v>
      </c>
      <c r="J830" t="s">
        <v>229</v>
      </c>
      <c r="K830" t="s">
        <v>124</v>
      </c>
      <c r="L830" t="s">
        <v>94</v>
      </c>
      <c r="M830" s="5">
        <v>34400</v>
      </c>
      <c r="N830" s="5">
        <v>2800</v>
      </c>
      <c r="O830" s="5">
        <v>4200</v>
      </c>
      <c r="P830" s="5">
        <v>6000</v>
      </c>
      <c r="Q830" s="13">
        <v>49900</v>
      </c>
      <c r="R830" t="s">
        <v>75</v>
      </c>
      <c r="S830" t="s">
        <v>76</v>
      </c>
      <c r="T830" s="5">
        <v>22750</v>
      </c>
      <c r="U830" s="6">
        <v>5</v>
      </c>
      <c r="V830" t="s">
        <v>64</v>
      </c>
      <c r="W830" s="4"/>
      <c r="X830" t="s">
        <v>65</v>
      </c>
      <c r="Y830" t="s">
        <v>64</v>
      </c>
      <c r="Z830" t="s">
        <v>107</v>
      </c>
      <c r="AA830" t="str">
        <f>VLOOKUP(H830,Departments!$A:$B,2,0)</f>
        <v>Obstetrics</v>
      </c>
      <c r="AB830" t="str">
        <f>VLOOKUP(J830,Diagnosis_Guide!$A:$B,2,0)</f>
        <v>Delivery Care</v>
      </c>
      <c r="AC830" s="4" t="str">
        <f>VLOOKUP(J830,Diagnosis_Guide!$A:$C,3,0)</f>
        <v>Maternal Health</v>
      </c>
      <c r="AD830" s="4" t="str">
        <f>VLOOKUP(R830,Insurance_Plans!$A:$C,3,0)</f>
        <v>Public</v>
      </c>
      <c r="AE830" s="13">
        <f t="shared" si="36"/>
        <v>2495</v>
      </c>
      <c r="AF830" s="13">
        <f t="shared" si="37"/>
        <v>52395</v>
      </c>
      <c r="AG830" s="4" t="str">
        <f t="shared" si="38"/>
        <v>High</v>
      </c>
    </row>
    <row r="831" spans="1:33">
      <c r="A831" t="s">
        <v>1502</v>
      </c>
      <c r="B831" t="s">
        <v>1466</v>
      </c>
      <c r="C831" s="11">
        <v>46044</v>
      </c>
      <c r="D831" t="s">
        <v>234</v>
      </c>
      <c r="E831" t="s">
        <v>70</v>
      </c>
      <c r="F831" s="4">
        <v>46044</v>
      </c>
      <c r="G831" s="4">
        <v>46046</v>
      </c>
      <c r="H831" t="s">
        <v>121</v>
      </c>
      <c r="I831" t="s">
        <v>665</v>
      </c>
      <c r="J831" t="s">
        <v>256</v>
      </c>
      <c r="K831" t="s">
        <v>73</v>
      </c>
      <c r="L831" t="s">
        <v>61</v>
      </c>
      <c r="M831" s="5">
        <v>15100</v>
      </c>
      <c r="N831" s="5">
        <v>2550</v>
      </c>
      <c r="O831" s="5">
        <v>3300</v>
      </c>
      <c r="P831" s="5">
        <v>9000</v>
      </c>
      <c r="Q831" s="13">
        <v>30950</v>
      </c>
      <c r="R831" t="s">
        <v>75</v>
      </c>
      <c r="S831" t="s">
        <v>76</v>
      </c>
      <c r="T831" s="5">
        <v>14230</v>
      </c>
      <c r="U831" s="6">
        <v>3</v>
      </c>
      <c r="V831" t="s">
        <v>64</v>
      </c>
      <c r="W831" s="4"/>
      <c r="X831" t="s">
        <v>65</v>
      </c>
      <c r="Y831" t="s">
        <v>64</v>
      </c>
      <c r="Z831" t="s">
        <v>78</v>
      </c>
      <c r="AA831" t="str">
        <f>VLOOKUP(H831,Departments!$A:$B,2,0)</f>
        <v>Neurology</v>
      </c>
      <c r="AB831" t="str">
        <f>VLOOKUP(J831,Diagnosis_Guide!$A:$B,2,0)</f>
        <v>Migraine Complication</v>
      </c>
      <c r="AC831" s="4" t="str">
        <f>VLOOKUP(J831,Diagnosis_Guide!$A:$C,3,0)</f>
        <v>Neurological</v>
      </c>
      <c r="AD831" s="4" t="str">
        <f>VLOOKUP(R831,Insurance_Plans!$A:$C,3,0)</f>
        <v>Public</v>
      </c>
      <c r="AE831" s="13">
        <f t="shared" si="36"/>
        <v>1547.5</v>
      </c>
      <c r="AF831" s="13">
        <f t="shared" si="37"/>
        <v>32497.5</v>
      </c>
      <c r="AG831" s="4" t="str">
        <f t="shared" si="38"/>
        <v>Medium</v>
      </c>
    </row>
    <row r="832" spans="1:33">
      <c r="A832" t="s">
        <v>1503</v>
      </c>
      <c r="B832" t="s">
        <v>1500</v>
      </c>
      <c r="C832" s="11">
        <v>46043</v>
      </c>
      <c r="D832" t="s">
        <v>302</v>
      </c>
      <c r="E832" t="s">
        <v>70</v>
      </c>
      <c r="F832" s="4">
        <v>46043</v>
      </c>
      <c r="G832" s="4">
        <v>46044</v>
      </c>
      <c r="H832" t="s">
        <v>111</v>
      </c>
      <c r="I832" t="s">
        <v>397</v>
      </c>
      <c r="J832" t="s">
        <v>384</v>
      </c>
      <c r="K832" t="s">
        <v>60</v>
      </c>
      <c r="L832" t="s">
        <v>61</v>
      </c>
      <c r="M832" s="5">
        <v>53200</v>
      </c>
      <c r="N832" s="5">
        <v>6900</v>
      </c>
      <c r="O832" s="5">
        <v>10200</v>
      </c>
      <c r="P832" s="5">
        <v>3000</v>
      </c>
      <c r="Q832" s="13">
        <v>75300</v>
      </c>
      <c r="R832" t="s">
        <v>95</v>
      </c>
      <c r="S832" t="s">
        <v>63</v>
      </c>
      <c r="T832" s="5">
        <v>75300</v>
      </c>
      <c r="U832" s="6">
        <v>3</v>
      </c>
      <c r="V832" t="s">
        <v>77</v>
      </c>
      <c r="W832" s="4">
        <v>46056</v>
      </c>
      <c r="X832" t="s">
        <v>64</v>
      </c>
      <c r="Y832" t="s">
        <v>77</v>
      </c>
      <c r="Z832" t="s">
        <v>78</v>
      </c>
      <c r="AA832" t="str">
        <f>VLOOKUP(H832,Departments!$A:$B,2,0)</f>
        <v>General Medicine</v>
      </c>
      <c r="AB832" t="str">
        <f>VLOOKUP(J832,Diagnosis_Guide!$A:$B,2,0)</f>
        <v>Severe Infection</v>
      </c>
      <c r="AC832" s="4" t="str">
        <f>VLOOKUP(J832,Diagnosis_Guide!$A:$C,3,0)</f>
        <v>Infectious/General</v>
      </c>
      <c r="AD832" s="4" t="str">
        <f>VLOOKUP(R832,Insurance_Plans!$A:$C,3,0)</f>
        <v>Self-Pay</v>
      </c>
      <c r="AE832" s="13">
        <f t="shared" si="36"/>
        <v>3765</v>
      </c>
      <c r="AF832" s="13">
        <f t="shared" si="37"/>
        <v>79065</v>
      </c>
      <c r="AG832" s="4" t="str">
        <f t="shared" si="38"/>
        <v>Medium</v>
      </c>
    </row>
    <row r="833" spans="1:33">
      <c r="A833" t="s">
        <v>1504</v>
      </c>
      <c r="B833" t="s">
        <v>919</v>
      </c>
      <c r="C833" s="11">
        <v>46075</v>
      </c>
      <c r="D833" t="s">
        <v>55</v>
      </c>
      <c r="E833" t="s">
        <v>70</v>
      </c>
      <c r="F833" s="4">
        <v>46075</v>
      </c>
      <c r="G833" s="4">
        <v>46077</v>
      </c>
      <c r="H833" t="s">
        <v>90</v>
      </c>
      <c r="I833" t="s">
        <v>299</v>
      </c>
      <c r="J833" t="s">
        <v>197</v>
      </c>
      <c r="K833" t="s">
        <v>73</v>
      </c>
      <c r="L833" t="s">
        <v>74</v>
      </c>
      <c r="M833" s="5">
        <v>23500</v>
      </c>
      <c r="N833" s="5">
        <v>3600</v>
      </c>
      <c r="O833" s="5">
        <v>3200</v>
      </c>
      <c r="P833" s="5">
        <v>9000</v>
      </c>
      <c r="Q833" s="13">
        <v>40800</v>
      </c>
      <c r="R833" t="s">
        <v>85</v>
      </c>
      <c r="S833" t="s">
        <v>76</v>
      </c>
      <c r="T833" s="5">
        <v>11100</v>
      </c>
      <c r="U833" s="6">
        <v>3</v>
      </c>
      <c r="V833" t="s">
        <v>77</v>
      </c>
      <c r="W833" s="4">
        <v>46087</v>
      </c>
      <c r="X833" t="s">
        <v>64</v>
      </c>
      <c r="Y833" t="s">
        <v>64</v>
      </c>
      <c r="Z833" t="s">
        <v>96</v>
      </c>
      <c r="AA833" t="str">
        <f>VLOOKUP(H833,Departments!$A:$B,2,0)</f>
        <v>Cardiology</v>
      </c>
      <c r="AB833" t="str">
        <f>VLOOKUP(J833,Diagnosis_Guide!$A:$B,2,0)</f>
        <v>Chest Pain</v>
      </c>
      <c r="AC833" s="4" t="str">
        <f>VLOOKUP(J833,Diagnosis_Guide!$A:$C,3,0)</f>
        <v>Cardiovascular</v>
      </c>
      <c r="AD833" s="4" t="str">
        <f>VLOOKUP(R833,Insurance_Plans!$A:$C,3,0)</f>
        <v>Employer</v>
      </c>
      <c r="AE833" s="13">
        <f t="shared" si="36"/>
        <v>2040</v>
      </c>
      <c r="AF833" s="13">
        <f t="shared" si="37"/>
        <v>42840</v>
      </c>
      <c r="AG833" s="4" t="str">
        <f t="shared" si="38"/>
        <v>Medium</v>
      </c>
    </row>
    <row r="834" spans="1:33">
      <c r="A834" t="s">
        <v>1505</v>
      </c>
      <c r="B834" t="s">
        <v>434</v>
      </c>
      <c r="C834" s="11">
        <v>46102</v>
      </c>
      <c r="D834" t="s">
        <v>298</v>
      </c>
      <c r="E834" t="s">
        <v>70</v>
      </c>
      <c r="F834" s="4">
        <v>46102</v>
      </c>
      <c r="G834" s="4">
        <v>46102</v>
      </c>
      <c r="H834" t="s">
        <v>90</v>
      </c>
      <c r="I834" t="s">
        <v>133</v>
      </c>
      <c r="J834" t="s">
        <v>92</v>
      </c>
      <c r="K834" t="s">
        <v>60</v>
      </c>
      <c r="L834" t="s">
        <v>94</v>
      </c>
      <c r="M834" s="5">
        <v>55100</v>
      </c>
      <c r="N834" s="5">
        <v>4850</v>
      </c>
      <c r="O834" s="5">
        <v>11750</v>
      </c>
      <c r="P834" s="5">
        <v>0</v>
      </c>
      <c r="Q834" s="13">
        <v>73700</v>
      </c>
      <c r="R834" t="s">
        <v>106</v>
      </c>
      <c r="S834" t="s">
        <v>76</v>
      </c>
      <c r="T834" s="5">
        <v>26500</v>
      </c>
      <c r="U834" s="6">
        <v>5</v>
      </c>
      <c r="V834" t="s">
        <v>77</v>
      </c>
      <c r="W834" s="4">
        <v>46115</v>
      </c>
      <c r="X834" t="s">
        <v>77</v>
      </c>
      <c r="Y834" t="s">
        <v>64</v>
      </c>
      <c r="Z834" t="s">
        <v>78</v>
      </c>
      <c r="AA834" t="str">
        <f>VLOOKUP(H834,Departments!$A:$B,2,0)</f>
        <v>Cardiology</v>
      </c>
      <c r="AB834" t="str">
        <f>VLOOKUP(J834,Diagnosis_Guide!$A:$B,2,0)</f>
        <v>Heart Failure</v>
      </c>
      <c r="AC834" s="4" t="str">
        <f>VLOOKUP(J834,Diagnosis_Guide!$A:$C,3,0)</f>
        <v>Cardiovascular</v>
      </c>
      <c r="AD834" s="4" t="str">
        <f>VLOOKUP(R834,Insurance_Plans!$A:$C,3,0)</f>
        <v>Private</v>
      </c>
      <c r="AE834" s="13">
        <f t="shared" ref="AE834:AE897" si="39">IF(Q834="","",Q834*0.05)</f>
        <v>3685</v>
      </c>
      <c r="AF834" s="13">
        <f t="shared" ref="AF834:AF897" si="40">IF(Q834="","",Q834+AE834)</f>
        <v>77385</v>
      </c>
      <c r="AG834" s="4" t="str">
        <f t="shared" ref="AG834:AG897" si="41">IF(U834="","Not Available",IF(U834&gt;=4,"High",IF(U834=3,"Medium","Low")))</f>
        <v>High</v>
      </c>
    </row>
    <row r="835" spans="1:33">
      <c r="A835" t="s">
        <v>1506</v>
      </c>
      <c r="B835" t="s">
        <v>362</v>
      </c>
      <c r="C835" s="11">
        <v>46026</v>
      </c>
      <c r="D835" t="s">
        <v>383</v>
      </c>
      <c r="E835" t="s">
        <v>70</v>
      </c>
      <c r="F835" s="4">
        <v>46026</v>
      </c>
      <c r="G835" s="4">
        <v>46032</v>
      </c>
      <c r="H835" t="s">
        <v>103</v>
      </c>
      <c r="I835" t="s">
        <v>243</v>
      </c>
      <c r="J835" t="s">
        <v>105</v>
      </c>
      <c r="K835" t="s">
        <v>73</v>
      </c>
      <c r="L835" t="s">
        <v>61</v>
      </c>
      <c r="M835" s="5">
        <v>50600</v>
      </c>
      <c r="N835" s="5">
        <v>7600</v>
      </c>
      <c r="O835" s="5">
        <v>5800</v>
      </c>
      <c r="P835" s="5">
        <v>15000</v>
      </c>
      <c r="Q835" s="13">
        <v>80800</v>
      </c>
      <c r="R835" t="s">
        <v>134</v>
      </c>
      <c r="S835" t="s">
        <v>86</v>
      </c>
      <c r="T835" s="5">
        <v>44640</v>
      </c>
      <c r="U835" s="6">
        <v>3</v>
      </c>
      <c r="V835" t="s">
        <v>77</v>
      </c>
      <c r="W835" s="4">
        <v>46045</v>
      </c>
      <c r="X835" t="s">
        <v>77</v>
      </c>
      <c r="Y835" t="s">
        <v>64</v>
      </c>
      <c r="Z835" t="s">
        <v>78</v>
      </c>
      <c r="AA835" t="str">
        <f>VLOOKUP(H835,Departments!$A:$B,2,0)</f>
        <v>Nephrology</v>
      </c>
      <c r="AB835" t="str">
        <f>VLOOKUP(J835,Diagnosis_Guide!$A:$B,2,0)</f>
        <v>Dialysis Complication</v>
      </c>
      <c r="AC835" s="4" t="str">
        <f>VLOOKUP(J835,Diagnosis_Guide!$A:$C,3,0)</f>
        <v>Renal</v>
      </c>
      <c r="AD835" s="4" t="str">
        <f>VLOOKUP(R835,Insurance_Plans!$A:$C,3,0)</f>
        <v>Community</v>
      </c>
      <c r="AE835" s="13">
        <f t="shared" si="39"/>
        <v>4040</v>
      </c>
      <c r="AF835" s="13">
        <f t="shared" si="40"/>
        <v>84840</v>
      </c>
      <c r="AG835" s="4" t="str">
        <f t="shared" si="41"/>
        <v>Medium</v>
      </c>
    </row>
    <row r="836" spans="1:33">
      <c r="A836" t="s">
        <v>1507</v>
      </c>
      <c r="B836" t="s">
        <v>276</v>
      </c>
      <c r="C836" s="11">
        <v>46043</v>
      </c>
      <c r="D836" t="s">
        <v>81</v>
      </c>
      <c r="E836" t="s">
        <v>70</v>
      </c>
      <c r="F836" s="4">
        <v>46043</v>
      </c>
      <c r="G836" s="4">
        <v>46047</v>
      </c>
      <c r="H836" t="s">
        <v>90</v>
      </c>
      <c r="I836" t="s">
        <v>162</v>
      </c>
      <c r="J836" t="s">
        <v>197</v>
      </c>
      <c r="K836" t="s">
        <v>124</v>
      </c>
      <c r="L836" t="s">
        <v>74</v>
      </c>
      <c r="M836" s="5">
        <v>22700</v>
      </c>
      <c r="N836" s="5">
        <v>3200</v>
      </c>
      <c r="O836" s="5">
        <v>3450</v>
      </c>
      <c r="P836" s="5">
        <v>18000</v>
      </c>
      <c r="Q836" s="13">
        <v>48550</v>
      </c>
      <c r="R836" t="s">
        <v>95</v>
      </c>
      <c r="S836" t="s">
        <v>63</v>
      </c>
      <c r="T836" s="5">
        <v>48550</v>
      </c>
      <c r="U836" s="6">
        <v>3</v>
      </c>
      <c r="V836" t="s">
        <v>77</v>
      </c>
      <c r="W836" s="4">
        <v>46061</v>
      </c>
      <c r="X836" t="s">
        <v>77</v>
      </c>
      <c r="Y836" t="s">
        <v>77</v>
      </c>
      <c r="Z836" t="s">
        <v>78</v>
      </c>
      <c r="AA836" t="str">
        <f>VLOOKUP(H836,Departments!$A:$B,2,0)</f>
        <v>Cardiology</v>
      </c>
      <c r="AB836" t="str">
        <f>VLOOKUP(J836,Diagnosis_Guide!$A:$B,2,0)</f>
        <v>Chest Pain</v>
      </c>
      <c r="AC836" s="4" t="str">
        <f>VLOOKUP(J836,Diagnosis_Guide!$A:$C,3,0)</f>
        <v>Cardiovascular</v>
      </c>
      <c r="AD836" s="4" t="str">
        <f>VLOOKUP(R836,Insurance_Plans!$A:$C,3,0)</f>
        <v>Self-Pay</v>
      </c>
      <c r="AE836" s="13">
        <f t="shared" si="39"/>
        <v>2427.5</v>
      </c>
      <c r="AF836" s="13">
        <f t="shared" si="40"/>
        <v>50977.5</v>
      </c>
      <c r="AG836" s="4" t="str">
        <f t="shared" si="41"/>
        <v>Medium</v>
      </c>
    </row>
    <row r="837" spans="1:33">
      <c r="A837" t="s">
        <v>1508</v>
      </c>
      <c r="B837" t="s">
        <v>182</v>
      </c>
      <c r="C837" s="11">
        <v>46084</v>
      </c>
      <c r="D837" t="s">
        <v>144</v>
      </c>
      <c r="E837" t="s">
        <v>70</v>
      </c>
      <c r="F837" s="4">
        <v>46085</v>
      </c>
      <c r="G837" s="4">
        <v>46085</v>
      </c>
      <c r="H837" t="s">
        <v>57</v>
      </c>
      <c r="I837" t="s">
        <v>58</v>
      </c>
      <c r="J837" t="s">
        <v>59</v>
      </c>
      <c r="K837" t="s">
        <v>60</v>
      </c>
      <c r="L837" t="s">
        <v>74</v>
      </c>
      <c r="M837" s="5">
        <v>44200</v>
      </c>
      <c r="N837" s="5">
        <v>3650</v>
      </c>
      <c r="O837" s="5">
        <v>6850</v>
      </c>
      <c r="P837" s="5">
        <v>0</v>
      </c>
      <c r="Q837" s="13">
        <v>57200</v>
      </c>
      <c r="R837" t="s">
        <v>75</v>
      </c>
      <c r="S837" t="s">
        <v>76</v>
      </c>
      <c r="T837" s="5">
        <v>26040</v>
      </c>
      <c r="U837" s="6">
        <v>4</v>
      </c>
      <c r="V837" t="s">
        <v>77</v>
      </c>
      <c r="W837" s="4">
        <v>46105</v>
      </c>
      <c r="X837" t="s">
        <v>77</v>
      </c>
      <c r="Y837" t="s">
        <v>64</v>
      </c>
      <c r="Z837" t="s">
        <v>96</v>
      </c>
      <c r="AA837" t="str">
        <f>VLOOKUP(H837,Departments!$A:$B,2,0)</f>
        <v>Pulmonology</v>
      </c>
      <c r="AB837" t="str">
        <f>VLOOKUP(J837,Diagnosis_Guide!$A:$B,2,0)</f>
        <v>Pneumonia</v>
      </c>
      <c r="AC837" s="4" t="str">
        <f>VLOOKUP(J837,Diagnosis_Guide!$A:$C,3,0)</f>
        <v>Respiratory</v>
      </c>
      <c r="AD837" s="4" t="str">
        <f>VLOOKUP(R837,Insurance_Plans!$A:$C,3,0)</f>
        <v>Public</v>
      </c>
      <c r="AE837" s="13">
        <f t="shared" si="39"/>
        <v>2860</v>
      </c>
      <c r="AF837" s="13">
        <f t="shared" si="40"/>
        <v>60060</v>
      </c>
      <c r="AG837" s="4" t="str">
        <f t="shared" si="41"/>
        <v>High</v>
      </c>
    </row>
    <row r="838" spans="1:33">
      <c r="A838" t="s">
        <v>1509</v>
      </c>
      <c r="B838" t="s">
        <v>1510</v>
      </c>
      <c r="C838" s="11">
        <v>46100</v>
      </c>
      <c r="D838" t="s">
        <v>55</v>
      </c>
      <c r="E838" t="s">
        <v>338</v>
      </c>
      <c r="F838" s="4"/>
      <c r="G838" s="4"/>
      <c r="H838" t="s">
        <v>57</v>
      </c>
      <c r="I838" t="s">
        <v>100</v>
      </c>
      <c r="J838" t="s">
        <v>59</v>
      </c>
      <c r="K838" t="s">
        <v>73</v>
      </c>
      <c r="L838" t="s">
        <v>94</v>
      </c>
      <c r="M838" s="5"/>
      <c r="N838" s="5"/>
      <c r="O838" s="5"/>
      <c r="P838" s="5"/>
      <c r="R838" t="s">
        <v>75</v>
      </c>
      <c r="S838" t="s">
        <v>63</v>
      </c>
      <c r="T838" s="5"/>
      <c r="U838" s="6"/>
      <c r="V838" t="s">
        <v>64</v>
      </c>
      <c r="W838" s="4"/>
      <c r="X838" t="s">
        <v>65</v>
      </c>
      <c r="Z838" t="s">
        <v>66</v>
      </c>
      <c r="AA838" t="str">
        <f>VLOOKUP(H838,Departments!$A:$B,2,0)</f>
        <v>Pulmonology</v>
      </c>
      <c r="AB838" t="str">
        <f>VLOOKUP(J838,Diagnosis_Guide!$A:$B,2,0)</f>
        <v>Pneumonia</v>
      </c>
      <c r="AC838" s="4" t="str">
        <f>VLOOKUP(J838,Diagnosis_Guide!$A:$C,3,0)</f>
        <v>Respiratory</v>
      </c>
      <c r="AD838" s="4" t="str">
        <f>VLOOKUP(R838,Insurance_Plans!$A:$C,3,0)</f>
        <v>Public</v>
      </c>
      <c r="AE838" s="13" t="str">
        <f t="shared" si="39"/>
        <v/>
      </c>
      <c r="AF838" s="13" t="str">
        <f t="shared" si="40"/>
        <v/>
      </c>
      <c r="AG838" s="4" t="str">
        <f t="shared" si="41"/>
        <v>Not Available</v>
      </c>
    </row>
    <row r="839" spans="1:33">
      <c r="A839" t="s">
        <v>1511</v>
      </c>
      <c r="B839" t="s">
        <v>1308</v>
      </c>
      <c r="C839" s="11">
        <v>46041</v>
      </c>
      <c r="D839" t="s">
        <v>266</v>
      </c>
      <c r="E839" t="s">
        <v>70</v>
      </c>
      <c r="F839" s="4">
        <v>46041</v>
      </c>
      <c r="G839" s="4">
        <v>46047</v>
      </c>
      <c r="H839" t="s">
        <v>201</v>
      </c>
      <c r="I839" t="s">
        <v>421</v>
      </c>
      <c r="J839" t="s">
        <v>295</v>
      </c>
      <c r="K839" t="s">
        <v>124</v>
      </c>
      <c r="L839" t="s">
        <v>94</v>
      </c>
      <c r="M839" s="5">
        <v>61300</v>
      </c>
      <c r="N839" s="5">
        <v>9400</v>
      </c>
      <c r="O839" s="5">
        <v>8050</v>
      </c>
      <c r="P839" s="5">
        <v>27000</v>
      </c>
      <c r="Q839" s="13">
        <v>106750</v>
      </c>
      <c r="R839" t="s">
        <v>106</v>
      </c>
      <c r="S839" t="s">
        <v>76</v>
      </c>
      <c r="T839" s="5">
        <v>38060</v>
      </c>
      <c r="U839" s="6">
        <v>3</v>
      </c>
      <c r="V839" t="s">
        <v>77</v>
      </c>
      <c r="W839" s="4">
        <v>46059</v>
      </c>
      <c r="X839" t="s">
        <v>77</v>
      </c>
      <c r="Y839" t="s">
        <v>64</v>
      </c>
      <c r="Z839" t="s">
        <v>107</v>
      </c>
      <c r="AA839" t="str">
        <f>VLOOKUP(H839,Departments!$A:$B,2,0)</f>
        <v>Emergency</v>
      </c>
      <c r="AB839" t="str">
        <f>VLOOKUP(J839,Diagnosis_Guide!$A:$B,2,0)</f>
        <v>Accident Injury</v>
      </c>
      <c r="AC839" s="4" t="str">
        <f>VLOOKUP(J839,Diagnosis_Guide!$A:$C,3,0)</f>
        <v>Emergency</v>
      </c>
      <c r="AD839" s="4" t="str">
        <f>VLOOKUP(R839,Insurance_Plans!$A:$C,3,0)</f>
        <v>Private</v>
      </c>
      <c r="AE839" s="13">
        <f t="shared" si="39"/>
        <v>5337.5</v>
      </c>
      <c r="AF839" s="13">
        <f t="shared" si="40"/>
        <v>112087.5</v>
      </c>
      <c r="AG839" s="4" t="str">
        <f t="shared" si="41"/>
        <v>Medium</v>
      </c>
    </row>
    <row r="840" spans="1:33">
      <c r="A840" t="s">
        <v>1512</v>
      </c>
      <c r="B840" t="s">
        <v>495</v>
      </c>
      <c r="C840" s="11">
        <v>46161</v>
      </c>
      <c r="D840" t="s">
        <v>363</v>
      </c>
      <c r="E840" t="s">
        <v>70</v>
      </c>
      <c r="F840" s="4">
        <v>46161</v>
      </c>
      <c r="G840" s="4">
        <v>46165</v>
      </c>
      <c r="H840" t="s">
        <v>90</v>
      </c>
      <c r="I840" t="s">
        <v>162</v>
      </c>
      <c r="J840" t="s">
        <v>197</v>
      </c>
      <c r="K840" t="s">
        <v>93</v>
      </c>
      <c r="L840" t="s">
        <v>61</v>
      </c>
      <c r="M840" s="5">
        <v>19700</v>
      </c>
      <c r="N840" s="5">
        <v>1750</v>
      </c>
      <c r="O840" s="5">
        <v>3000</v>
      </c>
      <c r="P840" s="5">
        <v>12000</v>
      </c>
      <c r="Q840" s="13">
        <v>37650</v>
      </c>
      <c r="R840" t="s">
        <v>95</v>
      </c>
      <c r="S840" t="s">
        <v>63</v>
      </c>
      <c r="T840" s="5">
        <v>37650</v>
      </c>
      <c r="U840" s="6">
        <v>3</v>
      </c>
      <c r="V840" t="s">
        <v>77</v>
      </c>
      <c r="W840" s="4">
        <v>46183</v>
      </c>
      <c r="X840" t="s">
        <v>64</v>
      </c>
      <c r="Y840" t="s">
        <v>64</v>
      </c>
      <c r="Z840" t="s">
        <v>96</v>
      </c>
      <c r="AA840" t="str">
        <f>VLOOKUP(H840,Departments!$A:$B,2,0)</f>
        <v>Cardiology</v>
      </c>
      <c r="AB840" t="str">
        <f>VLOOKUP(J840,Diagnosis_Guide!$A:$B,2,0)</f>
        <v>Chest Pain</v>
      </c>
      <c r="AC840" s="4" t="str">
        <f>VLOOKUP(J840,Diagnosis_Guide!$A:$C,3,0)</f>
        <v>Cardiovascular</v>
      </c>
      <c r="AD840" s="4" t="str">
        <f>VLOOKUP(R840,Insurance_Plans!$A:$C,3,0)</f>
        <v>Self-Pay</v>
      </c>
      <c r="AE840" s="13">
        <f t="shared" si="39"/>
        <v>1882.5</v>
      </c>
      <c r="AF840" s="13">
        <f t="shared" si="40"/>
        <v>39532.5</v>
      </c>
      <c r="AG840" s="4" t="str">
        <f t="shared" si="41"/>
        <v>Medium</v>
      </c>
    </row>
    <row r="841" spans="1:33">
      <c r="A841" t="s">
        <v>1513</v>
      </c>
      <c r="B841" t="s">
        <v>549</v>
      </c>
      <c r="C841" s="11">
        <v>46060</v>
      </c>
      <c r="D841" t="s">
        <v>173</v>
      </c>
      <c r="E841" t="s">
        <v>70</v>
      </c>
      <c r="F841" s="4">
        <v>46060</v>
      </c>
      <c r="G841" s="4">
        <v>46066</v>
      </c>
      <c r="H841" t="s">
        <v>90</v>
      </c>
      <c r="I841" t="s">
        <v>299</v>
      </c>
      <c r="J841" t="s">
        <v>92</v>
      </c>
      <c r="K841" t="s">
        <v>73</v>
      </c>
      <c r="L841" t="s">
        <v>61</v>
      </c>
      <c r="M841" s="5">
        <v>51200</v>
      </c>
      <c r="N841" s="5">
        <v>6400</v>
      </c>
      <c r="O841" s="5">
        <v>9600</v>
      </c>
      <c r="P841" s="5">
        <v>27000</v>
      </c>
      <c r="Q841" s="13">
        <v>95700</v>
      </c>
      <c r="R841" t="s">
        <v>85</v>
      </c>
      <c r="S841" t="s">
        <v>86</v>
      </c>
      <c r="T841" s="5">
        <v>24820</v>
      </c>
      <c r="U841" s="6">
        <v>5</v>
      </c>
      <c r="V841" t="s">
        <v>77</v>
      </c>
      <c r="W841" s="4">
        <v>46083</v>
      </c>
      <c r="X841" t="s">
        <v>77</v>
      </c>
      <c r="Y841" t="s">
        <v>64</v>
      </c>
      <c r="Z841" t="s">
        <v>107</v>
      </c>
      <c r="AA841" t="str">
        <f>VLOOKUP(H841,Departments!$A:$B,2,0)</f>
        <v>Cardiology</v>
      </c>
      <c r="AB841" t="str">
        <f>VLOOKUP(J841,Diagnosis_Guide!$A:$B,2,0)</f>
        <v>Heart Failure</v>
      </c>
      <c r="AC841" s="4" t="str">
        <f>VLOOKUP(J841,Diagnosis_Guide!$A:$C,3,0)</f>
        <v>Cardiovascular</v>
      </c>
      <c r="AD841" s="4" t="str">
        <f>VLOOKUP(R841,Insurance_Plans!$A:$C,3,0)</f>
        <v>Employer</v>
      </c>
      <c r="AE841" s="13">
        <f t="shared" si="39"/>
        <v>4785</v>
      </c>
      <c r="AF841" s="13">
        <f t="shared" si="40"/>
        <v>100485</v>
      </c>
      <c r="AG841" s="4" t="str">
        <f t="shared" si="41"/>
        <v>High</v>
      </c>
    </row>
    <row r="842" spans="1:33">
      <c r="A842" t="s">
        <v>1514</v>
      </c>
      <c r="B842" t="s">
        <v>1515</v>
      </c>
      <c r="C842" s="11">
        <v>46050</v>
      </c>
      <c r="D842" t="s">
        <v>132</v>
      </c>
      <c r="E842" t="s">
        <v>70</v>
      </c>
      <c r="F842" s="4">
        <v>46050</v>
      </c>
      <c r="G842" s="4">
        <v>46054</v>
      </c>
      <c r="H842" t="s">
        <v>111</v>
      </c>
      <c r="I842" t="s">
        <v>112</v>
      </c>
      <c r="J842" t="s">
        <v>113</v>
      </c>
      <c r="K842" t="s">
        <v>73</v>
      </c>
      <c r="L842" t="s">
        <v>74</v>
      </c>
      <c r="M842" s="5">
        <v>27500</v>
      </c>
      <c r="N842" s="5">
        <v>3200</v>
      </c>
      <c r="O842" s="5">
        <v>5800</v>
      </c>
      <c r="P842" s="5">
        <v>24000</v>
      </c>
      <c r="Q842" s="13">
        <v>61300</v>
      </c>
      <c r="R842" t="s">
        <v>85</v>
      </c>
      <c r="S842" t="s">
        <v>76</v>
      </c>
      <c r="T842" s="5">
        <v>16220</v>
      </c>
      <c r="U842" s="6">
        <v>2</v>
      </c>
      <c r="V842" t="s">
        <v>64</v>
      </c>
      <c r="W842" s="4"/>
      <c r="X842" t="s">
        <v>65</v>
      </c>
      <c r="Y842" t="s">
        <v>77</v>
      </c>
      <c r="Z842" t="s">
        <v>78</v>
      </c>
      <c r="AA842" t="str">
        <f>VLOOKUP(H842,Departments!$A:$B,2,0)</f>
        <v>General Medicine</v>
      </c>
      <c r="AB842" t="str">
        <f>VLOOKUP(J842,Diagnosis_Guide!$A:$B,2,0)</f>
        <v>Diabetes Complication</v>
      </c>
      <c r="AC842" s="4" t="str">
        <f>VLOOKUP(J842,Diagnosis_Guide!$A:$C,3,0)</f>
        <v>Endocrine/General</v>
      </c>
      <c r="AD842" s="4" t="str">
        <f>VLOOKUP(R842,Insurance_Plans!$A:$C,3,0)</f>
        <v>Employer</v>
      </c>
      <c r="AE842" s="13">
        <f t="shared" si="39"/>
        <v>3065</v>
      </c>
      <c r="AF842" s="13">
        <f t="shared" si="40"/>
        <v>64365</v>
      </c>
      <c r="AG842" s="4" t="str">
        <f t="shared" si="41"/>
        <v>Low</v>
      </c>
    </row>
    <row r="843" spans="1:33">
      <c r="A843" t="s">
        <v>1516</v>
      </c>
      <c r="B843" t="s">
        <v>543</v>
      </c>
      <c r="C843" s="11">
        <v>46127</v>
      </c>
      <c r="D843" t="s">
        <v>69</v>
      </c>
      <c r="E843" t="s">
        <v>70</v>
      </c>
      <c r="F843" s="4">
        <v>46128</v>
      </c>
      <c r="G843" s="4">
        <v>46128</v>
      </c>
      <c r="H843" t="s">
        <v>201</v>
      </c>
      <c r="I843" t="s">
        <v>421</v>
      </c>
      <c r="J843" t="s">
        <v>203</v>
      </c>
      <c r="K843" t="s">
        <v>60</v>
      </c>
      <c r="L843" t="s">
        <v>94</v>
      </c>
      <c r="M843" s="5">
        <v>37700</v>
      </c>
      <c r="N843" s="5">
        <v>5300</v>
      </c>
      <c r="O843" s="5">
        <v>5000</v>
      </c>
      <c r="P843" s="5">
        <v>0</v>
      </c>
      <c r="Q843" s="13">
        <v>49000</v>
      </c>
      <c r="R843" t="s">
        <v>62</v>
      </c>
      <c r="S843" t="s">
        <v>76</v>
      </c>
      <c r="T843" s="5">
        <v>15100</v>
      </c>
      <c r="U843" s="6">
        <v>5</v>
      </c>
      <c r="V843" t="s">
        <v>77</v>
      </c>
      <c r="W843" s="4">
        <v>46148</v>
      </c>
      <c r="X843" t="s">
        <v>64</v>
      </c>
      <c r="Y843" t="s">
        <v>64</v>
      </c>
      <c r="Z843" t="s">
        <v>107</v>
      </c>
      <c r="AA843" t="str">
        <f>VLOOKUP(H843,Departments!$A:$B,2,0)</f>
        <v>Emergency</v>
      </c>
      <c r="AB843" t="str">
        <f>VLOOKUP(J843,Diagnosis_Guide!$A:$B,2,0)</f>
        <v>Trauma Observation</v>
      </c>
      <c r="AC843" s="4" t="str">
        <f>VLOOKUP(J843,Diagnosis_Guide!$A:$C,3,0)</f>
        <v>Emergency</v>
      </c>
      <c r="AD843" s="4" t="str">
        <f>VLOOKUP(R843,Insurance_Plans!$A:$C,3,0)</f>
        <v>Public</v>
      </c>
      <c r="AE843" s="13">
        <f t="shared" si="39"/>
        <v>2450</v>
      </c>
      <c r="AF843" s="13">
        <f t="shared" si="40"/>
        <v>51450</v>
      </c>
      <c r="AG843" s="4" t="str">
        <f t="shared" si="41"/>
        <v>High</v>
      </c>
    </row>
    <row r="844" spans="1:33">
      <c r="A844" t="s">
        <v>1517</v>
      </c>
      <c r="B844" t="s">
        <v>1100</v>
      </c>
      <c r="C844" s="11">
        <v>46026</v>
      </c>
      <c r="D844" t="s">
        <v>132</v>
      </c>
      <c r="E844" t="s">
        <v>70</v>
      </c>
      <c r="F844" s="4">
        <v>46026</v>
      </c>
      <c r="G844" s="4">
        <v>46028</v>
      </c>
      <c r="H844" t="s">
        <v>90</v>
      </c>
      <c r="I844" t="s">
        <v>91</v>
      </c>
      <c r="J844" t="s">
        <v>129</v>
      </c>
      <c r="K844" t="s">
        <v>73</v>
      </c>
      <c r="L844" t="s">
        <v>61</v>
      </c>
      <c r="M844" s="5">
        <v>53300</v>
      </c>
      <c r="N844" s="5">
        <v>7950</v>
      </c>
      <c r="O844" s="5">
        <v>8700</v>
      </c>
      <c r="P844" s="5">
        <v>5000</v>
      </c>
      <c r="Q844" s="13">
        <v>76150</v>
      </c>
      <c r="R844" t="s">
        <v>95</v>
      </c>
      <c r="S844" t="s">
        <v>63</v>
      </c>
      <c r="T844" s="5">
        <v>76150</v>
      </c>
      <c r="U844" s="6">
        <v>4</v>
      </c>
      <c r="V844" t="s">
        <v>77</v>
      </c>
      <c r="W844" s="4">
        <v>46042</v>
      </c>
      <c r="X844" t="s">
        <v>77</v>
      </c>
      <c r="Y844" t="s">
        <v>64</v>
      </c>
      <c r="Z844" t="s">
        <v>107</v>
      </c>
      <c r="AA844" t="str">
        <f>VLOOKUP(H844,Departments!$A:$B,2,0)</f>
        <v>Cardiology</v>
      </c>
      <c r="AB844" t="str">
        <f>VLOOKUP(J844,Diagnosis_Guide!$A:$B,2,0)</f>
        <v>Hypertension Crisis</v>
      </c>
      <c r="AC844" s="4" t="str">
        <f>VLOOKUP(J844,Diagnosis_Guide!$A:$C,3,0)</f>
        <v>Cardiovascular</v>
      </c>
      <c r="AD844" s="4" t="str">
        <f>VLOOKUP(R844,Insurance_Plans!$A:$C,3,0)</f>
        <v>Self-Pay</v>
      </c>
      <c r="AE844" s="13">
        <f t="shared" si="39"/>
        <v>3807.5</v>
      </c>
      <c r="AF844" s="13">
        <f t="shared" si="40"/>
        <v>79957.5</v>
      </c>
      <c r="AG844" s="4" t="str">
        <f t="shared" si="41"/>
        <v>High</v>
      </c>
    </row>
    <row r="845" spans="1:33">
      <c r="A845" t="s">
        <v>1518</v>
      </c>
      <c r="B845" t="s">
        <v>1091</v>
      </c>
      <c r="C845" s="11">
        <v>46114</v>
      </c>
      <c r="D845" t="s">
        <v>200</v>
      </c>
      <c r="E845" t="s">
        <v>70</v>
      </c>
      <c r="F845" s="4">
        <v>46115</v>
      </c>
      <c r="G845" s="4">
        <v>46115</v>
      </c>
      <c r="H845" t="s">
        <v>138</v>
      </c>
      <c r="I845" t="s">
        <v>260</v>
      </c>
      <c r="J845" t="s">
        <v>140</v>
      </c>
      <c r="K845" t="s">
        <v>60</v>
      </c>
      <c r="L845" t="s">
        <v>61</v>
      </c>
      <c r="M845" s="5">
        <v>15700</v>
      </c>
      <c r="N845" s="5">
        <v>2200</v>
      </c>
      <c r="O845" s="5">
        <v>3350</v>
      </c>
      <c r="P845" s="5">
        <v>0</v>
      </c>
      <c r="Q845" s="13">
        <v>23750</v>
      </c>
      <c r="R845" t="s">
        <v>75</v>
      </c>
      <c r="S845" t="s">
        <v>76</v>
      </c>
      <c r="T845" s="5">
        <v>10990</v>
      </c>
      <c r="U845" s="6">
        <v>5</v>
      </c>
      <c r="V845" t="s">
        <v>77</v>
      </c>
      <c r="W845" s="4">
        <v>46133</v>
      </c>
      <c r="X845" t="s">
        <v>77</v>
      </c>
      <c r="Y845" t="s">
        <v>64</v>
      </c>
      <c r="Z845" t="s">
        <v>107</v>
      </c>
      <c r="AA845" t="str">
        <f>VLOOKUP(H845,Departments!$A:$B,2,0)</f>
        <v>Pediatrics</v>
      </c>
      <c r="AB845" t="str">
        <f>VLOOKUP(J845,Diagnosis_Guide!$A:$B,2,0)</f>
        <v>Pediatric Asthma</v>
      </c>
      <c r="AC845" s="4" t="str">
        <f>VLOOKUP(J845,Diagnosis_Guide!$A:$C,3,0)</f>
        <v>Pediatric</v>
      </c>
      <c r="AD845" s="4" t="str">
        <f>VLOOKUP(R845,Insurance_Plans!$A:$C,3,0)</f>
        <v>Public</v>
      </c>
      <c r="AE845" s="13">
        <f t="shared" si="39"/>
        <v>1187.5</v>
      </c>
      <c r="AF845" s="13">
        <f t="shared" si="40"/>
        <v>24937.5</v>
      </c>
      <c r="AG845" s="4" t="str">
        <f t="shared" si="41"/>
        <v>High</v>
      </c>
    </row>
    <row r="846" spans="1:33">
      <c r="A846" t="s">
        <v>1519</v>
      </c>
      <c r="B846" t="s">
        <v>1234</v>
      </c>
      <c r="C846" s="11">
        <v>46070</v>
      </c>
      <c r="D846" t="s">
        <v>168</v>
      </c>
      <c r="E846" t="s">
        <v>70</v>
      </c>
      <c r="F846" s="4">
        <v>46070</v>
      </c>
      <c r="G846" s="4">
        <v>46072</v>
      </c>
      <c r="H846" t="s">
        <v>150</v>
      </c>
      <c r="I846" t="s">
        <v>247</v>
      </c>
      <c r="J846" t="s">
        <v>229</v>
      </c>
      <c r="K846" t="s">
        <v>124</v>
      </c>
      <c r="L846" t="s">
        <v>94</v>
      </c>
      <c r="M846" s="5">
        <v>50500</v>
      </c>
      <c r="N846" s="5">
        <v>8400</v>
      </c>
      <c r="O846" s="5">
        <v>11850</v>
      </c>
      <c r="P846" s="5">
        <v>5000</v>
      </c>
      <c r="Q846" s="13">
        <v>76750</v>
      </c>
      <c r="R846" t="s">
        <v>95</v>
      </c>
      <c r="S846" t="s">
        <v>63</v>
      </c>
      <c r="T846" s="5">
        <v>76750</v>
      </c>
      <c r="U846" s="6">
        <v>4</v>
      </c>
      <c r="V846" t="s">
        <v>64</v>
      </c>
      <c r="W846" s="4"/>
      <c r="X846" t="s">
        <v>65</v>
      </c>
      <c r="Y846" t="s">
        <v>64</v>
      </c>
      <c r="Z846" t="s">
        <v>96</v>
      </c>
      <c r="AA846" t="str">
        <f>VLOOKUP(H846,Departments!$A:$B,2,0)</f>
        <v>Obstetrics</v>
      </c>
      <c r="AB846" t="str">
        <f>VLOOKUP(J846,Diagnosis_Guide!$A:$B,2,0)</f>
        <v>Delivery Care</v>
      </c>
      <c r="AC846" s="4" t="str">
        <f>VLOOKUP(J846,Diagnosis_Guide!$A:$C,3,0)</f>
        <v>Maternal Health</v>
      </c>
      <c r="AD846" s="4" t="str">
        <f>VLOOKUP(R846,Insurance_Plans!$A:$C,3,0)</f>
        <v>Self-Pay</v>
      </c>
      <c r="AE846" s="13">
        <f t="shared" si="39"/>
        <v>3837.5</v>
      </c>
      <c r="AF846" s="13">
        <f t="shared" si="40"/>
        <v>80587.5</v>
      </c>
      <c r="AG846" s="4" t="str">
        <f t="shared" si="41"/>
        <v>High</v>
      </c>
    </row>
    <row r="847" spans="1:33">
      <c r="A847" t="s">
        <v>1520</v>
      </c>
      <c r="B847" t="s">
        <v>553</v>
      </c>
      <c r="C847" s="11">
        <v>46165</v>
      </c>
      <c r="D847" t="s">
        <v>200</v>
      </c>
      <c r="E847" t="s">
        <v>70</v>
      </c>
      <c r="F847" s="4">
        <v>46165</v>
      </c>
      <c r="G847" s="4">
        <v>46165</v>
      </c>
      <c r="H847" t="s">
        <v>121</v>
      </c>
      <c r="I847" t="s">
        <v>334</v>
      </c>
      <c r="J847" t="s">
        <v>252</v>
      </c>
      <c r="K847" t="s">
        <v>60</v>
      </c>
      <c r="L847" t="s">
        <v>61</v>
      </c>
      <c r="M847" s="5">
        <v>75800</v>
      </c>
      <c r="N847" s="5">
        <v>11100</v>
      </c>
      <c r="O847" s="5">
        <v>11400</v>
      </c>
      <c r="P847" s="5">
        <v>0</v>
      </c>
      <c r="Q847" s="13">
        <v>99300</v>
      </c>
      <c r="R847" t="s">
        <v>134</v>
      </c>
      <c r="S847" t="s">
        <v>76</v>
      </c>
      <c r="T847" s="5">
        <v>54820</v>
      </c>
      <c r="U847" s="6">
        <v>5</v>
      </c>
      <c r="V847" t="s">
        <v>77</v>
      </c>
      <c r="W847" s="4">
        <v>46183</v>
      </c>
      <c r="X847" t="s">
        <v>77</v>
      </c>
      <c r="Y847" t="s">
        <v>64</v>
      </c>
      <c r="Z847" t="s">
        <v>96</v>
      </c>
      <c r="AA847" t="str">
        <f>VLOOKUP(H847,Departments!$A:$B,2,0)</f>
        <v>Neurology</v>
      </c>
      <c r="AB847" t="str">
        <f>VLOOKUP(J847,Diagnosis_Guide!$A:$B,2,0)</f>
        <v>Stroke Assessment</v>
      </c>
      <c r="AC847" s="4" t="str">
        <f>VLOOKUP(J847,Diagnosis_Guide!$A:$C,3,0)</f>
        <v>Neurological</v>
      </c>
      <c r="AD847" s="4" t="str">
        <f>VLOOKUP(R847,Insurance_Plans!$A:$C,3,0)</f>
        <v>Community</v>
      </c>
      <c r="AE847" s="13">
        <f t="shared" si="39"/>
        <v>4965</v>
      </c>
      <c r="AF847" s="13">
        <f t="shared" si="40"/>
        <v>104265</v>
      </c>
      <c r="AG847" s="4" t="str">
        <f t="shared" si="41"/>
        <v>High</v>
      </c>
    </row>
    <row r="848" spans="1:33">
      <c r="A848" t="s">
        <v>1521</v>
      </c>
      <c r="B848" t="s">
        <v>54</v>
      </c>
      <c r="C848" s="11">
        <v>46146</v>
      </c>
      <c r="D848" t="s">
        <v>210</v>
      </c>
      <c r="E848" t="s">
        <v>70</v>
      </c>
      <c r="F848" s="4">
        <v>46147</v>
      </c>
      <c r="G848" s="4">
        <v>46148</v>
      </c>
      <c r="H848" t="s">
        <v>57</v>
      </c>
      <c r="I848" t="s">
        <v>58</v>
      </c>
      <c r="J848" t="s">
        <v>72</v>
      </c>
      <c r="K848" t="s">
        <v>124</v>
      </c>
      <c r="L848" t="s">
        <v>61</v>
      </c>
      <c r="M848" s="5">
        <v>7700</v>
      </c>
      <c r="N848" s="5">
        <v>650</v>
      </c>
      <c r="O848" s="5">
        <v>1000</v>
      </c>
      <c r="P848" s="5">
        <v>6000</v>
      </c>
      <c r="Q848" s="13">
        <v>17850</v>
      </c>
      <c r="R848" t="s">
        <v>141</v>
      </c>
      <c r="S848" t="s">
        <v>86</v>
      </c>
      <c r="T848" s="5">
        <v>3880</v>
      </c>
      <c r="U848" s="6">
        <v>4</v>
      </c>
      <c r="V848" t="s">
        <v>64</v>
      </c>
      <c r="W848" s="4"/>
      <c r="X848" t="s">
        <v>65</v>
      </c>
      <c r="Y848" t="s">
        <v>64</v>
      </c>
      <c r="Z848" t="s">
        <v>78</v>
      </c>
      <c r="AA848" t="str">
        <f>VLOOKUP(H848,Departments!$A:$B,2,0)</f>
        <v>Pulmonology</v>
      </c>
      <c r="AB848" t="str">
        <f>VLOOKUP(J848,Diagnosis_Guide!$A:$B,2,0)</f>
        <v>Acute Bronchitis</v>
      </c>
      <c r="AC848" s="4" t="str">
        <f>VLOOKUP(J848,Diagnosis_Guide!$A:$C,3,0)</f>
        <v>Respiratory</v>
      </c>
      <c r="AD848" s="4" t="str">
        <f>VLOOKUP(R848,Insurance_Plans!$A:$C,3,0)</f>
        <v>Private</v>
      </c>
      <c r="AE848" s="13">
        <f t="shared" si="39"/>
        <v>892.5</v>
      </c>
      <c r="AF848" s="13">
        <f t="shared" si="40"/>
        <v>18742.5</v>
      </c>
      <c r="AG848" s="4" t="str">
        <f t="shared" si="41"/>
        <v>High</v>
      </c>
    </row>
    <row r="849" spans="1:33">
      <c r="A849" t="s">
        <v>1522</v>
      </c>
      <c r="B849" t="s">
        <v>286</v>
      </c>
      <c r="C849" s="11">
        <v>46066</v>
      </c>
      <c r="D849" t="s">
        <v>259</v>
      </c>
      <c r="E849" t="s">
        <v>70</v>
      </c>
      <c r="F849" s="4">
        <v>46066</v>
      </c>
      <c r="G849" s="4">
        <v>46069</v>
      </c>
      <c r="H849" t="s">
        <v>111</v>
      </c>
      <c r="I849" t="s">
        <v>116</v>
      </c>
      <c r="J849" t="s">
        <v>113</v>
      </c>
      <c r="K849" t="s">
        <v>73</v>
      </c>
      <c r="L849" t="s">
        <v>94</v>
      </c>
      <c r="M849" s="5">
        <v>23900</v>
      </c>
      <c r="N849" s="5">
        <v>2500</v>
      </c>
      <c r="O849" s="5">
        <v>5000</v>
      </c>
      <c r="P849" s="5">
        <v>13500</v>
      </c>
      <c r="Q849" s="13">
        <v>45700</v>
      </c>
      <c r="R849" t="s">
        <v>106</v>
      </c>
      <c r="S849" t="s">
        <v>86</v>
      </c>
      <c r="T849" s="5">
        <v>16700</v>
      </c>
      <c r="U849" s="6">
        <v>4</v>
      </c>
      <c r="V849" t="s">
        <v>77</v>
      </c>
      <c r="W849" s="4">
        <v>46084</v>
      </c>
      <c r="X849" t="s">
        <v>77</v>
      </c>
      <c r="Y849" t="s">
        <v>64</v>
      </c>
      <c r="Z849" t="s">
        <v>96</v>
      </c>
      <c r="AA849" t="str">
        <f>VLOOKUP(H849,Departments!$A:$B,2,0)</f>
        <v>General Medicine</v>
      </c>
      <c r="AB849" t="str">
        <f>VLOOKUP(J849,Diagnosis_Guide!$A:$B,2,0)</f>
        <v>Diabetes Complication</v>
      </c>
      <c r="AC849" s="4" t="str">
        <f>VLOOKUP(J849,Diagnosis_Guide!$A:$C,3,0)</f>
        <v>Endocrine/General</v>
      </c>
      <c r="AD849" s="4" t="str">
        <f>VLOOKUP(R849,Insurance_Plans!$A:$C,3,0)</f>
        <v>Private</v>
      </c>
      <c r="AE849" s="13">
        <f t="shared" si="39"/>
        <v>2285</v>
      </c>
      <c r="AF849" s="13">
        <f t="shared" si="40"/>
        <v>47985</v>
      </c>
      <c r="AG849" s="4" t="str">
        <f t="shared" si="41"/>
        <v>High</v>
      </c>
    </row>
    <row r="850" spans="1:33">
      <c r="A850" t="s">
        <v>1523</v>
      </c>
      <c r="B850" t="s">
        <v>1524</v>
      </c>
      <c r="C850" s="11">
        <v>46085</v>
      </c>
      <c r="D850" t="s">
        <v>168</v>
      </c>
      <c r="E850" t="s">
        <v>70</v>
      </c>
      <c r="F850" s="4">
        <v>46085</v>
      </c>
      <c r="G850" s="4">
        <v>46085</v>
      </c>
      <c r="H850" t="s">
        <v>90</v>
      </c>
      <c r="I850" t="s">
        <v>162</v>
      </c>
      <c r="J850" t="s">
        <v>129</v>
      </c>
      <c r="K850" t="s">
        <v>60</v>
      </c>
      <c r="L850" t="s">
        <v>74</v>
      </c>
      <c r="M850" s="5">
        <v>44100</v>
      </c>
      <c r="N850" s="5">
        <v>7850</v>
      </c>
      <c r="O850" s="5">
        <v>7150</v>
      </c>
      <c r="P850" s="5">
        <v>0</v>
      </c>
      <c r="Q850" s="13">
        <v>60300</v>
      </c>
      <c r="R850" t="s">
        <v>106</v>
      </c>
      <c r="S850" t="s">
        <v>76</v>
      </c>
      <c r="T850" s="5">
        <v>21800</v>
      </c>
      <c r="U850" s="6">
        <v>5</v>
      </c>
      <c r="V850" t="s">
        <v>77</v>
      </c>
      <c r="W850" s="4">
        <v>46093</v>
      </c>
      <c r="X850" t="s">
        <v>77</v>
      </c>
      <c r="Y850" t="s">
        <v>64</v>
      </c>
      <c r="Z850" t="s">
        <v>78</v>
      </c>
      <c r="AA850" t="str">
        <f>VLOOKUP(H850,Departments!$A:$B,2,0)</f>
        <v>Cardiology</v>
      </c>
      <c r="AB850" t="str">
        <f>VLOOKUP(J850,Diagnosis_Guide!$A:$B,2,0)</f>
        <v>Hypertension Crisis</v>
      </c>
      <c r="AC850" s="4" t="str">
        <f>VLOOKUP(J850,Diagnosis_Guide!$A:$C,3,0)</f>
        <v>Cardiovascular</v>
      </c>
      <c r="AD850" s="4" t="str">
        <f>VLOOKUP(R850,Insurance_Plans!$A:$C,3,0)</f>
        <v>Private</v>
      </c>
      <c r="AE850" s="13">
        <f t="shared" si="39"/>
        <v>3015</v>
      </c>
      <c r="AF850" s="13">
        <f t="shared" si="40"/>
        <v>63315</v>
      </c>
      <c r="AG850" s="4" t="str">
        <f t="shared" si="41"/>
        <v>High</v>
      </c>
    </row>
    <row r="851" spans="1:33">
      <c r="A851" t="s">
        <v>1525</v>
      </c>
      <c r="B851" t="s">
        <v>1526</v>
      </c>
      <c r="C851" s="11">
        <v>46046</v>
      </c>
      <c r="D851" t="s">
        <v>173</v>
      </c>
      <c r="E851" t="s">
        <v>70</v>
      </c>
      <c r="F851" s="4">
        <v>46046</v>
      </c>
      <c r="G851" s="4">
        <v>46051</v>
      </c>
      <c r="H851" t="s">
        <v>90</v>
      </c>
      <c r="I851" t="s">
        <v>162</v>
      </c>
      <c r="J851" t="s">
        <v>129</v>
      </c>
      <c r="K851" t="s">
        <v>124</v>
      </c>
      <c r="L851" t="s">
        <v>74</v>
      </c>
      <c r="M851" s="5">
        <v>34500</v>
      </c>
      <c r="N851" s="5">
        <v>4100</v>
      </c>
      <c r="O851" s="5">
        <v>6650</v>
      </c>
      <c r="P851" s="5">
        <v>15000</v>
      </c>
      <c r="Q851" s="13">
        <v>61450</v>
      </c>
      <c r="R851" t="s">
        <v>95</v>
      </c>
      <c r="S851" t="s">
        <v>63</v>
      </c>
      <c r="T851" s="5">
        <v>61450</v>
      </c>
      <c r="U851" s="6">
        <v>4</v>
      </c>
      <c r="V851" t="s">
        <v>77</v>
      </c>
      <c r="W851" s="4">
        <v>46060</v>
      </c>
      <c r="X851" t="s">
        <v>77</v>
      </c>
      <c r="Y851" t="s">
        <v>64</v>
      </c>
      <c r="Z851" t="s">
        <v>78</v>
      </c>
      <c r="AA851" t="str">
        <f>VLOOKUP(H851,Departments!$A:$B,2,0)</f>
        <v>Cardiology</v>
      </c>
      <c r="AB851" t="str">
        <f>VLOOKUP(J851,Diagnosis_Guide!$A:$B,2,0)</f>
        <v>Hypertension Crisis</v>
      </c>
      <c r="AC851" s="4" t="str">
        <f>VLOOKUP(J851,Diagnosis_Guide!$A:$C,3,0)</f>
        <v>Cardiovascular</v>
      </c>
      <c r="AD851" s="4" t="str">
        <f>VLOOKUP(R851,Insurance_Plans!$A:$C,3,0)</f>
        <v>Self-Pay</v>
      </c>
      <c r="AE851" s="13">
        <f t="shared" si="39"/>
        <v>3072.5</v>
      </c>
      <c r="AF851" s="13">
        <f t="shared" si="40"/>
        <v>64522.5</v>
      </c>
      <c r="AG851" s="4" t="str">
        <f t="shared" si="41"/>
        <v>High</v>
      </c>
    </row>
    <row r="852" spans="1:33">
      <c r="A852" t="s">
        <v>1527</v>
      </c>
      <c r="B852" t="s">
        <v>990</v>
      </c>
      <c r="C852" s="11">
        <v>46111</v>
      </c>
      <c r="D852" t="s">
        <v>127</v>
      </c>
      <c r="E852" t="s">
        <v>70</v>
      </c>
      <c r="F852" s="4">
        <v>46111</v>
      </c>
      <c r="G852" s="4">
        <v>46111</v>
      </c>
      <c r="H852" t="s">
        <v>57</v>
      </c>
      <c r="I852" t="s">
        <v>211</v>
      </c>
      <c r="J852" t="s">
        <v>59</v>
      </c>
      <c r="K852" t="s">
        <v>60</v>
      </c>
      <c r="L852" t="s">
        <v>61</v>
      </c>
      <c r="M852" s="5">
        <v>66100</v>
      </c>
      <c r="N852" s="5">
        <v>9300</v>
      </c>
      <c r="O852" s="5">
        <v>6750</v>
      </c>
      <c r="P852" s="5">
        <v>0</v>
      </c>
      <c r="Q852" s="13">
        <v>84150</v>
      </c>
      <c r="R852" t="s">
        <v>85</v>
      </c>
      <c r="S852" t="s">
        <v>76</v>
      </c>
      <c r="T852" s="5">
        <v>21940</v>
      </c>
      <c r="U852" s="6">
        <v>2</v>
      </c>
      <c r="V852" t="s">
        <v>77</v>
      </c>
      <c r="W852" s="4">
        <v>46128</v>
      </c>
      <c r="X852" t="s">
        <v>77</v>
      </c>
      <c r="Y852" t="s">
        <v>77</v>
      </c>
      <c r="Z852" t="s">
        <v>78</v>
      </c>
      <c r="AA852" t="str">
        <f>VLOOKUP(H852,Departments!$A:$B,2,0)</f>
        <v>Pulmonology</v>
      </c>
      <c r="AB852" t="str">
        <f>VLOOKUP(J852,Diagnosis_Guide!$A:$B,2,0)</f>
        <v>Pneumonia</v>
      </c>
      <c r="AC852" s="4" t="str">
        <f>VLOOKUP(J852,Diagnosis_Guide!$A:$C,3,0)</f>
        <v>Respiratory</v>
      </c>
      <c r="AD852" s="4" t="str">
        <f>VLOOKUP(R852,Insurance_Plans!$A:$C,3,0)</f>
        <v>Employer</v>
      </c>
      <c r="AE852" s="13">
        <f t="shared" si="39"/>
        <v>4207.5</v>
      </c>
      <c r="AF852" s="13">
        <f t="shared" si="40"/>
        <v>88357.5</v>
      </c>
      <c r="AG852" s="4" t="str">
        <f t="shared" si="41"/>
        <v>Low</v>
      </c>
    </row>
    <row r="853" spans="1:33">
      <c r="A853" t="s">
        <v>1528</v>
      </c>
      <c r="B853" t="s">
        <v>499</v>
      </c>
      <c r="C853" s="11">
        <v>46155</v>
      </c>
      <c r="D853" t="s">
        <v>469</v>
      </c>
      <c r="E853" t="s">
        <v>177</v>
      </c>
      <c r="F853" s="4"/>
      <c r="G853" s="4"/>
      <c r="H853" t="s">
        <v>150</v>
      </c>
      <c r="I853" t="s">
        <v>247</v>
      </c>
      <c r="J853" t="s">
        <v>152</v>
      </c>
      <c r="K853" t="s">
        <v>60</v>
      </c>
      <c r="L853" t="s">
        <v>74</v>
      </c>
      <c r="M853" s="5"/>
      <c r="N853" s="5"/>
      <c r="O853" s="5"/>
      <c r="P853" s="5"/>
      <c r="R853" t="s">
        <v>75</v>
      </c>
      <c r="S853" t="s">
        <v>63</v>
      </c>
      <c r="T853" s="5"/>
      <c r="U853" s="6"/>
      <c r="V853" t="s">
        <v>64</v>
      </c>
      <c r="W853" s="4"/>
      <c r="X853" t="s">
        <v>65</v>
      </c>
      <c r="Z853" t="s">
        <v>66</v>
      </c>
      <c r="AA853" t="str">
        <f>VLOOKUP(H853,Departments!$A:$B,2,0)</f>
        <v>Obstetrics</v>
      </c>
      <c r="AB853" t="str">
        <f>VLOOKUP(J853,Diagnosis_Guide!$A:$B,2,0)</f>
        <v>Antenatal Complication</v>
      </c>
      <c r="AC853" s="4" t="str">
        <f>VLOOKUP(J853,Diagnosis_Guide!$A:$C,3,0)</f>
        <v>Maternal Health</v>
      </c>
      <c r="AD853" s="4" t="str">
        <f>VLOOKUP(R853,Insurance_Plans!$A:$C,3,0)</f>
        <v>Public</v>
      </c>
      <c r="AE853" s="13" t="str">
        <f t="shared" si="39"/>
        <v/>
      </c>
      <c r="AF853" s="13" t="str">
        <f t="shared" si="40"/>
        <v/>
      </c>
      <c r="AG853" s="4" t="str">
        <f t="shared" si="41"/>
        <v>Not Available</v>
      </c>
    </row>
    <row r="854" spans="1:33">
      <c r="A854" t="s">
        <v>1529</v>
      </c>
      <c r="B854" t="s">
        <v>1530</v>
      </c>
      <c r="C854" s="11">
        <v>46088</v>
      </c>
      <c r="D854" t="s">
        <v>234</v>
      </c>
      <c r="E854" t="s">
        <v>70</v>
      </c>
      <c r="F854" s="4">
        <v>46088</v>
      </c>
      <c r="G854" s="4">
        <v>46088</v>
      </c>
      <c r="H854" t="s">
        <v>138</v>
      </c>
      <c r="I854" t="s">
        <v>444</v>
      </c>
      <c r="J854" t="s">
        <v>140</v>
      </c>
      <c r="K854" t="s">
        <v>60</v>
      </c>
      <c r="L854" t="s">
        <v>74</v>
      </c>
      <c r="M854" s="5">
        <v>15900</v>
      </c>
      <c r="N854" s="5">
        <v>1500</v>
      </c>
      <c r="O854" s="5">
        <v>2400</v>
      </c>
      <c r="P854" s="5">
        <v>0</v>
      </c>
      <c r="Q854" s="13">
        <v>21300</v>
      </c>
      <c r="R854" t="s">
        <v>75</v>
      </c>
      <c r="S854" t="s">
        <v>76</v>
      </c>
      <c r="T854" s="5">
        <v>9880</v>
      </c>
      <c r="U854" s="6">
        <v>5</v>
      </c>
      <c r="V854" t="s">
        <v>77</v>
      </c>
      <c r="W854" s="4">
        <v>46108</v>
      </c>
      <c r="X854" t="s">
        <v>77</v>
      </c>
      <c r="Y854" t="s">
        <v>64</v>
      </c>
      <c r="Z854" t="s">
        <v>107</v>
      </c>
      <c r="AA854" t="str">
        <f>VLOOKUP(H854,Departments!$A:$B,2,0)</f>
        <v>Pediatrics</v>
      </c>
      <c r="AB854" t="str">
        <f>VLOOKUP(J854,Diagnosis_Guide!$A:$B,2,0)</f>
        <v>Pediatric Asthma</v>
      </c>
      <c r="AC854" s="4" t="str">
        <f>VLOOKUP(J854,Diagnosis_Guide!$A:$C,3,0)</f>
        <v>Pediatric</v>
      </c>
      <c r="AD854" s="4" t="str">
        <f>VLOOKUP(R854,Insurance_Plans!$A:$C,3,0)</f>
        <v>Public</v>
      </c>
      <c r="AE854" s="13">
        <f t="shared" si="39"/>
        <v>1065</v>
      </c>
      <c r="AF854" s="13">
        <f t="shared" si="40"/>
        <v>22365</v>
      </c>
      <c r="AG854" s="4" t="str">
        <f t="shared" si="41"/>
        <v>High</v>
      </c>
    </row>
    <row r="855" spans="1:33">
      <c r="A855" t="s">
        <v>1531</v>
      </c>
      <c r="B855" t="s">
        <v>657</v>
      </c>
      <c r="C855" s="11">
        <v>46025</v>
      </c>
      <c r="D855" t="s">
        <v>363</v>
      </c>
      <c r="E855" t="s">
        <v>314</v>
      </c>
      <c r="F855" s="4"/>
      <c r="G855" s="4"/>
      <c r="H855" t="s">
        <v>138</v>
      </c>
      <c r="I855" t="s">
        <v>235</v>
      </c>
      <c r="J855" t="s">
        <v>236</v>
      </c>
      <c r="K855" t="s">
        <v>93</v>
      </c>
      <c r="L855" t="s">
        <v>74</v>
      </c>
      <c r="M855" s="5"/>
      <c r="N855" s="5"/>
      <c r="O855" s="5"/>
      <c r="P855" s="5"/>
      <c r="R855" t="s">
        <v>106</v>
      </c>
      <c r="S855" t="s">
        <v>63</v>
      </c>
      <c r="T855" s="5"/>
      <c r="U855" s="6"/>
      <c r="V855" t="s">
        <v>64</v>
      </c>
      <c r="W855" s="4"/>
      <c r="X855" t="s">
        <v>65</v>
      </c>
      <c r="Z855" t="s">
        <v>66</v>
      </c>
      <c r="AA855" t="str">
        <f>VLOOKUP(H855,Departments!$A:$B,2,0)</f>
        <v>Pediatrics</v>
      </c>
      <c r="AB855" t="str">
        <f>VLOOKUP(J855,Diagnosis_Guide!$A:$B,2,0)</f>
        <v>Neonatal Observation</v>
      </c>
      <c r="AC855" s="4" t="str">
        <f>VLOOKUP(J855,Diagnosis_Guide!$A:$C,3,0)</f>
        <v>Pediatric</v>
      </c>
      <c r="AD855" s="4" t="str">
        <f>VLOOKUP(R855,Insurance_Plans!$A:$C,3,0)</f>
        <v>Private</v>
      </c>
      <c r="AE855" s="13" t="str">
        <f t="shared" si="39"/>
        <v/>
      </c>
      <c r="AF855" s="13" t="str">
        <f t="shared" si="40"/>
        <v/>
      </c>
      <c r="AG855" s="4" t="str">
        <f t="shared" si="41"/>
        <v>Not Available</v>
      </c>
    </row>
    <row r="856" spans="1:33">
      <c r="A856" t="s">
        <v>1532</v>
      </c>
      <c r="B856" t="s">
        <v>517</v>
      </c>
      <c r="C856" s="11">
        <v>46126</v>
      </c>
      <c r="D856" t="s">
        <v>168</v>
      </c>
      <c r="E856" t="s">
        <v>70</v>
      </c>
      <c r="F856" s="4">
        <v>46126</v>
      </c>
      <c r="G856" s="4">
        <v>46127</v>
      </c>
      <c r="H856" t="s">
        <v>103</v>
      </c>
      <c r="I856" t="s">
        <v>207</v>
      </c>
      <c r="J856" t="s">
        <v>244</v>
      </c>
      <c r="K856" t="s">
        <v>60</v>
      </c>
      <c r="L856" t="s">
        <v>74</v>
      </c>
      <c r="M856" s="5">
        <v>54900</v>
      </c>
      <c r="N856" s="5">
        <v>5150</v>
      </c>
      <c r="O856" s="5">
        <v>9700</v>
      </c>
      <c r="P856" s="5">
        <v>4500</v>
      </c>
      <c r="Q856" s="13">
        <v>75750</v>
      </c>
      <c r="R856" t="s">
        <v>75</v>
      </c>
      <c r="S856" t="s">
        <v>76</v>
      </c>
      <c r="T856" s="5">
        <v>34390</v>
      </c>
      <c r="U856" s="6">
        <v>5</v>
      </c>
      <c r="V856" t="s">
        <v>77</v>
      </c>
      <c r="W856" s="4">
        <v>46145</v>
      </c>
      <c r="X856" t="s">
        <v>77</v>
      </c>
      <c r="Y856" t="s">
        <v>64</v>
      </c>
      <c r="Z856" t="s">
        <v>78</v>
      </c>
      <c r="AA856" t="str">
        <f>VLOOKUP(H856,Departments!$A:$B,2,0)</f>
        <v>Nephrology</v>
      </c>
      <c r="AB856" t="str">
        <f>VLOOKUP(J856,Diagnosis_Guide!$A:$B,2,0)</f>
        <v>Chronic Kidney Disease</v>
      </c>
      <c r="AC856" s="4" t="str">
        <f>VLOOKUP(J856,Diagnosis_Guide!$A:$C,3,0)</f>
        <v>Renal</v>
      </c>
      <c r="AD856" s="4" t="str">
        <f>VLOOKUP(R856,Insurance_Plans!$A:$C,3,0)</f>
        <v>Public</v>
      </c>
      <c r="AE856" s="13">
        <f t="shared" si="39"/>
        <v>3787.5</v>
      </c>
      <c r="AF856" s="13">
        <f t="shared" si="40"/>
        <v>79537.5</v>
      </c>
      <c r="AG856" s="4" t="str">
        <f t="shared" si="41"/>
        <v>High</v>
      </c>
    </row>
    <row r="857" spans="1:33">
      <c r="A857" t="s">
        <v>1533</v>
      </c>
      <c r="B857" t="s">
        <v>725</v>
      </c>
      <c r="C857" s="11">
        <v>46050</v>
      </c>
      <c r="D857" t="s">
        <v>132</v>
      </c>
      <c r="E857" t="s">
        <v>56</v>
      </c>
      <c r="F857" s="4"/>
      <c r="G857" s="4"/>
      <c r="H857" t="s">
        <v>90</v>
      </c>
      <c r="I857" t="s">
        <v>299</v>
      </c>
      <c r="J857" t="s">
        <v>197</v>
      </c>
      <c r="K857" t="s">
        <v>73</v>
      </c>
      <c r="L857" t="s">
        <v>61</v>
      </c>
      <c r="M857" s="5"/>
      <c r="N857" s="5"/>
      <c r="O857" s="5"/>
      <c r="P857" s="5"/>
      <c r="R857" t="s">
        <v>134</v>
      </c>
      <c r="S857" t="s">
        <v>63</v>
      </c>
      <c r="T857" s="5"/>
      <c r="U857" s="6"/>
      <c r="V857" t="s">
        <v>64</v>
      </c>
      <c r="W857" s="4"/>
      <c r="X857" t="s">
        <v>65</v>
      </c>
      <c r="Z857" t="s">
        <v>66</v>
      </c>
      <c r="AA857" t="str">
        <f>VLOOKUP(H857,Departments!$A:$B,2,0)</f>
        <v>Cardiology</v>
      </c>
      <c r="AB857" t="str">
        <f>VLOOKUP(J857,Diagnosis_Guide!$A:$B,2,0)</f>
        <v>Chest Pain</v>
      </c>
      <c r="AC857" s="4" t="str">
        <f>VLOOKUP(J857,Diagnosis_Guide!$A:$C,3,0)</f>
        <v>Cardiovascular</v>
      </c>
      <c r="AD857" s="4" t="str">
        <f>VLOOKUP(R857,Insurance_Plans!$A:$C,3,0)</f>
        <v>Community</v>
      </c>
      <c r="AE857" s="13" t="str">
        <f t="shared" si="39"/>
        <v/>
      </c>
      <c r="AF857" s="13" t="str">
        <f t="shared" si="40"/>
        <v/>
      </c>
      <c r="AG857" s="4" t="str">
        <f t="shared" si="41"/>
        <v>Not Available</v>
      </c>
    </row>
    <row r="858" spans="1:33">
      <c r="A858" t="s">
        <v>1534</v>
      </c>
      <c r="B858" t="s">
        <v>828</v>
      </c>
      <c r="C858" s="11">
        <v>46043</v>
      </c>
      <c r="D858" t="s">
        <v>99</v>
      </c>
      <c r="E858" t="s">
        <v>314</v>
      </c>
      <c r="F858" s="4"/>
      <c r="G858" s="4"/>
      <c r="H858" t="s">
        <v>103</v>
      </c>
      <c r="I858" t="s">
        <v>214</v>
      </c>
      <c r="J858" t="s">
        <v>244</v>
      </c>
      <c r="K858" t="s">
        <v>93</v>
      </c>
      <c r="L858" t="s">
        <v>94</v>
      </c>
      <c r="M858" s="5"/>
      <c r="N858" s="5"/>
      <c r="O858" s="5"/>
      <c r="P858" s="5"/>
      <c r="R858" t="s">
        <v>85</v>
      </c>
      <c r="S858" t="s">
        <v>63</v>
      </c>
      <c r="T858" s="5"/>
      <c r="U858" s="6"/>
      <c r="V858" t="s">
        <v>64</v>
      </c>
      <c r="W858" s="4"/>
      <c r="X858" t="s">
        <v>65</v>
      </c>
      <c r="Z858" t="s">
        <v>66</v>
      </c>
      <c r="AA858" t="str">
        <f>VLOOKUP(H858,Departments!$A:$B,2,0)</f>
        <v>Nephrology</v>
      </c>
      <c r="AB858" t="str">
        <f>VLOOKUP(J858,Diagnosis_Guide!$A:$B,2,0)</f>
        <v>Chronic Kidney Disease</v>
      </c>
      <c r="AC858" s="4" t="str">
        <f>VLOOKUP(J858,Diagnosis_Guide!$A:$C,3,0)</f>
        <v>Renal</v>
      </c>
      <c r="AD858" s="4" t="str">
        <f>VLOOKUP(R858,Insurance_Plans!$A:$C,3,0)</f>
        <v>Employer</v>
      </c>
      <c r="AE858" s="13" t="str">
        <f t="shared" si="39"/>
        <v/>
      </c>
      <c r="AF858" s="13" t="str">
        <f t="shared" si="40"/>
        <v/>
      </c>
      <c r="AG858" s="4" t="str">
        <f t="shared" si="41"/>
        <v>Not Available</v>
      </c>
    </row>
    <row r="859" spans="1:33">
      <c r="A859" t="s">
        <v>1535</v>
      </c>
      <c r="B859" t="s">
        <v>921</v>
      </c>
      <c r="C859" s="11">
        <v>46114</v>
      </c>
      <c r="D859" t="s">
        <v>183</v>
      </c>
      <c r="E859" t="s">
        <v>70</v>
      </c>
      <c r="F859" s="4">
        <v>46115</v>
      </c>
      <c r="G859" s="4">
        <v>46115</v>
      </c>
      <c r="H859" t="s">
        <v>82</v>
      </c>
      <c r="I859" t="s">
        <v>155</v>
      </c>
      <c r="J859" t="s">
        <v>291</v>
      </c>
      <c r="K859" t="s">
        <v>60</v>
      </c>
      <c r="L859" t="s">
        <v>74</v>
      </c>
      <c r="M859" s="5">
        <v>43000</v>
      </c>
      <c r="N859" s="5">
        <v>4550</v>
      </c>
      <c r="O859" s="5">
        <v>10000</v>
      </c>
      <c r="P859" s="5">
        <v>0</v>
      </c>
      <c r="Q859" s="13">
        <v>60050</v>
      </c>
      <c r="R859" t="s">
        <v>95</v>
      </c>
      <c r="S859" t="s">
        <v>63</v>
      </c>
      <c r="T859" s="5">
        <v>60050</v>
      </c>
      <c r="U859" s="6">
        <v>5</v>
      </c>
      <c r="V859" t="s">
        <v>77</v>
      </c>
      <c r="W859" s="4">
        <v>46133</v>
      </c>
      <c r="X859" t="s">
        <v>77</v>
      </c>
      <c r="Y859" t="s">
        <v>64</v>
      </c>
      <c r="Z859" t="s">
        <v>219</v>
      </c>
      <c r="AA859" t="str">
        <f>VLOOKUP(H859,Departments!$A:$B,2,0)</f>
        <v>Orthopedics</v>
      </c>
      <c r="AB859" t="str">
        <f>VLOOKUP(J859,Diagnosis_Guide!$A:$B,2,0)</f>
        <v>Fracture Repair</v>
      </c>
      <c r="AC859" s="4" t="str">
        <f>VLOOKUP(J859,Diagnosis_Guide!$A:$C,3,0)</f>
        <v>Musculoskeletal</v>
      </c>
      <c r="AD859" s="4" t="str">
        <f>VLOOKUP(R859,Insurance_Plans!$A:$C,3,0)</f>
        <v>Self-Pay</v>
      </c>
      <c r="AE859" s="13">
        <f t="shared" si="39"/>
        <v>3002.5</v>
      </c>
      <c r="AF859" s="13">
        <f t="shared" si="40"/>
        <v>63052.5</v>
      </c>
      <c r="AG859" s="4" t="str">
        <f t="shared" si="41"/>
        <v>High</v>
      </c>
    </row>
    <row r="860" spans="1:33">
      <c r="A860" t="s">
        <v>1536</v>
      </c>
      <c r="B860" t="s">
        <v>1537</v>
      </c>
      <c r="C860" s="11">
        <v>46108</v>
      </c>
      <c r="D860" t="s">
        <v>183</v>
      </c>
      <c r="E860" t="s">
        <v>314</v>
      </c>
      <c r="F860" s="4"/>
      <c r="G860" s="4"/>
      <c r="H860" t="s">
        <v>82</v>
      </c>
      <c r="I860" t="s">
        <v>194</v>
      </c>
      <c r="J860" t="s">
        <v>156</v>
      </c>
      <c r="K860" t="s">
        <v>93</v>
      </c>
      <c r="L860" t="s">
        <v>74</v>
      </c>
      <c r="M860" s="5"/>
      <c r="N860" s="5"/>
      <c r="O860" s="5"/>
      <c r="P860" s="5"/>
      <c r="R860" t="s">
        <v>141</v>
      </c>
      <c r="S860" t="s">
        <v>63</v>
      </c>
      <c r="T860" s="5"/>
      <c r="U860" s="6"/>
      <c r="V860" t="s">
        <v>64</v>
      </c>
      <c r="W860" s="4"/>
      <c r="X860" t="s">
        <v>65</v>
      </c>
      <c r="Z860" t="s">
        <v>66</v>
      </c>
      <c r="AA860" t="str">
        <f>VLOOKUP(H860,Departments!$A:$B,2,0)</f>
        <v>Orthopedics</v>
      </c>
      <c r="AB860" t="str">
        <f>VLOOKUP(J860,Diagnosis_Guide!$A:$B,2,0)</f>
        <v>Spinal Injury</v>
      </c>
      <c r="AC860" s="4" t="str">
        <f>VLOOKUP(J860,Diagnosis_Guide!$A:$C,3,0)</f>
        <v>Musculoskeletal</v>
      </c>
      <c r="AD860" s="4" t="str">
        <f>VLOOKUP(R860,Insurance_Plans!$A:$C,3,0)</f>
        <v>Private</v>
      </c>
      <c r="AE860" s="13" t="str">
        <f t="shared" si="39"/>
        <v/>
      </c>
      <c r="AF860" s="13" t="str">
        <f t="shared" si="40"/>
        <v/>
      </c>
      <c r="AG860" s="4" t="str">
        <f t="shared" si="41"/>
        <v>Not Available</v>
      </c>
    </row>
    <row r="861" spans="1:33">
      <c r="A861" t="s">
        <v>1538</v>
      </c>
      <c r="B861" t="s">
        <v>702</v>
      </c>
      <c r="C861" s="11">
        <v>46090</v>
      </c>
      <c r="D861" t="s">
        <v>110</v>
      </c>
      <c r="E861" t="s">
        <v>70</v>
      </c>
      <c r="F861" s="4">
        <v>46090</v>
      </c>
      <c r="G861" s="4">
        <v>46091</v>
      </c>
      <c r="H861" t="s">
        <v>121</v>
      </c>
      <c r="I861" t="s">
        <v>122</v>
      </c>
      <c r="J861" t="s">
        <v>256</v>
      </c>
      <c r="K861" t="s">
        <v>124</v>
      </c>
      <c r="L861" t="s">
        <v>74</v>
      </c>
      <c r="M861" s="5">
        <v>19200</v>
      </c>
      <c r="N861" s="5">
        <v>3050</v>
      </c>
      <c r="O861" s="5">
        <v>2300</v>
      </c>
      <c r="P861" s="5">
        <v>2500</v>
      </c>
      <c r="Q861" s="13">
        <v>28050</v>
      </c>
      <c r="R861" t="s">
        <v>95</v>
      </c>
      <c r="S861" t="s">
        <v>63</v>
      </c>
      <c r="T861" s="5">
        <v>28050</v>
      </c>
      <c r="U861" s="6">
        <v>5</v>
      </c>
      <c r="V861" t="s">
        <v>77</v>
      </c>
      <c r="W861" s="4">
        <v>46111</v>
      </c>
      <c r="X861" t="s">
        <v>77</v>
      </c>
      <c r="Y861" t="s">
        <v>64</v>
      </c>
      <c r="Z861" t="s">
        <v>219</v>
      </c>
      <c r="AA861" t="str">
        <f>VLOOKUP(H861,Departments!$A:$B,2,0)</f>
        <v>Neurology</v>
      </c>
      <c r="AB861" t="str">
        <f>VLOOKUP(J861,Diagnosis_Guide!$A:$B,2,0)</f>
        <v>Migraine Complication</v>
      </c>
      <c r="AC861" s="4" t="str">
        <f>VLOOKUP(J861,Diagnosis_Guide!$A:$C,3,0)</f>
        <v>Neurological</v>
      </c>
      <c r="AD861" s="4" t="str">
        <f>VLOOKUP(R861,Insurance_Plans!$A:$C,3,0)</f>
        <v>Self-Pay</v>
      </c>
      <c r="AE861" s="13">
        <f t="shared" si="39"/>
        <v>1402.5</v>
      </c>
      <c r="AF861" s="13">
        <f t="shared" si="40"/>
        <v>29452.5</v>
      </c>
      <c r="AG861" s="4" t="str">
        <f t="shared" si="41"/>
        <v>High</v>
      </c>
    </row>
    <row r="862" spans="1:33">
      <c r="A862" t="s">
        <v>1539</v>
      </c>
      <c r="B862" t="s">
        <v>1540</v>
      </c>
      <c r="C862" s="11">
        <v>46128</v>
      </c>
      <c r="D862" t="s">
        <v>210</v>
      </c>
      <c r="E862" t="s">
        <v>70</v>
      </c>
      <c r="F862" s="4">
        <v>46128</v>
      </c>
      <c r="G862" s="4">
        <v>46129</v>
      </c>
      <c r="H862" t="s">
        <v>138</v>
      </c>
      <c r="I862" t="s">
        <v>343</v>
      </c>
      <c r="J862" t="s">
        <v>261</v>
      </c>
      <c r="K862" t="s">
        <v>124</v>
      </c>
      <c r="L862" t="s">
        <v>74</v>
      </c>
      <c r="M862" s="5">
        <v>6300</v>
      </c>
      <c r="N862" s="5">
        <v>650</v>
      </c>
      <c r="O862" s="5">
        <v>1300</v>
      </c>
      <c r="P862" s="5">
        <v>2500</v>
      </c>
      <c r="Q862" s="13">
        <v>12550</v>
      </c>
      <c r="R862" t="s">
        <v>75</v>
      </c>
      <c r="S862" t="s">
        <v>76</v>
      </c>
      <c r="T862" s="5">
        <v>5950</v>
      </c>
      <c r="U862" s="6">
        <v>5</v>
      </c>
      <c r="V862" t="s">
        <v>64</v>
      </c>
      <c r="W862" s="4"/>
      <c r="X862" t="s">
        <v>65</v>
      </c>
      <c r="Y862" t="s">
        <v>64</v>
      </c>
      <c r="Z862" t="s">
        <v>96</v>
      </c>
      <c r="AA862" t="str">
        <f>VLOOKUP(H862,Departments!$A:$B,2,0)</f>
        <v>Pediatrics</v>
      </c>
      <c r="AB862" t="str">
        <f>VLOOKUP(J862,Diagnosis_Guide!$A:$B,2,0)</f>
        <v>Child Fever</v>
      </c>
      <c r="AC862" s="4" t="str">
        <f>VLOOKUP(J862,Diagnosis_Guide!$A:$C,3,0)</f>
        <v>Pediatric</v>
      </c>
      <c r="AD862" s="4" t="str">
        <f>VLOOKUP(R862,Insurance_Plans!$A:$C,3,0)</f>
        <v>Public</v>
      </c>
      <c r="AE862" s="13">
        <f t="shared" si="39"/>
        <v>627.5</v>
      </c>
      <c r="AF862" s="13">
        <f t="shared" si="40"/>
        <v>13177.5</v>
      </c>
      <c r="AG862" s="4" t="str">
        <f t="shared" si="41"/>
        <v>High</v>
      </c>
    </row>
    <row r="863" spans="1:33">
      <c r="A863" t="s">
        <v>1541</v>
      </c>
      <c r="B863" t="s">
        <v>1542</v>
      </c>
      <c r="C863" s="11">
        <v>46117</v>
      </c>
      <c r="D863" t="s">
        <v>110</v>
      </c>
      <c r="E863" t="s">
        <v>70</v>
      </c>
      <c r="F863" s="4">
        <v>46117</v>
      </c>
      <c r="G863" s="4">
        <v>46120</v>
      </c>
      <c r="H863" t="s">
        <v>103</v>
      </c>
      <c r="I863" t="s">
        <v>243</v>
      </c>
      <c r="J863" t="s">
        <v>105</v>
      </c>
      <c r="K863" t="s">
        <v>73</v>
      </c>
      <c r="L863" t="s">
        <v>94</v>
      </c>
      <c r="M863" s="5">
        <v>53800</v>
      </c>
      <c r="N863" s="5">
        <v>6550</v>
      </c>
      <c r="O863" s="5">
        <v>5800</v>
      </c>
      <c r="P863" s="5">
        <v>9000</v>
      </c>
      <c r="Q863" s="13">
        <v>76950</v>
      </c>
      <c r="R863" t="s">
        <v>95</v>
      </c>
      <c r="S863" t="s">
        <v>63</v>
      </c>
      <c r="T863" s="5">
        <v>76950</v>
      </c>
      <c r="U863" s="6">
        <v>5</v>
      </c>
      <c r="V863" t="s">
        <v>77</v>
      </c>
      <c r="W863" s="4">
        <v>46131</v>
      </c>
      <c r="X863" t="s">
        <v>77</v>
      </c>
      <c r="Y863" t="s">
        <v>64</v>
      </c>
      <c r="Z863" t="s">
        <v>78</v>
      </c>
      <c r="AA863" t="str">
        <f>VLOOKUP(H863,Departments!$A:$B,2,0)</f>
        <v>Nephrology</v>
      </c>
      <c r="AB863" t="str">
        <f>VLOOKUP(J863,Diagnosis_Guide!$A:$B,2,0)</f>
        <v>Dialysis Complication</v>
      </c>
      <c r="AC863" s="4" t="str">
        <f>VLOOKUP(J863,Diagnosis_Guide!$A:$C,3,0)</f>
        <v>Renal</v>
      </c>
      <c r="AD863" s="4" t="str">
        <f>VLOOKUP(R863,Insurance_Plans!$A:$C,3,0)</f>
        <v>Self-Pay</v>
      </c>
      <c r="AE863" s="13">
        <f t="shared" si="39"/>
        <v>3847.5</v>
      </c>
      <c r="AF863" s="13">
        <f t="shared" si="40"/>
        <v>80797.5</v>
      </c>
      <c r="AG863" s="4" t="str">
        <f t="shared" si="41"/>
        <v>High</v>
      </c>
    </row>
    <row r="864" spans="1:33">
      <c r="A864" t="s">
        <v>1543</v>
      </c>
      <c r="B864" t="s">
        <v>379</v>
      </c>
      <c r="C864" s="11">
        <v>46061</v>
      </c>
      <c r="D864" t="s">
        <v>127</v>
      </c>
      <c r="E864" t="s">
        <v>70</v>
      </c>
      <c r="F864" s="4">
        <v>46061</v>
      </c>
      <c r="G864" s="4">
        <v>46065</v>
      </c>
      <c r="H864" t="s">
        <v>90</v>
      </c>
      <c r="I864" t="s">
        <v>388</v>
      </c>
      <c r="J864" t="s">
        <v>129</v>
      </c>
      <c r="K864" t="s">
        <v>73</v>
      </c>
      <c r="L864" t="s">
        <v>61</v>
      </c>
      <c r="M864" s="5">
        <v>41400</v>
      </c>
      <c r="N864" s="5">
        <v>6900</v>
      </c>
      <c r="O864" s="5">
        <v>7000</v>
      </c>
      <c r="P864" s="5">
        <v>18000</v>
      </c>
      <c r="Q864" s="13">
        <v>74800</v>
      </c>
      <c r="R864" t="s">
        <v>75</v>
      </c>
      <c r="S864" t="s">
        <v>76</v>
      </c>
      <c r="T864" s="5">
        <v>33960</v>
      </c>
      <c r="U864" s="6">
        <v>3</v>
      </c>
      <c r="V864" t="s">
        <v>77</v>
      </c>
      <c r="W864" s="4">
        <v>46075</v>
      </c>
      <c r="X864" t="s">
        <v>64</v>
      </c>
      <c r="Y864" t="s">
        <v>64</v>
      </c>
      <c r="Z864" t="s">
        <v>78</v>
      </c>
      <c r="AA864" t="str">
        <f>VLOOKUP(H864,Departments!$A:$B,2,0)</f>
        <v>Cardiology</v>
      </c>
      <c r="AB864" t="str">
        <f>VLOOKUP(J864,Diagnosis_Guide!$A:$B,2,0)</f>
        <v>Hypertension Crisis</v>
      </c>
      <c r="AC864" s="4" t="str">
        <f>VLOOKUP(J864,Diagnosis_Guide!$A:$C,3,0)</f>
        <v>Cardiovascular</v>
      </c>
      <c r="AD864" s="4" t="str">
        <f>VLOOKUP(R864,Insurance_Plans!$A:$C,3,0)</f>
        <v>Public</v>
      </c>
      <c r="AE864" s="13">
        <f t="shared" si="39"/>
        <v>3740</v>
      </c>
      <c r="AF864" s="13">
        <f t="shared" si="40"/>
        <v>78540</v>
      </c>
      <c r="AG864" s="4" t="str">
        <f t="shared" si="41"/>
        <v>Medium</v>
      </c>
    </row>
    <row r="865" spans="1:33">
      <c r="A865" t="s">
        <v>1544</v>
      </c>
      <c r="B865" t="s">
        <v>1545</v>
      </c>
      <c r="C865" s="11">
        <v>46149</v>
      </c>
      <c r="D865" t="s">
        <v>149</v>
      </c>
      <c r="E865" t="s">
        <v>70</v>
      </c>
      <c r="F865" s="4">
        <v>46149</v>
      </c>
      <c r="G865" s="4">
        <v>46153</v>
      </c>
      <c r="H865" t="s">
        <v>150</v>
      </c>
      <c r="I865" t="s">
        <v>187</v>
      </c>
      <c r="J865" t="s">
        <v>229</v>
      </c>
      <c r="K865" t="s">
        <v>73</v>
      </c>
      <c r="L865" t="s">
        <v>146</v>
      </c>
      <c r="M865" s="5">
        <v>35100</v>
      </c>
      <c r="N865" s="5">
        <v>4050</v>
      </c>
      <c r="O865" s="5">
        <v>4500</v>
      </c>
      <c r="P865" s="5">
        <v>18000</v>
      </c>
      <c r="Q865" s="13">
        <v>64150</v>
      </c>
      <c r="R865" t="s">
        <v>95</v>
      </c>
      <c r="S865" t="s">
        <v>63</v>
      </c>
      <c r="T865" s="5">
        <v>64150</v>
      </c>
      <c r="U865" s="6">
        <v>5</v>
      </c>
      <c r="V865" t="s">
        <v>64</v>
      </c>
      <c r="W865" s="4"/>
      <c r="X865" t="s">
        <v>65</v>
      </c>
      <c r="Y865" t="s">
        <v>64</v>
      </c>
      <c r="Z865" t="s">
        <v>78</v>
      </c>
      <c r="AA865" t="str">
        <f>VLOOKUP(H865,Departments!$A:$B,2,0)</f>
        <v>Obstetrics</v>
      </c>
      <c r="AB865" t="str">
        <f>VLOOKUP(J865,Diagnosis_Guide!$A:$B,2,0)</f>
        <v>Delivery Care</v>
      </c>
      <c r="AC865" s="4" t="str">
        <f>VLOOKUP(J865,Diagnosis_Guide!$A:$C,3,0)</f>
        <v>Maternal Health</v>
      </c>
      <c r="AD865" s="4" t="str">
        <f>VLOOKUP(R865,Insurance_Plans!$A:$C,3,0)</f>
        <v>Self-Pay</v>
      </c>
      <c r="AE865" s="13">
        <f t="shared" si="39"/>
        <v>3207.5</v>
      </c>
      <c r="AF865" s="13">
        <f t="shared" si="40"/>
        <v>67357.5</v>
      </c>
      <c r="AG865" s="4" t="str">
        <f t="shared" si="41"/>
        <v>High</v>
      </c>
    </row>
    <row r="866" spans="1:33">
      <c r="A866" t="s">
        <v>1546</v>
      </c>
      <c r="B866" t="s">
        <v>514</v>
      </c>
      <c r="C866" s="11">
        <v>46130</v>
      </c>
      <c r="D866" t="s">
        <v>383</v>
      </c>
      <c r="E866" t="s">
        <v>70</v>
      </c>
      <c r="F866" s="4">
        <v>46130</v>
      </c>
      <c r="G866" s="4">
        <v>46133</v>
      </c>
      <c r="H866" t="s">
        <v>90</v>
      </c>
      <c r="I866" t="s">
        <v>128</v>
      </c>
      <c r="J866" t="s">
        <v>197</v>
      </c>
      <c r="K866" t="s">
        <v>73</v>
      </c>
      <c r="L866" t="s">
        <v>74</v>
      </c>
      <c r="M866" s="5">
        <v>17700</v>
      </c>
      <c r="N866" s="5">
        <v>1800</v>
      </c>
      <c r="O866" s="5">
        <v>3850</v>
      </c>
      <c r="P866" s="5">
        <v>7500</v>
      </c>
      <c r="Q866" s="13">
        <v>32850</v>
      </c>
      <c r="R866" t="s">
        <v>85</v>
      </c>
      <c r="S866" t="s">
        <v>76</v>
      </c>
      <c r="T866" s="5">
        <v>9110</v>
      </c>
      <c r="U866" s="6">
        <v>3</v>
      </c>
      <c r="V866" t="s">
        <v>77</v>
      </c>
      <c r="W866" s="4">
        <v>46151</v>
      </c>
      <c r="X866" t="s">
        <v>77</v>
      </c>
      <c r="Y866" t="s">
        <v>64</v>
      </c>
      <c r="Z866" t="s">
        <v>96</v>
      </c>
      <c r="AA866" t="str">
        <f>VLOOKUP(H866,Departments!$A:$B,2,0)</f>
        <v>Cardiology</v>
      </c>
      <c r="AB866" t="str">
        <f>VLOOKUP(J866,Diagnosis_Guide!$A:$B,2,0)</f>
        <v>Chest Pain</v>
      </c>
      <c r="AC866" s="4" t="str">
        <f>VLOOKUP(J866,Diagnosis_Guide!$A:$C,3,0)</f>
        <v>Cardiovascular</v>
      </c>
      <c r="AD866" s="4" t="str">
        <f>VLOOKUP(R866,Insurance_Plans!$A:$C,3,0)</f>
        <v>Employer</v>
      </c>
      <c r="AE866" s="13">
        <f t="shared" si="39"/>
        <v>1642.5</v>
      </c>
      <c r="AF866" s="13">
        <f t="shared" si="40"/>
        <v>34492.5</v>
      </c>
      <c r="AG866" s="4" t="str">
        <f t="shared" si="41"/>
        <v>Medium</v>
      </c>
    </row>
    <row r="867" spans="1:33">
      <c r="A867" t="s">
        <v>1547</v>
      </c>
      <c r="B867" t="s">
        <v>651</v>
      </c>
      <c r="C867" s="11">
        <v>46085</v>
      </c>
      <c r="D867" t="s">
        <v>337</v>
      </c>
      <c r="E867" t="s">
        <v>70</v>
      </c>
      <c r="F867" s="4">
        <v>46085</v>
      </c>
      <c r="G867" s="4">
        <v>46087</v>
      </c>
      <c r="H867" t="s">
        <v>57</v>
      </c>
      <c r="I867" t="s">
        <v>184</v>
      </c>
      <c r="J867" t="s">
        <v>72</v>
      </c>
      <c r="K867" t="s">
        <v>73</v>
      </c>
      <c r="L867" t="s">
        <v>61</v>
      </c>
      <c r="M867" s="5">
        <v>9300</v>
      </c>
      <c r="N867" s="5">
        <v>1550</v>
      </c>
      <c r="O867" s="5">
        <v>1100</v>
      </c>
      <c r="P867" s="5">
        <v>9000</v>
      </c>
      <c r="Q867" s="13">
        <v>22150</v>
      </c>
      <c r="R867" t="s">
        <v>141</v>
      </c>
      <c r="S867" t="s">
        <v>76</v>
      </c>
      <c r="T867" s="5">
        <v>4520</v>
      </c>
      <c r="U867" s="6">
        <v>3</v>
      </c>
      <c r="V867" t="s">
        <v>64</v>
      </c>
      <c r="W867" s="4"/>
      <c r="X867" t="s">
        <v>65</v>
      </c>
      <c r="Y867" t="s">
        <v>64</v>
      </c>
      <c r="Z867" t="s">
        <v>96</v>
      </c>
      <c r="AA867" t="str">
        <f>VLOOKUP(H867,Departments!$A:$B,2,0)</f>
        <v>Pulmonology</v>
      </c>
      <c r="AB867" t="str">
        <f>VLOOKUP(J867,Diagnosis_Guide!$A:$B,2,0)</f>
        <v>Acute Bronchitis</v>
      </c>
      <c r="AC867" s="4" t="str">
        <f>VLOOKUP(J867,Diagnosis_Guide!$A:$C,3,0)</f>
        <v>Respiratory</v>
      </c>
      <c r="AD867" s="4" t="str">
        <f>VLOOKUP(R867,Insurance_Plans!$A:$C,3,0)</f>
        <v>Private</v>
      </c>
      <c r="AE867" s="13">
        <f t="shared" si="39"/>
        <v>1107.5</v>
      </c>
      <c r="AF867" s="13">
        <f t="shared" si="40"/>
        <v>23257.5</v>
      </c>
      <c r="AG867" s="4" t="str">
        <f t="shared" si="41"/>
        <v>Medium</v>
      </c>
    </row>
    <row r="868" spans="1:33">
      <c r="A868" t="s">
        <v>1548</v>
      </c>
      <c r="B868" t="s">
        <v>1491</v>
      </c>
      <c r="C868" s="11">
        <v>46085</v>
      </c>
      <c r="D868" t="s">
        <v>200</v>
      </c>
      <c r="E868" t="s">
        <v>255</v>
      </c>
      <c r="F868" s="4"/>
      <c r="G868" s="4"/>
      <c r="H868" t="s">
        <v>90</v>
      </c>
      <c r="I868" t="s">
        <v>299</v>
      </c>
      <c r="J868" t="s">
        <v>92</v>
      </c>
      <c r="K868" t="s">
        <v>124</v>
      </c>
      <c r="L868" t="s">
        <v>146</v>
      </c>
      <c r="M868" s="5"/>
      <c r="N868" s="5"/>
      <c r="O868" s="5"/>
      <c r="P868" s="5"/>
      <c r="R868" t="s">
        <v>75</v>
      </c>
      <c r="S868" t="s">
        <v>63</v>
      </c>
      <c r="T868" s="5"/>
      <c r="U868" s="6"/>
      <c r="V868" t="s">
        <v>64</v>
      </c>
      <c r="W868" s="4"/>
      <c r="X868" t="s">
        <v>65</v>
      </c>
      <c r="Z868" t="s">
        <v>66</v>
      </c>
      <c r="AA868" t="str">
        <f>VLOOKUP(H868,Departments!$A:$B,2,0)</f>
        <v>Cardiology</v>
      </c>
      <c r="AB868" t="str">
        <f>VLOOKUP(J868,Diagnosis_Guide!$A:$B,2,0)</f>
        <v>Heart Failure</v>
      </c>
      <c r="AC868" s="4" t="str">
        <f>VLOOKUP(J868,Diagnosis_Guide!$A:$C,3,0)</f>
        <v>Cardiovascular</v>
      </c>
      <c r="AD868" s="4" t="str">
        <f>VLOOKUP(R868,Insurance_Plans!$A:$C,3,0)</f>
        <v>Public</v>
      </c>
      <c r="AE868" s="13" t="str">
        <f t="shared" si="39"/>
        <v/>
      </c>
      <c r="AF868" s="13" t="str">
        <f t="shared" si="40"/>
        <v/>
      </c>
      <c r="AG868" s="4" t="str">
        <f t="shared" si="41"/>
        <v>Not Available</v>
      </c>
    </row>
    <row r="869" spans="1:33">
      <c r="A869" t="s">
        <v>1549</v>
      </c>
      <c r="B869" t="s">
        <v>1550</v>
      </c>
      <c r="C869" s="11">
        <v>46151</v>
      </c>
      <c r="D869" t="s">
        <v>363</v>
      </c>
      <c r="E869" t="s">
        <v>314</v>
      </c>
      <c r="F869" s="4"/>
      <c r="G869" s="4"/>
      <c r="H869" t="s">
        <v>90</v>
      </c>
      <c r="I869" t="s">
        <v>162</v>
      </c>
      <c r="J869" t="s">
        <v>92</v>
      </c>
      <c r="K869" t="s">
        <v>73</v>
      </c>
      <c r="L869" t="s">
        <v>74</v>
      </c>
      <c r="M869" s="5"/>
      <c r="N869" s="5"/>
      <c r="O869" s="5"/>
      <c r="P869" s="5"/>
      <c r="R869" t="s">
        <v>141</v>
      </c>
      <c r="S869" t="s">
        <v>63</v>
      </c>
      <c r="T869" s="5"/>
      <c r="U869" s="6"/>
      <c r="V869" t="s">
        <v>64</v>
      </c>
      <c r="W869" s="4"/>
      <c r="X869" t="s">
        <v>65</v>
      </c>
      <c r="Z869" t="s">
        <v>66</v>
      </c>
      <c r="AA869" t="str">
        <f>VLOOKUP(H869,Departments!$A:$B,2,0)</f>
        <v>Cardiology</v>
      </c>
      <c r="AB869" t="str">
        <f>VLOOKUP(J869,Diagnosis_Guide!$A:$B,2,0)</f>
        <v>Heart Failure</v>
      </c>
      <c r="AC869" s="4" t="str">
        <f>VLOOKUP(J869,Diagnosis_Guide!$A:$C,3,0)</f>
        <v>Cardiovascular</v>
      </c>
      <c r="AD869" s="4" t="str">
        <f>VLOOKUP(R869,Insurance_Plans!$A:$C,3,0)</f>
        <v>Private</v>
      </c>
      <c r="AE869" s="13" t="str">
        <f t="shared" si="39"/>
        <v/>
      </c>
      <c r="AF869" s="13" t="str">
        <f t="shared" si="40"/>
        <v/>
      </c>
      <c r="AG869" s="4" t="str">
        <f t="shared" si="41"/>
        <v>Not Available</v>
      </c>
    </row>
    <row r="870" spans="1:33">
      <c r="A870" t="s">
        <v>1551</v>
      </c>
      <c r="B870" t="s">
        <v>1136</v>
      </c>
      <c r="C870" s="11">
        <v>46153</v>
      </c>
      <c r="D870" t="s">
        <v>183</v>
      </c>
      <c r="E870" t="s">
        <v>70</v>
      </c>
      <c r="F870" s="4">
        <v>46154</v>
      </c>
      <c r="G870" s="4">
        <v>46157</v>
      </c>
      <c r="H870" t="s">
        <v>178</v>
      </c>
      <c r="I870" t="s">
        <v>339</v>
      </c>
      <c r="J870" t="s">
        <v>180</v>
      </c>
      <c r="K870" t="s">
        <v>93</v>
      </c>
      <c r="L870" t="s">
        <v>94</v>
      </c>
      <c r="M870" s="5">
        <v>76700</v>
      </c>
      <c r="N870" s="5">
        <v>7250</v>
      </c>
      <c r="O870" s="5">
        <v>14750</v>
      </c>
      <c r="P870" s="5">
        <v>10500</v>
      </c>
      <c r="Q870" s="13">
        <v>110000</v>
      </c>
      <c r="R870" t="s">
        <v>95</v>
      </c>
      <c r="S870" t="s">
        <v>63</v>
      </c>
      <c r="T870" s="5">
        <v>110000</v>
      </c>
      <c r="U870" s="6">
        <v>2</v>
      </c>
      <c r="V870" t="s">
        <v>77</v>
      </c>
      <c r="W870" s="4">
        <v>46169</v>
      </c>
      <c r="X870" t="s">
        <v>64</v>
      </c>
      <c r="Y870" t="s">
        <v>64</v>
      </c>
      <c r="Z870" t="s">
        <v>78</v>
      </c>
      <c r="AA870" t="str">
        <f>VLOOKUP(H870,Departments!$A:$B,2,0)</f>
        <v>Surgery</v>
      </c>
      <c r="AB870" t="str">
        <f>VLOOKUP(J870,Diagnosis_Guide!$A:$B,2,0)</f>
        <v>Appendicitis Surgery</v>
      </c>
      <c r="AC870" s="4" t="str">
        <f>VLOOKUP(J870,Diagnosis_Guide!$A:$C,3,0)</f>
        <v>Surgical</v>
      </c>
      <c r="AD870" s="4" t="str">
        <f>VLOOKUP(R870,Insurance_Plans!$A:$C,3,0)</f>
        <v>Self-Pay</v>
      </c>
      <c r="AE870" s="13">
        <f t="shared" si="39"/>
        <v>5500</v>
      </c>
      <c r="AF870" s="13">
        <f t="shared" si="40"/>
        <v>115500</v>
      </c>
      <c r="AG870" s="4" t="str">
        <f t="shared" si="41"/>
        <v>Low</v>
      </c>
    </row>
    <row r="871" spans="1:33">
      <c r="A871" t="s">
        <v>1552</v>
      </c>
      <c r="B871" t="s">
        <v>532</v>
      </c>
      <c r="C871" s="11">
        <v>46170</v>
      </c>
      <c r="D871" t="s">
        <v>110</v>
      </c>
      <c r="E871" t="s">
        <v>70</v>
      </c>
      <c r="F871" s="4">
        <v>46170</v>
      </c>
      <c r="G871" s="4">
        <v>46171</v>
      </c>
      <c r="H871" t="s">
        <v>90</v>
      </c>
      <c r="I871" t="s">
        <v>91</v>
      </c>
      <c r="J871" t="s">
        <v>197</v>
      </c>
      <c r="K871" t="s">
        <v>60</v>
      </c>
      <c r="L871" t="s">
        <v>61</v>
      </c>
      <c r="M871" s="5">
        <v>25200</v>
      </c>
      <c r="N871" s="5">
        <v>3600</v>
      </c>
      <c r="O871" s="5">
        <v>4100</v>
      </c>
      <c r="P871" s="5">
        <v>3000</v>
      </c>
      <c r="Q871" s="13">
        <v>37100</v>
      </c>
      <c r="R871" t="s">
        <v>75</v>
      </c>
      <c r="S871" t="s">
        <v>76</v>
      </c>
      <c r="T871" s="5">
        <v>17000</v>
      </c>
      <c r="U871" s="6">
        <v>3</v>
      </c>
      <c r="V871" t="s">
        <v>77</v>
      </c>
      <c r="W871" s="4">
        <v>46192</v>
      </c>
      <c r="X871" t="s">
        <v>77</v>
      </c>
      <c r="Y871" t="s">
        <v>64</v>
      </c>
      <c r="Z871" t="s">
        <v>96</v>
      </c>
      <c r="AA871" t="str">
        <f>VLOOKUP(H871,Departments!$A:$B,2,0)</f>
        <v>Cardiology</v>
      </c>
      <c r="AB871" t="str">
        <f>VLOOKUP(J871,Diagnosis_Guide!$A:$B,2,0)</f>
        <v>Chest Pain</v>
      </c>
      <c r="AC871" s="4" t="str">
        <f>VLOOKUP(J871,Diagnosis_Guide!$A:$C,3,0)</f>
        <v>Cardiovascular</v>
      </c>
      <c r="AD871" s="4" t="str">
        <f>VLOOKUP(R871,Insurance_Plans!$A:$C,3,0)</f>
        <v>Public</v>
      </c>
      <c r="AE871" s="13">
        <f t="shared" si="39"/>
        <v>1855</v>
      </c>
      <c r="AF871" s="13">
        <f t="shared" si="40"/>
        <v>38955</v>
      </c>
      <c r="AG871" s="4" t="str">
        <f t="shared" si="41"/>
        <v>Medium</v>
      </c>
    </row>
    <row r="872" spans="1:33">
      <c r="A872" t="s">
        <v>1553</v>
      </c>
      <c r="B872" t="s">
        <v>1554</v>
      </c>
      <c r="C872" s="11">
        <v>46151</v>
      </c>
      <c r="D872" t="s">
        <v>302</v>
      </c>
      <c r="E872" t="s">
        <v>70</v>
      </c>
      <c r="F872" s="4">
        <v>46151</v>
      </c>
      <c r="G872" s="4">
        <v>46151</v>
      </c>
      <c r="H872" t="s">
        <v>121</v>
      </c>
      <c r="I872" t="s">
        <v>122</v>
      </c>
      <c r="J872" t="s">
        <v>252</v>
      </c>
      <c r="K872" t="s">
        <v>60</v>
      </c>
      <c r="L872" t="s">
        <v>74</v>
      </c>
      <c r="M872" s="5">
        <v>96300</v>
      </c>
      <c r="N872" s="5">
        <v>16100</v>
      </c>
      <c r="O872" s="5">
        <v>12050</v>
      </c>
      <c r="P872" s="5">
        <v>0</v>
      </c>
      <c r="Q872" s="13">
        <v>125450</v>
      </c>
      <c r="R872" t="s">
        <v>95</v>
      </c>
      <c r="S872" t="s">
        <v>63</v>
      </c>
      <c r="T872" s="5">
        <v>125450</v>
      </c>
      <c r="U872" s="6">
        <v>4</v>
      </c>
      <c r="V872" t="s">
        <v>64</v>
      </c>
      <c r="W872" s="4"/>
      <c r="X872" t="s">
        <v>65</v>
      </c>
      <c r="Y872" t="s">
        <v>64</v>
      </c>
      <c r="Z872" t="s">
        <v>78</v>
      </c>
      <c r="AA872" t="str">
        <f>VLOOKUP(H872,Departments!$A:$B,2,0)</f>
        <v>Neurology</v>
      </c>
      <c r="AB872" t="str">
        <f>VLOOKUP(J872,Diagnosis_Guide!$A:$B,2,0)</f>
        <v>Stroke Assessment</v>
      </c>
      <c r="AC872" s="4" t="str">
        <f>VLOOKUP(J872,Diagnosis_Guide!$A:$C,3,0)</f>
        <v>Neurological</v>
      </c>
      <c r="AD872" s="4" t="str">
        <f>VLOOKUP(R872,Insurance_Plans!$A:$C,3,0)</f>
        <v>Self-Pay</v>
      </c>
      <c r="AE872" s="13">
        <f t="shared" si="39"/>
        <v>6272.5</v>
      </c>
      <c r="AF872" s="13">
        <f t="shared" si="40"/>
        <v>131722.5</v>
      </c>
      <c r="AG872" s="4" t="str">
        <f t="shared" si="41"/>
        <v>High</v>
      </c>
    </row>
    <row r="873" spans="1:33">
      <c r="A873" t="s">
        <v>1555</v>
      </c>
      <c r="B873" t="s">
        <v>1556</v>
      </c>
      <c r="C873" s="11">
        <v>46145</v>
      </c>
      <c r="D873" t="s">
        <v>206</v>
      </c>
      <c r="E873" t="s">
        <v>70</v>
      </c>
      <c r="F873" s="4">
        <v>46145</v>
      </c>
      <c r="G873" s="4">
        <v>46148</v>
      </c>
      <c r="H873" t="s">
        <v>111</v>
      </c>
      <c r="I873" t="s">
        <v>222</v>
      </c>
      <c r="J873" t="s">
        <v>113</v>
      </c>
      <c r="K873" t="s">
        <v>93</v>
      </c>
      <c r="L873" t="s">
        <v>94</v>
      </c>
      <c r="M873" s="5">
        <v>22000</v>
      </c>
      <c r="N873" s="5">
        <v>2150</v>
      </c>
      <c r="O873" s="5">
        <v>2650</v>
      </c>
      <c r="P873" s="5">
        <v>18000</v>
      </c>
      <c r="Q873" s="13">
        <v>45800</v>
      </c>
      <c r="R873" t="s">
        <v>106</v>
      </c>
      <c r="S873" t="s">
        <v>76</v>
      </c>
      <c r="T873" s="5">
        <v>16730</v>
      </c>
      <c r="U873" s="6">
        <v>4</v>
      </c>
      <c r="V873" t="s">
        <v>64</v>
      </c>
      <c r="W873" s="4"/>
      <c r="X873" t="s">
        <v>65</v>
      </c>
      <c r="Y873" t="s">
        <v>64</v>
      </c>
      <c r="Z873" t="s">
        <v>96</v>
      </c>
      <c r="AA873" t="str">
        <f>VLOOKUP(H873,Departments!$A:$B,2,0)</f>
        <v>General Medicine</v>
      </c>
      <c r="AB873" t="str">
        <f>VLOOKUP(J873,Diagnosis_Guide!$A:$B,2,0)</f>
        <v>Diabetes Complication</v>
      </c>
      <c r="AC873" s="4" t="str">
        <f>VLOOKUP(J873,Diagnosis_Guide!$A:$C,3,0)</f>
        <v>Endocrine/General</v>
      </c>
      <c r="AD873" s="4" t="str">
        <f>VLOOKUP(R873,Insurance_Plans!$A:$C,3,0)</f>
        <v>Private</v>
      </c>
      <c r="AE873" s="13">
        <f t="shared" si="39"/>
        <v>2290</v>
      </c>
      <c r="AF873" s="13">
        <f t="shared" si="40"/>
        <v>48090</v>
      </c>
      <c r="AG873" s="4" t="str">
        <f t="shared" si="41"/>
        <v>High</v>
      </c>
    </row>
    <row r="874" spans="1:33">
      <c r="A874" t="s">
        <v>1557</v>
      </c>
      <c r="B874" t="s">
        <v>1280</v>
      </c>
      <c r="C874" s="11">
        <v>46053</v>
      </c>
      <c r="D874" t="s">
        <v>383</v>
      </c>
      <c r="E874" t="s">
        <v>70</v>
      </c>
      <c r="F874" s="4">
        <v>46053</v>
      </c>
      <c r="G874" s="4">
        <v>46058</v>
      </c>
      <c r="H874" t="s">
        <v>111</v>
      </c>
      <c r="I874" t="s">
        <v>112</v>
      </c>
      <c r="J874" t="s">
        <v>384</v>
      </c>
      <c r="K874" t="s">
        <v>73</v>
      </c>
      <c r="L874" t="s">
        <v>94</v>
      </c>
      <c r="M874" s="5">
        <v>65400</v>
      </c>
      <c r="N874" s="5">
        <v>11600</v>
      </c>
      <c r="O874" s="5">
        <v>11950</v>
      </c>
      <c r="P874" s="5">
        <v>22500</v>
      </c>
      <c r="Q874" s="13">
        <v>112250</v>
      </c>
      <c r="R874" t="s">
        <v>106</v>
      </c>
      <c r="S874" t="s">
        <v>86</v>
      </c>
      <c r="T874" s="5">
        <v>39990</v>
      </c>
      <c r="U874" s="6">
        <v>4</v>
      </c>
      <c r="V874" t="s">
        <v>64</v>
      </c>
      <c r="W874" s="4"/>
      <c r="X874" t="s">
        <v>65</v>
      </c>
      <c r="Y874" t="s">
        <v>64</v>
      </c>
      <c r="Z874" t="s">
        <v>78</v>
      </c>
      <c r="AA874" t="str">
        <f>VLOOKUP(H874,Departments!$A:$B,2,0)</f>
        <v>General Medicine</v>
      </c>
      <c r="AB874" t="str">
        <f>VLOOKUP(J874,Diagnosis_Guide!$A:$B,2,0)</f>
        <v>Severe Infection</v>
      </c>
      <c r="AC874" s="4" t="str">
        <f>VLOOKUP(J874,Diagnosis_Guide!$A:$C,3,0)</f>
        <v>Infectious/General</v>
      </c>
      <c r="AD874" s="4" t="str">
        <f>VLOOKUP(R874,Insurance_Plans!$A:$C,3,0)</f>
        <v>Private</v>
      </c>
      <c r="AE874" s="13">
        <f t="shared" si="39"/>
        <v>5612.5</v>
      </c>
      <c r="AF874" s="13">
        <f t="shared" si="40"/>
        <v>117862.5</v>
      </c>
      <c r="AG874" s="4" t="str">
        <f t="shared" si="41"/>
        <v>High</v>
      </c>
    </row>
    <row r="875" spans="1:33">
      <c r="A875" t="s">
        <v>1558</v>
      </c>
      <c r="B875" t="s">
        <v>88</v>
      </c>
      <c r="C875" s="11">
        <v>46046</v>
      </c>
      <c r="D875" t="s">
        <v>419</v>
      </c>
      <c r="E875" t="s">
        <v>70</v>
      </c>
      <c r="F875" s="4">
        <v>46046</v>
      </c>
      <c r="G875" s="4">
        <v>46046</v>
      </c>
      <c r="H875" t="s">
        <v>82</v>
      </c>
      <c r="I875" t="s">
        <v>83</v>
      </c>
      <c r="J875" t="s">
        <v>84</v>
      </c>
      <c r="K875" t="s">
        <v>93</v>
      </c>
      <c r="L875" t="s">
        <v>146</v>
      </c>
      <c r="M875" s="5">
        <v>9500</v>
      </c>
      <c r="N875" s="5">
        <v>1600</v>
      </c>
      <c r="O875" s="5">
        <v>1200</v>
      </c>
      <c r="P875" s="5">
        <v>0</v>
      </c>
      <c r="Q875" s="13">
        <v>14100</v>
      </c>
      <c r="R875" t="s">
        <v>75</v>
      </c>
      <c r="S875" t="s">
        <v>76</v>
      </c>
      <c r="T875" s="5">
        <v>6640</v>
      </c>
      <c r="U875" s="6">
        <v>5</v>
      </c>
      <c r="V875" t="s">
        <v>64</v>
      </c>
      <c r="W875" s="4"/>
      <c r="X875" t="s">
        <v>65</v>
      </c>
      <c r="Y875" t="s">
        <v>64</v>
      </c>
      <c r="Z875" t="s">
        <v>78</v>
      </c>
      <c r="AA875" t="str">
        <f>VLOOKUP(H875,Departments!$A:$B,2,0)</f>
        <v>Orthopedics</v>
      </c>
      <c r="AB875" t="str">
        <f>VLOOKUP(J875,Diagnosis_Guide!$A:$B,2,0)</f>
        <v>Joint Pain</v>
      </c>
      <c r="AC875" s="4" t="str">
        <f>VLOOKUP(J875,Diagnosis_Guide!$A:$C,3,0)</f>
        <v>Musculoskeletal</v>
      </c>
      <c r="AD875" s="4" t="str">
        <f>VLOOKUP(R875,Insurance_Plans!$A:$C,3,0)</f>
        <v>Public</v>
      </c>
      <c r="AE875" s="13">
        <f t="shared" si="39"/>
        <v>705</v>
      </c>
      <c r="AF875" s="13">
        <f t="shared" si="40"/>
        <v>14805</v>
      </c>
      <c r="AG875" s="4" t="str">
        <f t="shared" si="41"/>
        <v>High</v>
      </c>
    </row>
    <row r="876" spans="1:33">
      <c r="A876" t="s">
        <v>1559</v>
      </c>
      <c r="B876" t="s">
        <v>615</v>
      </c>
      <c r="C876" s="11">
        <v>46049</v>
      </c>
      <c r="D876" t="s">
        <v>217</v>
      </c>
      <c r="E876" t="s">
        <v>70</v>
      </c>
      <c r="F876" s="4">
        <v>46049</v>
      </c>
      <c r="G876" s="4">
        <v>46052</v>
      </c>
      <c r="H876" t="s">
        <v>201</v>
      </c>
      <c r="I876" t="s">
        <v>515</v>
      </c>
      <c r="J876" t="s">
        <v>203</v>
      </c>
      <c r="K876" t="s">
        <v>73</v>
      </c>
      <c r="L876" t="s">
        <v>74</v>
      </c>
      <c r="M876" s="5">
        <v>32800</v>
      </c>
      <c r="N876" s="5">
        <v>4750</v>
      </c>
      <c r="O876" s="5">
        <v>5050</v>
      </c>
      <c r="P876" s="5">
        <v>7500</v>
      </c>
      <c r="Q876" s="13">
        <v>51300</v>
      </c>
      <c r="R876" t="s">
        <v>134</v>
      </c>
      <c r="S876" t="s">
        <v>76</v>
      </c>
      <c r="T876" s="5">
        <v>28420</v>
      </c>
      <c r="U876" s="6">
        <v>4</v>
      </c>
      <c r="V876" t="s">
        <v>77</v>
      </c>
      <c r="W876" s="4">
        <v>46059</v>
      </c>
      <c r="X876" t="s">
        <v>64</v>
      </c>
      <c r="Y876" t="s">
        <v>64</v>
      </c>
      <c r="Z876" t="s">
        <v>96</v>
      </c>
      <c r="AA876" t="str">
        <f>VLOOKUP(H876,Departments!$A:$B,2,0)</f>
        <v>Emergency</v>
      </c>
      <c r="AB876" t="str">
        <f>VLOOKUP(J876,Diagnosis_Guide!$A:$B,2,0)</f>
        <v>Trauma Observation</v>
      </c>
      <c r="AC876" s="4" t="str">
        <f>VLOOKUP(J876,Diagnosis_Guide!$A:$C,3,0)</f>
        <v>Emergency</v>
      </c>
      <c r="AD876" s="4" t="str">
        <f>VLOOKUP(R876,Insurance_Plans!$A:$C,3,0)</f>
        <v>Community</v>
      </c>
      <c r="AE876" s="13">
        <f t="shared" si="39"/>
        <v>2565</v>
      </c>
      <c r="AF876" s="13">
        <f t="shared" si="40"/>
        <v>53865</v>
      </c>
      <c r="AG876" s="4" t="str">
        <f t="shared" si="41"/>
        <v>High</v>
      </c>
    </row>
    <row r="877" spans="1:33">
      <c r="A877" t="s">
        <v>1560</v>
      </c>
      <c r="B877" t="s">
        <v>1335</v>
      </c>
      <c r="C877" s="11">
        <v>46100</v>
      </c>
      <c r="D877" t="s">
        <v>149</v>
      </c>
      <c r="E877" t="s">
        <v>70</v>
      </c>
      <c r="F877" s="4">
        <v>46100</v>
      </c>
      <c r="G877" s="4">
        <v>46107</v>
      </c>
      <c r="H877" t="s">
        <v>111</v>
      </c>
      <c r="I877" t="s">
        <v>397</v>
      </c>
      <c r="J877" t="s">
        <v>384</v>
      </c>
      <c r="K877" t="s">
        <v>124</v>
      </c>
      <c r="L877" t="s">
        <v>94</v>
      </c>
      <c r="M877" s="5">
        <v>48500</v>
      </c>
      <c r="N877" s="5">
        <v>8650</v>
      </c>
      <c r="O877" s="5">
        <v>7050</v>
      </c>
      <c r="P877" s="5">
        <v>42000</v>
      </c>
      <c r="Q877" s="13">
        <v>108200</v>
      </c>
      <c r="R877" t="s">
        <v>95</v>
      </c>
      <c r="S877" t="s">
        <v>63</v>
      </c>
      <c r="T877" s="5">
        <v>108200</v>
      </c>
      <c r="U877" s="6">
        <v>5</v>
      </c>
      <c r="V877" t="s">
        <v>77</v>
      </c>
      <c r="W877" s="4">
        <v>46123</v>
      </c>
      <c r="X877" t="s">
        <v>77</v>
      </c>
      <c r="Y877" t="s">
        <v>64</v>
      </c>
      <c r="Z877" t="s">
        <v>78</v>
      </c>
      <c r="AA877" t="str">
        <f>VLOOKUP(H877,Departments!$A:$B,2,0)</f>
        <v>General Medicine</v>
      </c>
      <c r="AB877" t="str">
        <f>VLOOKUP(J877,Diagnosis_Guide!$A:$B,2,0)</f>
        <v>Severe Infection</v>
      </c>
      <c r="AC877" s="4" t="str">
        <f>VLOOKUP(J877,Diagnosis_Guide!$A:$C,3,0)</f>
        <v>Infectious/General</v>
      </c>
      <c r="AD877" s="4" t="str">
        <f>VLOOKUP(R877,Insurance_Plans!$A:$C,3,0)</f>
        <v>Self-Pay</v>
      </c>
      <c r="AE877" s="13">
        <f t="shared" si="39"/>
        <v>5410</v>
      </c>
      <c r="AF877" s="13">
        <f t="shared" si="40"/>
        <v>113610</v>
      </c>
      <c r="AG877" s="4" t="str">
        <f t="shared" si="41"/>
        <v>High</v>
      </c>
    </row>
    <row r="878" spans="1:33">
      <c r="A878" t="s">
        <v>1561</v>
      </c>
      <c r="B878" t="s">
        <v>1562</v>
      </c>
      <c r="C878" s="11">
        <v>46049</v>
      </c>
      <c r="D878" t="s">
        <v>234</v>
      </c>
      <c r="E878" t="s">
        <v>177</v>
      </c>
      <c r="F878" s="4"/>
      <c r="G878" s="4"/>
      <c r="H878" t="s">
        <v>201</v>
      </c>
      <c r="I878" t="s">
        <v>515</v>
      </c>
      <c r="J878" t="s">
        <v>203</v>
      </c>
      <c r="K878" t="s">
        <v>73</v>
      </c>
      <c r="L878" t="s">
        <v>146</v>
      </c>
      <c r="M878" s="5"/>
      <c r="N878" s="5"/>
      <c r="O878" s="5"/>
      <c r="P878" s="5"/>
      <c r="R878" t="s">
        <v>85</v>
      </c>
      <c r="S878" t="s">
        <v>63</v>
      </c>
      <c r="T878" s="5"/>
      <c r="U878" s="6"/>
      <c r="V878" t="s">
        <v>64</v>
      </c>
      <c r="W878" s="4"/>
      <c r="X878" t="s">
        <v>65</v>
      </c>
      <c r="Z878" t="s">
        <v>66</v>
      </c>
      <c r="AA878" t="str">
        <f>VLOOKUP(H878,Departments!$A:$B,2,0)</f>
        <v>Emergency</v>
      </c>
      <c r="AB878" t="str">
        <f>VLOOKUP(J878,Diagnosis_Guide!$A:$B,2,0)</f>
        <v>Trauma Observation</v>
      </c>
      <c r="AC878" s="4" t="str">
        <f>VLOOKUP(J878,Diagnosis_Guide!$A:$C,3,0)</f>
        <v>Emergency</v>
      </c>
      <c r="AD878" s="4" t="str">
        <f>VLOOKUP(R878,Insurance_Plans!$A:$C,3,0)</f>
        <v>Employer</v>
      </c>
      <c r="AE878" s="13" t="str">
        <f t="shared" si="39"/>
        <v/>
      </c>
      <c r="AF878" s="13" t="str">
        <f t="shared" si="40"/>
        <v/>
      </c>
      <c r="AG878" s="4" t="str">
        <f t="shared" si="41"/>
        <v>Not Available</v>
      </c>
    </row>
    <row r="879" spans="1:33">
      <c r="A879" t="s">
        <v>1563</v>
      </c>
      <c r="B879" t="s">
        <v>909</v>
      </c>
      <c r="C879" s="11">
        <v>46157</v>
      </c>
      <c r="D879" t="s">
        <v>298</v>
      </c>
      <c r="E879" t="s">
        <v>70</v>
      </c>
      <c r="F879" s="4">
        <v>46158</v>
      </c>
      <c r="G879" s="4">
        <v>46158</v>
      </c>
      <c r="H879" t="s">
        <v>90</v>
      </c>
      <c r="I879" t="s">
        <v>299</v>
      </c>
      <c r="J879" t="s">
        <v>197</v>
      </c>
      <c r="K879" t="s">
        <v>60</v>
      </c>
      <c r="L879" t="s">
        <v>94</v>
      </c>
      <c r="M879" s="5">
        <v>14500</v>
      </c>
      <c r="N879" s="5">
        <v>2150</v>
      </c>
      <c r="O879" s="5">
        <v>2850</v>
      </c>
      <c r="P879" s="5">
        <v>0</v>
      </c>
      <c r="Q879" s="13">
        <v>21000</v>
      </c>
      <c r="R879" t="s">
        <v>141</v>
      </c>
      <c r="S879" t="s">
        <v>86</v>
      </c>
      <c r="T879" s="5">
        <v>4350</v>
      </c>
      <c r="U879" s="6">
        <v>5</v>
      </c>
      <c r="V879" t="s">
        <v>64</v>
      </c>
      <c r="W879" s="4"/>
      <c r="X879" t="s">
        <v>65</v>
      </c>
      <c r="Y879" t="s">
        <v>64</v>
      </c>
      <c r="Z879" t="s">
        <v>78</v>
      </c>
      <c r="AA879" t="str">
        <f>VLOOKUP(H879,Departments!$A:$B,2,0)</f>
        <v>Cardiology</v>
      </c>
      <c r="AB879" t="str">
        <f>VLOOKUP(J879,Diagnosis_Guide!$A:$B,2,0)</f>
        <v>Chest Pain</v>
      </c>
      <c r="AC879" s="4" t="str">
        <f>VLOOKUP(J879,Diagnosis_Guide!$A:$C,3,0)</f>
        <v>Cardiovascular</v>
      </c>
      <c r="AD879" s="4" t="str">
        <f>VLOOKUP(R879,Insurance_Plans!$A:$C,3,0)</f>
        <v>Private</v>
      </c>
      <c r="AE879" s="13">
        <f t="shared" si="39"/>
        <v>1050</v>
      </c>
      <c r="AF879" s="13">
        <f t="shared" si="40"/>
        <v>22050</v>
      </c>
      <c r="AG879" s="4" t="str">
        <f t="shared" si="41"/>
        <v>High</v>
      </c>
    </row>
    <row r="880" spans="1:33">
      <c r="A880" t="s">
        <v>1564</v>
      </c>
      <c r="B880" t="s">
        <v>1110</v>
      </c>
      <c r="C880" s="11">
        <v>46045</v>
      </c>
      <c r="D880" t="s">
        <v>225</v>
      </c>
      <c r="E880" t="s">
        <v>70</v>
      </c>
      <c r="F880" s="4">
        <v>46045</v>
      </c>
      <c r="G880" s="4">
        <v>46045</v>
      </c>
      <c r="H880" t="s">
        <v>138</v>
      </c>
      <c r="I880" t="s">
        <v>139</v>
      </c>
      <c r="J880" t="s">
        <v>261</v>
      </c>
      <c r="K880" t="s">
        <v>60</v>
      </c>
      <c r="L880" t="s">
        <v>94</v>
      </c>
      <c r="M880" s="5">
        <v>6200</v>
      </c>
      <c r="N880" s="5">
        <v>850</v>
      </c>
      <c r="O880" s="5">
        <v>1050</v>
      </c>
      <c r="P880" s="5">
        <v>0</v>
      </c>
      <c r="Q880" s="13">
        <v>10100</v>
      </c>
      <c r="R880" t="s">
        <v>95</v>
      </c>
      <c r="S880" t="s">
        <v>63</v>
      </c>
      <c r="T880" s="5">
        <v>10100</v>
      </c>
      <c r="U880" s="6">
        <v>5</v>
      </c>
      <c r="V880" t="s">
        <v>77</v>
      </c>
      <c r="W880" s="4">
        <v>46052</v>
      </c>
      <c r="X880" t="s">
        <v>77</v>
      </c>
      <c r="Y880" t="s">
        <v>64</v>
      </c>
      <c r="Z880" t="s">
        <v>96</v>
      </c>
      <c r="AA880" t="str">
        <f>VLOOKUP(H880,Departments!$A:$B,2,0)</f>
        <v>Pediatrics</v>
      </c>
      <c r="AB880" t="str">
        <f>VLOOKUP(J880,Diagnosis_Guide!$A:$B,2,0)</f>
        <v>Child Fever</v>
      </c>
      <c r="AC880" s="4" t="str">
        <f>VLOOKUP(J880,Diagnosis_Guide!$A:$C,3,0)</f>
        <v>Pediatric</v>
      </c>
      <c r="AD880" s="4" t="str">
        <f>VLOOKUP(R880,Insurance_Plans!$A:$C,3,0)</f>
        <v>Self-Pay</v>
      </c>
      <c r="AE880" s="13">
        <f t="shared" si="39"/>
        <v>505</v>
      </c>
      <c r="AF880" s="13">
        <f t="shared" si="40"/>
        <v>10605</v>
      </c>
      <c r="AG880" s="4" t="str">
        <f t="shared" si="41"/>
        <v>High</v>
      </c>
    </row>
    <row r="881" spans="1:33">
      <c r="A881" t="s">
        <v>1565</v>
      </c>
      <c r="B881" t="s">
        <v>684</v>
      </c>
      <c r="C881" s="11">
        <v>46060</v>
      </c>
      <c r="D881" t="s">
        <v>144</v>
      </c>
      <c r="E881" t="s">
        <v>70</v>
      </c>
      <c r="F881" s="4">
        <v>46060</v>
      </c>
      <c r="G881" s="4">
        <v>46061</v>
      </c>
      <c r="H881" t="s">
        <v>103</v>
      </c>
      <c r="I881" t="s">
        <v>214</v>
      </c>
      <c r="J881" t="s">
        <v>145</v>
      </c>
      <c r="K881" t="s">
        <v>60</v>
      </c>
      <c r="L881" t="s">
        <v>94</v>
      </c>
      <c r="M881" s="5">
        <v>34100</v>
      </c>
      <c r="N881" s="5">
        <v>2800</v>
      </c>
      <c r="O881" s="5">
        <v>8150</v>
      </c>
      <c r="P881" s="5">
        <v>6000</v>
      </c>
      <c r="Q881" s="13">
        <v>51850</v>
      </c>
      <c r="R881" t="s">
        <v>106</v>
      </c>
      <c r="S881" t="s">
        <v>86</v>
      </c>
      <c r="T881" s="5">
        <v>18850</v>
      </c>
      <c r="U881" s="6">
        <v>4</v>
      </c>
      <c r="V881" t="s">
        <v>77</v>
      </c>
      <c r="W881" s="4">
        <v>46076</v>
      </c>
      <c r="X881" t="s">
        <v>77</v>
      </c>
      <c r="Y881" t="s">
        <v>64</v>
      </c>
      <c r="Z881" t="s">
        <v>96</v>
      </c>
      <c r="AA881" t="str">
        <f>VLOOKUP(H881,Departments!$A:$B,2,0)</f>
        <v>Nephrology</v>
      </c>
      <c r="AB881" t="str">
        <f>VLOOKUP(J881,Diagnosis_Guide!$A:$B,2,0)</f>
        <v>Kidney Stone</v>
      </c>
      <c r="AC881" s="4" t="str">
        <f>VLOOKUP(J881,Diagnosis_Guide!$A:$C,3,0)</f>
        <v>Renal</v>
      </c>
      <c r="AD881" s="4" t="str">
        <f>VLOOKUP(R881,Insurance_Plans!$A:$C,3,0)</f>
        <v>Private</v>
      </c>
      <c r="AE881" s="13">
        <f t="shared" si="39"/>
        <v>2592.5</v>
      </c>
      <c r="AF881" s="13">
        <f t="shared" si="40"/>
        <v>54442.5</v>
      </c>
      <c r="AG881" s="4" t="str">
        <f t="shared" si="41"/>
        <v>High</v>
      </c>
    </row>
    <row r="882" spans="1:33">
      <c r="A882" t="s">
        <v>1566</v>
      </c>
      <c r="B882" t="s">
        <v>841</v>
      </c>
      <c r="C882" s="11">
        <v>46110</v>
      </c>
      <c r="D882" t="s">
        <v>225</v>
      </c>
      <c r="E882" t="s">
        <v>70</v>
      </c>
      <c r="F882" s="4">
        <v>46110</v>
      </c>
      <c r="G882" s="4">
        <v>46118</v>
      </c>
      <c r="H882" t="s">
        <v>201</v>
      </c>
      <c r="I882" t="s">
        <v>202</v>
      </c>
      <c r="J882" t="s">
        <v>295</v>
      </c>
      <c r="K882" t="s">
        <v>124</v>
      </c>
      <c r="L882" t="s">
        <v>94</v>
      </c>
      <c r="M882" s="5">
        <v>68500</v>
      </c>
      <c r="N882" s="5">
        <v>7250</v>
      </c>
      <c r="O882" s="5">
        <v>7200</v>
      </c>
      <c r="P882" s="5">
        <v>36000</v>
      </c>
      <c r="Q882" s="13">
        <v>121450</v>
      </c>
      <c r="R882" t="s">
        <v>106</v>
      </c>
      <c r="S882" t="s">
        <v>86</v>
      </c>
      <c r="T882" s="5">
        <v>43210</v>
      </c>
      <c r="U882" s="6">
        <v>4</v>
      </c>
      <c r="V882" t="s">
        <v>77</v>
      </c>
      <c r="W882" s="4">
        <v>46127</v>
      </c>
      <c r="X882" t="s">
        <v>77</v>
      </c>
      <c r="Y882" t="s">
        <v>64</v>
      </c>
      <c r="Z882" t="s">
        <v>78</v>
      </c>
      <c r="AA882" t="str">
        <f>VLOOKUP(H882,Departments!$A:$B,2,0)</f>
        <v>Emergency</v>
      </c>
      <c r="AB882" t="str">
        <f>VLOOKUP(J882,Diagnosis_Guide!$A:$B,2,0)</f>
        <v>Accident Injury</v>
      </c>
      <c r="AC882" s="4" t="str">
        <f>VLOOKUP(J882,Diagnosis_Guide!$A:$C,3,0)</f>
        <v>Emergency</v>
      </c>
      <c r="AD882" s="4" t="str">
        <f>VLOOKUP(R882,Insurance_Plans!$A:$C,3,0)</f>
        <v>Private</v>
      </c>
      <c r="AE882" s="13">
        <f t="shared" si="39"/>
        <v>6072.5</v>
      </c>
      <c r="AF882" s="13">
        <f t="shared" si="40"/>
        <v>127522.5</v>
      </c>
      <c r="AG882" s="4" t="str">
        <f t="shared" si="41"/>
        <v>High</v>
      </c>
    </row>
    <row r="883" spans="1:33">
      <c r="A883" t="s">
        <v>1567</v>
      </c>
      <c r="B883" t="s">
        <v>1376</v>
      </c>
      <c r="C883" s="11">
        <v>46036</v>
      </c>
      <c r="D883" t="s">
        <v>432</v>
      </c>
      <c r="E883" t="s">
        <v>338</v>
      </c>
      <c r="F883" s="4"/>
      <c r="G883" s="4"/>
      <c r="H883" t="s">
        <v>90</v>
      </c>
      <c r="I883" t="s">
        <v>128</v>
      </c>
      <c r="J883" t="s">
        <v>129</v>
      </c>
      <c r="K883" t="s">
        <v>73</v>
      </c>
      <c r="L883" t="s">
        <v>94</v>
      </c>
      <c r="M883" s="5"/>
      <c r="N883" s="5"/>
      <c r="O883" s="5"/>
      <c r="P883" s="5"/>
      <c r="R883" t="s">
        <v>75</v>
      </c>
      <c r="S883" t="s">
        <v>63</v>
      </c>
      <c r="T883" s="5"/>
      <c r="U883" s="6"/>
      <c r="V883" t="s">
        <v>64</v>
      </c>
      <c r="W883" s="4"/>
      <c r="X883" t="s">
        <v>65</v>
      </c>
      <c r="Z883" t="s">
        <v>66</v>
      </c>
      <c r="AA883" t="str">
        <f>VLOOKUP(H883,Departments!$A:$B,2,0)</f>
        <v>Cardiology</v>
      </c>
      <c r="AB883" t="str">
        <f>VLOOKUP(J883,Diagnosis_Guide!$A:$B,2,0)</f>
        <v>Hypertension Crisis</v>
      </c>
      <c r="AC883" s="4" t="str">
        <f>VLOOKUP(J883,Diagnosis_Guide!$A:$C,3,0)</f>
        <v>Cardiovascular</v>
      </c>
      <c r="AD883" s="4" t="str">
        <f>VLOOKUP(R883,Insurance_Plans!$A:$C,3,0)</f>
        <v>Public</v>
      </c>
      <c r="AE883" s="13" t="str">
        <f t="shared" si="39"/>
        <v/>
      </c>
      <c r="AF883" s="13" t="str">
        <f t="shared" si="40"/>
        <v/>
      </c>
      <c r="AG883" s="4" t="str">
        <f t="shared" si="41"/>
        <v>Not Available</v>
      </c>
    </row>
    <row r="884" spans="1:33">
      <c r="A884" t="s">
        <v>1568</v>
      </c>
      <c r="B884" t="s">
        <v>1076</v>
      </c>
      <c r="C884" s="11">
        <v>46094</v>
      </c>
      <c r="D884" t="s">
        <v>383</v>
      </c>
      <c r="E884" t="s">
        <v>70</v>
      </c>
      <c r="F884" s="4">
        <v>46094</v>
      </c>
      <c r="G884" s="4">
        <v>46096</v>
      </c>
      <c r="H884" t="s">
        <v>103</v>
      </c>
      <c r="I884" t="s">
        <v>214</v>
      </c>
      <c r="J884" t="s">
        <v>145</v>
      </c>
      <c r="K884" t="s">
        <v>73</v>
      </c>
      <c r="L884" t="s">
        <v>94</v>
      </c>
      <c r="M884" s="5">
        <v>23700</v>
      </c>
      <c r="N884" s="5">
        <v>3700</v>
      </c>
      <c r="O884" s="5">
        <v>4950</v>
      </c>
      <c r="P884" s="5">
        <v>12000</v>
      </c>
      <c r="Q884" s="13">
        <v>45150</v>
      </c>
      <c r="R884" t="s">
        <v>85</v>
      </c>
      <c r="S884" t="s">
        <v>163</v>
      </c>
      <c r="T884" s="5">
        <v>12190</v>
      </c>
      <c r="U884" s="6">
        <v>5</v>
      </c>
      <c r="V884" t="s">
        <v>77</v>
      </c>
      <c r="W884" s="4">
        <v>46106</v>
      </c>
      <c r="X884" t="s">
        <v>77</v>
      </c>
      <c r="Y884" t="s">
        <v>64</v>
      </c>
      <c r="Z884" t="s">
        <v>96</v>
      </c>
      <c r="AA884" t="str">
        <f>VLOOKUP(H884,Departments!$A:$B,2,0)</f>
        <v>Nephrology</v>
      </c>
      <c r="AB884" t="str">
        <f>VLOOKUP(J884,Diagnosis_Guide!$A:$B,2,0)</f>
        <v>Kidney Stone</v>
      </c>
      <c r="AC884" s="4" t="str">
        <f>VLOOKUP(J884,Diagnosis_Guide!$A:$C,3,0)</f>
        <v>Renal</v>
      </c>
      <c r="AD884" s="4" t="str">
        <f>VLOOKUP(R884,Insurance_Plans!$A:$C,3,0)</f>
        <v>Employer</v>
      </c>
      <c r="AE884" s="13">
        <f t="shared" si="39"/>
        <v>2257.5</v>
      </c>
      <c r="AF884" s="13">
        <f t="shared" si="40"/>
        <v>47407.5</v>
      </c>
      <c r="AG884" s="4" t="str">
        <f t="shared" si="41"/>
        <v>High</v>
      </c>
    </row>
    <row r="885" spans="1:33">
      <c r="A885" t="s">
        <v>1569</v>
      </c>
      <c r="B885" t="s">
        <v>799</v>
      </c>
      <c r="C885" s="11">
        <v>46082</v>
      </c>
      <c r="D885" t="s">
        <v>55</v>
      </c>
      <c r="E885" t="s">
        <v>70</v>
      </c>
      <c r="F885" s="4">
        <v>46082</v>
      </c>
      <c r="G885" s="4">
        <v>46083</v>
      </c>
      <c r="H885" t="s">
        <v>57</v>
      </c>
      <c r="I885" t="s">
        <v>184</v>
      </c>
      <c r="J885" t="s">
        <v>72</v>
      </c>
      <c r="K885" t="s">
        <v>60</v>
      </c>
      <c r="L885" t="s">
        <v>74</v>
      </c>
      <c r="M885" s="5">
        <v>7300</v>
      </c>
      <c r="N885" s="5">
        <v>750</v>
      </c>
      <c r="O885" s="5">
        <v>800</v>
      </c>
      <c r="P885" s="5">
        <v>6000</v>
      </c>
      <c r="Q885" s="13">
        <v>16050</v>
      </c>
      <c r="R885" t="s">
        <v>106</v>
      </c>
      <c r="S885" t="s">
        <v>76</v>
      </c>
      <c r="T885" s="5">
        <v>6320</v>
      </c>
      <c r="U885" s="6">
        <v>4</v>
      </c>
      <c r="V885" t="s">
        <v>64</v>
      </c>
      <c r="W885" s="4"/>
      <c r="X885" t="s">
        <v>65</v>
      </c>
      <c r="Y885" t="s">
        <v>64</v>
      </c>
      <c r="Z885" t="s">
        <v>96</v>
      </c>
      <c r="AA885" t="str">
        <f>VLOOKUP(H885,Departments!$A:$B,2,0)</f>
        <v>Pulmonology</v>
      </c>
      <c r="AB885" t="str">
        <f>VLOOKUP(J885,Diagnosis_Guide!$A:$B,2,0)</f>
        <v>Acute Bronchitis</v>
      </c>
      <c r="AC885" s="4" t="str">
        <f>VLOOKUP(J885,Diagnosis_Guide!$A:$C,3,0)</f>
        <v>Respiratory</v>
      </c>
      <c r="AD885" s="4" t="str">
        <f>VLOOKUP(R885,Insurance_Plans!$A:$C,3,0)</f>
        <v>Private</v>
      </c>
      <c r="AE885" s="13">
        <f t="shared" si="39"/>
        <v>802.5</v>
      </c>
      <c r="AF885" s="13">
        <f t="shared" si="40"/>
        <v>16852.5</v>
      </c>
      <c r="AG885" s="4" t="str">
        <f t="shared" si="41"/>
        <v>High</v>
      </c>
    </row>
    <row r="886" spans="1:33">
      <c r="A886" t="s">
        <v>1570</v>
      </c>
      <c r="B886" t="s">
        <v>794</v>
      </c>
      <c r="C886" s="11">
        <v>46107</v>
      </c>
      <c r="D886" t="s">
        <v>432</v>
      </c>
      <c r="E886" t="s">
        <v>70</v>
      </c>
      <c r="F886" s="4">
        <v>46107</v>
      </c>
      <c r="G886" s="4">
        <v>46107</v>
      </c>
      <c r="H886" t="s">
        <v>57</v>
      </c>
      <c r="I886" t="s">
        <v>58</v>
      </c>
      <c r="J886" t="s">
        <v>170</v>
      </c>
      <c r="K886" t="s">
        <v>60</v>
      </c>
      <c r="L886" t="s">
        <v>94</v>
      </c>
      <c r="M886" s="5">
        <v>72200</v>
      </c>
      <c r="N886" s="5">
        <v>11250</v>
      </c>
      <c r="O886" s="5">
        <v>8400</v>
      </c>
      <c r="P886" s="5">
        <v>0</v>
      </c>
      <c r="Q886" s="13">
        <v>94350</v>
      </c>
      <c r="R886" t="s">
        <v>75</v>
      </c>
      <c r="S886" t="s">
        <v>76</v>
      </c>
      <c r="T886" s="5">
        <v>42760</v>
      </c>
      <c r="U886" s="6">
        <v>3</v>
      </c>
      <c r="V886" t="s">
        <v>77</v>
      </c>
      <c r="W886" s="4">
        <v>46120</v>
      </c>
      <c r="X886" t="s">
        <v>64</v>
      </c>
      <c r="Y886" t="s">
        <v>64</v>
      </c>
      <c r="Z886" t="s">
        <v>96</v>
      </c>
      <c r="AA886" t="str">
        <f>VLOOKUP(H886,Departments!$A:$B,2,0)</f>
        <v>Pulmonology</v>
      </c>
      <c r="AB886" t="str">
        <f>VLOOKUP(J886,Diagnosis_Guide!$A:$B,2,0)</f>
        <v>COPD Exacerbation</v>
      </c>
      <c r="AC886" s="4" t="str">
        <f>VLOOKUP(J886,Diagnosis_Guide!$A:$C,3,0)</f>
        <v>Respiratory</v>
      </c>
      <c r="AD886" s="4" t="str">
        <f>VLOOKUP(R886,Insurance_Plans!$A:$C,3,0)</f>
        <v>Public</v>
      </c>
      <c r="AE886" s="13">
        <f t="shared" si="39"/>
        <v>4717.5</v>
      </c>
      <c r="AF886" s="13">
        <f t="shared" si="40"/>
        <v>99067.5</v>
      </c>
      <c r="AG886" s="4" t="str">
        <f t="shared" si="41"/>
        <v>Medium</v>
      </c>
    </row>
    <row r="887" spans="1:33">
      <c r="A887" t="s">
        <v>1571</v>
      </c>
      <c r="B887" t="s">
        <v>1572</v>
      </c>
      <c r="C887" s="11">
        <v>46125</v>
      </c>
      <c r="D887" t="s">
        <v>200</v>
      </c>
      <c r="E887" t="s">
        <v>255</v>
      </c>
      <c r="F887" s="4"/>
      <c r="G887" s="4"/>
      <c r="H887" t="s">
        <v>138</v>
      </c>
      <c r="I887" t="s">
        <v>444</v>
      </c>
      <c r="J887" t="s">
        <v>261</v>
      </c>
      <c r="K887" t="s">
        <v>124</v>
      </c>
      <c r="L887" t="s">
        <v>94</v>
      </c>
      <c r="M887" s="5"/>
      <c r="N887" s="5"/>
      <c r="O887" s="5"/>
      <c r="P887" s="5"/>
      <c r="R887" t="s">
        <v>134</v>
      </c>
      <c r="S887" t="s">
        <v>63</v>
      </c>
      <c r="T887" s="5"/>
      <c r="U887" s="6"/>
      <c r="V887" t="s">
        <v>64</v>
      </c>
      <c r="W887" s="4"/>
      <c r="X887" t="s">
        <v>65</v>
      </c>
      <c r="Z887" t="s">
        <v>66</v>
      </c>
      <c r="AA887" t="str">
        <f>VLOOKUP(H887,Departments!$A:$B,2,0)</f>
        <v>Pediatrics</v>
      </c>
      <c r="AB887" t="str">
        <f>VLOOKUP(J887,Diagnosis_Guide!$A:$B,2,0)</f>
        <v>Child Fever</v>
      </c>
      <c r="AC887" s="4" t="str">
        <f>VLOOKUP(J887,Diagnosis_Guide!$A:$C,3,0)</f>
        <v>Pediatric</v>
      </c>
      <c r="AD887" s="4" t="str">
        <f>VLOOKUP(R887,Insurance_Plans!$A:$C,3,0)</f>
        <v>Community</v>
      </c>
      <c r="AE887" s="13" t="str">
        <f t="shared" si="39"/>
        <v/>
      </c>
      <c r="AF887" s="13" t="str">
        <f t="shared" si="40"/>
        <v/>
      </c>
      <c r="AG887" s="4" t="str">
        <f t="shared" si="41"/>
        <v>Not Available</v>
      </c>
    </row>
    <row r="888" spans="1:33">
      <c r="A888" t="s">
        <v>1573</v>
      </c>
      <c r="B888" t="s">
        <v>1141</v>
      </c>
      <c r="C888" s="11">
        <v>46043</v>
      </c>
      <c r="D888" t="s">
        <v>210</v>
      </c>
      <c r="E888" t="s">
        <v>70</v>
      </c>
      <c r="F888" s="4">
        <v>46043</v>
      </c>
      <c r="G888" s="4">
        <v>46043</v>
      </c>
      <c r="H888" t="s">
        <v>138</v>
      </c>
      <c r="I888" t="s">
        <v>260</v>
      </c>
      <c r="J888" t="s">
        <v>140</v>
      </c>
      <c r="K888" t="s">
        <v>60</v>
      </c>
      <c r="L888" t="s">
        <v>74</v>
      </c>
      <c r="M888" s="5">
        <v>16600</v>
      </c>
      <c r="N888" s="5">
        <v>2300</v>
      </c>
      <c r="O888" s="5">
        <v>2050</v>
      </c>
      <c r="P888" s="5">
        <v>0</v>
      </c>
      <c r="Q888" s="13">
        <v>23450</v>
      </c>
      <c r="R888" t="s">
        <v>141</v>
      </c>
      <c r="S888" t="s">
        <v>76</v>
      </c>
      <c r="T888" s="5">
        <v>4720</v>
      </c>
      <c r="U888" s="6">
        <v>4</v>
      </c>
      <c r="V888" t="s">
        <v>77</v>
      </c>
      <c r="W888" s="4">
        <v>46061</v>
      </c>
      <c r="X888" t="s">
        <v>77</v>
      </c>
      <c r="Y888" t="s">
        <v>64</v>
      </c>
      <c r="Z888" t="s">
        <v>96</v>
      </c>
      <c r="AA888" t="str">
        <f>VLOOKUP(H888,Departments!$A:$B,2,0)</f>
        <v>Pediatrics</v>
      </c>
      <c r="AB888" t="str">
        <f>VLOOKUP(J888,Diagnosis_Guide!$A:$B,2,0)</f>
        <v>Pediatric Asthma</v>
      </c>
      <c r="AC888" s="4" t="str">
        <f>VLOOKUP(J888,Diagnosis_Guide!$A:$C,3,0)</f>
        <v>Pediatric</v>
      </c>
      <c r="AD888" s="4" t="str">
        <f>VLOOKUP(R888,Insurance_Plans!$A:$C,3,0)</f>
        <v>Private</v>
      </c>
      <c r="AE888" s="13">
        <f t="shared" si="39"/>
        <v>1172.5</v>
      </c>
      <c r="AF888" s="13">
        <f t="shared" si="40"/>
        <v>24622.5</v>
      </c>
      <c r="AG888" s="4" t="str">
        <f t="shared" si="41"/>
        <v>High</v>
      </c>
    </row>
    <row r="889" spans="1:33">
      <c r="A889" t="s">
        <v>1574</v>
      </c>
      <c r="B889" t="s">
        <v>1270</v>
      </c>
      <c r="C889" s="11">
        <v>46053</v>
      </c>
      <c r="D889" t="s">
        <v>137</v>
      </c>
      <c r="E889" t="s">
        <v>70</v>
      </c>
      <c r="F889" s="4">
        <v>46053</v>
      </c>
      <c r="G889" s="4">
        <v>46058</v>
      </c>
      <c r="H889" t="s">
        <v>178</v>
      </c>
      <c r="I889" t="s">
        <v>179</v>
      </c>
      <c r="J889" t="s">
        <v>358</v>
      </c>
      <c r="K889" t="s">
        <v>93</v>
      </c>
      <c r="L889" t="s">
        <v>74</v>
      </c>
      <c r="M889" s="5">
        <v>51400</v>
      </c>
      <c r="N889" s="5">
        <v>5700</v>
      </c>
      <c r="O889" s="5">
        <v>6000</v>
      </c>
      <c r="P889" s="5">
        <v>22500</v>
      </c>
      <c r="Q889" s="13">
        <v>86600</v>
      </c>
      <c r="R889" t="s">
        <v>141</v>
      </c>
      <c r="S889" t="s">
        <v>76</v>
      </c>
      <c r="T889" s="5">
        <v>14190</v>
      </c>
      <c r="U889" s="6">
        <v>5</v>
      </c>
      <c r="V889" t="s">
        <v>77</v>
      </c>
      <c r="W889" s="4">
        <v>46076</v>
      </c>
      <c r="X889" t="s">
        <v>77</v>
      </c>
      <c r="Y889" t="s">
        <v>64</v>
      </c>
      <c r="Z889" t="s">
        <v>96</v>
      </c>
      <c r="AA889" t="str">
        <f>VLOOKUP(H889,Departments!$A:$B,2,0)</f>
        <v>Surgery</v>
      </c>
      <c r="AB889" t="str">
        <f>VLOOKUP(J889,Diagnosis_Guide!$A:$B,2,0)</f>
        <v>Gallbladder Surgery</v>
      </c>
      <c r="AC889" s="4" t="str">
        <f>VLOOKUP(J889,Diagnosis_Guide!$A:$C,3,0)</f>
        <v>Surgical</v>
      </c>
      <c r="AD889" s="4" t="str">
        <f>VLOOKUP(R889,Insurance_Plans!$A:$C,3,0)</f>
        <v>Private</v>
      </c>
      <c r="AE889" s="13">
        <f t="shared" si="39"/>
        <v>4330</v>
      </c>
      <c r="AF889" s="13">
        <f t="shared" si="40"/>
        <v>90930</v>
      </c>
      <c r="AG889" s="4" t="str">
        <f t="shared" si="41"/>
        <v>High</v>
      </c>
    </row>
    <row r="890" spans="1:33">
      <c r="A890" t="s">
        <v>1575</v>
      </c>
      <c r="B890" t="s">
        <v>1123</v>
      </c>
      <c r="C890" s="11">
        <v>46044</v>
      </c>
      <c r="D890" t="s">
        <v>89</v>
      </c>
      <c r="E890" t="s">
        <v>70</v>
      </c>
      <c r="F890" s="4">
        <v>46044</v>
      </c>
      <c r="G890" s="4">
        <v>46044</v>
      </c>
      <c r="H890" t="s">
        <v>57</v>
      </c>
      <c r="I890" t="s">
        <v>100</v>
      </c>
      <c r="J890" t="s">
        <v>170</v>
      </c>
      <c r="K890" t="s">
        <v>60</v>
      </c>
      <c r="L890" t="s">
        <v>94</v>
      </c>
      <c r="M890" s="5">
        <v>77800</v>
      </c>
      <c r="N890" s="5">
        <v>7900</v>
      </c>
      <c r="O890" s="5">
        <v>16800</v>
      </c>
      <c r="P890" s="5">
        <v>0</v>
      </c>
      <c r="Q890" s="13">
        <v>104500</v>
      </c>
      <c r="R890" t="s">
        <v>85</v>
      </c>
      <c r="S890" t="s">
        <v>76</v>
      </c>
      <c r="T890" s="5">
        <v>27020</v>
      </c>
      <c r="U890" s="6">
        <v>4</v>
      </c>
      <c r="V890" t="s">
        <v>77</v>
      </c>
      <c r="W890" s="4">
        <v>46051</v>
      </c>
      <c r="X890" t="s">
        <v>77</v>
      </c>
      <c r="Y890" t="s">
        <v>64</v>
      </c>
      <c r="Z890" t="s">
        <v>78</v>
      </c>
      <c r="AA890" t="str">
        <f>VLOOKUP(H890,Departments!$A:$B,2,0)</f>
        <v>Pulmonology</v>
      </c>
      <c r="AB890" t="str">
        <f>VLOOKUP(J890,Diagnosis_Guide!$A:$B,2,0)</f>
        <v>COPD Exacerbation</v>
      </c>
      <c r="AC890" s="4" t="str">
        <f>VLOOKUP(J890,Diagnosis_Guide!$A:$C,3,0)</f>
        <v>Respiratory</v>
      </c>
      <c r="AD890" s="4" t="str">
        <f>VLOOKUP(R890,Insurance_Plans!$A:$C,3,0)</f>
        <v>Employer</v>
      </c>
      <c r="AE890" s="13">
        <f t="shared" si="39"/>
        <v>5225</v>
      </c>
      <c r="AF890" s="13">
        <f t="shared" si="40"/>
        <v>109725</v>
      </c>
      <c r="AG890" s="4" t="str">
        <f t="shared" si="41"/>
        <v>High</v>
      </c>
    </row>
    <row r="891" spans="1:33">
      <c r="A891" t="s">
        <v>1576</v>
      </c>
      <c r="B891" t="s">
        <v>265</v>
      </c>
      <c r="C891" s="11">
        <v>46073</v>
      </c>
      <c r="D891" t="s">
        <v>206</v>
      </c>
      <c r="E891" t="s">
        <v>70</v>
      </c>
      <c r="F891" s="4">
        <v>46074</v>
      </c>
      <c r="G891" s="4">
        <v>46075</v>
      </c>
      <c r="H891" t="s">
        <v>111</v>
      </c>
      <c r="I891" t="s">
        <v>112</v>
      </c>
      <c r="J891" t="s">
        <v>117</v>
      </c>
      <c r="K891" t="s">
        <v>124</v>
      </c>
      <c r="L891" t="s">
        <v>94</v>
      </c>
      <c r="M891" s="5">
        <v>7100</v>
      </c>
      <c r="N891" s="5">
        <v>850</v>
      </c>
      <c r="O891" s="5">
        <v>1750</v>
      </c>
      <c r="P891" s="5">
        <v>4500</v>
      </c>
      <c r="Q891" s="13">
        <v>15000</v>
      </c>
      <c r="R891" t="s">
        <v>75</v>
      </c>
      <c r="S891" t="s">
        <v>76</v>
      </c>
      <c r="T891" s="5">
        <v>7050</v>
      </c>
      <c r="U891" s="6">
        <v>4</v>
      </c>
      <c r="V891" t="s">
        <v>77</v>
      </c>
      <c r="W891" s="4">
        <v>46088</v>
      </c>
      <c r="X891" t="s">
        <v>64</v>
      </c>
      <c r="Y891" t="s">
        <v>64</v>
      </c>
      <c r="Z891" t="s">
        <v>96</v>
      </c>
      <c r="AA891" t="str">
        <f>VLOOKUP(H891,Departments!$A:$B,2,0)</f>
        <v>General Medicine</v>
      </c>
      <c r="AB891" t="str">
        <f>VLOOKUP(J891,Diagnosis_Guide!$A:$B,2,0)</f>
        <v>Fever Investigation</v>
      </c>
      <c r="AC891" s="4" t="str">
        <f>VLOOKUP(J891,Diagnosis_Guide!$A:$C,3,0)</f>
        <v>Infectious/General</v>
      </c>
      <c r="AD891" s="4" t="str">
        <f>VLOOKUP(R891,Insurance_Plans!$A:$C,3,0)</f>
        <v>Public</v>
      </c>
      <c r="AE891" s="13">
        <f t="shared" si="39"/>
        <v>750</v>
      </c>
      <c r="AF891" s="13">
        <f t="shared" si="40"/>
        <v>15750</v>
      </c>
      <c r="AG891" s="4" t="str">
        <f t="shared" si="41"/>
        <v>High</v>
      </c>
    </row>
    <row r="892" spans="1:33">
      <c r="A892" t="s">
        <v>1577</v>
      </c>
      <c r="B892" t="s">
        <v>1429</v>
      </c>
      <c r="C892" s="11">
        <v>46149</v>
      </c>
      <c r="D892" t="s">
        <v>217</v>
      </c>
      <c r="E892" t="s">
        <v>70</v>
      </c>
      <c r="F892" s="4">
        <v>46149</v>
      </c>
      <c r="G892" s="4">
        <v>46152</v>
      </c>
      <c r="H892" t="s">
        <v>138</v>
      </c>
      <c r="I892" t="s">
        <v>260</v>
      </c>
      <c r="J892" t="s">
        <v>236</v>
      </c>
      <c r="K892" t="s">
        <v>124</v>
      </c>
      <c r="L892" t="s">
        <v>74</v>
      </c>
      <c r="M892" s="5">
        <v>29500</v>
      </c>
      <c r="N892" s="5">
        <v>4150</v>
      </c>
      <c r="O892" s="5">
        <v>3650</v>
      </c>
      <c r="P892" s="5">
        <v>18000</v>
      </c>
      <c r="Q892" s="13">
        <v>57800</v>
      </c>
      <c r="R892" t="s">
        <v>95</v>
      </c>
      <c r="S892" t="s">
        <v>63</v>
      </c>
      <c r="T892" s="5">
        <v>57800</v>
      </c>
      <c r="U892" s="6">
        <v>3</v>
      </c>
      <c r="V892" t="s">
        <v>77</v>
      </c>
      <c r="W892" s="4">
        <v>46166</v>
      </c>
      <c r="X892" t="s">
        <v>64</v>
      </c>
      <c r="Y892" t="s">
        <v>64</v>
      </c>
      <c r="Z892" t="s">
        <v>96</v>
      </c>
      <c r="AA892" t="str">
        <f>VLOOKUP(H892,Departments!$A:$B,2,0)</f>
        <v>Pediatrics</v>
      </c>
      <c r="AB892" t="str">
        <f>VLOOKUP(J892,Diagnosis_Guide!$A:$B,2,0)</f>
        <v>Neonatal Observation</v>
      </c>
      <c r="AC892" s="4" t="str">
        <f>VLOOKUP(J892,Diagnosis_Guide!$A:$C,3,0)</f>
        <v>Pediatric</v>
      </c>
      <c r="AD892" s="4" t="str">
        <f>VLOOKUP(R892,Insurance_Plans!$A:$C,3,0)</f>
        <v>Self-Pay</v>
      </c>
      <c r="AE892" s="13">
        <f t="shared" si="39"/>
        <v>2890</v>
      </c>
      <c r="AF892" s="13">
        <f t="shared" si="40"/>
        <v>60690</v>
      </c>
      <c r="AG892" s="4" t="str">
        <f t="shared" si="41"/>
        <v>Medium</v>
      </c>
    </row>
    <row r="893" spans="1:33">
      <c r="A893" t="s">
        <v>1578</v>
      </c>
      <c r="B893" t="s">
        <v>530</v>
      </c>
      <c r="C893" s="11">
        <v>46078</v>
      </c>
      <c r="D893" t="s">
        <v>469</v>
      </c>
      <c r="E893" t="s">
        <v>314</v>
      </c>
      <c r="F893" s="4"/>
      <c r="G893" s="4"/>
      <c r="H893" t="s">
        <v>201</v>
      </c>
      <c r="I893" t="s">
        <v>515</v>
      </c>
      <c r="J893" t="s">
        <v>281</v>
      </c>
      <c r="K893" t="s">
        <v>73</v>
      </c>
      <c r="L893" t="s">
        <v>74</v>
      </c>
      <c r="M893" s="5"/>
      <c r="N893" s="5"/>
      <c r="O893" s="5"/>
      <c r="P893" s="5"/>
      <c r="R893" t="s">
        <v>75</v>
      </c>
      <c r="S893" t="s">
        <v>63</v>
      </c>
      <c r="T893" s="5"/>
      <c r="U893" s="6"/>
      <c r="V893" t="s">
        <v>64</v>
      </c>
      <c r="W893" s="4"/>
      <c r="X893" t="s">
        <v>65</v>
      </c>
      <c r="Z893" t="s">
        <v>66</v>
      </c>
      <c r="AA893" t="str">
        <f>VLOOKUP(H893,Departments!$A:$B,2,0)</f>
        <v>Emergency</v>
      </c>
      <c r="AB893" t="str">
        <f>VLOOKUP(J893,Diagnosis_Guide!$A:$B,2,0)</f>
        <v>Food Poisoning</v>
      </c>
      <c r="AC893" s="4" t="str">
        <f>VLOOKUP(J893,Diagnosis_Guide!$A:$C,3,0)</f>
        <v>Emergency</v>
      </c>
      <c r="AD893" s="4" t="str">
        <f>VLOOKUP(R893,Insurance_Plans!$A:$C,3,0)</f>
        <v>Public</v>
      </c>
      <c r="AE893" s="13" t="str">
        <f t="shared" si="39"/>
        <v/>
      </c>
      <c r="AF893" s="13" t="str">
        <f t="shared" si="40"/>
        <v/>
      </c>
      <c r="AG893" s="4" t="str">
        <f t="shared" si="41"/>
        <v>Not Available</v>
      </c>
    </row>
    <row r="894" spans="1:33">
      <c r="A894" t="s">
        <v>1579</v>
      </c>
      <c r="B894" t="s">
        <v>1332</v>
      </c>
      <c r="C894" s="11">
        <v>46089</v>
      </c>
      <c r="D894" t="s">
        <v>210</v>
      </c>
      <c r="E894" t="s">
        <v>70</v>
      </c>
      <c r="F894" s="4">
        <v>46090</v>
      </c>
      <c r="G894" s="4">
        <v>46095</v>
      </c>
      <c r="H894" t="s">
        <v>121</v>
      </c>
      <c r="I894" t="s">
        <v>174</v>
      </c>
      <c r="J894" t="s">
        <v>123</v>
      </c>
      <c r="K894" t="s">
        <v>73</v>
      </c>
      <c r="L894" t="s">
        <v>61</v>
      </c>
      <c r="M894" s="5">
        <v>31800</v>
      </c>
      <c r="N894" s="5">
        <v>4050</v>
      </c>
      <c r="O894" s="5">
        <v>4800</v>
      </c>
      <c r="P894" s="5">
        <v>30000</v>
      </c>
      <c r="Q894" s="13">
        <v>72450</v>
      </c>
      <c r="R894" t="s">
        <v>95</v>
      </c>
      <c r="S894" t="s">
        <v>63</v>
      </c>
      <c r="T894" s="5">
        <v>72450</v>
      </c>
      <c r="U894" s="6">
        <v>3</v>
      </c>
      <c r="V894" t="s">
        <v>64</v>
      </c>
      <c r="W894" s="4"/>
      <c r="X894" t="s">
        <v>65</v>
      </c>
      <c r="Y894" t="s">
        <v>77</v>
      </c>
      <c r="Z894" t="s">
        <v>96</v>
      </c>
      <c r="AA894" t="str">
        <f>VLOOKUP(H894,Departments!$A:$B,2,0)</f>
        <v>Neurology</v>
      </c>
      <c r="AB894" t="str">
        <f>VLOOKUP(J894,Diagnosis_Guide!$A:$B,2,0)</f>
        <v>Seizure Episode</v>
      </c>
      <c r="AC894" s="4" t="str">
        <f>VLOOKUP(J894,Diagnosis_Guide!$A:$C,3,0)</f>
        <v>Neurological</v>
      </c>
      <c r="AD894" s="4" t="str">
        <f>VLOOKUP(R894,Insurance_Plans!$A:$C,3,0)</f>
        <v>Self-Pay</v>
      </c>
      <c r="AE894" s="13">
        <f t="shared" si="39"/>
        <v>3622.5</v>
      </c>
      <c r="AF894" s="13">
        <f t="shared" si="40"/>
        <v>76072.5</v>
      </c>
      <c r="AG894" s="4" t="str">
        <f t="shared" si="41"/>
        <v>Medium</v>
      </c>
    </row>
    <row r="895" spans="1:33">
      <c r="A895" t="s">
        <v>1580</v>
      </c>
      <c r="B895" t="s">
        <v>1581</v>
      </c>
      <c r="C895" s="11">
        <v>46109</v>
      </c>
      <c r="D895" t="s">
        <v>69</v>
      </c>
      <c r="E895" t="s">
        <v>70</v>
      </c>
      <c r="F895" s="4">
        <v>46109</v>
      </c>
      <c r="G895" s="4">
        <v>46109</v>
      </c>
      <c r="H895" t="s">
        <v>57</v>
      </c>
      <c r="I895" t="s">
        <v>71</v>
      </c>
      <c r="J895" t="s">
        <v>59</v>
      </c>
      <c r="K895" t="s">
        <v>60</v>
      </c>
      <c r="L895" t="s">
        <v>74</v>
      </c>
      <c r="M895" s="5">
        <v>49300</v>
      </c>
      <c r="N895" s="5">
        <v>6300</v>
      </c>
      <c r="O895" s="5">
        <v>8200</v>
      </c>
      <c r="P895" s="5">
        <v>0</v>
      </c>
      <c r="Q895" s="13">
        <v>65600</v>
      </c>
      <c r="R895" t="s">
        <v>141</v>
      </c>
      <c r="S895" t="s">
        <v>76</v>
      </c>
      <c r="T895" s="5">
        <v>11040</v>
      </c>
      <c r="U895" s="6">
        <v>4</v>
      </c>
      <c r="V895" t="s">
        <v>77</v>
      </c>
      <c r="W895" s="4">
        <v>46130</v>
      </c>
      <c r="X895" t="s">
        <v>77</v>
      </c>
      <c r="Y895" t="s">
        <v>77</v>
      </c>
      <c r="Z895" t="s">
        <v>78</v>
      </c>
      <c r="AA895" t="str">
        <f>VLOOKUP(H895,Departments!$A:$B,2,0)</f>
        <v>Pulmonology</v>
      </c>
      <c r="AB895" t="str">
        <f>VLOOKUP(J895,Diagnosis_Guide!$A:$B,2,0)</f>
        <v>Pneumonia</v>
      </c>
      <c r="AC895" s="4" t="str">
        <f>VLOOKUP(J895,Diagnosis_Guide!$A:$C,3,0)</f>
        <v>Respiratory</v>
      </c>
      <c r="AD895" s="4" t="str">
        <f>VLOOKUP(R895,Insurance_Plans!$A:$C,3,0)</f>
        <v>Private</v>
      </c>
      <c r="AE895" s="13">
        <f t="shared" si="39"/>
        <v>3280</v>
      </c>
      <c r="AF895" s="13">
        <f t="shared" si="40"/>
        <v>68880</v>
      </c>
      <c r="AG895" s="4" t="str">
        <f t="shared" si="41"/>
        <v>High</v>
      </c>
    </row>
    <row r="896" spans="1:33">
      <c r="A896" t="s">
        <v>1582</v>
      </c>
      <c r="B896" t="s">
        <v>1583</v>
      </c>
      <c r="C896" s="11">
        <v>46160</v>
      </c>
      <c r="D896" t="s">
        <v>266</v>
      </c>
      <c r="E896" t="s">
        <v>70</v>
      </c>
      <c r="F896" s="4">
        <v>46160</v>
      </c>
      <c r="G896" s="4">
        <v>46169</v>
      </c>
      <c r="H896" t="s">
        <v>121</v>
      </c>
      <c r="I896" t="s">
        <v>174</v>
      </c>
      <c r="J896" t="s">
        <v>252</v>
      </c>
      <c r="K896" t="s">
        <v>124</v>
      </c>
      <c r="L896" t="s">
        <v>94</v>
      </c>
      <c r="M896" s="5">
        <v>62200</v>
      </c>
      <c r="N896" s="5">
        <v>8800</v>
      </c>
      <c r="O896" s="5">
        <v>14600</v>
      </c>
      <c r="P896" s="5">
        <v>40500</v>
      </c>
      <c r="Q896" s="13">
        <v>127900</v>
      </c>
      <c r="R896" t="s">
        <v>141</v>
      </c>
      <c r="S896" t="s">
        <v>163</v>
      </c>
      <c r="T896" s="5">
        <v>20390</v>
      </c>
      <c r="U896" s="6">
        <v>4</v>
      </c>
      <c r="V896" t="s">
        <v>77</v>
      </c>
      <c r="W896" s="4">
        <v>46189</v>
      </c>
      <c r="X896" t="s">
        <v>77</v>
      </c>
      <c r="Y896" t="s">
        <v>64</v>
      </c>
      <c r="Z896" t="s">
        <v>96</v>
      </c>
      <c r="AA896" t="str">
        <f>VLOOKUP(H896,Departments!$A:$B,2,0)</f>
        <v>Neurology</v>
      </c>
      <c r="AB896" t="str">
        <f>VLOOKUP(J896,Diagnosis_Guide!$A:$B,2,0)</f>
        <v>Stroke Assessment</v>
      </c>
      <c r="AC896" s="4" t="str">
        <f>VLOOKUP(J896,Diagnosis_Guide!$A:$C,3,0)</f>
        <v>Neurological</v>
      </c>
      <c r="AD896" s="4" t="str">
        <f>VLOOKUP(R896,Insurance_Plans!$A:$C,3,0)</f>
        <v>Private</v>
      </c>
      <c r="AE896" s="13">
        <f t="shared" si="39"/>
        <v>6395</v>
      </c>
      <c r="AF896" s="13">
        <f t="shared" si="40"/>
        <v>134295</v>
      </c>
      <c r="AG896" s="4" t="str">
        <f t="shared" si="41"/>
        <v>High</v>
      </c>
    </row>
    <row r="897" spans="1:33">
      <c r="A897" t="s">
        <v>1584</v>
      </c>
      <c r="B897" t="s">
        <v>377</v>
      </c>
      <c r="C897" s="11">
        <v>46139</v>
      </c>
      <c r="D897" t="s">
        <v>210</v>
      </c>
      <c r="E897" t="s">
        <v>70</v>
      </c>
      <c r="F897" s="4">
        <v>46139</v>
      </c>
      <c r="G897" s="4">
        <v>46139</v>
      </c>
      <c r="H897" t="s">
        <v>103</v>
      </c>
      <c r="I897" t="s">
        <v>207</v>
      </c>
      <c r="J897" t="s">
        <v>105</v>
      </c>
      <c r="K897" t="s">
        <v>60</v>
      </c>
      <c r="L897" t="s">
        <v>94</v>
      </c>
      <c r="M897" s="5">
        <v>41800</v>
      </c>
      <c r="N897" s="5">
        <v>7300</v>
      </c>
      <c r="O897" s="5">
        <v>7100</v>
      </c>
      <c r="P897" s="5">
        <v>0</v>
      </c>
      <c r="Q897" s="13">
        <v>57700</v>
      </c>
      <c r="R897" t="s">
        <v>141</v>
      </c>
      <c r="S897" t="s">
        <v>76</v>
      </c>
      <c r="T897" s="5">
        <v>9860</v>
      </c>
      <c r="U897" s="6">
        <v>5</v>
      </c>
      <c r="V897" t="s">
        <v>77</v>
      </c>
      <c r="W897" s="4">
        <v>46151</v>
      </c>
      <c r="X897" t="s">
        <v>77</v>
      </c>
      <c r="Y897" t="s">
        <v>64</v>
      </c>
      <c r="Z897" t="s">
        <v>96</v>
      </c>
      <c r="AA897" t="str">
        <f>VLOOKUP(H897,Departments!$A:$B,2,0)</f>
        <v>Nephrology</v>
      </c>
      <c r="AB897" t="str">
        <f>VLOOKUP(J897,Diagnosis_Guide!$A:$B,2,0)</f>
        <v>Dialysis Complication</v>
      </c>
      <c r="AC897" s="4" t="str">
        <f>VLOOKUP(J897,Diagnosis_Guide!$A:$C,3,0)</f>
        <v>Renal</v>
      </c>
      <c r="AD897" s="4" t="str">
        <f>VLOOKUP(R897,Insurance_Plans!$A:$C,3,0)</f>
        <v>Private</v>
      </c>
      <c r="AE897" s="13">
        <f t="shared" si="39"/>
        <v>2885</v>
      </c>
      <c r="AF897" s="13">
        <f t="shared" si="40"/>
        <v>60585</v>
      </c>
      <c r="AG897" s="4" t="str">
        <f t="shared" si="41"/>
        <v>High</v>
      </c>
    </row>
    <row r="898" spans="1:33">
      <c r="A898" t="s">
        <v>1585</v>
      </c>
      <c r="B898" t="s">
        <v>719</v>
      </c>
      <c r="C898" s="11">
        <v>46160</v>
      </c>
      <c r="D898" t="s">
        <v>149</v>
      </c>
      <c r="E898" t="s">
        <v>70</v>
      </c>
      <c r="F898" s="4">
        <v>46160</v>
      </c>
      <c r="G898" s="4">
        <v>46161</v>
      </c>
      <c r="H898" t="s">
        <v>121</v>
      </c>
      <c r="I898" t="s">
        <v>334</v>
      </c>
      <c r="J898" t="s">
        <v>256</v>
      </c>
      <c r="K898" t="s">
        <v>60</v>
      </c>
      <c r="L898" t="s">
        <v>94</v>
      </c>
      <c r="M898" s="5">
        <v>16900</v>
      </c>
      <c r="N898" s="5">
        <v>2200</v>
      </c>
      <c r="O898" s="5">
        <v>3350</v>
      </c>
      <c r="P898" s="5">
        <v>4500</v>
      </c>
      <c r="Q898" s="13">
        <v>27950</v>
      </c>
      <c r="R898" t="s">
        <v>75</v>
      </c>
      <c r="S898" t="s">
        <v>86</v>
      </c>
      <c r="T898" s="5">
        <v>12880</v>
      </c>
      <c r="U898" s="6">
        <v>5</v>
      </c>
      <c r="V898" t="s">
        <v>64</v>
      </c>
      <c r="W898" s="4"/>
      <c r="X898" t="s">
        <v>65</v>
      </c>
      <c r="Y898" t="s">
        <v>64</v>
      </c>
      <c r="Z898" t="s">
        <v>96</v>
      </c>
      <c r="AA898" t="str">
        <f>VLOOKUP(H898,Departments!$A:$B,2,0)</f>
        <v>Neurology</v>
      </c>
      <c r="AB898" t="str">
        <f>VLOOKUP(J898,Diagnosis_Guide!$A:$B,2,0)</f>
        <v>Migraine Complication</v>
      </c>
      <c r="AC898" s="4" t="str">
        <f>VLOOKUP(J898,Diagnosis_Guide!$A:$C,3,0)</f>
        <v>Neurological</v>
      </c>
      <c r="AD898" s="4" t="str">
        <f>VLOOKUP(R898,Insurance_Plans!$A:$C,3,0)</f>
        <v>Public</v>
      </c>
      <c r="AE898" s="13">
        <f t="shared" ref="AE898:AE961" si="42">IF(Q898="","",Q898*0.05)</f>
        <v>1397.5</v>
      </c>
      <c r="AF898" s="13">
        <f t="shared" ref="AF898:AF961" si="43">IF(Q898="","",Q898+AE898)</f>
        <v>29347.5</v>
      </c>
      <c r="AG898" s="4" t="str">
        <f t="shared" ref="AG898:AG961" si="44">IF(U898="","Not Available",IF(U898&gt;=4,"High",IF(U898=3,"Medium","Low")))</f>
        <v>High</v>
      </c>
    </row>
    <row r="899" spans="1:33">
      <c r="A899" t="s">
        <v>1586</v>
      </c>
      <c r="B899" t="s">
        <v>1587</v>
      </c>
      <c r="C899" s="11">
        <v>46027</v>
      </c>
      <c r="D899" t="s">
        <v>132</v>
      </c>
      <c r="E899" t="s">
        <v>70</v>
      </c>
      <c r="F899" s="4">
        <v>46027</v>
      </c>
      <c r="G899" s="4">
        <v>46027</v>
      </c>
      <c r="H899" t="s">
        <v>178</v>
      </c>
      <c r="I899" t="s">
        <v>179</v>
      </c>
      <c r="J899" t="s">
        <v>340</v>
      </c>
      <c r="K899" t="s">
        <v>60</v>
      </c>
      <c r="L899" t="s">
        <v>74</v>
      </c>
      <c r="M899" s="5">
        <v>71400</v>
      </c>
      <c r="N899" s="5">
        <v>11500</v>
      </c>
      <c r="O899" s="5">
        <v>15950</v>
      </c>
      <c r="P899" s="5">
        <v>0</v>
      </c>
      <c r="Q899" s="13">
        <v>99850</v>
      </c>
      <c r="R899" t="s">
        <v>106</v>
      </c>
      <c r="S899" t="s">
        <v>76</v>
      </c>
      <c r="T899" s="5">
        <v>35650</v>
      </c>
      <c r="U899" s="6">
        <v>4</v>
      </c>
      <c r="V899" t="s">
        <v>77</v>
      </c>
      <c r="W899" s="4">
        <v>46045</v>
      </c>
      <c r="X899" t="s">
        <v>77</v>
      </c>
      <c r="Y899" t="s">
        <v>64</v>
      </c>
      <c r="Z899" t="s">
        <v>96</v>
      </c>
      <c r="AA899" t="str">
        <f>VLOOKUP(H899,Departments!$A:$B,2,0)</f>
        <v>Surgery</v>
      </c>
      <c r="AB899" t="str">
        <f>VLOOKUP(J899,Diagnosis_Guide!$A:$B,2,0)</f>
        <v>Post-Operative Infection</v>
      </c>
      <c r="AC899" s="4" t="str">
        <f>VLOOKUP(J899,Diagnosis_Guide!$A:$C,3,0)</f>
        <v>Surgical</v>
      </c>
      <c r="AD899" s="4" t="str">
        <f>VLOOKUP(R899,Insurance_Plans!$A:$C,3,0)</f>
        <v>Private</v>
      </c>
      <c r="AE899" s="13">
        <f t="shared" si="42"/>
        <v>4992.5</v>
      </c>
      <c r="AF899" s="13">
        <f t="shared" si="43"/>
        <v>104842.5</v>
      </c>
      <c r="AG899" s="4" t="str">
        <f t="shared" si="44"/>
        <v>High</v>
      </c>
    </row>
    <row r="900" spans="1:33">
      <c r="A900" t="s">
        <v>1588</v>
      </c>
      <c r="B900" t="s">
        <v>664</v>
      </c>
      <c r="C900" s="11">
        <v>46071</v>
      </c>
      <c r="D900" t="s">
        <v>242</v>
      </c>
      <c r="E900" t="s">
        <v>70</v>
      </c>
      <c r="F900" s="4">
        <v>46071</v>
      </c>
      <c r="G900" s="4">
        <v>46071</v>
      </c>
      <c r="H900" t="s">
        <v>90</v>
      </c>
      <c r="I900" t="s">
        <v>388</v>
      </c>
      <c r="J900" t="s">
        <v>129</v>
      </c>
      <c r="K900" t="s">
        <v>60</v>
      </c>
      <c r="L900" t="s">
        <v>74</v>
      </c>
      <c r="M900" s="5">
        <v>33800</v>
      </c>
      <c r="N900" s="5">
        <v>4650</v>
      </c>
      <c r="O900" s="5">
        <v>6650</v>
      </c>
      <c r="P900" s="5">
        <v>0</v>
      </c>
      <c r="Q900" s="13">
        <v>46600</v>
      </c>
      <c r="R900" t="s">
        <v>85</v>
      </c>
      <c r="S900" t="s">
        <v>76</v>
      </c>
      <c r="T900" s="5">
        <v>12550</v>
      </c>
      <c r="U900" s="6">
        <v>5</v>
      </c>
      <c r="V900" t="s">
        <v>77</v>
      </c>
      <c r="W900" s="4">
        <v>46087</v>
      </c>
      <c r="X900" t="s">
        <v>77</v>
      </c>
      <c r="Y900" t="s">
        <v>64</v>
      </c>
      <c r="Z900" t="s">
        <v>96</v>
      </c>
      <c r="AA900" t="str">
        <f>VLOOKUP(H900,Departments!$A:$B,2,0)</f>
        <v>Cardiology</v>
      </c>
      <c r="AB900" t="str">
        <f>VLOOKUP(J900,Diagnosis_Guide!$A:$B,2,0)</f>
        <v>Hypertension Crisis</v>
      </c>
      <c r="AC900" s="4" t="str">
        <f>VLOOKUP(J900,Diagnosis_Guide!$A:$C,3,0)</f>
        <v>Cardiovascular</v>
      </c>
      <c r="AD900" s="4" t="str">
        <f>VLOOKUP(R900,Insurance_Plans!$A:$C,3,0)</f>
        <v>Employer</v>
      </c>
      <c r="AE900" s="13">
        <f t="shared" si="42"/>
        <v>2330</v>
      </c>
      <c r="AF900" s="13">
        <f t="shared" si="43"/>
        <v>48930</v>
      </c>
      <c r="AG900" s="4" t="str">
        <f t="shared" si="44"/>
        <v>High</v>
      </c>
    </row>
    <row r="901" spans="1:33">
      <c r="A901" t="s">
        <v>1589</v>
      </c>
      <c r="B901" t="s">
        <v>209</v>
      </c>
      <c r="C901" s="11">
        <v>46163</v>
      </c>
      <c r="D901" t="s">
        <v>242</v>
      </c>
      <c r="E901" t="s">
        <v>70</v>
      </c>
      <c r="F901" s="4">
        <v>46163</v>
      </c>
      <c r="G901" s="4">
        <v>46168</v>
      </c>
      <c r="H901" t="s">
        <v>57</v>
      </c>
      <c r="I901" t="s">
        <v>71</v>
      </c>
      <c r="J901" t="s">
        <v>170</v>
      </c>
      <c r="K901" t="s">
        <v>73</v>
      </c>
      <c r="L901" t="s">
        <v>74</v>
      </c>
      <c r="M901" s="5">
        <v>67200</v>
      </c>
      <c r="N901" s="5">
        <v>7000</v>
      </c>
      <c r="O901" s="5">
        <v>15600</v>
      </c>
      <c r="P901" s="5">
        <v>17500</v>
      </c>
      <c r="Q901" s="13">
        <v>109100</v>
      </c>
      <c r="R901" t="s">
        <v>95</v>
      </c>
      <c r="S901" t="s">
        <v>63</v>
      </c>
      <c r="T901" s="5">
        <v>109100</v>
      </c>
      <c r="U901" s="6">
        <v>4</v>
      </c>
      <c r="V901" t="s">
        <v>77</v>
      </c>
      <c r="W901" s="4">
        <v>46175</v>
      </c>
      <c r="X901" t="s">
        <v>77</v>
      </c>
      <c r="Y901" t="s">
        <v>64</v>
      </c>
      <c r="Z901" t="s">
        <v>96</v>
      </c>
      <c r="AA901" t="str">
        <f>VLOOKUP(H901,Departments!$A:$B,2,0)</f>
        <v>Pulmonology</v>
      </c>
      <c r="AB901" t="str">
        <f>VLOOKUP(J901,Diagnosis_Guide!$A:$B,2,0)</f>
        <v>COPD Exacerbation</v>
      </c>
      <c r="AC901" s="4" t="str">
        <f>VLOOKUP(J901,Diagnosis_Guide!$A:$C,3,0)</f>
        <v>Respiratory</v>
      </c>
      <c r="AD901" s="4" t="str">
        <f>VLOOKUP(R901,Insurance_Plans!$A:$C,3,0)</f>
        <v>Self-Pay</v>
      </c>
      <c r="AE901" s="13">
        <f t="shared" si="42"/>
        <v>5455</v>
      </c>
      <c r="AF901" s="13">
        <f t="shared" si="43"/>
        <v>114555</v>
      </c>
      <c r="AG901" s="4" t="str">
        <f t="shared" si="44"/>
        <v>High</v>
      </c>
    </row>
    <row r="902" spans="1:33">
      <c r="A902" t="s">
        <v>1590</v>
      </c>
      <c r="B902" t="s">
        <v>483</v>
      </c>
      <c r="C902" s="11">
        <v>46024</v>
      </c>
      <c r="D902" t="s">
        <v>294</v>
      </c>
      <c r="E902" t="s">
        <v>70</v>
      </c>
      <c r="F902" s="4">
        <v>46024</v>
      </c>
      <c r="G902" s="4">
        <v>46030</v>
      </c>
      <c r="H902" t="s">
        <v>150</v>
      </c>
      <c r="I902" t="s">
        <v>151</v>
      </c>
      <c r="J902" t="s">
        <v>188</v>
      </c>
      <c r="K902" t="s">
        <v>73</v>
      </c>
      <c r="L902" t="s">
        <v>94</v>
      </c>
      <c r="M902" s="5">
        <v>72000</v>
      </c>
      <c r="N902" s="5">
        <v>8700</v>
      </c>
      <c r="O902" s="5">
        <v>14450</v>
      </c>
      <c r="P902" s="5">
        <v>18000</v>
      </c>
      <c r="Q902" s="13">
        <v>115650</v>
      </c>
      <c r="R902" t="s">
        <v>106</v>
      </c>
      <c r="S902" t="s">
        <v>76</v>
      </c>
      <c r="T902" s="5">
        <v>41180</v>
      </c>
      <c r="U902" s="6">
        <v>4</v>
      </c>
      <c r="V902" t="s">
        <v>77</v>
      </c>
      <c r="W902" s="4">
        <v>46043</v>
      </c>
      <c r="X902" t="s">
        <v>77</v>
      </c>
      <c r="Y902" t="s">
        <v>64</v>
      </c>
      <c r="Z902" t="s">
        <v>96</v>
      </c>
      <c r="AA902" t="str">
        <f>VLOOKUP(H902,Departments!$A:$B,2,0)</f>
        <v>Obstetrics</v>
      </c>
      <c r="AB902" t="str">
        <f>VLOOKUP(J902,Diagnosis_Guide!$A:$B,2,0)</f>
        <v>Emergency C-Section</v>
      </c>
      <c r="AC902" s="4" t="str">
        <f>VLOOKUP(J902,Diagnosis_Guide!$A:$C,3,0)</f>
        <v>Maternal Health</v>
      </c>
      <c r="AD902" s="4" t="str">
        <f>VLOOKUP(R902,Insurance_Plans!$A:$C,3,0)</f>
        <v>Private</v>
      </c>
      <c r="AE902" s="13">
        <f t="shared" si="42"/>
        <v>5782.5</v>
      </c>
      <c r="AF902" s="13">
        <f t="shared" si="43"/>
        <v>121432.5</v>
      </c>
      <c r="AG902" s="4" t="str">
        <f t="shared" si="44"/>
        <v>High</v>
      </c>
    </row>
    <row r="903" spans="1:33">
      <c r="A903" t="s">
        <v>1591</v>
      </c>
      <c r="B903" t="s">
        <v>1592</v>
      </c>
      <c r="C903" s="11">
        <v>46081</v>
      </c>
      <c r="D903" t="s">
        <v>89</v>
      </c>
      <c r="E903" t="s">
        <v>314</v>
      </c>
      <c r="F903" s="4"/>
      <c r="G903" s="4"/>
      <c r="H903" t="s">
        <v>57</v>
      </c>
      <c r="I903" t="s">
        <v>58</v>
      </c>
      <c r="J903" t="s">
        <v>59</v>
      </c>
      <c r="K903" t="s">
        <v>60</v>
      </c>
      <c r="L903" t="s">
        <v>94</v>
      </c>
      <c r="M903" s="5"/>
      <c r="N903" s="5"/>
      <c r="O903" s="5"/>
      <c r="P903" s="5"/>
      <c r="R903" t="s">
        <v>95</v>
      </c>
      <c r="S903" t="s">
        <v>63</v>
      </c>
      <c r="T903" s="5"/>
      <c r="U903" s="6"/>
      <c r="V903" t="s">
        <v>64</v>
      </c>
      <c r="W903" s="4"/>
      <c r="X903" t="s">
        <v>65</v>
      </c>
      <c r="Z903" t="s">
        <v>66</v>
      </c>
      <c r="AA903" t="str">
        <f>VLOOKUP(H903,Departments!$A:$B,2,0)</f>
        <v>Pulmonology</v>
      </c>
      <c r="AB903" t="str">
        <f>VLOOKUP(J903,Diagnosis_Guide!$A:$B,2,0)</f>
        <v>Pneumonia</v>
      </c>
      <c r="AC903" s="4" t="str">
        <f>VLOOKUP(J903,Diagnosis_Guide!$A:$C,3,0)</f>
        <v>Respiratory</v>
      </c>
      <c r="AD903" s="4" t="str">
        <f>VLOOKUP(R903,Insurance_Plans!$A:$C,3,0)</f>
        <v>Self-Pay</v>
      </c>
      <c r="AE903" s="13" t="str">
        <f t="shared" si="42"/>
        <v/>
      </c>
      <c r="AF903" s="13" t="str">
        <f t="shared" si="43"/>
        <v/>
      </c>
      <c r="AG903" s="4" t="str">
        <f t="shared" si="44"/>
        <v>Not Available</v>
      </c>
    </row>
    <row r="904" spans="1:33">
      <c r="A904" t="s">
        <v>1593</v>
      </c>
      <c r="B904" t="s">
        <v>1435</v>
      </c>
      <c r="C904" s="11">
        <v>46069</v>
      </c>
      <c r="D904" t="s">
        <v>432</v>
      </c>
      <c r="E904" t="s">
        <v>56</v>
      </c>
      <c r="F904" s="4"/>
      <c r="G904" s="4"/>
      <c r="H904" t="s">
        <v>201</v>
      </c>
      <c r="I904" t="s">
        <v>327</v>
      </c>
      <c r="J904" t="s">
        <v>281</v>
      </c>
      <c r="K904" t="s">
        <v>124</v>
      </c>
      <c r="L904" t="s">
        <v>94</v>
      </c>
      <c r="M904" s="5"/>
      <c r="N904" s="5"/>
      <c r="O904" s="5"/>
      <c r="P904" s="5"/>
      <c r="R904" t="s">
        <v>75</v>
      </c>
      <c r="S904" t="s">
        <v>63</v>
      </c>
      <c r="T904" s="5"/>
      <c r="U904" s="6"/>
      <c r="V904" t="s">
        <v>64</v>
      </c>
      <c r="W904" s="4"/>
      <c r="X904" t="s">
        <v>65</v>
      </c>
      <c r="Z904" t="s">
        <v>66</v>
      </c>
      <c r="AA904" t="str">
        <f>VLOOKUP(H904,Departments!$A:$B,2,0)</f>
        <v>Emergency</v>
      </c>
      <c r="AB904" t="str">
        <f>VLOOKUP(J904,Diagnosis_Guide!$A:$B,2,0)</f>
        <v>Food Poisoning</v>
      </c>
      <c r="AC904" s="4" t="str">
        <f>VLOOKUP(J904,Diagnosis_Guide!$A:$C,3,0)</f>
        <v>Emergency</v>
      </c>
      <c r="AD904" s="4" t="str">
        <f>VLOOKUP(R904,Insurance_Plans!$A:$C,3,0)</f>
        <v>Public</v>
      </c>
      <c r="AE904" s="13" t="str">
        <f t="shared" si="42"/>
        <v/>
      </c>
      <c r="AF904" s="13" t="str">
        <f t="shared" si="43"/>
        <v/>
      </c>
      <c r="AG904" s="4" t="str">
        <f t="shared" si="44"/>
        <v>Not Available</v>
      </c>
    </row>
    <row r="905" spans="1:33">
      <c r="A905" t="s">
        <v>1594</v>
      </c>
      <c r="B905" t="s">
        <v>1148</v>
      </c>
      <c r="C905" s="11">
        <v>46122</v>
      </c>
      <c r="D905" t="s">
        <v>439</v>
      </c>
      <c r="E905" t="s">
        <v>70</v>
      </c>
      <c r="F905" s="4">
        <v>46122</v>
      </c>
      <c r="G905" s="4">
        <v>46123</v>
      </c>
      <c r="H905" t="s">
        <v>150</v>
      </c>
      <c r="I905" t="s">
        <v>239</v>
      </c>
      <c r="J905" t="s">
        <v>229</v>
      </c>
      <c r="K905" t="s">
        <v>60</v>
      </c>
      <c r="L905" t="s">
        <v>61</v>
      </c>
      <c r="M905" s="5">
        <v>35700</v>
      </c>
      <c r="N905" s="5">
        <v>3800</v>
      </c>
      <c r="O905" s="5">
        <v>7100</v>
      </c>
      <c r="P905" s="5">
        <v>3500</v>
      </c>
      <c r="Q905" s="13">
        <v>51900</v>
      </c>
      <c r="R905" t="s">
        <v>95</v>
      </c>
      <c r="S905" t="s">
        <v>63</v>
      </c>
      <c r="T905" s="5">
        <v>51900</v>
      </c>
      <c r="U905" s="6">
        <v>4</v>
      </c>
      <c r="V905" t="s">
        <v>64</v>
      </c>
      <c r="W905" s="4"/>
      <c r="X905" t="s">
        <v>65</v>
      </c>
      <c r="Y905" t="s">
        <v>64</v>
      </c>
      <c r="Z905" t="s">
        <v>107</v>
      </c>
      <c r="AA905" t="str">
        <f>VLOOKUP(H905,Departments!$A:$B,2,0)</f>
        <v>Obstetrics</v>
      </c>
      <c r="AB905" t="str">
        <f>VLOOKUP(J905,Diagnosis_Guide!$A:$B,2,0)</f>
        <v>Delivery Care</v>
      </c>
      <c r="AC905" s="4" t="str">
        <f>VLOOKUP(J905,Diagnosis_Guide!$A:$C,3,0)</f>
        <v>Maternal Health</v>
      </c>
      <c r="AD905" s="4" t="str">
        <f>VLOOKUP(R905,Insurance_Plans!$A:$C,3,0)</f>
        <v>Self-Pay</v>
      </c>
      <c r="AE905" s="13">
        <f t="shared" si="42"/>
        <v>2595</v>
      </c>
      <c r="AF905" s="13">
        <f t="shared" si="43"/>
        <v>54495</v>
      </c>
      <c r="AG905" s="4" t="str">
        <f t="shared" si="44"/>
        <v>High</v>
      </c>
    </row>
    <row r="906" spans="1:33">
      <c r="A906" t="s">
        <v>1595</v>
      </c>
      <c r="B906" t="s">
        <v>377</v>
      </c>
      <c r="C906" s="11">
        <v>46123</v>
      </c>
      <c r="D906" t="s">
        <v>89</v>
      </c>
      <c r="E906" t="s">
        <v>177</v>
      </c>
      <c r="F906" s="4"/>
      <c r="G906" s="4"/>
      <c r="H906" t="s">
        <v>150</v>
      </c>
      <c r="I906" t="s">
        <v>187</v>
      </c>
      <c r="J906" t="s">
        <v>188</v>
      </c>
      <c r="K906" t="s">
        <v>73</v>
      </c>
      <c r="L906" t="s">
        <v>61</v>
      </c>
      <c r="M906" s="5"/>
      <c r="N906" s="5"/>
      <c r="O906" s="5"/>
      <c r="P906" s="5"/>
      <c r="R906" t="s">
        <v>141</v>
      </c>
      <c r="S906" t="s">
        <v>63</v>
      </c>
      <c r="T906" s="5"/>
      <c r="U906" s="6"/>
      <c r="V906" t="s">
        <v>64</v>
      </c>
      <c r="W906" s="4"/>
      <c r="X906" t="s">
        <v>65</v>
      </c>
      <c r="Z906" t="s">
        <v>66</v>
      </c>
      <c r="AA906" t="str">
        <f>VLOOKUP(H906,Departments!$A:$B,2,0)</f>
        <v>Obstetrics</v>
      </c>
      <c r="AB906" t="str">
        <f>VLOOKUP(J906,Diagnosis_Guide!$A:$B,2,0)</f>
        <v>Emergency C-Section</v>
      </c>
      <c r="AC906" s="4" t="str">
        <f>VLOOKUP(J906,Diagnosis_Guide!$A:$C,3,0)</f>
        <v>Maternal Health</v>
      </c>
      <c r="AD906" s="4" t="str">
        <f>VLOOKUP(R906,Insurance_Plans!$A:$C,3,0)</f>
        <v>Private</v>
      </c>
      <c r="AE906" s="13" t="str">
        <f t="shared" si="42"/>
        <v/>
      </c>
      <c r="AF906" s="13" t="str">
        <f t="shared" si="43"/>
        <v/>
      </c>
      <c r="AG906" s="4" t="str">
        <f t="shared" si="44"/>
        <v>Not Available</v>
      </c>
    </row>
    <row r="907" spans="1:33">
      <c r="A907" t="s">
        <v>1596</v>
      </c>
      <c r="B907" t="s">
        <v>675</v>
      </c>
      <c r="C907" s="11">
        <v>46104</v>
      </c>
      <c r="D907" t="s">
        <v>200</v>
      </c>
      <c r="E907" t="s">
        <v>338</v>
      </c>
      <c r="F907" s="4"/>
      <c r="G907" s="4"/>
      <c r="H907" t="s">
        <v>82</v>
      </c>
      <c r="I907" t="s">
        <v>272</v>
      </c>
      <c r="J907" t="s">
        <v>84</v>
      </c>
      <c r="K907" t="s">
        <v>60</v>
      </c>
      <c r="L907" t="s">
        <v>94</v>
      </c>
      <c r="M907" s="5"/>
      <c r="N907" s="5"/>
      <c r="O907" s="5"/>
      <c r="P907" s="5"/>
      <c r="R907" t="s">
        <v>95</v>
      </c>
      <c r="S907" t="s">
        <v>63</v>
      </c>
      <c r="T907" s="5"/>
      <c r="U907" s="6"/>
      <c r="V907" t="s">
        <v>64</v>
      </c>
      <c r="W907" s="4"/>
      <c r="X907" t="s">
        <v>65</v>
      </c>
      <c r="Z907" t="s">
        <v>66</v>
      </c>
      <c r="AA907" t="str">
        <f>VLOOKUP(H907,Departments!$A:$B,2,0)</f>
        <v>Orthopedics</v>
      </c>
      <c r="AB907" t="str">
        <f>VLOOKUP(J907,Diagnosis_Guide!$A:$B,2,0)</f>
        <v>Joint Pain</v>
      </c>
      <c r="AC907" s="4" t="str">
        <f>VLOOKUP(J907,Diagnosis_Guide!$A:$C,3,0)</f>
        <v>Musculoskeletal</v>
      </c>
      <c r="AD907" s="4" t="str">
        <f>VLOOKUP(R907,Insurance_Plans!$A:$C,3,0)</f>
        <v>Self-Pay</v>
      </c>
      <c r="AE907" s="13" t="str">
        <f t="shared" si="42"/>
        <v/>
      </c>
      <c r="AF907" s="13" t="str">
        <f t="shared" si="43"/>
        <v/>
      </c>
      <c r="AG907" s="4" t="str">
        <f t="shared" si="44"/>
        <v>Not Available</v>
      </c>
    </row>
    <row r="908" spans="1:33">
      <c r="A908" t="s">
        <v>1597</v>
      </c>
      <c r="B908" t="s">
        <v>984</v>
      </c>
      <c r="C908" s="11">
        <v>46138</v>
      </c>
      <c r="D908" t="s">
        <v>69</v>
      </c>
      <c r="E908" t="s">
        <v>70</v>
      </c>
      <c r="F908" s="4">
        <v>46138</v>
      </c>
      <c r="G908" s="4">
        <v>46138</v>
      </c>
      <c r="H908" t="s">
        <v>90</v>
      </c>
      <c r="I908" t="s">
        <v>128</v>
      </c>
      <c r="J908" t="s">
        <v>92</v>
      </c>
      <c r="K908" t="s">
        <v>60</v>
      </c>
      <c r="L908" t="s">
        <v>61</v>
      </c>
      <c r="M908" s="5">
        <v>50600</v>
      </c>
      <c r="N908" s="5">
        <v>8000</v>
      </c>
      <c r="O908" s="5">
        <v>9150</v>
      </c>
      <c r="P908" s="5">
        <v>0</v>
      </c>
      <c r="Q908" s="13">
        <v>69750</v>
      </c>
      <c r="R908" t="s">
        <v>62</v>
      </c>
      <c r="S908" t="s">
        <v>86</v>
      </c>
      <c r="T908" s="5">
        <v>21330</v>
      </c>
      <c r="U908" s="6">
        <v>3</v>
      </c>
      <c r="V908" t="s">
        <v>77</v>
      </c>
      <c r="W908" s="4">
        <v>46155</v>
      </c>
      <c r="X908" t="s">
        <v>77</v>
      </c>
      <c r="Y908" t="s">
        <v>77</v>
      </c>
      <c r="Z908" t="s">
        <v>78</v>
      </c>
      <c r="AA908" t="str">
        <f>VLOOKUP(H908,Departments!$A:$B,2,0)</f>
        <v>Cardiology</v>
      </c>
      <c r="AB908" t="str">
        <f>VLOOKUP(J908,Diagnosis_Guide!$A:$B,2,0)</f>
        <v>Heart Failure</v>
      </c>
      <c r="AC908" s="4" t="str">
        <f>VLOOKUP(J908,Diagnosis_Guide!$A:$C,3,0)</f>
        <v>Cardiovascular</v>
      </c>
      <c r="AD908" s="4" t="str">
        <f>VLOOKUP(R908,Insurance_Plans!$A:$C,3,0)</f>
        <v>Public</v>
      </c>
      <c r="AE908" s="13">
        <f t="shared" si="42"/>
        <v>3487.5</v>
      </c>
      <c r="AF908" s="13">
        <f t="shared" si="43"/>
        <v>73237.5</v>
      </c>
      <c r="AG908" s="4" t="str">
        <f t="shared" si="44"/>
        <v>Medium</v>
      </c>
    </row>
    <row r="909" spans="1:33">
      <c r="A909" t="s">
        <v>1598</v>
      </c>
      <c r="B909" t="s">
        <v>375</v>
      </c>
      <c r="C909" s="11">
        <v>46066</v>
      </c>
      <c r="D909" t="s">
        <v>469</v>
      </c>
      <c r="E909" t="s">
        <v>338</v>
      </c>
      <c r="F909" s="4"/>
      <c r="G909" s="4"/>
      <c r="H909" t="s">
        <v>90</v>
      </c>
      <c r="I909" t="s">
        <v>128</v>
      </c>
      <c r="J909" t="s">
        <v>92</v>
      </c>
      <c r="K909" t="s">
        <v>60</v>
      </c>
      <c r="L909" t="s">
        <v>74</v>
      </c>
      <c r="M909" s="5"/>
      <c r="N909" s="5"/>
      <c r="O909" s="5"/>
      <c r="P909" s="5"/>
      <c r="R909" t="s">
        <v>134</v>
      </c>
      <c r="S909" t="s">
        <v>63</v>
      </c>
      <c r="T909" s="5"/>
      <c r="U909" s="6"/>
      <c r="V909" t="s">
        <v>64</v>
      </c>
      <c r="W909" s="4"/>
      <c r="X909" t="s">
        <v>65</v>
      </c>
      <c r="Z909" t="s">
        <v>66</v>
      </c>
      <c r="AA909" t="str">
        <f>VLOOKUP(H909,Departments!$A:$B,2,0)</f>
        <v>Cardiology</v>
      </c>
      <c r="AB909" t="str">
        <f>VLOOKUP(J909,Diagnosis_Guide!$A:$B,2,0)</f>
        <v>Heart Failure</v>
      </c>
      <c r="AC909" s="4" t="str">
        <f>VLOOKUP(J909,Diagnosis_Guide!$A:$C,3,0)</f>
        <v>Cardiovascular</v>
      </c>
      <c r="AD909" s="4" t="str">
        <f>VLOOKUP(R909,Insurance_Plans!$A:$C,3,0)</f>
        <v>Community</v>
      </c>
      <c r="AE909" s="13" t="str">
        <f t="shared" si="42"/>
        <v/>
      </c>
      <c r="AF909" s="13" t="str">
        <f t="shared" si="43"/>
        <v/>
      </c>
      <c r="AG909" s="4" t="str">
        <f t="shared" si="44"/>
        <v>Not Available</v>
      </c>
    </row>
    <row r="910" spans="1:33">
      <c r="A910" t="s">
        <v>1599</v>
      </c>
      <c r="B910" t="s">
        <v>216</v>
      </c>
      <c r="C910" s="11">
        <v>46146</v>
      </c>
      <c r="D910" t="s">
        <v>225</v>
      </c>
      <c r="E910" t="s">
        <v>177</v>
      </c>
      <c r="F910" s="4"/>
      <c r="G910" s="4"/>
      <c r="H910" t="s">
        <v>201</v>
      </c>
      <c r="I910" t="s">
        <v>202</v>
      </c>
      <c r="J910" t="s">
        <v>295</v>
      </c>
      <c r="K910" t="s">
        <v>124</v>
      </c>
      <c r="L910" t="s">
        <v>61</v>
      </c>
      <c r="M910" s="5"/>
      <c r="N910" s="5"/>
      <c r="O910" s="5"/>
      <c r="P910" s="5"/>
      <c r="R910" t="s">
        <v>95</v>
      </c>
      <c r="S910" t="s">
        <v>63</v>
      </c>
      <c r="T910" s="5"/>
      <c r="U910" s="6"/>
      <c r="V910" t="s">
        <v>64</v>
      </c>
      <c r="W910" s="4"/>
      <c r="X910" t="s">
        <v>65</v>
      </c>
      <c r="Z910" t="s">
        <v>66</v>
      </c>
      <c r="AA910" t="str">
        <f>VLOOKUP(H910,Departments!$A:$B,2,0)</f>
        <v>Emergency</v>
      </c>
      <c r="AB910" t="str">
        <f>VLOOKUP(J910,Diagnosis_Guide!$A:$B,2,0)</f>
        <v>Accident Injury</v>
      </c>
      <c r="AC910" s="4" t="str">
        <f>VLOOKUP(J910,Diagnosis_Guide!$A:$C,3,0)</f>
        <v>Emergency</v>
      </c>
      <c r="AD910" s="4" t="str">
        <f>VLOOKUP(R910,Insurance_Plans!$A:$C,3,0)</f>
        <v>Self-Pay</v>
      </c>
      <c r="AE910" s="13" t="str">
        <f t="shared" si="42"/>
        <v/>
      </c>
      <c r="AF910" s="13" t="str">
        <f t="shared" si="43"/>
        <v/>
      </c>
      <c r="AG910" s="4" t="str">
        <f t="shared" si="44"/>
        <v>Not Available</v>
      </c>
    </row>
    <row r="911" spans="1:33">
      <c r="A911" t="s">
        <v>1600</v>
      </c>
      <c r="B911" t="s">
        <v>866</v>
      </c>
      <c r="C911" s="11">
        <v>46059</v>
      </c>
      <c r="D911" t="s">
        <v>144</v>
      </c>
      <c r="E911" t="s">
        <v>70</v>
      </c>
      <c r="F911" s="4">
        <v>46059</v>
      </c>
      <c r="G911" s="4">
        <v>46061</v>
      </c>
      <c r="H911" t="s">
        <v>150</v>
      </c>
      <c r="I911" t="s">
        <v>228</v>
      </c>
      <c r="J911" t="s">
        <v>229</v>
      </c>
      <c r="K911" t="s">
        <v>73</v>
      </c>
      <c r="L911" t="s">
        <v>74</v>
      </c>
      <c r="M911" s="5">
        <v>40600</v>
      </c>
      <c r="N911" s="5">
        <v>4000</v>
      </c>
      <c r="O911" s="5">
        <v>4650</v>
      </c>
      <c r="P911" s="5">
        <v>6000</v>
      </c>
      <c r="Q911" s="13">
        <v>56750</v>
      </c>
      <c r="R911" t="s">
        <v>75</v>
      </c>
      <c r="S911" t="s">
        <v>76</v>
      </c>
      <c r="T911" s="5">
        <v>25840</v>
      </c>
      <c r="U911" s="6">
        <v>4</v>
      </c>
      <c r="V911" t="s">
        <v>64</v>
      </c>
      <c r="W911" s="4"/>
      <c r="X911" t="s">
        <v>65</v>
      </c>
      <c r="Y911" t="s">
        <v>64</v>
      </c>
      <c r="Z911" t="s">
        <v>96</v>
      </c>
      <c r="AA911" t="str">
        <f>VLOOKUP(H911,Departments!$A:$B,2,0)</f>
        <v>Obstetrics</v>
      </c>
      <c r="AB911" t="str">
        <f>VLOOKUP(J911,Diagnosis_Guide!$A:$B,2,0)</f>
        <v>Delivery Care</v>
      </c>
      <c r="AC911" s="4" t="str">
        <f>VLOOKUP(J911,Diagnosis_Guide!$A:$C,3,0)</f>
        <v>Maternal Health</v>
      </c>
      <c r="AD911" s="4" t="str">
        <f>VLOOKUP(R911,Insurance_Plans!$A:$C,3,0)</f>
        <v>Public</v>
      </c>
      <c r="AE911" s="13">
        <f t="shared" si="42"/>
        <v>2837.5</v>
      </c>
      <c r="AF911" s="13">
        <f t="shared" si="43"/>
        <v>59587.5</v>
      </c>
      <c r="AG911" s="4" t="str">
        <f t="shared" si="44"/>
        <v>High</v>
      </c>
    </row>
    <row r="912" spans="1:33">
      <c r="A912" t="s">
        <v>1601</v>
      </c>
      <c r="B912" t="s">
        <v>438</v>
      </c>
      <c r="C912" s="11">
        <v>46107</v>
      </c>
      <c r="D912" t="s">
        <v>250</v>
      </c>
      <c r="E912" t="s">
        <v>70</v>
      </c>
      <c r="F912" s="4">
        <v>46107</v>
      </c>
      <c r="G912" s="4">
        <v>46108</v>
      </c>
      <c r="H912" t="s">
        <v>138</v>
      </c>
      <c r="I912" t="s">
        <v>352</v>
      </c>
      <c r="J912" t="s">
        <v>140</v>
      </c>
      <c r="K912" t="s">
        <v>73</v>
      </c>
      <c r="L912" t="s">
        <v>61</v>
      </c>
      <c r="M912" s="5">
        <v>18100</v>
      </c>
      <c r="N912" s="5">
        <v>2800</v>
      </c>
      <c r="O912" s="5">
        <v>3450</v>
      </c>
      <c r="P912" s="5">
        <v>2500</v>
      </c>
      <c r="Q912" s="13">
        <v>28650</v>
      </c>
      <c r="R912" t="s">
        <v>106</v>
      </c>
      <c r="S912" t="s">
        <v>86</v>
      </c>
      <c r="T912" s="5">
        <v>10730</v>
      </c>
      <c r="U912" s="6">
        <v>5</v>
      </c>
      <c r="V912" t="s">
        <v>64</v>
      </c>
      <c r="W912" s="4"/>
      <c r="X912" t="s">
        <v>65</v>
      </c>
      <c r="Y912" t="s">
        <v>64</v>
      </c>
      <c r="Z912" t="s">
        <v>107</v>
      </c>
      <c r="AA912" t="str">
        <f>VLOOKUP(H912,Departments!$A:$B,2,0)</f>
        <v>Pediatrics</v>
      </c>
      <c r="AB912" t="str">
        <f>VLOOKUP(J912,Diagnosis_Guide!$A:$B,2,0)</f>
        <v>Pediatric Asthma</v>
      </c>
      <c r="AC912" s="4" t="str">
        <f>VLOOKUP(J912,Diagnosis_Guide!$A:$C,3,0)</f>
        <v>Pediatric</v>
      </c>
      <c r="AD912" s="4" t="str">
        <f>VLOOKUP(R912,Insurance_Plans!$A:$C,3,0)</f>
        <v>Private</v>
      </c>
      <c r="AE912" s="13">
        <f t="shared" si="42"/>
        <v>1432.5</v>
      </c>
      <c r="AF912" s="13">
        <f t="shared" si="43"/>
        <v>30082.5</v>
      </c>
      <c r="AG912" s="4" t="str">
        <f t="shared" si="44"/>
        <v>High</v>
      </c>
    </row>
    <row r="913" spans="1:33">
      <c r="A913" t="s">
        <v>1602</v>
      </c>
      <c r="B913" t="s">
        <v>354</v>
      </c>
      <c r="C913" s="11">
        <v>46138</v>
      </c>
      <c r="D913" t="s">
        <v>225</v>
      </c>
      <c r="E913" t="s">
        <v>70</v>
      </c>
      <c r="F913" s="4">
        <v>46138</v>
      </c>
      <c r="G913" s="4">
        <v>46141</v>
      </c>
      <c r="H913" t="s">
        <v>150</v>
      </c>
      <c r="I913" t="s">
        <v>239</v>
      </c>
      <c r="J913" t="s">
        <v>152</v>
      </c>
      <c r="K913" t="s">
        <v>124</v>
      </c>
      <c r="L913" t="s">
        <v>74</v>
      </c>
      <c r="M913" s="5">
        <v>20100</v>
      </c>
      <c r="N913" s="5">
        <v>3600</v>
      </c>
      <c r="O913" s="5">
        <v>2450</v>
      </c>
      <c r="P913" s="5">
        <v>13500</v>
      </c>
      <c r="Q913" s="13">
        <v>41450</v>
      </c>
      <c r="R913" t="s">
        <v>141</v>
      </c>
      <c r="S913" t="s">
        <v>76</v>
      </c>
      <c r="T913" s="5">
        <v>7420</v>
      </c>
      <c r="U913" s="6">
        <v>3</v>
      </c>
      <c r="V913" t="s">
        <v>77</v>
      </c>
      <c r="W913" s="4">
        <v>46149</v>
      </c>
      <c r="X913" t="s">
        <v>64</v>
      </c>
      <c r="Y913" t="s">
        <v>64</v>
      </c>
      <c r="Z913" t="s">
        <v>78</v>
      </c>
      <c r="AA913" t="str">
        <f>VLOOKUP(H913,Departments!$A:$B,2,0)</f>
        <v>Obstetrics</v>
      </c>
      <c r="AB913" t="str">
        <f>VLOOKUP(J913,Diagnosis_Guide!$A:$B,2,0)</f>
        <v>Antenatal Complication</v>
      </c>
      <c r="AC913" s="4" t="str">
        <f>VLOOKUP(J913,Diagnosis_Guide!$A:$C,3,0)</f>
        <v>Maternal Health</v>
      </c>
      <c r="AD913" s="4" t="str">
        <f>VLOOKUP(R913,Insurance_Plans!$A:$C,3,0)</f>
        <v>Private</v>
      </c>
      <c r="AE913" s="13">
        <f t="shared" si="42"/>
        <v>2072.5</v>
      </c>
      <c r="AF913" s="13">
        <f t="shared" si="43"/>
        <v>43522.5</v>
      </c>
      <c r="AG913" s="4" t="str">
        <f t="shared" si="44"/>
        <v>Medium</v>
      </c>
    </row>
    <row r="914" spans="1:33">
      <c r="A914" t="s">
        <v>1603</v>
      </c>
      <c r="B914" t="s">
        <v>1272</v>
      </c>
      <c r="C914" s="11">
        <v>46058</v>
      </c>
      <c r="D914" t="s">
        <v>217</v>
      </c>
      <c r="E914" t="s">
        <v>70</v>
      </c>
      <c r="F914" s="4">
        <v>46059</v>
      </c>
      <c r="G914" s="4">
        <v>46065</v>
      </c>
      <c r="H914" t="s">
        <v>138</v>
      </c>
      <c r="I914" t="s">
        <v>343</v>
      </c>
      <c r="J914" t="s">
        <v>236</v>
      </c>
      <c r="K914" t="s">
        <v>124</v>
      </c>
      <c r="L914" t="s">
        <v>94</v>
      </c>
      <c r="M914" s="5">
        <v>28900</v>
      </c>
      <c r="N914" s="5">
        <v>4550</v>
      </c>
      <c r="O914" s="5">
        <v>4500</v>
      </c>
      <c r="P914" s="5">
        <v>18000</v>
      </c>
      <c r="Q914" s="13">
        <v>57750</v>
      </c>
      <c r="R914" t="s">
        <v>95</v>
      </c>
      <c r="S914" t="s">
        <v>63</v>
      </c>
      <c r="T914" s="5">
        <v>57750</v>
      </c>
      <c r="U914" s="6">
        <v>3</v>
      </c>
      <c r="V914" t="s">
        <v>77</v>
      </c>
      <c r="W914" s="4">
        <v>46085</v>
      </c>
      <c r="X914" t="s">
        <v>77</v>
      </c>
      <c r="Y914" t="s">
        <v>77</v>
      </c>
      <c r="Z914" t="s">
        <v>96</v>
      </c>
      <c r="AA914" t="str">
        <f>VLOOKUP(H914,Departments!$A:$B,2,0)</f>
        <v>Pediatrics</v>
      </c>
      <c r="AB914" t="str">
        <f>VLOOKUP(J914,Diagnosis_Guide!$A:$B,2,0)</f>
        <v>Neonatal Observation</v>
      </c>
      <c r="AC914" s="4" t="str">
        <f>VLOOKUP(J914,Diagnosis_Guide!$A:$C,3,0)</f>
        <v>Pediatric</v>
      </c>
      <c r="AD914" s="4" t="str">
        <f>VLOOKUP(R914,Insurance_Plans!$A:$C,3,0)</f>
        <v>Self-Pay</v>
      </c>
      <c r="AE914" s="13">
        <f t="shared" si="42"/>
        <v>2887.5</v>
      </c>
      <c r="AF914" s="13">
        <f t="shared" si="43"/>
        <v>60637.5</v>
      </c>
      <c r="AG914" s="4" t="str">
        <f t="shared" si="44"/>
        <v>Medium</v>
      </c>
    </row>
    <row r="915" spans="1:33">
      <c r="A915" t="s">
        <v>1604</v>
      </c>
      <c r="B915" t="s">
        <v>819</v>
      </c>
      <c r="C915" s="11">
        <v>46169</v>
      </c>
      <c r="D915" t="s">
        <v>210</v>
      </c>
      <c r="E915" t="s">
        <v>70</v>
      </c>
      <c r="F915" s="4">
        <v>46169</v>
      </c>
      <c r="G915" s="4">
        <v>46176</v>
      </c>
      <c r="H915" t="s">
        <v>201</v>
      </c>
      <c r="I915" t="s">
        <v>202</v>
      </c>
      <c r="J915" t="s">
        <v>295</v>
      </c>
      <c r="K915" t="s">
        <v>73</v>
      </c>
      <c r="L915" t="s">
        <v>74</v>
      </c>
      <c r="M915" s="5">
        <v>37400</v>
      </c>
      <c r="N915" s="5">
        <v>3300</v>
      </c>
      <c r="O915" s="5">
        <v>5600</v>
      </c>
      <c r="P915" s="5">
        <v>42000</v>
      </c>
      <c r="Q915" s="13">
        <v>90800</v>
      </c>
      <c r="R915" t="s">
        <v>134</v>
      </c>
      <c r="S915" t="s">
        <v>76</v>
      </c>
      <c r="T915" s="5">
        <v>50140</v>
      </c>
      <c r="U915" s="6">
        <v>4</v>
      </c>
      <c r="V915" t="s">
        <v>77</v>
      </c>
      <c r="W915" s="4">
        <v>46192</v>
      </c>
      <c r="X915" t="s">
        <v>77</v>
      </c>
      <c r="Y915" t="s">
        <v>64</v>
      </c>
      <c r="Z915" t="s">
        <v>78</v>
      </c>
      <c r="AA915" t="str">
        <f>VLOOKUP(H915,Departments!$A:$B,2,0)</f>
        <v>Emergency</v>
      </c>
      <c r="AB915" t="str">
        <f>VLOOKUP(J915,Diagnosis_Guide!$A:$B,2,0)</f>
        <v>Accident Injury</v>
      </c>
      <c r="AC915" s="4" t="str">
        <f>VLOOKUP(J915,Diagnosis_Guide!$A:$C,3,0)</f>
        <v>Emergency</v>
      </c>
      <c r="AD915" s="4" t="str">
        <f>VLOOKUP(R915,Insurance_Plans!$A:$C,3,0)</f>
        <v>Community</v>
      </c>
      <c r="AE915" s="13">
        <f t="shared" si="42"/>
        <v>4540</v>
      </c>
      <c r="AF915" s="13">
        <f t="shared" si="43"/>
        <v>95340</v>
      </c>
      <c r="AG915" s="4" t="str">
        <f t="shared" si="44"/>
        <v>High</v>
      </c>
    </row>
    <row r="916" spans="1:33">
      <c r="A916" t="s">
        <v>1605</v>
      </c>
      <c r="B916" t="s">
        <v>1606</v>
      </c>
      <c r="C916" s="11">
        <v>46151</v>
      </c>
      <c r="D916" t="s">
        <v>132</v>
      </c>
      <c r="E916" t="s">
        <v>56</v>
      </c>
      <c r="F916" s="4"/>
      <c r="G916" s="4"/>
      <c r="H916" t="s">
        <v>90</v>
      </c>
      <c r="I916" t="s">
        <v>128</v>
      </c>
      <c r="J916" t="s">
        <v>92</v>
      </c>
      <c r="K916" t="s">
        <v>60</v>
      </c>
      <c r="L916" t="s">
        <v>94</v>
      </c>
      <c r="M916" s="5"/>
      <c r="N916" s="5"/>
      <c r="O916" s="5"/>
      <c r="P916" s="5"/>
      <c r="R916" t="s">
        <v>62</v>
      </c>
      <c r="S916" t="s">
        <v>63</v>
      </c>
      <c r="T916" s="5"/>
      <c r="U916" s="6"/>
      <c r="V916" t="s">
        <v>64</v>
      </c>
      <c r="W916" s="4"/>
      <c r="X916" t="s">
        <v>65</v>
      </c>
      <c r="Z916" t="s">
        <v>66</v>
      </c>
      <c r="AA916" t="str">
        <f>VLOOKUP(H916,Departments!$A:$B,2,0)</f>
        <v>Cardiology</v>
      </c>
      <c r="AB916" t="str">
        <f>VLOOKUP(J916,Diagnosis_Guide!$A:$B,2,0)</f>
        <v>Heart Failure</v>
      </c>
      <c r="AC916" s="4" t="str">
        <f>VLOOKUP(J916,Diagnosis_Guide!$A:$C,3,0)</f>
        <v>Cardiovascular</v>
      </c>
      <c r="AD916" s="4" t="str">
        <f>VLOOKUP(R916,Insurance_Plans!$A:$C,3,0)</f>
        <v>Public</v>
      </c>
      <c r="AE916" s="13" t="str">
        <f t="shared" si="42"/>
        <v/>
      </c>
      <c r="AF916" s="13" t="str">
        <f t="shared" si="43"/>
        <v/>
      </c>
      <c r="AG916" s="4" t="str">
        <f t="shared" si="44"/>
        <v>Not Available</v>
      </c>
    </row>
    <row r="917" spans="1:33">
      <c r="A917" t="s">
        <v>1607</v>
      </c>
      <c r="B917" t="s">
        <v>1223</v>
      </c>
      <c r="C917" s="11">
        <v>46123</v>
      </c>
      <c r="D917" t="s">
        <v>161</v>
      </c>
      <c r="E917" t="s">
        <v>70</v>
      </c>
      <c r="F917" s="4">
        <v>46123</v>
      </c>
      <c r="G917" s="4">
        <v>46125</v>
      </c>
      <c r="H917" t="s">
        <v>90</v>
      </c>
      <c r="I917" t="s">
        <v>388</v>
      </c>
      <c r="J917" t="s">
        <v>197</v>
      </c>
      <c r="K917" t="s">
        <v>73</v>
      </c>
      <c r="L917" t="s">
        <v>94</v>
      </c>
      <c r="M917" s="5">
        <v>15700</v>
      </c>
      <c r="N917" s="5">
        <v>2450</v>
      </c>
      <c r="O917" s="5">
        <v>2650</v>
      </c>
      <c r="P917" s="5">
        <v>9000</v>
      </c>
      <c r="Q917" s="13">
        <v>31300</v>
      </c>
      <c r="R917" t="s">
        <v>141</v>
      </c>
      <c r="S917" t="s">
        <v>86</v>
      </c>
      <c r="T917" s="5">
        <v>5900</v>
      </c>
      <c r="U917" s="6">
        <v>5</v>
      </c>
      <c r="V917" t="s">
        <v>64</v>
      </c>
      <c r="W917" s="4"/>
      <c r="X917" t="s">
        <v>65</v>
      </c>
      <c r="Y917" t="s">
        <v>64</v>
      </c>
      <c r="Z917" t="s">
        <v>96</v>
      </c>
      <c r="AA917" t="str">
        <f>VLOOKUP(H917,Departments!$A:$B,2,0)</f>
        <v>Cardiology</v>
      </c>
      <c r="AB917" t="str">
        <f>VLOOKUP(J917,Diagnosis_Guide!$A:$B,2,0)</f>
        <v>Chest Pain</v>
      </c>
      <c r="AC917" s="4" t="str">
        <f>VLOOKUP(J917,Diagnosis_Guide!$A:$C,3,0)</f>
        <v>Cardiovascular</v>
      </c>
      <c r="AD917" s="4" t="str">
        <f>VLOOKUP(R917,Insurance_Plans!$A:$C,3,0)</f>
        <v>Private</v>
      </c>
      <c r="AE917" s="13">
        <f t="shared" si="42"/>
        <v>1565</v>
      </c>
      <c r="AF917" s="13">
        <f t="shared" si="43"/>
        <v>32865</v>
      </c>
      <c r="AG917" s="4" t="str">
        <f t="shared" si="44"/>
        <v>High</v>
      </c>
    </row>
    <row r="918" spans="1:33">
      <c r="A918" t="s">
        <v>1608</v>
      </c>
      <c r="B918" t="s">
        <v>301</v>
      </c>
      <c r="C918" s="11">
        <v>46082</v>
      </c>
      <c r="D918" t="s">
        <v>137</v>
      </c>
      <c r="E918" t="s">
        <v>70</v>
      </c>
      <c r="F918" s="4">
        <v>46082</v>
      </c>
      <c r="G918" s="4">
        <v>46082</v>
      </c>
      <c r="H918" t="s">
        <v>57</v>
      </c>
      <c r="I918" t="s">
        <v>169</v>
      </c>
      <c r="J918" t="s">
        <v>72</v>
      </c>
      <c r="K918" t="s">
        <v>60</v>
      </c>
      <c r="L918" t="s">
        <v>61</v>
      </c>
      <c r="M918" s="5">
        <v>7300</v>
      </c>
      <c r="N918" s="5">
        <v>1200</v>
      </c>
      <c r="O918" s="5">
        <v>1500</v>
      </c>
      <c r="P918" s="5">
        <v>0</v>
      </c>
      <c r="Q918" s="13">
        <v>10800</v>
      </c>
      <c r="R918" t="s">
        <v>106</v>
      </c>
      <c r="S918" t="s">
        <v>76</v>
      </c>
      <c r="T918" s="5">
        <v>4480</v>
      </c>
      <c r="U918" s="6">
        <v>5</v>
      </c>
      <c r="V918" t="s">
        <v>64</v>
      </c>
      <c r="W918" s="4"/>
      <c r="X918" t="s">
        <v>65</v>
      </c>
      <c r="Y918" t="s">
        <v>64</v>
      </c>
      <c r="Z918" t="s">
        <v>96</v>
      </c>
      <c r="AA918" t="str">
        <f>VLOOKUP(H918,Departments!$A:$B,2,0)</f>
        <v>Pulmonology</v>
      </c>
      <c r="AB918" t="str">
        <f>VLOOKUP(J918,Diagnosis_Guide!$A:$B,2,0)</f>
        <v>Acute Bronchitis</v>
      </c>
      <c r="AC918" s="4" t="str">
        <f>VLOOKUP(J918,Diagnosis_Guide!$A:$C,3,0)</f>
        <v>Respiratory</v>
      </c>
      <c r="AD918" s="4" t="str">
        <f>VLOOKUP(R918,Insurance_Plans!$A:$C,3,0)</f>
        <v>Private</v>
      </c>
      <c r="AE918" s="13">
        <f t="shared" si="42"/>
        <v>540</v>
      </c>
      <c r="AF918" s="13">
        <f t="shared" si="43"/>
        <v>11340</v>
      </c>
      <c r="AG918" s="4" t="str">
        <f t="shared" si="44"/>
        <v>High</v>
      </c>
    </row>
    <row r="919" spans="1:33">
      <c r="A919" t="s">
        <v>1609</v>
      </c>
      <c r="B919" t="s">
        <v>860</v>
      </c>
      <c r="C919" s="11">
        <v>46078</v>
      </c>
      <c r="D919" t="s">
        <v>81</v>
      </c>
      <c r="E919" t="s">
        <v>177</v>
      </c>
      <c r="F919" s="4"/>
      <c r="G919" s="4"/>
      <c r="H919" t="s">
        <v>150</v>
      </c>
      <c r="I919" t="s">
        <v>228</v>
      </c>
      <c r="J919" t="s">
        <v>152</v>
      </c>
      <c r="K919" t="s">
        <v>60</v>
      </c>
      <c r="L919" t="s">
        <v>94</v>
      </c>
      <c r="M919" s="5"/>
      <c r="N919" s="5"/>
      <c r="O919" s="5"/>
      <c r="P919" s="5"/>
      <c r="R919" t="s">
        <v>134</v>
      </c>
      <c r="S919" t="s">
        <v>63</v>
      </c>
      <c r="T919" s="5"/>
      <c r="U919" s="6"/>
      <c r="V919" t="s">
        <v>64</v>
      </c>
      <c r="W919" s="4"/>
      <c r="X919" t="s">
        <v>65</v>
      </c>
      <c r="Z919" t="s">
        <v>66</v>
      </c>
      <c r="AA919" t="str">
        <f>VLOOKUP(H919,Departments!$A:$B,2,0)</f>
        <v>Obstetrics</v>
      </c>
      <c r="AB919" t="str">
        <f>VLOOKUP(J919,Diagnosis_Guide!$A:$B,2,0)</f>
        <v>Antenatal Complication</v>
      </c>
      <c r="AC919" s="4" t="str">
        <f>VLOOKUP(J919,Diagnosis_Guide!$A:$C,3,0)</f>
        <v>Maternal Health</v>
      </c>
      <c r="AD919" s="4" t="str">
        <f>VLOOKUP(R919,Insurance_Plans!$A:$C,3,0)</f>
        <v>Community</v>
      </c>
      <c r="AE919" s="13" t="str">
        <f t="shared" si="42"/>
        <v/>
      </c>
      <c r="AF919" s="13" t="str">
        <f t="shared" si="43"/>
        <v/>
      </c>
      <c r="AG919" s="4" t="str">
        <f t="shared" si="44"/>
        <v>Not Available</v>
      </c>
    </row>
    <row r="920" spans="1:33">
      <c r="A920" t="s">
        <v>1610</v>
      </c>
      <c r="B920" t="s">
        <v>1611</v>
      </c>
      <c r="C920" s="11">
        <v>46139</v>
      </c>
      <c r="D920" t="s">
        <v>144</v>
      </c>
      <c r="E920" t="s">
        <v>314</v>
      </c>
      <c r="F920" s="4"/>
      <c r="G920" s="4"/>
      <c r="H920" t="s">
        <v>90</v>
      </c>
      <c r="I920" t="s">
        <v>388</v>
      </c>
      <c r="J920" t="s">
        <v>129</v>
      </c>
      <c r="K920" t="s">
        <v>60</v>
      </c>
      <c r="L920" t="s">
        <v>74</v>
      </c>
      <c r="M920" s="5"/>
      <c r="N920" s="5"/>
      <c r="O920" s="5"/>
      <c r="P920" s="5"/>
      <c r="R920" t="s">
        <v>134</v>
      </c>
      <c r="S920" t="s">
        <v>63</v>
      </c>
      <c r="T920" s="5"/>
      <c r="U920" s="6"/>
      <c r="V920" t="s">
        <v>64</v>
      </c>
      <c r="W920" s="4"/>
      <c r="X920" t="s">
        <v>65</v>
      </c>
      <c r="Z920" t="s">
        <v>66</v>
      </c>
      <c r="AA920" t="str">
        <f>VLOOKUP(H920,Departments!$A:$B,2,0)</f>
        <v>Cardiology</v>
      </c>
      <c r="AB920" t="str">
        <f>VLOOKUP(J920,Diagnosis_Guide!$A:$B,2,0)</f>
        <v>Hypertension Crisis</v>
      </c>
      <c r="AC920" s="4" t="str">
        <f>VLOOKUP(J920,Diagnosis_Guide!$A:$C,3,0)</f>
        <v>Cardiovascular</v>
      </c>
      <c r="AD920" s="4" t="str">
        <f>VLOOKUP(R920,Insurance_Plans!$A:$C,3,0)</f>
        <v>Community</v>
      </c>
      <c r="AE920" s="13" t="str">
        <f t="shared" si="42"/>
        <v/>
      </c>
      <c r="AF920" s="13" t="str">
        <f t="shared" si="43"/>
        <v/>
      </c>
      <c r="AG920" s="4" t="str">
        <f t="shared" si="44"/>
        <v>Not Available</v>
      </c>
    </row>
    <row r="921" spans="1:33">
      <c r="A921" t="s">
        <v>1612</v>
      </c>
      <c r="B921" t="s">
        <v>274</v>
      </c>
      <c r="C921" s="11">
        <v>46146</v>
      </c>
      <c r="D921" t="s">
        <v>242</v>
      </c>
      <c r="E921" t="s">
        <v>70</v>
      </c>
      <c r="F921" s="4">
        <v>46146</v>
      </c>
      <c r="G921" s="4">
        <v>46146</v>
      </c>
      <c r="H921" t="s">
        <v>121</v>
      </c>
      <c r="I921" t="s">
        <v>386</v>
      </c>
      <c r="J921" t="s">
        <v>256</v>
      </c>
      <c r="K921" t="s">
        <v>124</v>
      </c>
      <c r="L921" t="s">
        <v>74</v>
      </c>
      <c r="M921" s="5">
        <v>18300</v>
      </c>
      <c r="N921" s="5">
        <v>2900</v>
      </c>
      <c r="O921" s="5">
        <v>2250</v>
      </c>
      <c r="P921" s="5">
        <v>0</v>
      </c>
      <c r="Q921" s="13">
        <v>25950</v>
      </c>
      <c r="R921" t="s">
        <v>106</v>
      </c>
      <c r="S921" t="s">
        <v>76</v>
      </c>
      <c r="T921" s="5">
        <v>9780</v>
      </c>
      <c r="U921" s="6">
        <v>4</v>
      </c>
      <c r="V921" t="s">
        <v>77</v>
      </c>
      <c r="W921" s="4">
        <v>46158</v>
      </c>
      <c r="X921" t="s">
        <v>77</v>
      </c>
      <c r="Y921" t="s">
        <v>64</v>
      </c>
      <c r="Z921" t="s">
        <v>78</v>
      </c>
      <c r="AA921" t="str">
        <f>VLOOKUP(H921,Departments!$A:$B,2,0)</f>
        <v>Neurology</v>
      </c>
      <c r="AB921" t="str">
        <f>VLOOKUP(J921,Diagnosis_Guide!$A:$B,2,0)</f>
        <v>Migraine Complication</v>
      </c>
      <c r="AC921" s="4" t="str">
        <f>VLOOKUP(J921,Diagnosis_Guide!$A:$C,3,0)</f>
        <v>Neurological</v>
      </c>
      <c r="AD921" s="4" t="str">
        <f>VLOOKUP(R921,Insurance_Plans!$A:$C,3,0)</f>
        <v>Private</v>
      </c>
      <c r="AE921" s="13">
        <f t="shared" si="42"/>
        <v>1297.5</v>
      </c>
      <c r="AF921" s="13">
        <f t="shared" si="43"/>
        <v>27247.5</v>
      </c>
      <c r="AG921" s="4" t="str">
        <f t="shared" si="44"/>
        <v>High</v>
      </c>
    </row>
    <row r="922" spans="1:33">
      <c r="A922" t="s">
        <v>1613</v>
      </c>
      <c r="B922" t="s">
        <v>794</v>
      </c>
      <c r="C922" s="11">
        <v>46129</v>
      </c>
      <c r="D922" t="s">
        <v>234</v>
      </c>
      <c r="E922" t="s">
        <v>70</v>
      </c>
      <c r="F922" s="4">
        <v>46130</v>
      </c>
      <c r="G922" s="4">
        <v>46132</v>
      </c>
      <c r="H922" t="s">
        <v>57</v>
      </c>
      <c r="I922" t="s">
        <v>169</v>
      </c>
      <c r="J922" t="s">
        <v>72</v>
      </c>
      <c r="K922" t="s">
        <v>73</v>
      </c>
      <c r="L922" t="s">
        <v>94</v>
      </c>
      <c r="M922" s="5">
        <v>6700</v>
      </c>
      <c r="N922" s="5">
        <v>900</v>
      </c>
      <c r="O922" s="5">
        <v>1600</v>
      </c>
      <c r="P922" s="5">
        <v>12000</v>
      </c>
      <c r="Q922" s="13">
        <v>22000</v>
      </c>
      <c r="R922" t="s">
        <v>141</v>
      </c>
      <c r="S922" t="s">
        <v>76</v>
      </c>
      <c r="T922" s="5">
        <v>4500</v>
      </c>
      <c r="U922" s="6">
        <v>4</v>
      </c>
      <c r="V922" t="s">
        <v>64</v>
      </c>
      <c r="W922" s="4"/>
      <c r="X922" t="s">
        <v>65</v>
      </c>
      <c r="Y922" t="s">
        <v>64</v>
      </c>
      <c r="Z922" t="s">
        <v>96</v>
      </c>
      <c r="AA922" t="str">
        <f>VLOOKUP(H922,Departments!$A:$B,2,0)</f>
        <v>Pulmonology</v>
      </c>
      <c r="AB922" t="str">
        <f>VLOOKUP(J922,Diagnosis_Guide!$A:$B,2,0)</f>
        <v>Acute Bronchitis</v>
      </c>
      <c r="AC922" s="4" t="str">
        <f>VLOOKUP(J922,Diagnosis_Guide!$A:$C,3,0)</f>
        <v>Respiratory</v>
      </c>
      <c r="AD922" s="4" t="str">
        <f>VLOOKUP(R922,Insurance_Plans!$A:$C,3,0)</f>
        <v>Private</v>
      </c>
      <c r="AE922" s="13">
        <f t="shared" si="42"/>
        <v>1100</v>
      </c>
      <c r="AF922" s="13">
        <f t="shared" si="43"/>
        <v>23100</v>
      </c>
      <c r="AG922" s="4" t="str">
        <f t="shared" si="44"/>
        <v>High</v>
      </c>
    </row>
    <row r="923" spans="1:33">
      <c r="A923" t="s">
        <v>1614</v>
      </c>
      <c r="B923" t="s">
        <v>543</v>
      </c>
      <c r="C923" s="11">
        <v>46150</v>
      </c>
      <c r="D923" t="s">
        <v>307</v>
      </c>
      <c r="E923" t="s">
        <v>56</v>
      </c>
      <c r="F923" s="4"/>
      <c r="G923" s="4"/>
      <c r="H923" t="s">
        <v>121</v>
      </c>
      <c r="I923" t="s">
        <v>334</v>
      </c>
      <c r="J923" t="s">
        <v>256</v>
      </c>
      <c r="K923" t="s">
        <v>93</v>
      </c>
      <c r="L923" t="s">
        <v>61</v>
      </c>
      <c r="M923" s="5"/>
      <c r="N923" s="5"/>
      <c r="O923" s="5"/>
      <c r="P923" s="5"/>
      <c r="R923" t="s">
        <v>134</v>
      </c>
      <c r="S923" t="s">
        <v>63</v>
      </c>
      <c r="T923" s="5"/>
      <c r="U923" s="6"/>
      <c r="V923" t="s">
        <v>64</v>
      </c>
      <c r="W923" s="4"/>
      <c r="X923" t="s">
        <v>65</v>
      </c>
      <c r="Z923" t="s">
        <v>66</v>
      </c>
      <c r="AA923" t="str">
        <f>VLOOKUP(H923,Departments!$A:$B,2,0)</f>
        <v>Neurology</v>
      </c>
      <c r="AB923" t="str">
        <f>VLOOKUP(J923,Diagnosis_Guide!$A:$B,2,0)</f>
        <v>Migraine Complication</v>
      </c>
      <c r="AC923" s="4" t="str">
        <f>VLOOKUP(J923,Diagnosis_Guide!$A:$C,3,0)</f>
        <v>Neurological</v>
      </c>
      <c r="AD923" s="4" t="str">
        <f>VLOOKUP(R923,Insurance_Plans!$A:$C,3,0)</f>
        <v>Community</v>
      </c>
      <c r="AE923" s="13" t="str">
        <f t="shared" si="42"/>
        <v/>
      </c>
      <c r="AF923" s="13" t="str">
        <f t="shared" si="43"/>
        <v/>
      </c>
      <c r="AG923" s="4" t="str">
        <f t="shared" si="44"/>
        <v>Not Available</v>
      </c>
    </row>
    <row r="924" spans="1:33">
      <c r="A924" t="s">
        <v>1615</v>
      </c>
      <c r="B924" t="s">
        <v>1455</v>
      </c>
      <c r="C924" s="11">
        <v>46084</v>
      </c>
      <c r="D924" t="s">
        <v>168</v>
      </c>
      <c r="E924" t="s">
        <v>70</v>
      </c>
      <c r="F924" s="4">
        <v>46084</v>
      </c>
      <c r="G924" s="4">
        <v>46084</v>
      </c>
      <c r="H924" t="s">
        <v>90</v>
      </c>
      <c r="I924" t="s">
        <v>128</v>
      </c>
      <c r="J924" t="s">
        <v>129</v>
      </c>
      <c r="K924" t="s">
        <v>73</v>
      </c>
      <c r="L924" t="s">
        <v>61</v>
      </c>
      <c r="M924" s="5">
        <v>33900</v>
      </c>
      <c r="N924" s="5">
        <v>3400</v>
      </c>
      <c r="O924" s="5">
        <v>4550</v>
      </c>
      <c r="P924" s="5">
        <v>0</v>
      </c>
      <c r="Q924" s="13">
        <v>43850</v>
      </c>
      <c r="R924" t="s">
        <v>95</v>
      </c>
      <c r="S924" t="s">
        <v>63</v>
      </c>
      <c r="T924" s="5">
        <v>43850</v>
      </c>
      <c r="U924" s="6">
        <v>5</v>
      </c>
      <c r="V924" t="s">
        <v>77</v>
      </c>
      <c r="W924" s="4">
        <v>46091</v>
      </c>
      <c r="X924" t="s">
        <v>64</v>
      </c>
      <c r="Y924" t="s">
        <v>64</v>
      </c>
      <c r="Z924" t="s">
        <v>96</v>
      </c>
      <c r="AA924" t="str">
        <f>VLOOKUP(H924,Departments!$A:$B,2,0)</f>
        <v>Cardiology</v>
      </c>
      <c r="AB924" t="str">
        <f>VLOOKUP(J924,Diagnosis_Guide!$A:$B,2,0)</f>
        <v>Hypertension Crisis</v>
      </c>
      <c r="AC924" s="4" t="str">
        <f>VLOOKUP(J924,Diagnosis_Guide!$A:$C,3,0)</f>
        <v>Cardiovascular</v>
      </c>
      <c r="AD924" s="4" t="str">
        <f>VLOOKUP(R924,Insurance_Plans!$A:$C,3,0)</f>
        <v>Self-Pay</v>
      </c>
      <c r="AE924" s="13">
        <f t="shared" si="42"/>
        <v>2192.5</v>
      </c>
      <c r="AF924" s="13">
        <f t="shared" si="43"/>
        <v>46042.5</v>
      </c>
      <c r="AG924" s="4" t="str">
        <f t="shared" si="44"/>
        <v>High</v>
      </c>
    </row>
    <row r="925" spans="1:33">
      <c r="A925" t="s">
        <v>1616</v>
      </c>
      <c r="B925" t="s">
        <v>1617</v>
      </c>
      <c r="C925" s="11">
        <v>46167</v>
      </c>
      <c r="D925" t="s">
        <v>161</v>
      </c>
      <c r="E925" t="s">
        <v>70</v>
      </c>
      <c r="F925" s="4">
        <v>46167</v>
      </c>
      <c r="G925" s="4">
        <v>46167</v>
      </c>
      <c r="H925" t="s">
        <v>150</v>
      </c>
      <c r="I925" t="s">
        <v>228</v>
      </c>
      <c r="J925" t="s">
        <v>229</v>
      </c>
      <c r="K925" t="s">
        <v>60</v>
      </c>
      <c r="L925" t="s">
        <v>94</v>
      </c>
      <c r="M925" s="5">
        <v>36700</v>
      </c>
      <c r="N925" s="5">
        <v>6150</v>
      </c>
      <c r="O925" s="5">
        <v>5450</v>
      </c>
      <c r="P925" s="5">
        <v>0</v>
      </c>
      <c r="Q925" s="13">
        <v>49800</v>
      </c>
      <c r="R925" t="s">
        <v>75</v>
      </c>
      <c r="S925" t="s">
        <v>76</v>
      </c>
      <c r="T925" s="5">
        <v>22710</v>
      </c>
      <c r="U925" s="6"/>
      <c r="V925" t="s">
        <v>77</v>
      </c>
      <c r="W925" s="4">
        <v>46179</v>
      </c>
      <c r="X925" t="s">
        <v>77</v>
      </c>
      <c r="Y925" t="s">
        <v>64</v>
      </c>
      <c r="Z925" t="s">
        <v>96</v>
      </c>
      <c r="AA925" t="str">
        <f>VLOOKUP(H925,Departments!$A:$B,2,0)</f>
        <v>Obstetrics</v>
      </c>
      <c r="AB925" t="str">
        <f>VLOOKUP(J925,Diagnosis_Guide!$A:$B,2,0)</f>
        <v>Delivery Care</v>
      </c>
      <c r="AC925" s="4" t="str">
        <f>VLOOKUP(J925,Diagnosis_Guide!$A:$C,3,0)</f>
        <v>Maternal Health</v>
      </c>
      <c r="AD925" s="4" t="str">
        <f>VLOOKUP(R925,Insurance_Plans!$A:$C,3,0)</f>
        <v>Public</v>
      </c>
      <c r="AE925" s="13">
        <f t="shared" si="42"/>
        <v>2490</v>
      </c>
      <c r="AF925" s="13">
        <f t="shared" si="43"/>
        <v>52290</v>
      </c>
      <c r="AG925" s="4" t="str">
        <f t="shared" si="44"/>
        <v>Not Available</v>
      </c>
    </row>
    <row r="926" spans="1:33">
      <c r="A926" t="s">
        <v>1618</v>
      </c>
      <c r="B926" t="s">
        <v>360</v>
      </c>
      <c r="C926" s="11">
        <v>46145</v>
      </c>
      <c r="D926" t="s">
        <v>302</v>
      </c>
      <c r="E926" t="s">
        <v>70</v>
      </c>
      <c r="F926" s="4">
        <v>46145</v>
      </c>
      <c r="G926" s="4">
        <v>46147</v>
      </c>
      <c r="H926" t="s">
        <v>138</v>
      </c>
      <c r="I926" t="s">
        <v>444</v>
      </c>
      <c r="J926" t="s">
        <v>140</v>
      </c>
      <c r="K926" t="s">
        <v>93</v>
      </c>
      <c r="L926" t="s">
        <v>94</v>
      </c>
      <c r="M926" s="5">
        <v>18500</v>
      </c>
      <c r="N926" s="5">
        <v>3150</v>
      </c>
      <c r="O926" s="5">
        <v>3300</v>
      </c>
      <c r="P926" s="5">
        <v>5000</v>
      </c>
      <c r="Q926" s="13">
        <v>31450</v>
      </c>
      <c r="R926" t="s">
        <v>106</v>
      </c>
      <c r="S926" t="s">
        <v>163</v>
      </c>
      <c r="T926" s="5">
        <v>11710</v>
      </c>
      <c r="U926" s="6">
        <v>4</v>
      </c>
      <c r="V926" t="s">
        <v>64</v>
      </c>
      <c r="W926" s="4"/>
      <c r="X926" t="s">
        <v>65</v>
      </c>
      <c r="Y926" t="s">
        <v>64</v>
      </c>
      <c r="Z926" t="s">
        <v>107</v>
      </c>
      <c r="AA926" t="str">
        <f>VLOOKUP(H926,Departments!$A:$B,2,0)</f>
        <v>Pediatrics</v>
      </c>
      <c r="AB926" t="str">
        <f>VLOOKUP(J926,Diagnosis_Guide!$A:$B,2,0)</f>
        <v>Pediatric Asthma</v>
      </c>
      <c r="AC926" s="4" t="str">
        <f>VLOOKUP(J926,Diagnosis_Guide!$A:$C,3,0)</f>
        <v>Pediatric</v>
      </c>
      <c r="AD926" s="4" t="str">
        <f>VLOOKUP(R926,Insurance_Plans!$A:$C,3,0)</f>
        <v>Private</v>
      </c>
      <c r="AE926" s="13">
        <f t="shared" si="42"/>
        <v>1572.5</v>
      </c>
      <c r="AF926" s="13">
        <f t="shared" si="43"/>
        <v>33022.5</v>
      </c>
      <c r="AG926" s="4" t="str">
        <f t="shared" si="44"/>
        <v>High</v>
      </c>
    </row>
    <row r="927" spans="1:33">
      <c r="A927" t="s">
        <v>1619</v>
      </c>
      <c r="B927" t="s">
        <v>399</v>
      </c>
      <c r="C927" s="11">
        <v>46162</v>
      </c>
      <c r="D927" t="s">
        <v>439</v>
      </c>
      <c r="E927" t="s">
        <v>70</v>
      </c>
      <c r="F927" s="4">
        <v>46162</v>
      </c>
      <c r="G927" s="4">
        <v>46162</v>
      </c>
      <c r="H927" t="s">
        <v>103</v>
      </c>
      <c r="I927" t="s">
        <v>207</v>
      </c>
      <c r="J927" t="s">
        <v>145</v>
      </c>
      <c r="K927" t="s">
        <v>60</v>
      </c>
      <c r="L927" t="s">
        <v>94</v>
      </c>
      <c r="M927" s="5">
        <v>22600</v>
      </c>
      <c r="N927" s="5">
        <v>2000</v>
      </c>
      <c r="O927" s="5">
        <v>3900</v>
      </c>
      <c r="P927" s="5">
        <v>0</v>
      </c>
      <c r="Q927" s="13">
        <v>30000</v>
      </c>
      <c r="R927" t="s">
        <v>62</v>
      </c>
      <c r="S927" t="s">
        <v>76</v>
      </c>
      <c r="T927" s="5">
        <v>9400</v>
      </c>
      <c r="U927" s="6">
        <v>5</v>
      </c>
      <c r="V927" t="s">
        <v>64</v>
      </c>
      <c r="W927" s="4"/>
      <c r="X927" t="s">
        <v>65</v>
      </c>
      <c r="Y927" t="s">
        <v>64</v>
      </c>
      <c r="Z927" t="s">
        <v>96</v>
      </c>
      <c r="AA927" t="str">
        <f>VLOOKUP(H927,Departments!$A:$B,2,0)</f>
        <v>Nephrology</v>
      </c>
      <c r="AB927" t="str">
        <f>VLOOKUP(J927,Diagnosis_Guide!$A:$B,2,0)</f>
        <v>Kidney Stone</v>
      </c>
      <c r="AC927" s="4" t="str">
        <f>VLOOKUP(J927,Diagnosis_Guide!$A:$C,3,0)</f>
        <v>Renal</v>
      </c>
      <c r="AD927" s="4" t="str">
        <f>VLOOKUP(R927,Insurance_Plans!$A:$C,3,0)</f>
        <v>Public</v>
      </c>
      <c r="AE927" s="13">
        <f t="shared" si="42"/>
        <v>1500</v>
      </c>
      <c r="AF927" s="13">
        <f t="shared" si="43"/>
        <v>31500</v>
      </c>
      <c r="AG927" s="4" t="str">
        <f t="shared" si="44"/>
        <v>High</v>
      </c>
    </row>
    <row r="928" spans="1:33">
      <c r="A928" t="s">
        <v>1620</v>
      </c>
      <c r="B928" t="s">
        <v>199</v>
      </c>
      <c r="C928" s="11">
        <v>46167</v>
      </c>
      <c r="D928" t="s">
        <v>284</v>
      </c>
      <c r="E928" t="s">
        <v>70</v>
      </c>
      <c r="F928" s="4">
        <v>46167</v>
      </c>
      <c r="G928" s="4">
        <v>46169</v>
      </c>
      <c r="H928" t="s">
        <v>103</v>
      </c>
      <c r="J928" t="s">
        <v>145</v>
      </c>
      <c r="K928" t="s">
        <v>124</v>
      </c>
      <c r="L928" t="s">
        <v>74</v>
      </c>
      <c r="M928" s="5">
        <v>26600</v>
      </c>
      <c r="N928" s="5">
        <v>3100</v>
      </c>
      <c r="O928" s="5">
        <v>4300</v>
      </c>
      <c r="P928" s="5">
        <v>12000</v>
      </c>
      <c r="Q928" s="13">
        <v>47500</v>
      </c>
      <c r="R928" t="s">
        <v>95</v>
      </c>
      <c r="S928" t="s">
        <v>63</v>
      </c>
      <c r="T928" s="5">
        <v>47500</v>
      </c>
      <c r="U928" s="6">
        <v>4</v>
      </c>
      <c r="V928" t="s">
        <v>64</v>
      </c>
      <c r="W928" s="4"/>
      <c r="X928" t="s">
        <v>65</v>
      </c>
      <c r="Y928" t="s">
        <v>64</v>
      </c>
      <c r="Z928" t="s">
        <v>96</v>
      </c>
      <c r="AA928" t="str">
        <f>VLOOKUP(H928,Departments!$A:$B,2,0)</f>
        <v>Nephrology</v>
      </c>
      <c r="AB928" t="str">
        <f>VLOOKUP(J928,Diagnosis_Guide!$A:$B,2,0)</f>
        <v>Kidney Stone</v>
      </c>
      <c r="AC928" s="4" t="str">
        <f>VLOOKUP(J928,Diagnosis_Guide!$A:$C,3,0)</f>
        <v>Renal</v>
      </c>
      <c r="AD928" s="4" t="str">
        <f>VLOOKUP(R928,Insurance_Plans!$A:$C,3,0)</f>
        <v>Self-Pay</v>
      </c>
      <c r="AE928" s="13">
        <f t="shared" si="42"/>
        <v>2375</v>
      </c>
      <c r="AF928" s="13">
        <f t="shared" si="43"/>
        <v>49875</v>
      </c>
      <c r="AG928" s="4" t="str">
        <f t="shared" si="44"/>
        <v>High</v>
      </c>
    </row>
    <row r="929" spans="1:33">
      <c r="A929" t="s">
        <v>1621</v>
      </c>
      <c r="B929" t="s">
        <v>213</v>
      </c>
      <c r="C929" s="11">
        <v>46024</v>
      </c>
      <c r="D929" t="s">
        <v>120</v>
      </c>
      <c r="E929" t="s">
        <v>70</v>
      </c>
      <c r="F929" s="4">
        <v>46024</v>
      </c>
      <c r="G929" s="4">
        <v>46024</v>
      </c>
      <c r="H929" t="s">
        <v>103</v>
      </c>
      <c r="I929" t="s">
        <v>207</v>
      </c>
      <c r="J929" t="s">
        <v>145</v>
      </c>
      <c r="K929" t="s">
        <v>60</v>
      </c>
      <c r="L929" t="s">
        <v>74</v>
      </c>
      <c r="M929" s="5">
        <v>26100</v>
      </c>
      <c r="N929" s="5">
        <v>4550</v>
      </c>
      <c r="O929" s="5">
        <v>3200</v>
      </c>
      <c r="P929" s="5">
        <v>0</v>
      </c>
      <c r="Q929" s="13">
        <v>35350</v>
      </c>
      <c r="R929" t="s">
        <v>75</v>
      </c>
      <c r="S929" t="s">
        <v>76</v>
      </c>
      <c r="T929" s="5">
        <v>16210</v>
      </c>
      <c r="U929" s="6">
        <v>4</v>
      </c>
      <c r="V929" t="s">
        <v>77</v>
      </c>
      <c r="W929" s="4">
        <v>46032</v>
      </c>
      <c r="X929" t="s">
        <v>64</v>
      </c>
      <c r="Y929" t="s">
        <v>64</v>
      </c>
      <c r="Z929" t="s">
        <v>96</v>
      </c>
      <c r="AA929" t="str">
        <f>VLOOKUP(H929,Departments!$A:$B,2,0)</f>
        <v>Nephrology</v>
      </c>
      <c r="AB929" t="str">
        <f>VLOOKUP(J929,Diagnosis_Guide!$A:$B,2,0)</f>
        <v>Kidney Stone</v>
      </c>
      <c r="AC929" s="4" t="str">
        <f>VLOOKUP(J929,Diagnosis_Guide!$A:$C,3,0)</f>
        <v>Renal</v>
      </c>
      <c r="AD929" s="4" t="str">
        <f>VLOOKUP(R929,Insurance_Plans!$A:$C,3,0)</f>
        <v>Public</v>
      </c>
      <c r="AE929" s="13">
        <f t="shared" si="42"/>
        <v>1767.5</v>
      </c>
      <c r="AF929" s="13">
        <f t="shared" si="43"/>
        <v>37117.5</v>
      </c>
      <c r="AG929" s="4" t="str">
        <f t="shared" si="44"/>
        <v>High</v>
      </c>
    </row>
    <row r="930" spans="1:33">
      <c r="A930" t="s">
        <v>1622</v>
      </c>
      <c r="B930" t="s">
        <v>830</v>
      </c>
      <c r="C930" s="11">
        <v>46126</v>
      </c>
      <c r="D930" t="s">
        <v>432</v>
      </c>
      <c r="E930" t="s">
        <v>56</v>
      </c>
      <c r="F930" s="4"/>
      <c r="G930" s="4"/>
      <c r="H930" t="s">
        <v>90</v>
      </c>
      <c r="I930" t="s">
        <v>162</v>
      </c>
      <c r="J930" t="s">
        <v>129</v>
      </c>
      <c r="K930" t="s">
        <v>124</v>
      </c>
      <c r="L930" t="s">
        <v>94</v>
      </c>
      <c r="M930" s="5"/>
      <c r="N930" s="5"/>
      <c r="O930" s="5"/>
      <c r="P930" s="5"/>
      <c r="R930" t="s">
        <v>141</v>
      </c>
      <c r="S930" t="s">
        <v>63</v>
      </c>
      <c r="T930" s="5"/>
      <c r="U930" s="6"/>
      <c r="V930" t="s">
        <v>64</v>
      </c>
      <c r="W930" s="4"/>
      <c r="X930" t="s">
        <v>65</v>
      </c>
      <c r="Z930" t="s">
        <v>66</v>
      </c>
      <c r="AA930" t="str">
        <f>VLOOKUP(H930,Departments!$A:$B,2,0)</f>
        <v>Cardiology</v>
      </c>
      <c r="AB930" t="str">
        <f>VLOOKUP(J930,Diagnosis_Guide!$A:$B,2,0)</f>
        <v>Hypertension Crisis</v>
      </c>
      <c r="AC930" s="4" t="str">
        <f>VLOOKUP(J930,Diagnosis_Guide!$A:$C,3,0)</f>
        <v>Cardiovascular</v>
      </c>
      <c r="AD930" s="4" t="str">
        <f>VLOOKUP(R930,Insurance_Plans!$A:$C,3,0)</f>
        <v>Private</v>
      </c>
      <c r="AE930" s="13" t="str">
        <f t="shared" si="42"/>
        <v/>
      </c>
      <c r="AF930" s="13" t="str">
        <f t="shared" si="43"/>
        <v/>
      </c>
      <c r="AG930" s="4" t="str">
        <f t="shared" si="44"/>
        <v>Not Available</v>
      </c>
    </row>
    <row r="931" spans="1:33">
      <c r="A931" t="s">
        <v>1623</v>
      </c>
      <c r="B931" t="s">
        <v>1272</v>
      </c>
      <c r="C931" s="11">
        <v>46169</v>
      </c>
      <c r="D931" t="s">
        <v>383</v>
      </c>
      <c r="E931" t="s">
        <v>70</v>
      </c>
      <c r="F931" s="4">
        <v>46170</v>
      </c>
      <c r="G931" s="4">
        <v>46174</v>
      </c>
      <c r="H931" t="s">
        <v>103</v>
      </c>
      <c r="I931" t="s">
        <v>412</v>
      </c>
      <c r="J931" t="s">
        <v>145</v>
      </c>
      <c r="K931" t="s">
        <v>124</v>
      </c>
      <c r="L931" t="s">
        <v>61</v>
      </c>
      <c r="M931" s="5">
        <v>29500</v>
      </c>
      <c r="N931" s="5">
        <v>3200</v>
      </c>
      <c r="O931" s="5">
        <v>5350</v>
      </c>
      <c r="P931" s="5">
        <v>12000</v>
      </c>
      <c r="Q931" s="13">
        <v>51250</v>
      </c>
      <c r="R931" t="s">
        <v>75</v>
      </c>
      <c r="S931" t="s">
        <v>76</v>
      </c>
      <c r="T931" s="5">
        <v>23360</v>
      </c>
      <c r="U931" s="6">
        <v>5</v>
      </c>
      <c r="V931" t="s">
        <v>77</v>
      </c>
      <c r="W931" s="4">
        <v>46188</v>
      </c>
      <c r="X931" t="s">
        <v>77</v>
      </c>
      <c r="Y931" t="s">
        <v>64</v>
      </c>
      <c r="Z931" t="s">
        <v>78</v>
      </c>
      <c r="AA931" t="str">
        <f>VLOOKUP(H931,Departments!$A:$B,2,0)</f>
        <v>Nephrology</v>
      </c>
      <c r="AB931" t="str">
        <f>VLOOKUP(J931,Diagnosis_Guide!$A:$B,2,0)</f>
        <v>Kidney Stone</v>
      </c>
      <c r="AC931" s="4" t="str">
        <f>VLOOKUP(J931,Diagnosis_Guide!$A:$C,3,0)</f>
        <v>Renal</v>
      </c>
      <c r="AD931" s="4" t="str">
        <f>VLOOKUP(R931,Insurance_Plans!$A:$C,3,0)</f>
        <v>Public</v>
      </c>
      <c r="AE931" s="13">
        <f t="shared" si="42"/>
        <v>2562.5</v>
      </c>
      <c r="AF931" s="13">
        <f t="shared" si="43"/>
        <v>53812.5</v>
      </c>
      <c r="AG931" s="4" t="str">
        <f t="shared" si="44"/>
        <v>High</v>
      </c>
    </row>
    <row r="932" spans="1:33">
      <c r="A932" t="s">
        <v>1624</v>
      </c>
      <c r="B932" t="s">
        <v>1081</v>
      </c>
      <c r="C932" s="11">
        <v>46062</v>
      </c>
      <c r="D932" t="s">
        <v>127</v>
      </c>
      <c r="E932" t="s">
        <v>70</v>
      </c>
      <c r="F932" s="4">
        <v>46062</v>
      </c>
      <c r="G932" s="4">
        <v>46062</v>
      </c>
      <c r="H932" t="s">
        <v>111</v>
      </c>
      <c r="I932" t="s">
        <v>397</v>
      </c>
      <c r="J932" t="s">
        <v>113</v>
      </c>
      <c r="K932" t="s">
        <v>60</v>
      </c>
      <c r="L932" t="s">
        <v>94</v>
      </c>
      <c r="M932" s="5">
        <v>17400</v>
      </c>
      <c r="N932" s="5">
        <v>2500</v>
      </c>
      <c r="O932" s="5">
        <v>1750</v>
      </c>
      <c r="P932" s="5">
        <v>0</v>
      </c>
      <c r="Q932" s="13">
        <v>23650</v>
      </c>
      <c r="R932" t="s">
        <v>106</v>
      </c>
      <c r="S932" t="s">
        <v>76</v>
      </c>
      <c r="T932" s="5">
        <v>8980</v>
      </c>
      <c r="U932" s="6">
        <v>5</v>
      </c>
      <c r="V932" t="s">
        <v>64</v>
      </c>
      <c r="W932" s="4"/>
      <c r="X932" t="s">
        <v>65</v>
      </c>
      <c r="Y932" t="s">
        <v>64</v>
      </c>
      <c r="Z932" t="s">
        <v>96</v>
      </c>
      <c r="AA932" t="str">
        <f>VLOOKUP(H932,Departments!$A:$B,2,0)</f>
        <v>General Medicine</v>
      </c>
      <c r="AB932" t="str">
        <f>VLOOKUP(J932,Diagnosis_Guide!$A:$B,2,0)</f>
        <v>Diabetes Complication</v>
      </c>
      <c r="AC932" s="4" t="str">
        <f>VLOOKUP(J932,Diagnosis_Guide!$A:$C,3,0)</f>
        <v>Endocrine/General</v>
      </c>
      <c r="AD932" s="4" t="str">
        <f>VLOOKUP(R932,Insurance_Plans!$A:$C,3,0)</f>
        <v>Private</v>
      </c>
      <c r="AE932" s="13">
        <f t="shared" si="42"/>
        <v>1182.5</v>
      </c>
      <c r="AF932" s="13">
        <f t="shared" si="43"/>
        <v>24832.5</v>
      </c>
      <c r="AG932" s="4" t="str">
        <f t="shared" si="44"/>
        <v>High</v>
      </c>
    </row>
    <row r="933" spans="1:33">
      <c r="A933" t="s">
        <v>1625</v>
      </c>
      <c r="B933" t="s">
        <v>776</v>
      </c>
      <c r="C933" s="11">
        <v>46163</v>
      </c>
      <c r="D933" t="s">
        <v>302</v>
      </c>
      <c r="E933" t="s">
        <v>70</v>
      </c>
      <c r="F933" s="4">
        <v>46164</v>
      </c>
      <c r="G933" s="4">
        <v>46171</v>
      </c>
      <c r="H933" t="s">
        <v>150</v>
      </c>
      <c r="I933" t="s">
        <v>151</v>
      </c>
      <c r="J933" t="s">
        <v>188</v>
      </c>
      <c r="K933" t="s">
        <v>124</v>
      </c>
      <c r="L933" t="s">
        <v>146</v>
      </c>
      <c r="M933" s="5">
        <v>112500</v>
      </c>
      <c r="N933" s="5">
        <v>17500</v>
      </c>
      <c r="O933" s="5">
        <v>21150</v>
      </c>
      <c r="P933" s="5">
        <v>42000</v>
      </c>
      <c r="Q933" s="13">
        <v>195650</v>
      </c>
      <c r="R933" t="s">
        <v>75</v>
      </c>
      <c r="S933" t="s">
        <v>86</v>
      </c>
      <c r="T933" s="5">
        <v>88340</v>
      </c>
      <c r="U933" s="6">
        <v>2</v>
      </c>
      <c r="V933" t="s">
        <v>77</v>
      </c>
      <c r="W933" s="4">
        <v>46188</v>
      </c>
      <c r="X933" t="s">
        <v>64</v>
      </c>
      <c r="Y933" t="s">
        <v>64</v>
      </c>
      <c r="Z933" t="s">
        <v>107</v>
      </c>
      <c r="AA933" t="str">
        <f>VLOOKUP(H933,Departments!$A:$B,2,0)</f>
        <v>Obstetrics</v>
      </c>
      <c r="AB933" t="str">
        <f>VLOOKUP(J933,Diagnosis_Guide!$A:$B,2,0)</f>
        <v>Emergency C-Section</v>
      </c>
      <c r="AC933" s="4" t="str">
        <f>VLOOKUP(J933,Diagnosis_Guide!$A:$C,3,0)</f>
        <v>Maternal Health</v>
      </c>
      <c r="AD933" s="4" t="str">
        <f>VLOOKUP(R933,Insurance_Plans!$A:$C,3,0)</f>
        <v>Public</v>
      </c>
      <c r="AE933" s="13">
        <f t="shared" si="42"/>
        <v>9782.5</v>
      </c>
      <c r="AF933" s="13">
        <f t="shared" si="43"/>
        <v>205432.5</v>
      </c>
      <c r="AG933" s="4" t="str">
        <f t="shared" si="44"/>
        <v>Low</v>
      </c>
    </row>
    <row r="934" spans="1:33">
      <c r="A934" t="s">
        <v>1626</v>
      </c>
      <c r="B934" t="s">
        <v>1627</v>
      </c>
      <c r="C934" s="11">
        <v>46108</v>
      </c>
      <c r="D934" t="s">
        <v>383</v>
      </c>
      <c r="E934" t="s">
        <v>70</v>
      </c>
      <c r="F934" s="4">
        <v>46108</v>
      </c>
      <c r="G934" s="4">
        <v>46108</v>
      </c>
      <c r="H934" t="s">
        <v>201</v>
      </c>
      <c r="I934" t="s">
        <v>202</v>
      </c>
      <c r="J934" t="s">
        <v>281</v>
      </c>
      <c r="K934" t="s">
        <v>73</v>
      </c>
      <c r="L934" t="s">
        <v>74</v>
      </c>
      <c r="M934" s="5">
        <v>6100</v>
      </c>
      <c r="N934" s="5">
        <v>1000</v>
      </c>
      <c r="O934" s="5">
        <v>1350</v>
      </c>
      <c r="P934" s="5">
        <v>0</v>
      </c>
      <c r="Q934" s="13">
        <v>10950</v>
      </c>
      <c r="R934" t="s">
        <v>85</v>
      </c>
      <c r="S934" t="s">
        <v>76</v>
      </c>
      <c r="T934" s="5">
        <v>3640</v>
      </c>
      <c r="U934" s="6">
        <v>5</v>
      </c>
      <c r="V934" t="s">
        <v>77</v>
      </c>
      <c r="W934" s="4">
        <v>46124</v>
      </c>
      <c r="X934" t="s">
        <v>77</v>
      </c>
      <c r="Y934" t="s">
        <v>64</v>
      </c>
      <c r="Z934" t="s">
        <v>96</v>
      </c>
      <c r="AA934" t="str">
        <f>VLOOKUP(H934,Departments!$A:$B,2,0)</f>
        <v>Emergency</v>
      </c>
      <c r="AB934" t="str">
        <f>VLOOKUP(J934,Diagnosis_Guide!$A:$B,2,0)</f>
        <v>Food Poisoning</v>
      </c>
      <c r="AC934" s="4" t="str">
        <f>VLOOKUP(J934,Diagnosis_Guide!$A:$C,3,0)</f>
        <v>Emergency</v>
      </c>
      <c r="AD934" s="4" t="str">
        <f>VLOOKUP(R934,Insurance_Plans!$A:$C,3,0)</f>
        <v>Employer</v>
      </c>
      <c r="AE934" s="13">
        <f t="shared" si="42"/>
        <v>547.5</v>
      </c>
      <c r="AF934" s="13">
        <f t="shared" si="43"/>
        <v>11497.5</v>
      </c>
      <c r="AG934" s="4" t="str">
        <f t="shared" si="44"/>
        <v>High</v>
      </c>
    </row>
    <row r="935" spans="1:33">
      <c r="A935" t="s">
        <v>1628</v>
      </c>
      <c r="B935" t="s">
        <v>1136</v>
      </c>
      <c r="C935" s="11">
        <v>46134</v>
      </c>
      <c r="D935" t="s">
        <v>266</v>
      </c>
      <c r="E935" t="s">
        <v>70</v>
      </c>
      <c r="F935" s="4">
        <v>46134</v>
      </c>
      <c r="G935" s="4">
        <v>46139</v>
      </c>
      <c r="H935" t="s">
        <v>57</v>
      </c>
      <c r="I935" t="s">
        <v>71</v>
      </c>
      <c r="J935" t="s">
        <v>59</v>
      </c>
      <c r="K935" t="s">
        <v>124</v>
      </c>
      <c r="L935" t="s">
        <v>74</v>
      </c>
      <c r="M935" s="5">
        <v>55000</v>
      </c>
      <c r="N935" s="5">
        <v>6950</v>
      </c>
      <c r="O935" s="5">
        <v>9600</v>
      </c>
      <c r="P935" s="5">
        <v>30000</v>
      </c>
      <c r="Q935" s="13">
        <v>103350</v>
      </c>
      <c r="R935" t="s">
        <v>134</v>
      </c>
      <c r="S935" t="s">
        <v>76</v>
      </c>
      <c r="T935" s="5">
        <v>57040</v>
      </c>
      <c r="U935" s="6">
        <v>3</v>
      </c>
      <c r="V935" t="s">
        <v>77</v>
      </c>
      <c r="W935" s="4">
        <v>46151</v>
      </c>
      <c r="X935" t="s">
        <v>64</v>
      </c>
      <c r="Y935" t="s">
        <v>64</v>
      </c>
      <c r="Z935" t="s">
        <v>78</v>
      </c>
      <c r="AA935" t="str">
        <f>VLOOKUP(H935,Departments!$A:$B,2,0)</f>
        <v>Pulmonology</v>
      </c>
      <c r="AB935" t="str">
        <f>VLOOKUP(J935,Diagnosis_Guide!$A:$B,2,0)</f>
        <v>Pneumonia</v>
      </c>
      <c r="AC935" s="4" t="str">
        <f>VLOOKUP(J935,Diagnosis_Guide!$A:$C,3,0)</f>
        <v>Respiratory</v>
      </c>
      <c r="AD935" s="4" t="str">
        <f>VLOOKUP(R935,Insurance_Plans!$A:$C,3,0)</f>
        <v>Community</v>
      </c>
      <c r="AE935" s="13">
        <f t="shared" si="42"/>
        <v>5167.5</v>
      </c>
      <c r="AF935" s="13">
        <f t="shared" si="43"/>
        <v>108517.5</v>
      </c>
      <c r="AG935" s="4" t="str">
        <f t="shared" si="44"/>
        <v>Medium</v>
      </c>
    </row>
    <row r="936" spans="1:33">
      <c r="A936" t="s">
        <v>1629</v>
      </c>
      <c r="B936" t="s">
        <v>468</v>
      </c>
      <c r="C936" s="11">
        <v>46092</v>
      </c>
      <c r="D936" t="s">
        <v>419</v>
      </c>
      <c r="E936" t="s">
        <v>70</v>
      </c>
      <c r="F936" s="4">
        <v>46093</v>
      </c>
      <c r="G936" s="4">
        <v>46094</v>
      </c>
      <c r="H936" t="s">
        <v>90</v>
      </c>
      <c r="I936" t="s">
        <v>91</v>
      </c>
      <c r="J936" t="s">
        <v>197</v>
      </c>
      <c r="K936" t="s">
        <v>60</v>
      </c>
      <c r="L936" t="s">
        <v>74</v>
      </c>
      <c r="M936" s="5">
        <v>21700</v>
      </c>
      <c r="N936" s="5">
        <v>3300</v>
      </c>
      <c r="O936" s="5">
        <v>4000</v>
      </c>
      <c r="P936" s="5">
        <v>2500</v>
      </c>
      <c r="Q936" s="13">
        <v>32700</v>
      </c>
      <c r="R936" t="s">
        <v>85</v>
      </c>
      <c r="S936" t="s">
        <v>76</v>
      </c>
      <c r="T936" s="5">
        <v>9080</v>
      </c>
      <c r="U936" s="6">
        <v>4</v>
      </c>
      <c r="V936" t="s">
        <v>64</v>
      </c>
      <c r="W936" s="4"/>
      <c r="X936" t="s">
        <v>65</v>
      </c>
      <c r="Y936" t="s">
        <v>64</v>
      </c>
      <c r="Z936" t="s">
        <v>107</v>
      </c>
      <c r="AA936" t="str">
        <f>VLOOKUP(H936,Departments!$A:$B,2,0)</f>
        <v>Cardiology</v>
      </c>
      <c r="AB936" t="str">
        <f>VLOOKUP(J936,Diagnosis_Guide!$A:$B,2,0)</f>
        <v>Chest Pain</v>
      </c>
      <c r="AC936" s="4" t="str">
        <f>VLOOKUP(J936,Diagnosis_Guide!$A:$C,3,0)</f>
        <v>Cardiovascular</v>
      </c>
      <c r="AD936" s="4" t="str">
        <f>VLOOKUP(R936,Insurance_Plans!$A:$C,3,0)</f>
        <v>Employer</v>
      </c>
      <c r="AE936" s="13">
        <f t="shared" si="42"/>
        <v>1635</v>
      </c>
      <c r="AF936" s="13">
        <f t="shared" si="43"/>
        <v>34335</v>
      </c>
      <c r="AG936" s="4" t="str">
        <f t="shared" si="44"/>
        <v>High</v>
      </c>
    </row>
    <row r="937" spans="1:33">
      <c r="A937" t="s">
        <v>1630</v>
      </c>
      <c r="B937" t="s">
        <v>709</v>
      </c>
      <c r="C937" s="11">
        <v>46062</v>
      </c>
      <c r="D937" t="s">
        <v>99</v>
      </c>
      <c r="E937" t="s">
        <v>70</v>
      </c>
      <c r="F937" s="4">
        <v>46062</v>
      </c>
      <c r="G937" s="4">
        <v>46063</v>
      </c>
      <c r="H937" t="s">
        <v>121</v>
      </c>
      <c r="I937" t="s">
        <v>251</v>
      </c>
      <c r="J937" t="s">
        <v>256</v>
      </c>
      <c r="K937" t="s">
        <v>73</v>
      </c>
      <c r="L937" t="s">
        <v>61</v>
      </c>
      <c r="M937" s="5">
        <v>18700</v>
      </c>
      <c r="N937" s="5">
        <v>3300</v>
      </c>
      <c r="O937" s="5">
        <v>4450</v>
      </c>
      <c r="P937" s="5">
        <v>3500</v>
      </c>
      <c r="Q937" s="13">
        <v>31950</v>
      </c>
      <c r="R937" t="s">
        <v>75</v>
      </c>
      <c r="S937" t="s">
        <v>76</v>
      </c>
      <c r="T937" s="5">
        <v>14680</v>
      </c>
      <c r="U937" s="6">
        <v>4</v>
      </c>
      <c r="V937" t="s">
        <v>64</v>
      </c>
      <c r="W937" s="4"/>
      <c r="X937" t="s">
        <v>65</v>
      </c>
      <c r="Y937" t="s">
        <v>64</v>
      </c>
      <c r="Z937" t="s">
        <v>96</v>
      </c>
      <c r="AA937" t="str">
        <f>VLOOKUP(H937,Departments!$A:$B,2,0)</f>
        <v>Neurology</v>
      </c>
      <c r="AB937" t="str">
        <f>VLOOKUP(J937,Diagnosis_Guide!$A:$B,2,0)</f>
        <v>Migraine Complication</v>
      </c>
      <c r="AC937" s="4" t="str">
        <f>VLOOKUP(J937,Diagnosis_Guide!$A:$C,3,0)</f>
        <v>Neurological</v>
      </c>
      <c r="AD937" s="4" t="str">
        <f>VLOOKUP(R937,Insurance_Plans!$A:$C,3,0)</f>
        <v>Public</v>
      </c>
      <c r="AE937" s="13">
        <f t="shared" si="42"/>
        <v>1597.5</v>
      </c>
      <c r="AF937" s="13">
        <f t="shared" si="43"/>
        <v>33547.5</v>
      </c>
      <c r="AG937" s="4" t="str">
        <f t="shared" si="44"/>
        <v>High</v>
      </c>
    </row>
    <row r="938" spans="1:33">
      <c r="A938" t="s">
        <v>1631</v>
      </c>
      <c r="B938" t="s">
        <v>487</v>
      </c>
      <c r="C938" s="11">
        <v>46025</v>
      </c>
      <c r="D938" t="s">
        <v>294</v>
      </c>
      <c r="E938" t="s">
        <v>70</v>
      </c>
      <c r="F938" s="4">
        <v>46025</v>
      </c>
      <c r="G938" s="4">
        <v>46028</v>
      </c>
      <c r="H938" t="s">
        <v>178</v>
      </c>
      <c r="I938" t="s">
        <v>339</v>
      </c>
      <c r="J938" t="s">
        <v>180</v>
      </c>
      <c r="K938" t="s">
        <v>93</v>
      </c>
      <c r="L938" t="s">
        <v>146</v>
      </c>
      <c r="M938" s="5">
        <v>67400</v>
      </c>
      <c r="N938" s="5">
        <v>6450</v>
      </c>
      <c r="O938" s="5">
        <v>12200</v>
      </c>
      <c r="P938" s="5">
        <v>9000</v>
      </c>
      <c r="Q938" s="13">
        <v>95850</v>
      </c>
      <c r="R938" t="s">
        <v>95</v>
      </c>
      <c r="S938" t="s">
        <v>63</v>
      </c>
      <c r="T938" s="5">
        <v>95850</v>
      </c>
      <c r="U938" s="6">
        <v>5</v>
      </c>
      <c r="V938" t="s">
        <v>64</v>
      </c>
      <c r="W938" s="4"/>
      <c r="X938" t="s">
        <v>65</v>
      </c>
      <c r="Y938" t="s">
        <v>64</v>
      </c>
      <c r="Z938" t="s">
        <v>107</v>
      </c>
      <c r="AA938" t="str">
        <f>VLOOKUP(H938,Departments!$A:$B,2,0)</f>
        <v>Surgery</v>
      </c>
      <c r="AB938" t="str">
        <f>VLOOKUP(J938,Diagnosis_Guide!$A:$B,2,0)</f>
        <v>Appendicitis Surgery</v>
      </c>
      <c r="AC938" s="4" t="str">
        <f>VLOOKUP(J938,Diagnosis_Guide!$A:$C,3,0)</f>
        <v>Surgical</v>
      </c>
      <c r="AD938" s="4" t="str">
        <f>VLOOKUP(R938,Insurance_Plans!$A:$C,3,0)</f>
        <v>Self-Pay</v>
      </c>
      <c r="AE938" s="13">
        <f t="shared" si="42"/>
        <v>4792.5</v>
      </c>
      <c r="AF938" s="13">
        <f t="shared" si="43"/>
        <v>100642.5</v>
      </c>
      <c r="AG938" s="4" t="str">
        <f t="shared" si="44"/>
        <v>High</v>
      </c>
    </row>
    <row r="939" spans="1:33">
      <c r="A939" t="s">
        <v>1632</v>
      </c>
      <c r="B939" t="s">
        <v>231</v>
      </c>
      <c r="C939" s="11">
        <v>46028</v>
      </c>
      <c r="D939" t="s">
        <v>298</v>
      </c>
      <c r="E939" t="s">
        <v>70</v>
      </c>
      <c r="F939" s="4">
        <v>46029</v>
      </c>
      <c r="G939" s="4">
        <v>46033</v>
      </c>
      <c r="H939" t="s">
        <v>90</v>
      </c>
      <c r="I939" t="s">
        <v>133</v>
      </c>
      <c r="J939" t="s">
        <v>129</v>
      </c>
      <c r="K939" t="s">
        <v>93</v>
      </c>
      <c r="L939" t="s">
        <v>94</v>
      </c>
      <c r="M939" s="5">
        <v>40000</v>
      </c>
      <c r="N939" s="5">
        <v>3750</v>
      </c>
      <c r="O939" s="5">
        <v>7400</v>
      </c>
      <c r="P939" s="5">
        <v>24000</v>
      </c>
      <c r="Q939" s="13">
        <v>77150</v>
      </c>
      <c r="R939" t="s">
        <v>75</v>
      </c>
      <c r="S939" t="s">
        <v>163</v>
      </c>
      <c r="T939" s="5">
        <v>35020</v>
      </c>
      <c r="U939" s="6">
        <v>3</v>
      </c>
      <c r="V939" t="s">
        <v>77</v>
      </c>
      <c r="W939" s="4">
        <v>46044</v>
      </c>
      <c r="X939" t="s">
        <v>64</v>
      </c>
      <c r="Y939" t="s">
        <v>64</v>
      </c>
      <c r="Z939" t="s">
        <v>78</v>
      </c>
      <c r="AA939" t="str">
        <f>VLOOKUP(H939,Departments!$A:$B,2,0)</f>
        <v>Cardiology</v>
      </c>
      <c r="AB939" t="str">
        <f>VLOOKUP(J939,Diagnosis_Guide!$A:$B,2,0)</f>
        <v>Hypertension Crisis</v>
      </c>
      <c r="AC939" s="4" t="str">
        <f>VLOOKUP(J939,Diagnosis_Guide!$A:$C,3,0)</f>
        <v>Cardiovascular</v>
      </c>
      <c r="AD939" s="4" t="str">
        <f>VLOOKUP(R939,Insurance_Plans!$A:$C,3,0)</f>
        <v>Public</v>
      </c>
      <c r="AE939" s="13">
        <f t="shared" si="42"/>
        <v>3857.5</v>
      </c>
      <c r="AF939" s="13">
        <f t="shared" si="43"/>
        <v>81007.5</v>
      </c>
      <c r="AG939" s="4" t="str">
        <f t="shared" si="44"/>
        <v>Medium</v>
      </c>
    </row>
    <row r="940" spans="1:33">
      <c r="A940" t="s">
        <v>1633</v>
      </c>
      <c r="B940" t="s">
        <v>551</v>
      </c>
      <c r="C940" s="11">
        <v>46095</v>
      </c>
      <c r="D940" t="s">
        <v>298</v>
      </c>
      <c r="E940" t="s">
        <v>70</v>
      </c>
      <c r="F940" s="4">
        <v>46095</v>
      </c>
      <c r="G940" s="4">
        <v>46101</v>
      </c>
      <c r="H940" t="s">
        <v>82</v>
      </c>
      <c r="I940" t="s">
        <v>194</v>
      </c>
      <c r="J940" t="s">
        <v>156</v>
      </c>
      <c r="K940" t="s">
        <v>73</v>
      </c>
      <c r="L940" t="s">
        <v>94</v>
      </c>
      <c r="M940" s="5">
        <v>75500</v>
      </c>
      <c r="N940" s="5">
        <v>8800</v>
      </c>
      <c r="O940" s="5">
        <v>17300</v>
      </c>
      <c r="P940" s="5">
        <v>36000</v>
      </c>
      <c r="Q940" s="13">
        <v>139400</v>
      </c>
      <c r="R940" t="s">
        <v>75</v>
      </c>
      <c r="S940" t="s">
        <v>76</v>
      </c>
      <c r="T940" s="5">
        <v>63030</v>
      </c>
      <c r="U940" s="6">
        <v>3</v>
      </c>
      <c r="V940" t="s">
        <v>64</v>
      </c>
      <c r="W940" s="4"/>
      <c r="X940" t="s">
        <v>65</v>
      </c>
      <c r="Y940" t="s">
        <v>64</v>
      </c>
      <c r="Z940" t="s">
        <v>107</v>
      </c>
      <c r="AA940" t="str">
        <f>VLOOKUP(H940,Departments!$A:$B,2,0)</f>
        <v>Orthopedics</v>
      </c>
      <c r="AB940" t="str">
        <f>VLOOKUP(J940,Diagnosis_Guide!$A:$B,2,0)</f>
        <v>Spinal Injury</v>
      </c>
      <c r="AC940" s="4" t="str">
        <f>VLOOKUP(J940,Diagnosis_Guide!$A:$C,3,0)</f>
        <v>Musculoskeletal</v>
      </c>
      <c r="AD940" s="4" t="str">
        <f>VLOOKUP(R940,Insurance_Plans!$A:$C,3,0)</f>
        <v>Public</v>
      </c>
      <c r="AE940" s="13">
        <f t="shared" si="42"/>
        <v>6970</v>
      </c>
      <c r="AF940" s="13">
        <f t="shared" si="43"/>
        <v>146370</v>
      </c>
      <c r="AG940" s="4" t="str">
        <f t="shared" si="44"/>
        <v>Medium</v>
      </c>
    </row>
    <row r="941" spans="1:33">
      <c r="A941" t="s">
        <v>1634</v>
      </c>
      <c r="B941" t="s">
        <v>1044</v>
      </c>
      <c r="C941" s="11">
        <v>46165</v>
      </c>
      <c r="D941" t="s">
        <v>210</v>
      </c>
      <c r="E941" t="s">
        <v>70</v>
      </c>
      <c r="F941" s="4">
        <v>46165</v>
      </c>
      <c r="G941" s="4">
        <v>46165</v>
      </c>
      <c r="H941" t="s">
        <v>121</v>
      </c>
      <c r="I941" t="s">
        <v>174</v>
      </c>
      <c r="J941" t="s">
        <v>252</v>
      </c>
      <c r="K941" t="s">
        <v>60</v>
      </c>
      <c r="L941" t="s">
        <v>94</v>
      </c>
      <c r="M941" s="5">
        <v>65000</v>
      </c>
      <c r="N941" s="5">
        <v>9300</v>
      </c>
      <c r="O941" s="5">
        <v>14650</v>
      </c>
      <c r="P941" s="5">
        <v>0</v>
      </c>
      <c r="Q941" s="13">
        <v>90750</v>
      </c>
      <c r="R941" t="s">
        <v>75</v>
      </c>
      <c r="S941" t="s">
        <v>76</v>
      </c>
      <c r="T941" s="5">
        <v>41140</v>
      </c>
      <c r="U941" s="6">
        <v>5</v>
      </c>
      <c r="V941" t="s">
        <v>77</v>
      </c>
      <c r="W941" s="4">
        <v>46176</v>
      </c>
      <c r="X941" t="s">
        <v>77</v>
      </c>
      <c r="Y941" t="s">
        <v>64</v>
      </c>
      <c r="Z941" t="s">
        <v>436</v>
      </c>
      <c r="AA941" t="str">
        <f>VLOOKUP(H941,Departments!$A:$B,2,0)</f>
        <v>Neurology</v>
      </c>
      <c r="AB941" t="str">
        <f>VLOOKUP(J941,Diagnosis_Guide!$A:$B,2,0)</f>
        <v>Stroke Assessment</v>
      </c>
      <c r="AC941" s="4" t="str">
        <f>VLOOKUP(J941,Diagnosis_Guide!$A:$C,3,0)</f>
        <v>Neurological</v>
      </c>
      <c r="AD941" s="4" t="str">
        <f>VLOOKUP(R941,Insurance_Plans!$A:$C,3,0)</f>
        <v>Public</v>
      </c>
      <c r="AE941" s="13">
        <f t="shared" si="42"/>
        <v>4537.5</v>
      </c>
      <c r="AF941" s="13">
        <f t="shared" si="43"/>
        <v>95287.5</v>
      </c>
      <c r="AG941" s="4" t="str">
        <f t="shared" si="44"/>
        <v>High</v>
      </c>
    </row>
    <row r="942" spans="1:33">
      <c r="A942" t="s">
        <v>1635</v>
      </c>
      <c r="B942" t="s">
        <v>276</v>
      </c>
      <c r="C942" s="11">
        <v>46081</v>
      </c>
      <c r="D942" t="s">
        <v>168</v>
      </c>
      <c r="E942" t="s">
        <v>70</v>
      </c>
      <c r="F942" s="4">
        <v>46081</v>
      </c>
      <c r="G942" s="4">
        <v>46082</v>
      </c>
      <c r="H942" t="s">
        <v>82</v>
      </c>
      <c r="I942" t="s">
        <v>369</v>
      </c>
      <c r="J942" t="s">
        <v>291</v>
      </c>
      <c r="K942" t="s">
        <v>60</v>
      </c>
      <c r="L942" t="s">
        <v>61</v>
      </c>
      <c r="M942" s="5">
        <v>40800</v>
      </c>
      <c r="N942" s="5">
        <v>6600</v>
      </c>
      <c r="O942" s="5">
        <v>7050</v>
      </c>
      <c r="P942" s="5">
        <v>2500</v>
      </c>
      <c r="Q942" s="13">
        <v>57750</v>
      </c>
      <c r="R942" t="s">
        <v>106</v>
      </c>
      <c r="S942" t="s">
        <v>76</v>
      </c>
      <c r="T942" s="5">
        <v>20910</v>
      </c>
      <c r="U942" s="6">
        <v>5</v>
      </c>
      <c r="V942" t="s">
        <v>77</v>
      </c>
      <c r="W942" s="4">
        <v>46096</v>
      </c>
      <c r="X942" t="s">
        <v>77</v>
      </c>
      <c r="Y942" t="s">
        <v>64</v>
      </c>
      <c r="Z942" t="s">
        <v>78</v>
      </c>
      <c r="AA942" t="str">
        <f>VLOOKUP(H942,Departments!$A:$B,2,0)</f>
        <v>Orthopedics</v>
      </c>
      <c r="AB942" t="str">
        <f>VLOOKUP(J942,Diagnosis_Guide!$A:$B,2,0)</f>
        <v>Fracture Repair</v>
      </c>
      <c r="AC942" s="4" t="str">
        <f>VLOOKUP(J942,Diagnosis_Guide!$A:$C,3,0)</f>
        <v>Musculoskeletal</v>
      </c>
      <c r="AD942" s="4" t="str">
        <f>VLOOKUP(R942,Insurance_Plans!$A:$C,3,0)</f>
        <v>Private</v>
      </c>
      <c r="AE942" s="13">
        <f t="shared" si="42"/>
        <v>2887.5</v>
      </c>
      <c r="AF942" s="13">
        <f t="shared" si="43"/>
        <v>60637.5</v>
      </c>
      <c r="AG942" s="4" t="str">
        <f t="shared" si="44"/>
        <v>High</v>
      </c>
    </row>
    <row r="943" spans="1:33">
      <c r="A943" t="s">
        <v>1636</v>
      </c>
      <c r="B943" t="s">
        <v>405</v>
      </c>
      <c r="C943" s="11">
        <v>46101</v>
      </c>
      <c r="D943" t="s">
        <v>81</v>
      </c>
      <c r="E943" t="s">
        <v>70</v>
      </c>
      <c r="F943" s="4">
        <v>46101</v>
      </c>
      <c r="G943" s="4">
        <v>46102</v>
      </c>
      <c r="H943" t="s">
        <v>201</v>
      </c>
      <c r="I943" t="s">
        <v>202</v>
      </c>
      <c r="J943" t="s">
        <v>281</v>
      </c>
      <c r="K943" t="s">
        <v>73</v>
      </c>
      <c r="L943" t="s">
        <v>94</v>
      </c>
      <c r="M943" s="5">
        <v>7900</v>
      </c>
      <c r="N943" s="5">
        <v>1400</v>
      </c>
      <c r="O943" s="5">
        <v>1700</v>
      </c>
      <c r="P943" s="5">
        <v>2500</v>
      </c>
      <c r="Q943" s="13">
        <v>16000</v>
      </c>
      <c r="R943" t="s">
        <v>85</v>
      </c>
      <c r="S943" t="s">
        <v>86</v>
      </c>
      <c r="T943" s="5">
        <v>4900</v>
      </c>
      <c r="U943" s="6">
        <v>4</v>
      </c>
      <c r="V943" t="s">
        <v>64</v>
      </c>
      <c r="W943" s="4"/>
      <c r="X943" t="s">
        <v>65</v>
      </c>
      <c r="Y943" t="s">
        <v>64</v>
      </c>
      <c r="Z943" t="s">
        <v>96</v>
      </c>
      <c r="AA943" t="str">
        <f>VLOOKUP(H943,Departments!$A:$B,2,0)</f>
        <v>Emergency</v>
      </c>
      <c r="AB943" t="str">
        <f>VLOOKUP(J943,Diagnosis_Guide!$A:$B,2,0)</f>
        <v>Food Poisoning</v>
      </c>
      <c r="AC943" s="4" t="str">
        <f>VLOOKUP(J943,Diagnosis_Guide!$A:$C,3,0)</f>
        <v>Emergency</v>
      </c>
      <c r="AD943" s="4" t="str">
        <f>VLOOKUP(R943,Insurance_Plans!$A:$C,3,0)</f>
        <v>Employer</v>
      </c>
      <c r="AE943" s="13">
        <f t="shared" si="42"/>
        <v>800</v>
      </c>
      <c r="AF943" s="13">
        <f t="shared" si="43"/>
        <v>16800</v>
      </c>
      <c r="AG943" s="4" t="str">
        <f t="shared" si="44"/>
        <v>High</v>
      </c>
    </row>
    <row r="944" spans="1:33">
      <c r="A944" t="s">
        <v>1637</v>
      </c>
      <c r="B944" t="s">
        <v>1638</v>
      </c>
      <c r="C944" s="11">
        <v>46143</v>
      </c>
      <c r="D944" t="s">
        <v>294</v>
      </c>
      <c r="E944" t="s">
        <v>70</v>
      </c>
      <c r="F944" s="4">
        <v>46143</v>
      </c>
      <c r="G944" s="4">
        <v>46147</v>
      </c>
      <c r="H944" t="s">
        <v>201</v>
      </c>
      <c r="I944" t="s">
        <v>421</v>
      </c>
      <c r="J944" t="s">
        <v>203</v>
      </c>
      <c r="K944" t="s">
        <v>124</v>
      </c>
      <c r="L944" t="s">
        <v>74</v>
      </c>
      <c r="M944" s="5">
        <v>38600</v>
      </c>
      <c r="N944" s="5">
        <v>6150</v>
      </c>
      <c r="O944" s="5">
        <v>4850</v>
      </c>
      <c r="P944" s="5">
        <v>24000</v>
      </c>
      <c r="Q944" s="13">
        <v>74600</v>
      </c>
      <c r="R944" t="s">
        <v>85</v>
      </c>
      <c r="S944" t="s">
        <v>76</v>
      </c>
      <c r="T944" s="5">
        <v>19550</v>
      </c>
      <c r="U944" s="6">
        <v>3</v>
      </c>
      <c r="V944" t="s">
        <v>77</v>
      </c>
      <c r="W944" s="4">
        <v>46157</v>
      </c>
      <c r="X944" t="s">
        <v>77</v>
      </c>
      <c r="Y944" t="s">
        <v>64</v>
      </c>
      <c r="Z944" t="s">
        <v>96</v>
      </c>
      <c r="AA944" t="str">
        <f>VLOOKUP(H944,Departments!$A:$B,2,0)</f>
        <v>Emergency</v>
      </c>
      <c r="AB944" t="str">
        <f>VLOOKUP(J944,Diagnosis_Guide!$A:$B,2,0)</f>
        <v>Trauma Observation</v>
      </c>
      <c r="AC944" s="4" t="str">
        <f>VLOOKUP(J944,Diagnosis_Guide!$A:$C,3,0)</f>
        <v>Emergency</v>
      </c>
      <c r="AD944" s="4" t="str">
        <f>VLOOKUP(R944,Insurance_Plans!$A:$C,3,0)</f>
        <v>Employer</v>
      </c>
      <c r="AE944" s="13">
        <f t="shared" si="42"/>
        <v>3730</v>
      </c>
      <c r="AF944" s="13">
        <f t="shared" si="43"/>
        <v>78330</v>
      </c>
      <c r="AG944" s="4" t="str">
        <f t="shared" si="44"/>
        <v>Medium</v>
      </c>
    </row>
    <row r="945" spans="1:33">
      <c r="A945" t="s">
        <v>1639</v>
      </c>
      <c r="B945" t="s">
        <v>1640</v>
      </c>
      <c r="C945" s="11">
        <v>46133</v>
      </c>
      <c r="D945" t="s">
        <v>210</v>
      </c>
      <c r="E945" t="s">
        <v>70</v>
      </c>
      <c r="F945" s="4">
        <v>46133</v>
      </c>
      <c r="G945" s="4">
        <v>46138</v>
      </c>
      <c r="H945" t="s">
        <v>201</v>
      </c>
      <c r="I945" t="s">
        <v>515</v>
      </c>
      <c r="J945" t="s">
        <v>203</v>
      </c>
      <c r="K945" t="s">
        <v>124</v>
      </c>
      <c r="L945" t="s">
        <v>74</v>
      </c>
      <c r="M945" s="5">
        <v>42100</v>
      </c>
      <c r="N945" s="5">
        <v>5000</v>
      </c>
      <c r="O945" s="5">
        <v>9300</v>
      </c>
      <c r="P945" s="5">
        <v>22500</v>
      </c>
      <c r="Q945" s="13">
        <v>80100</v>
      </c>
      <c r="R945" t="s">
        <v>85</v>
      </c>
      <c r="S945" t="s">
        <v>76</v>
      </c>
      <c r="T945" s="5">
        <v>20920</v>
      </c>
      <c r="U945" s="6"/>
      <c r="V945" t="s">
        <v>77</v>
      </c>
      <c r="W945" s="4">
        <v>46148</v>
      </c>
      <c r="X945" t="s">
        <v>77</v>
      </c>
      <c r="Y945" t="s">
        <v>64</v>
      </c>
      <c r="Z945" t="s">
        <v>436</v>
      </c>
      <c r="AA945" t="str">
        <f>VLOOKUP(H945,Departments!$A:$B,2,0)</f>
        <v>Emergency</v>
      </c>
      <c r="AB945" t="str">
        <f>VLOOKUP(J945,Diagnosis_Guide!$A:$B,2,0)</f>
        <v>Trauma Observation</v>
      </c>
      <c r="AC945" s="4" t="str">
        <f>VLOOKUP(J945,Diagnosis_Guide!$A:$C,3,0)</f>
        <v>Emergency</v>
      </c>
      <c r="AD945" s="4" t="str">
        <f>VLOOKUP(R945,Insurance_Plans!$A:$C,3,0)</f>
        <v>Employer</v>
      </c>
      <c r="AE945" s="13">
        <f t="shared" si="42"/>
        <v>4005</v>
      </c>
      <c r="AF945" s="13">
        <f t="shared" si="43"/>
        <v>84105</v>
      </c>
      <c r="AG945" s="4" t="str">
        <f t="shared" si="44"/>
        <v>Not Available</v>
      </c>
    </row>
    <row r="946" spans="1:33">
      <c r="A946" t="s">
        <v>1641</v>
      </c>
      <c r="B946" t="s">
        <v>1642</v>
      </c>
      <c r="C946" s="11">
        <v>46129</v>
      </c>
      <c r="D946" t="s">
        <v>81</v>
      </c>
      <c r="E946" t="s">
        <v>70</v>
      </c>
      <c r="F946" s="4">
        <v>46129</v>
      </c>
      <c r="G946" s="4">
        <v>46135</v>
      </c>
      <c r="H946" t="s">
        <v>90</v>
      </c>
      <c r="I946" t="s">
        <v>162</v>
      </c>
      <c r="J946" t="s">
        <v>92</v>
      </c>
      <c r="K946" t="s">
        <v>73</v>
      </c>
      <c r="L946" t="s">
        <v>74</v>
      </c>
      <c r="M946" s="5">
        <v>42700</v>
      </c>
      <c r="N946" s="5">
        <v>4600</v>
      </c>
      <c r="O946" s="5">
        <v>10500</v>
      </c>
      <c r="P946" s="5">
        <v>27000</v>
      </c>
      <c r="Q946" s="13">
        <v>86000</v>
      </c>
      <c r="R946" t="s">
        <v>85</v>
      </c>
      <c r="S946" t="s">
        <v>76</v>
      </c>
      <c r="T946" s="5">
        <v>22400</v>
      </c>
      <c r="U946" s="6">
        <v>4</v>
      </c>
      <c r="V946" t="s">
        <v>77</v>
      </c>
      <c r="W946" s="4">
        <v>46150</v>
      </c>
      <c r="X946" t="s">
        <v>77</v>
      </c>
      <c r="Y946" t="s">
        <v>64</v>
      </c>
      <c r="Z946" t="s">
        <v>78</v>
      </c>
      <c r="AA946" t="str">
        <f>VLOOKUP(H946,Departments!$A:$B,2,0)</f>
        <v>Cardiology</v>
      </c>
      <c r="AB946" t="str">
        <f>VLOOKUP(J946,Diagnosis_Guide!$A:$B,2,0)</f>
        <v>Heart Failure</v>
      </c>
      <c r="AC946" s="4" t="str">
        <f>VLOOKUP(J946,Diagnosis_Guide!$A:$C,3,0)</f>
        <v>Cardiovascular</v>
      </c>
      <c r="AD946" s="4" t="str">
        <f>VLOOKUP(R946,Insurance_Plans!$A:$C,3,0)</f>
        <v>Employer</v>
      </c>
      <c r="AE946" s="13">
        <f t="shared" si="42"/>
        <v>4300</v>
      </c>
      <c r="AF946" s="13">
        <f t="shared" si="43"/>
        <v>90300</v>
      </c>
      <c r="AG946" s="4" t="str">
        <f t="shared" si="44"/>
        <v>High</v>
      </c>
    </row>
    <row r="947" spans="1:33">
      <c r="A947" t="s">
        <v>1643</v>
      </c>
      <c r="B947" t="s">
        <v>954</v>
      </c>
      <c r="C947" s="11">
        <v>46112</v>
      </c>
      <c r="D947" t="s">
        <v>234</v>
      </c>
      <c r="E947" t="s">
        <v>70</v>
      </c>
      <c r="F947" s="4">
        <v>46112</v>
      </c>
      <c r="G947" s="4">
        <v>46113</v>
      </c>
      <c r="H947" t="s">
        <v>150</v>
      </c>
      <c r="I947" t="s">
        <v>304</v>
      </c>
      <c r="J947" t="s">
        <v>188</v>
      </c>
      <c r="K947" t="s">
        <v>60</v>
      </c>
      <c r="L947" t="s">
        <v>94</v>
      </c>
      <c r="M947" s="5">
        <v>105800</v>
      </c>
      <c r="N947" s="5">
        <v>10100</v>
      </c>
      <c r="O947" s="5">
        <v>10600</v>
      </c>
      <c r="P947" s="5">
        <v>6000</v>
      </c>
      <c r="Q947" s="13">
        <v>133700</v>
      </c>
      <c r="R947" t="s">
        <v>75</v>
      </c>
      <c r="S947" t="s">
        <v>76</v>
      </c>
      <c r="T947" s="5">
        <v>60460</v>
      </c>
      <c r="U947" s="6">
        <v>4</v>
      </c>
      <c r="V947" t="s">
        <v>64</v>
      </c>
      <c r="W947" s="4"/>
      <c r="X947" t="s">
        <v>65</v>
      </c>
      <c r="Y947" t="s">
        <v>64</v>
      </c>
      <c r="Z947" t="s">
        <v>96</v>
      </c>
      <c r="AA947" t="str">
        <f>VLOOKUP(H947,Departments!$A:$B,2,0)</f>
        <v>Obstetrics</v>
      </c>
      <c r="AB947" t="str">
        <f>VLOOKUP(J947,Diagnosis_Guide!$A:$B,2,0)</f>
        <v>Emergency C-Section</v>
      </c>
      <c r="AC947" s="4" t="str">
        <f>VLOOKUP(J947,Diagnosis_Guide!$A:$C,3,0)</f>
        <v>Maternal Health</v>
      </c>
      <c r="AD947" s="4" t="str">
        <f>VLOOKUP(R947,Insurance_Plans!$A:$C,3,0)</f>
        <v>Public</v>
      </c>
      <c r="AE947" s="13">
        <f t="shared" si="42"/>
        <v>6685</v>
      </c>
      <c r="AF947" s="13">
        <f t="shared" si="43"/>
        <v>140385</v>
      </c>
      <c r="AG947" s="4" t="str">
        <f t="shared" si="44"/>
        <v>High</v>
      </c>
    </row>
    <row r="948" spans="1:33">
      <c r="A948" t="s">
        <v>1644</v>
      </c>
      <c r="B948" t="s">
        <v>1645</v>
      </c>
      <c r="C948" s="11">
        <v>46035</v>
      </c>
      <c r="D948" t="s">
        <v>183</v>
      </c>
      <c r="E948" t="s">
        <v>177</v>
      </c>
      <c r="F948" s="4"/>
      <c r="G948" s="4"/>
      <c r="H948" t="s">
        <v>201</v>
      </c>
      <c r="I948" t="s">
        <v>449</v>
      </c>
      <c r="J948" t="s">
        <v>281</v>
      </c>
      <c r="K948" t="s">
        <v>124</v>
      </c>
      <c r="L948" t="s">
        <v>94</v>
      </c>
      <c r="M948" s="5"/>
      <c r="N948" s="5"/>
      <c r="O948" s="5"/>
      <c r="P948" s="5"/>
      <c r="R948" t="s">
        <v>95</v>
      </c>
      <c r="S948" t="s">
        <v>63</v>
      </c>
      <c r="T948" s="5"/>
      <c r="U948" s="6"/>
      <c r="V948" t="s">
        <v>64</v>
      </c>
      <c r="W948" s="4"/>
      <c r="X948" t="s">
        <v>65</v>
      </c>
      <c r="Z948" t="s">
        <v>66</v>
      </c>
      <c r="AA948" t="str">
        <f>VLOOKUP(H948,Departments!$A:$B,2,0)</f>
        <v>Emergency</v>
      </c>
      <c r="AB948" t="str">
        <f>VLOOKUP(J948,Diagnosis_Guide!$A:$B,2,0)</f>
        <v>Food Poisoning</v>
      </c>
      <c r="AC948" s="4" t="str">
        <f>VLOOKUP(J948,Diagnosis_Guide!$A:$C,3,0)</f>
        <v>Emergency</v>
      </c>
      <c r="AD948" s="4" t="str">
        <f>VLOOKUP(R948,Insurance_Plans!$A:$C,3,0)</f>
        <v>Self-Pay</v>
      </c>
      <c r="AE948" s="13" t="str">
        <f t="shared" si="42"/>
        <v/>
      </c>
      <c r="AF948" s="13" t="str">
        <f t="shared" si="43"/>
        <v/>
      </c>
      <c r="AG948" s="4" t="str">
        <f t="shared" si="44"/>
        <v>Not Available</v>
      </c>
    </row>
    <row r="949" spans="1:33">
      <c r="A949" t="s">
        <v>1646</v>
      </c>
      <c r="B949" t="s">
        <v>562</v>
      </c>
      <c r="C949" s="11">
        <v>46111</v>
      </c>
      <c r="D949" t="s">
        <v>161</v>
      </c>
      <c r="E949" t="s">
        <v>70</v>
      </c>
      <c r="F949" s="4">
        <v>46112</v>
      </c>
      <c r="G949" s="4">
        <v>46117</v>
      </c>
      <c r="H949" t="s">
        <v>90</v>
      </c>
      <c r="I949" t="s">
        <v>162</v>
      </c>
      <c r="J949" t="s">
        <v>129</v>
      </c>
      <c r="K949" t="s">
        <v>124</v>
      </c>
      <c r="L949" t="s">
        <v>61</v>
      </c>
      <c r="M949" s="5">
        <v>50100</v>
      </c>
      <c r="N949" s="5">
        <v>5900</v>
      </c>
      <c r="O949" s="5">
        <v>8900</v>
      </c>
      <c r="P949" s="5">
        <v>22500</v>
      </c>
      <c r="Q949" s="13">
        <v>88600</v>
      </c>
      <c r="R949" t="s">
        <v>141</v>
      </c>
      <c r="S949" t="s">
        <v>76</v>
      </c>
      <c r="T949" s="5">
        <v>14490</v>
      </c>
      <c r="U949" s="6">
        <v>3</v>
      </c>
      <c r="V949" t="s">
        <v>77</v>
      </c>
      <c r="W949" s="4">
        <v>46136</v>
      </c>
      <c r="X949" t="s">
        <v>77</v>
      </c>
      <c r="Y949" t="s">
        <v>77</v>
      </c>
      <c r="Z949" t="s">
        <v>78</v>
      </c>
      <c r="AA949" t="str">
        <f>VLOOKUP(H949,Departments!$A:$B,2,0)</f>
        <v>Cardiology</v>
      </c>
      <c r="AB949" t="str">
        <f>VLOOKUP(J949,Diagnosis_Guide!$A:$B,2,0)</f>
        <v>Hypertension Crisis</v>
      </c>
      <c r="AC949" s="4" t="str">
        <f>VLOOKUP(J949,Diagnosis_Guide!$A:$C,3,0)</f>
        <v>Cardiovascular</v>
      </c>
      <c r="AD949" s="4" t="str">
        <f>VLOOKUP(R949,Insurance_Plans!$A:$C,3,0)</f>
        <v>Private</v>
      </c>
      <c r="AE949" s="13">
        <f t="shared" si="42"/>
        <v>4430</v>
      </c>
      <c r="AF949" s="13">
        <f t="shared" si="43"/>
        <v>93030</v>
      </c>
      <c r="AG949" s="4" t="str">
        <f t="shared" si="44"/>
        <v>Medium</v>
      </c>
    </row>
    <row r="950" spans="1:33">
      <c r="A950" t="s">
        <v>1647</v>
      </c>
      <c r="B950" t="s">
        <v>980</v>
      </c>
      <c r="C950" s="11">
        <v>46086</v>
      </c>
      <c r="D950" t="s">
        <v>81</v>
      </c>
      <c r="E950" t="s">
        <v>56</v>
      </c>
      <c r="F950" s="4"/>
      <c r="G950" s="4"/>
      <c r="H950" t="s">
        <v>111</v>
      </c>
      <c r="I950" t="s">
        <v>355</v>
      </c>
      <c r="J950" t="s">
        <v>117</v>
      </c>
      <c r="K950" t="s">
        <v>60</v>
      </c>
      <c r="L950" t="s">
        <v>146</v>
      </c>
      <c r="M950" s="5"/>
      <c r="N950" s="5"/>
      <c r="O950" s="5"/>
      <c r="P950" s="5"/>
      <c r="R950" t="s">
        <v>75</v>
      </c>
      <c r="S950" t="s">
        <v>63</v>
      </c>
      <c r="T950" s="5"/>
      <c r="U950" s="6"/>
      <c r="V950" t="s">
        <v>64</v>
      </c>
      <c r="W950" s="4"/>
      <c r="X950" t="s">
        <v>65</v>
      </c>
      <c r="Z950" t="s">
        <v>66</v>
      </c>
      <c r="AA950" t="str">
        <f>VLOOKUP(H950,Departments!$A:$B,2,0)</f>
        <v>General Medicine</v>
      </c>
      <c r="AB950" t="str">
        <f>VLOOKUP(J950,Diagnosis_Guide!$A:$B,2,0)</f>
        <v>Fever Investigation</v>
      </c>
      <c r="AC950" s="4" t="str">
        <f>VLOOKUP(J950,Diagnosis_Guide!$A:$C,3,0)</f>
        <v>Infectious/General</v>
      </c>
      <c r="AD950" s="4" t="str">
        <f>VLOOKUP(R950,Insurance_Plans!$A:$C,3,0)</f>
        <v>Public</v>
      </c>
      <c r="AE950" s="13" t="str">
        <f t="shared" si="42"/>
        <v/>
      </c>
      <c r="AF950" s="13" t="str">
        <f t="shared" si="43"/>
        <v/>
      </c>
      <c r="AG950" s="4" t="str">
        <f t="shared" si="44"/>
        <v>Not Available</v>
      </c>
    </row>
    <row r="951" spans="1:33">
      <c r="A951" t="s">
        <v>1648</v>
      </c>
      <c r="B951" t="s">
        <v>907</v>
      </c>
      <c r="C951" s="11">
        <v>46111</v>
      </c>
      <c r="D951" t="s">
        <v>250</v>
      </c>
      <c r="E951" t="s">
        <v>70</v>
      </c>
      <c r="F951" s="4">
        <v>46112</v>
      </c>
      <c r="G951" s="4">
        <v>46112</v>
      </c>
      <c r="H951" t="s">
        <v>90</v>
      </c>
      <c r="I951" t="s">
        <v>133</v>
      </c>
      <c r="J951" t="s">
        <v>92</v>
      </c>
      <c r="K951" t="s">
        <v>60</v>
      </c>
      <c r="L951" t="s">
        <v>94</v>
      </c>
      <c r="M951" s="5">
        <v>64400</v>
      </c>
      <c r="N951" s="5">
        <v>8750</v>
      </c>
      <c r="O951" s="5">
        <v>7500</v>
      </c>
      <c r="P951" s="5">
        <v>0</v>
      </c>
      <c r="Q951" s="13">
        <v>82650</v>
      </c>
      <c r="R951" t="s">
        <v>95</v>
      </c>
      <c r="S951" t="s">
        <v>63</v>
      </c>
      <c r="T951" s="5">
        <v>82650</v>
      </c>
      <c r="U951" s="6">
        <v>3</v>
      </c>
      <c r="V951" t="s">
        <v>77</v>
      </c>
      <c r="W951" s="4">
        <v>46123</v>
      </c>
      <c r="X951" t="s">
        <v>77</v>
      </c>
      <c r="Y951" t="s">
        <v>64</v>
      </c>
      <c r="Z951" t="s">
        <v>96</v>
      </c>
      <c r="AA951" t="str">
        <f>VLOOKUP(H951,Departments!$A:$B,2,0)</f>
        <v>Cardiology</v>
      </c>
      <c r="AB951" t="str">
        <f>VLOOKUP(J951,Diagnosis_Guide!$A:$B,2,0)</f>
        <v>Heart Failure</v>
      </c>
      <c r="AC951" s="4" t="str">
        <f>VLOOKUP(J951,Diagnosis_Guide!$A:$C,3,0)</f>
        <v>Cardiovascular</v>
      </c>
      <c r="AD951" s="4" t="str">
        <f>VLOOKUP(R951,Insurance_Plans!$A:$C,3,0)</f>
        <v>Self-Pay</v>
      </c>
      <c r="AE951" s="13">
        <f t="shared" si="42"/>
        <v>4132.5</v>
      </c>
      <c r="AF951" s="13">
        <f t="shared" si="43"/>
        <v>86782.5</v>
      </c>
      <c r="AG951" s="4" t="str">
        <f t="shared" si="44"/>
        <v>Medium</v>
      </c>
    </row>
    <row r="952" spans="1:33">
      <c r="A952" t="s">
        <v>1649</v>
      </c>
      <c r="B952" t="s">
        <v>651</v>
      </c>
      <c r="C952" s="11">
        <v>46037</v>
      </c>
      <c r="D952" t="s">
        <v>149</v>
      </c>
      <c r="E952" t="s">
        <v>70</v>
      </c>
      <c r="F952" s="4">
        <v>46037</v>
      </c>
      <c r="G952" s="4">
        <v>46037</v>
      </c>
      <c r="H952" t="s">
        <v>111</v>
      </c>
      <c r="I952" t="s">
        <v>267</v>
      </c>
      <c r="J952" t="s">
        <v>113</v>
      </c>
      <c r="K952" t="s">
        <v>60</v>
      </c>
      <c r="L952" t="s">
        <v>146</v>
      </c>
      <c r="M952" s="5">
        <v>22900</v>
      </c>
      <c r="N952" s="5">
        <v>3100</v>
      </c>
      <c r="O952" s="5">
        <v>3000</v>
      </c>
      <c r="P952" s="5">
        <v>0</v>
      </c>
      <c r="Q952" s="13">
        <v>30200</v>
      </c>
      <c r="R952" t="s">
        <v>95</v>
      </c>
      <c r="S952" t="s">
        <v>63</v>
      </c>
      <c r="T952" s="5">
        <v>30200</v>
      </c>
      <c r="U952" s="6">
        <v>5</v>
      </c>
      <c r="V952" t="s">
        <v>64</v>
      </c>
      <c r="W952" s="4"/>
      <c r="X952" t="s">
        <v>65</v>
      </c>
      <c r="Y952" t="s">
        <v>64</v>
      </c>
      <c r="Z952" t="s">
        <v>96</v>
      </c>
      <c r="AA952" t="str">
        <f>VLOOKUP(H952,Departments!$A:$B,2,0)</f>
        <v>General Medicine</v>
      </c>
      <c r="AB952" t="str">
        <f>VLOOKUP(J952,Diagnosis_Guide!$A:$B,2,0)</f>
        <v>Diabetes Complication</v>
      </c>
      <c r="AC952" s="4" t="str">
        <f>VLOOKUP(J952,Diagnosis_Guide!$A:$C,3,0)</f>
        <v>Endocrine/General</v>
      </c>
      <c r="AD952" s="4" t="str">
        <f>VLOOKUP(R952,Insurance_Plans!$A:$C,3,0)</f>
        <v>Self-Pay</v>
      </c>
      <c r="AE952" s="13">
        <f t="shared" si="42"/>
        <v>1510</v>
      </c>
      <c r="AF952" s="13">
        <f t="shared" si="43"/>
        <v>31710</v>
      </c>
      <c r="AG952" s="4" t="str">
        <f t="shared" si="44"/>
        <v>High</v>
      </c>
    </row>
    <row r="953" spans="1:33">
      <c r="A953" t="s">
        <v>1650</v>
      </c>
      <c r="B953" t="s">
        <v>1651</v>
      </c>
      <c r="C953" s="11">
        <v>46038</v>
      </c>
      <c r="D953" t="s">
        <v>225</v>
      </c>
      <c r="E953" t="s">
        <v>70</v>
      </c>
      <c r="F953" s="4">
        <v>46038</v>
      </c>
      <c r="G953" s="4">
        <v>46039</v>
      </c>
      <c r="H953" t="s">
        <v>121</v>
      </c>
      <c r="I953" t="s">
        <v>334</v>
      </c>
      <c r="J953" t="s">
        <v>252</v>
      </c>
      <c r="K953" t="s">
        <v>60</v>
      </c>
      <c r="L953" t="s">
        <v>74</v>
      </c>
      <c r="M953" s="5">
        <v>62700</v>
      </c>
      <c r="N953" s="5">
        <v>7750</v>
      </c>
      <c r="O953" s="5">
        <v>11600</v>
      </c>
      <c r="P953" s="5">
        <v>4500</v>
      </c>
      <c r="Q953" s="13">
        <v>87550</v>
      </c>
      <c r="R953" t="s">
        <v>106</v>
      </c>
      <c r="S953" t="s">
        <v>76</v>
      </c>
      <c r="T953" s="5">
        <v>31340</v>
      </c>
      <c r="U953" s="6">
        <v>5</v>
      </c>
      <c r="V953" t="s">
        <v>77</v>
      </c>
      <c r="W953" s="4">
        <v>46048</v>
      </c>
      <c r="X953" t="s">
        <v>77</v>
      </c>
      <c r="Y953" t="s">
        <v>64</v>
      </c>
      <c r="Z953" t="s">
        <v>78</v>
      </c>
      <c r="AA953" t="str">
        <f>VLOOKUP(H953,Departments!$A:$B,2,0)</f>
        <v>Neurology</v>
      </c>
      <c r="AB953" t="str">
        <f>VLOOKUP(J953,Diagnosis_Guide!$A:$B,2,0)</f>
        <v>Stroke Assessment</v>
      </c>
      <c r="AC953" s="4" t="str">
        <f>VLOOKUP(J953,Diagnosis_Guide!$A:$C,3,0)</f>
        <v>Neurological</v>
      </c>
      <c r="AD953" s="4" t="str">
        <f>VLOOKUP(R953,Insurance_Plans!$A:$C,3,0)</f>
        <v>Private</v>
      </c>
      <c r="AE953" s="13">
        <f t="shared" si="42"/>
        <v>4377.5</v>
      </c>
      <c r="AF953" s="13">
        <f t="shared" si="43"/>
        <v>91927.5</v>
      </c>
      <c r="AG953" s="4" t="str">
        <f t="shared" si="44"/>
        <v>High</v>
      </c>
    </row>
    <row r="954" spans="1:33">
      <c r="A954" t="s">
        <v>1652</v>
      </c>
      <c r="B954" t="s">
        <v>573</v>
      </c>
      <c r="C954" s="11">
        <v>46126</v>
      </c>
      <c r="D954" t="s">
        <v>225</v>
      </c>
      <c r="E954" t="s">
        <v>70</v>
      </c>
      <c r="F954" s="4">
        <v>46126</v>
      </c>
      <c r="G954" s="4">
        <v>46126</v>
      </c>
      <c r="H954" t="s">
        <v>150</v>
      </c>
      <c r="I954" t="s">
        <v>247</v>
      </c>
      <c r="J954" t="s">
        <v>229</v>
      </c>
      <c r="K954" t="s">
        <v>60</v>
      </c>
      <c r="L954" t="s">
        <v>61</v>
      </c>
      <c r="M954" s="5">
        <v>40500</v>
      </c>
      <c r="N954" s="5">
        <v>5150</v>
      </c>
      <c r="O954" s="5">
        <v>9250</v>
      </c>
      <c r="P954" s="5">
        <v>0</v>
      </c>
      <c r="Q954" s="13">
        <v>55900</v>
      </c>
      <c r="R954" t="s">
        <v>134</v>
      </c>
      <c r="S954" t="s">
        <v>76</v>
      </c>
      <c r="T954" s="5">
        <v>30950</v>
      </c>
      <c r="U954" s="6">
        <v>5</v>
      </c>
      <c r="V954" t="s">
        <v>64</v>
      </c>
      <c r="W954" s="4"/>
      <c r="X954" t="s">
        <v>65</v>
      </c>
      <c r="Y954" t="s">
        <v>64</v>
      </c>
      <c r="Z954" t="s">
        <v>96</v>
      </c>
      <c r="AA954" t="str">
        <f>VLOOKUP(H954,Departments!$A:$B,2,0)</f>
        <v>Obstetrics</v>
      </c>
      <c r="AB954" t="str">
        <f>VLOOKUP(J954,Diagnosis_Guide!$A:$B,2,0)</f>
        <v>Delivery Care</v>
      </c>
      <c r="AC954" s="4" t="str">
        <f>VLOOKUP(J954,Diagnosis_Guide!$A:$C,3,0)</f>
        <v>Maternal Health</v>
      </c>
      <c r="AD954" s="4" t="str">
        <f>VLOOKUP(R954,Insurance_Plans!$A:$C,3,0)</f>
        <v>Community</v>
      </c>
      <c r="AE954" s="13">
        <f t="shared" si="42"/>
        <v>2795</v>
      </c>
      <c r="AF954" s="13">
        <f t="shared" si="43"/>
        <v>58695</v>
      </c>
      <c r="AG954" s="4" t="str">
        <f t="shared" si="44"/>
        <v>High</v>
      </c>
    </row>
    <row r="955" spans="1:33">
      <c r="A955" t="s">
        <v>1653</v>
      </c>
      <c r="B955" t="s">
        <v>638</v>
      </c>
      <c r="C955" s="11">
        <v>46026</v>
      </c>
      <c r="D955" t="s">
        <v>168</v>
      </c>
      <c r="E955" t="s">
        <v>70</v>
      </c>
      <c r="F955" s="4">
        <v>46026</v>
      </c>
      <c r="G955" s="4">
        <v>46035</v>
      </c>
      <c r="H955" t="s">
        <v>57</v>
      </c>
      <c r="I955" t="s">
        <v>211</v>
      </c>
      <c r="J955" t="s">
        <v>170</v>
      </c>
      <c r="K955" t="s">
        <v>73</v>
      </c>
      <c r="L955" t="s">
        <v>94</v>
      </c>
      <c r="M955" s="5">
        <v>69500</v>
      </c>
      <c r="N955" s="5">
        <v>10900</v>
      </c>
      <c r="O955" s="5">
        <v>12000</v>
      </c>
      <c r="P955" s="5">
        <v>54000</v>
      </c>
      <c r="Q955" s="13">
        <v>148400</v>
      </c>
      <c r="R955" t="s">
        <v>75</v>
      </c>
      <c r="S955" t="s">
        <v>76</v>
      </c>
      <c r="T955" s="5">
        <v>67080</v>
      </c>
      <c r="U955" s="6">
        <v>3</v>
      </c>
      <c r="V955" t="s">
        <v>64</v>
      </c>
      <c r="W955" s="4"/>
      <c r="X955" t="s">
        <v>65</v>
      </c>
      <c r="Y955" t="s">
        <v>64</v>
      </c>
      <c r="Z955" t="s">
        <v>96</v>
      </c>
      <c r="AA955" t="str">
        <f>VLOOKUP(H955,Departments!$A:$B,2,0)</f>
        <v>Pulmonology</v>
      </c>
      <c r="AB955" t="str">
        <f>VLOOKUP(J955,Diagnosis_Guide!$A:$B,2,0)</f>
        <v>COPD Exacerbation</v>
      </c>
      <c r="AC955" s="4" t="str">
        <f>VLOOKUP(J955,Diagnosis_Guide!$A:$C,3,0)</f>
        <v>Respiratory</v>
      </c>
      <c r="AD955" s="4" t="str">
        <f>VLOOKUP(R955,Insurance_Plans!$A:$C,3,0)</f>
        <v>Public</v>
      </c>
      <c r="AE955" s="13">
        <f t="shared" si="42"/>
        <v>7420</v>
      </c>
      <c r="AF955" s="13">
        <f t="shared" si="43"/>
        <v>155820</v>
      </c>
      <c r="AG955" s="4" t="str">
        <f t="shared" si="44"/>
        <v>Medium</v>
      </c>
    </row>
    <row r="956" spans="1:33">
      <c r="A956" t="s">
        <v>1654</v>
      </c>
      <c r="B956" t="s">
        <v>860</v>
      </c>
      <c r="C956" s="11">
        <v>46060</v>
      </c>
      <c r="D956" t="s">
        <v>259</v>
      </c>
      <c r="E956" t="s">
        <v>70</v>
      </c>
      <c r="F956" s="4">
        <v>46061</v>
      </c>
      <c r="G956" s="4">
        <v>46061</v>
      </c>
      <c r="H956" t="s">
        <v>111</v>
      </c>
      <c r="I956" t="s">
        <v>267</v>
      </c>
      <c r="J956" t="s">
        <v>113</v>
      </c>
      <c r="K956" t="s">
        <v>60</v>
      </c>
      <c r="L956" t="s">
        <v>74</v>
      </c>
      <c r="M956" s="5">
        <v>17100</v>
      </c>
      <c r="N956" s="5">
        <v>2850</v>
      </c>
      <c r="O956" s="5">
        <v>2300</v>
      </c>
      <c r="P956" s="5">
        <v>0</v>
      </c>
      <c r="Q956" s="13">
        <v>23450</v>
      </c>
      <c r="R956" t="s">
        <v>75</v>
      </c>
      <c r="S956" t="s">
        <v>76</v>
      </c>
      <c r="T956" s="5">
        <v>10850</v>
      </c>
      <c r="U956" s="6"/>
      <c r="V956" t="s">
        <v>77</v>
      </c>
      <c r="W956" s="4">
        <v>46069</v>
      </c>
      <c r="X956" t="s">
        <v>64</v>
      </c>
      <c r="Y956" t="s">
        <v>64</v>
      </c>
      <c r="Z956" t="s">
        <v>96</v>
      </c>
      <c r="AA956" t="str">
        <f>VLOOKUP(H956,Departments!$A:$B,2,0)</f>
        <v>General Medicine</v>
      </c>
      <c r="AB956" t="str">
        <f>VLOOKUP(J956,Diagnosis_Guide!$A:$B,2,0)</f>
        <v>Diabetes Complication</v>
      </c>
      <c r="AC956" s="4" t="str">
        <f>VLOOKUP(J956,Diagnosis_Guide!$A:$C,3,0)</f>
        <v>Endocrine/General</v>
      </c>
      <c r="AD956" s="4" t="str">
        <f>VLOOKUP(R956,Insurance_Plans!$A:$C,3,0)</f>
        <v>Public</v>
      </c>
      <c r="AE956" s="13">
        <f t="shared" si="42"/>
        <v>1172.5</v>
      </c>
      <c r="AF956" s="13">
        <f t="shared" si="43"/>
        <v>24622.5</v>
      </c>
      <c r="AG956" s="4" t="str">
        <f t="shared" si="44"/>
        <v>Not Available</v>
      </c>
    </row>
    <row r="957" spans="1:33">
      <c r="A957" t="s">
        <v>1655</v>
      </c>
      <c r="B957" t="s">
        <v>493</v>
      </c>
      <c r="C957" s="11">
        <v>46086</v>
      </c>
      <c r="D957" t="s">
        <v>242</v>
      </c>
      <c r="E957" t="s">
        <v>70</v>
      </c>
      <c r="F957" s="4">
        <v>46086</v>
      </c>
      <c r="G957" s="4">
        <v>46086</v>
      </c>
      <c r="H957" t="s">
        <v>150</v>
      </c>
      <c r="I957" t="s">
        <v>239</v>
      </c>
      <c r="J957" t="s">
        <v>229</v>
      </c>
      <c r="K957" t="s">
        <v>60</v>
      </c>
      <c r="L957" t="s">
        <v>61</v>
      </c>
      <c r="M957" s="5">
        <v>44400</v>
      </c>
      <c r="N957" s="5">
        <v>7150</v>
      </c>
      <c r="O957" s="5">
        <v>9800</v>
      </c>
      <c r="P957" s="5">
        <v>0</v>
      </c>
      <c r="Q957" s="13">
        <v>63150</v>
      </c>
      <c r="R957" t="s">
        <v>85</v>
      </c>
      <c r="S957" t="s">
        <v>76</v>
      </c>
      <c r="T957" s="5">
        <v>16690</v>
      </c>
      <c r="U957" s="6">
        <v>5</v>
      </c>
      <c r="V957" t="s">
        <v>64</v>
      </c>
      <c r="W957" s="4"/>
      <c r="X957" t="s">
        <v>65</v>
      </c>
      <c r="Y957" t="s">
        <v>64</v>
      </c>
      <c r="Z957" t="s">
        <v>96</v>
      </c>
      <c r="AA957" t="str">
        <f>VLOOKUP(H957,Departments!$A:$B,2,0)</f>
        <v>Obstetrics</v>
      </c>
      <c r="AB957" t="str">
        <f>VLOOKUP(J957,Diagnosis_Guide!$A:$B,2,0)</f>
        <v>Delivery Care</v>
      </c>
      <c r="AC957" s="4" t="str">
        <f>VLOOKUP(J957,Diagnosis_Guide!$A:$C,3,0)</f>
        <v>Maternal Health</v>
      </c>
      <c r="AD957" s="4" t="str">
        <f>VLOOKUP(R957,Insurance_Plans!$A:$C,3,0)</f>
        <v>Employer</v>
      </c>
      <c r="AE957" s="13">
        <f t="shared" si="42"/>
        <v>3157.5</v>
      </c>
      <c r="AF957" s="13">
        <f t="shared" si="43"/>
        <v>66307.5</v>
      </c>
      <c r="AG957" s="4" t="str">
        <f t="shared" si="44"/>
        <v>High</v>
      </c>
    </row>
    <row r="958" spans="1:33">
      <c r="A958" t="s">
        <v>1656</v>
      </c>
      <c r="B958" t="s">
        <v>524</v>
      </c>
      <c r="C958" s="11">
        <v>46079</v>
      </c>
      <c r="D958" t="s">
        <v>206</v>
      </c>
      <c r="E958" t="s">
        <v>70</v>
      </c>
      <c r="F958" s="4">
        <v>46079</v>
      </c>
      <c r="G958" s="4">
        <v>46079</v>
      </c>
      <c r="H958" t="s">
        <v>82</v>
      </c>
      <c r="I958" t="s">
        <v>194</v>
      </c>
      <c r="J958" t="s">
        <v>291</v>
      </c>
      <c r="K958" t="s">
        <v>60</v>
      </c>
      <c r="L958" t="s">
        <v>61</v>
      </c>
      <c r="M958" s="5"/>
      <c r="N958" s="5">
        <v>7800</v>
      </c>
      <c r="O958" s="5">
        <v>9150</v>
      </c>
      <c r="P958" s="5">
        <v>0</v>
      </c>
      <c r="Q958" s="13">
        <v>65750</v>
      </c>
      <c r="R958" t="s">
        <v>106</v>
      </c>
      <c r="S958" t="s">
        <v>163</v>
      </c>
      <c r="T958" s="5">
        <v>23710</v>
      </c>
      <c r="U958" s="6">
        <v>4</v>
      </c>
      <c r="V958" t="s">
        <v>77</v>
      </c>
      <c r="W958" s="4">
        <v>46087</v>
      </c>
      <c r="X958" t="s">
        <v>77</v>
      </c>
      <c r="Y958" t="s">
        <v>64</v>
      </c>
      <c r="Z958" t="s">
        <v>78</v>
      </c>
      <c r="AA958" t="str">
        <f>VLOOKUP(H958,Departments!$A:$B,2,0)</f>
        <v>Orthopedics</v>
      </c>
      <c r="AB958" t="str">
        <f>VLOOKUP(J958,Diagnosis_Guide!$A:$B,2,0)</f>
        <v>Fracture Repair</v>
      </c>
      <c r="AC958" s="4" t="str">
        <f>VLOOKUP(J958,Diagnosis_Guide!$A:$C,3,0)</f>
        <v>Musculoskeletal</v>
      </c>
      <c r="AD958" s="4" t="str">
        <f>VLOOKUP(R958,Insurance_Plans!$A:$C,3,0)</f>
        <v>Private</v>
      </c>
      <c r="AE958" s="13">
        <f t="shared" si="42"/>
        <v>3287.5</v>
      </c>
      <c r="AF958" s="13">
        <f t="shared" si="43"/>
        <v>69037.5</v>
      </c>
      <c r="AG958" s="4" t="str">
        <f t="shared" si="44"/>
        <v>High</v>
      </c>
    </row>
    <row r="959" spans="1:33">
      <c r="A959" t="s">
        <v>1657</v>
      </c>
      <c r="B959" t="s">
        <v>678</v>
      </c>
      <c r="C959" s="11">
        <v>46023</v>
      </c>
      <c r="D959" t="s">
        <v>144</v>
      </c>
      <c r="E959" t="s">
        <v>314</v>
      </c>
      <c r="F959" s="4"/>
      <c r="G959" s="4"/>
      <c r="H959" t="s">
        <v>178</v>
      </c>
      <c r="I959" t="s">
        <v>622</v>
      </c>
      <c r="J959" t="s">
        <v>340</v>
      </c>
      <c r="K959" t="s">
        <v>93</v>
      </c>
      <c r="L959" t="s">
        <v>74</v>
      </c>
      <c r="M959" s="5"/>
      <c r="N959" s="5"/>
      <c r="O959" s="5"/>
      <c r="P959" s="5"/>
      <c r="R959" t="s">
        <v>134</v>
      </c>
      <c r="S959" t="s">
        <v>63</v>
      </c>
      <c r="T959" s="5"/>
      <c r="U959" s="6"/>
      <c r="V959" t="s">
        <v>64</v>
      </c>
      <c r="W959" s="4"/>
      <c r="X959" t="s">
        <v>65</v>
      </c>
      <c r="Z959" t="s">
        <v>66</v>
      </c>
      <c r="AA959" t="str">
        <f>VLOOKUP(H959,Departments!$A:$B,2,0)</f>
        <v>Surgery</v>
      </c>
      <c r="AB959" t="str">
        <f>VLOOKUP(J959,Diagnosis_Guide!$A:$B,2,0)</f>
        <v>Post-Operative Infection</v>
      </c>
      <c r="AC959" s="4" t="str">
        <f>VLOOKUP(J959,Diagnosis_Guide!$A:$C,3,0)</f>
        <v>Surgical</v>
      </c>
      <c r="AD959" s="4" t="str">
        <f>VLOOKUP(R959,Insurance_Plans!$A:$C,3,0)</f>
        <v>Community</v>
      </c>
      <c r="AE959" s="13" t="str">
        <f t="shared" si="42"/>
        <v/>
      </c>
      <c r="AF959" s="13" t="str">
        <f t="shared" si="43"/>
        <v/>
      </c>
      <c r="AG959" s="4" t="str">
        <f t="shared" si="44"/>
        <v>Not Available</v>
      </c>
    </row>
    <row r="960" spans="1:33">
      <c r="A960" t="s">
        <v>1658</v>
      </c>
      <c r="B960" t="s">
        <v>297</v>
      </c>
      <c r="C960" s="11">
        <v>46040</v>
      </c>
      <c r="D960" t="s">
        <v>99</v>
      </c>
      <c r="E960" t="s">
        <v>70</v>
      </c>
      <c r="F960" s="4">
        <v>46041</v>
      </c>
      <c r="G960" s="4">
        <v>46045</v>
      </c>
      <c r="H960" t="s">
        <v>138</v>
      </c>
      <c r="I960" t="s">
        <v>260</v>
      </c>
      <c r="J960" t="s">
        <v>236</v>
      </c>
      <c r="K960" t="s">
        <v>124</v>
      </c>
      <c r="L960" t="s">
        <v>74</v>
      </c>
      <c r="M960" s="5">
        <v>31300</v>
      </c>
      <c r="N960" s="5">
        <v>3550</v>
      </c>
      <c r="O960" s="5">
        <v>7700</v>
      </c>
      <c r="P960" s="5">
        <v>24000</v>
      </c>
      <c r="Q960" s="13">
        <v>69050</v>
      </c>
      <c r="R960" t="s">
        <v>106</v>
      </c>
      <c r="S960" t="s">
        <v>76</v>
      </c>
      <c r="T960" s="5">
        <v>24870</v>
      </c>
      <c r="U960" s="6">
        <v>4</v>
      </c>
      <c r="V960" t="s">
        <v>77</v>
      </c>
      <c r="W960" s="4">
        <v>46052</v>
      </c>
      <c r="X960" t="s">
        <v>77</v>
      </c>
      <c r="Y960" t="s">
        <v>64</v>
      </c>
      <c r="Z960" t="s">
        <v>78</v>
      </c>
      <c r="AA960" t="str">
        <f>VLOOKUP(H960,Departments!$A:$B,2,0)</f>
        <v>Pediatrics</v>
      </c>
      <c r="AB960" t="str">
        <f>VLOOKUP(J960,Diagnosis_Guide!$A:$B,2,0)</f>
        <v>Neonatal Observation</v>
      </c>
      <c r="AC960" s="4" t="str">
        <f>VLOOKUP(J960,Diagnosis_Guide!$A:$C,3,0)</f>
        <v>Pediatric</v>
      </c>
      <c r="AD960" s="4" t="str">
        <f>VLOOKUP(R960,Insurance_Plans!$A:$C,3,0)</f>
        <v>Private</v>
      </c>
      <c r="AE960" s="13">
        <f t="shared" si="42"/>
        <v>3452.5</v>
      </c>
      <c r="AF960" s="13">
        <f t="shared" si="43"/>
        <v>72502.5</v>
      </c>
      <c r="AG960" s="4" t="str">
        <f t="shared" si="44"/>
        <v>High</v>
      </c>
    </row>
    <row r="961" spans="1:33">
      <c r="A961" t="s">
        <v>1659</v>
      </c>
      <c r="B961" t="s">
        <v>1170</v>
      </c>
      <c r="C961" s="11">
        <v>46086</v>
      </c>
      <c r="D961" t="s">
        <v>173</v>
      </c>
      <c r="E961" t="s">
        <v>70</v>
      </c>
      <c r="F961" s="4">
        <v>46086</v>
      </c>
      <c r="G961" s="4">
        <v>46086</v>
      </c>
      <c r="H961" t="s">
        <v>103</v>
      </c>
      <c r="I961" t="s">
        <v>104</v>
      </c>
      <c r="J961" t="s">
        <v>244</v>
      </c>
      <c r="K961" t="s">
        <v>60</v>
      </c>
      <c r="L961" t="s">
        <v>146</v>
      </c>
      <c r="M961" s="5">
        <v>53700</v>
      </c>
      <c r="N961" s="5">
        <v>4300</v>
      </c>
      <c r="O961" s="5">
        <v>8450</v>
      </c>
      <c r="P961" s="5">
        <v>0</v>
      </c>
      <c r="Q961" s="13">
        <v>68250</v>
      </c>
      <c r="R961" t="s">
        <v>75</v>
      </c>
      <c r="S961" t="s">
        <v>76</v>
      </c>
      <c r="T961" s="5">
        <v>31010</v>
      </c>
      <c r="U961" s="6">
        <v>5</v>
      </c>
      <c r="V961" t="s">
        <v>64</v>
      </c>
      <c r="W961" s="4"/>
      <c r="X961" t="s">
        <v>65</v>
      </c>
      <c r="Y961" t="s">
        <v>64</v>
      </c>
      <c r="Z961" t="s">
        <v>78</v>
      </c>
      <c r="AA961" t="str">
        <f>VLOOKUP(H961,Departments!$A:$B,2,0)</f>
        <v>Nephrology</v>
      </c>
      <c r="AB961" t="str">
        <f>VLOOKUP(J961,Diagnosis_Guide!$A:$B,2,0)</f>
        <v>Chronic Kidney Disease</v>
      </c>
      <c r="AC961" s="4" t="str">
        <f>VLOOKUP(J961,Diagnosis_Guide!$A:$C,3,0)</f>
        <v>Renal</v>
      </c>
      <c r="AD961" s="4" t="str">
        <f>VLOOKUP(R961,Insurance_Plans!$A:$C,3,0)</f>
        <v>Public</v>
      </c>
      <c r="AE961" s="13">
        <f t="shared" si="42"/>
        <v>3412.5</v>
      </c>
      <c r="AF961" s="13">
        <f t="shared" si="43"/>
        <v>71662.5</v>
      </c>
      <c r="AG961" s="4" t="str">
        <f t="shared" si="44"/>
        <v>High</v>
      </c>
    </row>
    <row r="962" spans="1:33">
      <c r="A962" t="s">
        <v>1660</v>
      </c>
      <c r="B962" t="s">
        <v>664</v>
      </c>
      <c r="C962" s="11">
        <v>46126</v>
      </c>
      <c r="D962" t="s">
        <v>149</v>
      </c>
      <c r="E962" t="s">
        <v>70</v>
      </c>
      <c r="F962" s="4">
        <v>46127</v>
      </c>
      <c r="G962" s="4">
        <v>46127</v>
      </c>
      <c r="H962" t="s">
        <v>90</v>
      </c>
      <c r="I962" t="s">
        <v>133</v>
      </c>
      <c r="J962" t="s">
        <v>92</v>
      </c>
      <c r="K962" t="s">
        <v>60</v>
      </c>
      <c r="L962" t="s">
        <v>74</v>
      </c>
      <c r="M962" s="5">
        <v>61900</v>
      </c>
      <c r="N962" s="5">
        <v>7450</v>
      </c>
      <c r="O962" s="5">
        <v>11750</v>
      </c>
      <c r="P962" s="5">
        <v>0</v>
      </c>
      <c r="Q962" s="13">
        <v>83100</v>
      </c>
      <c r="R962" t="s">
        <v>95</v>
      </c>
      <c r="S962" t="s">
        <v>63</v>
      </c>
      <c r="T962" s="5">
        <v>83100</v>
      </c>
      <c r="U962" s="6">
        <v>5</v>
      </c>
      <c r="V962" t="s">
        <v>77</v>
      </c>
      <c r="W962" s="4">
        <v>46144</v>
      </c>
      <c r="X962" t="s">
        <v>77</v>
      </c>
      <c r="Y962" t="s">
        <v>64</v>
      </c>
      <c r="Z962" t="s">
        <v>96</v>
      </c>
      <c r="AA962" t="str">
        <f>VLOOKUP(H962,Departments!$A:$B,2,0)</f>
        <v>Cardiology</v>
      </c>
      <c r="AB962" t="str">
        <f>VLOOKUP(J962,Diagnosis_Guide!$A:$B,2,0)</f>
        <v>Heart Failure</v>
      </c>
      <c r="AC962" s="4" t="str">
        <f>VLOOKUP(J962,Diagnosis_Guide!$A:$C,3,0)</f>
        <v>Cardiovascular</v>
      </c>
      <c r="AD962" s="4" t="str">
        <f>VLOOKUP(R962,Insurance_Plans!$A:$C,3,0)</f>
        <v>Self-Pay</v>
      </c>
      <c r="AE962" s="13">
        <f t="shared" ref="AE962:AE1025" si="45">IF(Q962="","",Q962*0.05)</f>
        <v>4155</v>
      </c>
      <c r="AF962" s="13">
        <f t="shared" ref="AF962:AF1025" si="46">IF(Q962="","",Q962+AE962)</f>
        <v>87255</v>
      </c>
      <c r="AG962" s="4" t="str">
        <f t="shared" ref="AG962:AG1025" si="47">IF(U962="","Not Available",IF(U962&gt;=4,"High",IF(U962=3,"Medium","Low")))</f>
        <v>High</v>
      </c>
    </row>
    <row r="963" spans="1:33">
      <c r="A963" t="s">
        <v>1661</v>
      </c>
      <c r="B963" t="s">
        <v>845</v>
      </c>
      <c r="C963" s="11">
        <v>46036</v>
      </c>
      <c r="D963" t="s">
        <v>266</v>
      </c>
      <c r="E963" t="s">
        <v>70</v>
      </c>
      <c r="F963" s="4">
        <v>46036</v>
      </c>
      <c r="G963" s="4">
        <v>46036</v>
      </c>
      <c r="H963" t="s">
        <v>150</v>
      </c>
      <c r="I963" t="s">
        <v>304</v>
      </c>
      <c r="J963" t="s">
        <v>188</v>
      </c>
      <c r="K963" t="s">
        <v>60</v>
      </c>
      <c r="L963" t="s">
        <v>74</v>
      </c>
      <c r="M963" s="5">
        <v>101300</v>
      </c>
      <c r="N963" s="5">
        <v>14150</v>
      </c>
      <c r="O963" s="5">
        <v>22400</v>
      </c>
      <c r="P963" s="5">
        <v>0</v>
      </c>
      <c r="Q963" s="13">
        <v>139050</v>
      </c>
      <c r="R963" t="s">
        <v>95</v>
      </c>
      <c r="S963" t="s">
        <v>63</v>
      </c>
      <c r="T963" s="5">
        <v>139050</v>
      </c>
      <c r="U963" s="6">
        <v>2</v>
      </c>
      <c r="V963" t="s">
        <v>64</v>
      </c>
      <c r="W963" s="4"/>
      <c r="X963" t="s">
        <v>65</v>
      </c>
      <c r="Y963" t="s">
        <v>77</v>
      </c>
      <c r="Z963" t="s">
        <v>78</v>
      </c>
      <c r="AA963" t="str">
        <f>VLOOKUP(H963,Departments!$A:$B,2,0)</f>
        <v>Obstetrics</v>
      </c>
      <c r="AB963" t="str">
        <f>VLOOKUP(J963,Diagnosis_Guide!$A:$B,2,0)</f>
        <v>Emergency C-Section</v>
      </c>
      <c r="AC963" s="4" t="str">
        <f>VLOOKUP(J963,Diagnosis_Guide!$A:$C,3,0)</f>
        <v>Maternal Health</v>
      </c>
      <c r="AD963" s="4" t="str">
        <f>VLOOKUP(R963,Insurance_Plans!$A:$C,3,0)</f>
        <v>Self-Pay</v>
      </c>
      <c r="AE963" s="13">
        <f t="shared" si="45"/>
        <v>6952.5</v>
      </c>
      <c r="AF963" s="13">
        <f t="shared" si="46"/>
        <v>146002.5</v>
      </c>
      <c r="AG963" s="4" t="str">
        <f t="shared" si="47"/>
        <v>Low</v>
      </c>
    </row>
    <row r="964" spans="1:33">
      <c r="A964" t="s">
        <v>1662</v>
      </c>
      <c r="B964" t="s">
        <v>1537</v>
      </c>
      <c r="C964" s="11">
        <v>46046</v>
      </c>
      <c r="D964" t="s">
        <v>200</v>
      </c>
      <c r="E964" t="s">
        <v>70</v>
      </c>
      <c r="F964" s="4">
        <v>46046</v>
      </c>
      <c r="G964" s="4">
        <v>46053</v>
      </c>
      <c r="H964" t="s">
        <v>103</v>
      </c>
      <c r="I964" t="s">
        <v>104</v>
      </c>
      <c r="J964" t="s">
        <v>244</v>
      </c>
      <c r="K964" t="s">
        <v>93</v>
      </c>
      <c r="L964" t="s">
        <v>94</v>
      </c>
      <c r="M964" s="5">
        <v>58700</v>
      </c>
      <c r="N964" s="5">
        <v>8600</v>
      </c>
      <c r="O964" s="5">
        <v>8550</v>
      </c>
      <c r="P964" s="5">
        <v>42000</v>
      </c>
      <c r="Q964" s="13">
        <v>119650</v>
      </c>
      <c r="R964" t="s">
        <v>95</v>
      </c>
      <c r="S964" t="s">
        <v>63</v>
      </c>
      <c r="T964" s="5">
        <v>119650</v>
      </c>
      <c r="U964" s="6">
        <v>4</v>
      </c>
      <c r="V964" t="s">
        <v>64</v>
      </c>
      <c r="W964" s="4"/>
      <c r="X964" t="s">
        <v>65</v>
      </c>
      <c r="Y964" t="s">
        <v>64</v>
      </c>
      <c r="Z964" t="s">
        <v>219</v>
      </c>
      <c r="AA964" t="str">
        <f>VLOOKUP(H964,Departments!$A:$B,2,0)</f>
        <v>Nephrology</v>
      </c>
      <c r="AB964" t="str">
        <f>VLOOKUP(J964,Diagnosis_Guide!$A:$B,2,0)</f>
        <v>Chronic Kidney Disease</v>
      </c>
      <c r="AC964" s="4" t="str">
        <f>VLOOKUP(J964,Diagnosis_Guide!$A:$C,3,0)</f>
        <v>Renal</v>
      </c>
      <c r="AD964" s="4" t="str">
        <f>VLOOKUP(R964,Insurance_Plans!$A:$C,3,0)</f>
        <v>Self-Pay</v>
      </c>
      <c r="AE964" s="13">
        <f t="shared" si="45"/>
        <v>5982.5</v>
      </c>
      <c r="AF964" s="13">
        <f t="shared" si="46"/>
        <v>125632.5</v>
      </c>
      <c r="AG964" s="4" t="str">
        <f t="shared" si="47"/>
        <v>High</v>
      </c>
    </row>
    <row r="965" spans="1:33">
      <c r="A965" t="s">
        <v>1663</v>
      </c>
      <c r="B965" t="s">
        <v>1664</v>
      </c>
      <c r="C965" s="11">
        <v>46037</v>
      </c>
      <c r="D965" t="s">
        <v>161</v>
      </c>
      <c r="E965" t="s">
        <v>70</v>
      </c>
      <c r="F965" s="4">
        <v>46038</v>
      </c>
      <c r="G965" s="4">
        <v>46038</v>
      </c>
      <c r="H965" t="s">
        <v>82</v>
      </c>
      <c r="I965" t="s">
        <v>194</v>
      </c>
      <c r="J965" t="s">
        <v>291</v>
      </c>
      <c r="K965" t="s">
        <v>60</v>
      </c>
      <c r="L965" t="s">
        <v>74</v>
      </c>
      <c r="M965" s="5">
        <v>43100</v>
      </c>
      <c r="N965" s="5">
        <v>6100</v>
      </c>
      <c r="O965" s="5">
        <v>8500</v>
      </c>
      <c r="P965" s="5">
        <v>0</v>
      </c>
      <c r="Q965" s="13">
        <v>59500</v>
      </c>
      <c r="R965" t="s">
        <v>141</v>
      </c>
      <c r="S965" t="s">
        <v>76</v>
      </c>
      <c r="T965" s="5">
        <v>10130</v>
      </c>
      <c r="U965" s="6">
        <v>5</v>
      </c>
      <c r="V965" t="s">
        <v>64</v>
      </c>
      <c r="W965" s="4"/>
      <c r="X965" t="s">
        <v>65</v>
      </c>
      <c r="Y965" t="s">
        <v>64</v>
      </c>
      <c r="Z965" t="s">
        <v>78</v>
      </c>
      <c r="AA965" t="str">
        <f>VLOOKUP(H965,Departments!$A:$B,2,0)</f>
        <v>Orthopedics</v>
      </c>
      <c r="AB965" t="str">
        <f>VLOOKUP(J965,Diagnosis_Guide!$A:$B,2,0)</f>
        <v>Fracture Repair</v>
      </c>
      <c r="AC965" s="4" t="str">
        <f>VLOOKUP(J965,Diagnosis_Guide!$A:$C,3,0)</f>
        <v>Musculoskeletal</v>
      </c>
      <c r="AD965" s="4" t="str">
        <f>VLOOKUP(R965,Insurance_Plans!$A:$C,3,0)</f>
        <v>Private</v>
      </c>
      <c r="AE965" s="13">
        <f t="shared" si="45"/>
        <v>2975</v>
      </c>
      <c r="AF965" s="13">
        <f t="shared" si="46"/>
        <v>62475</v>
      </c>
      <c r="AG965" s="4" t="str">
        <f t="shared" si="47"/>
        <v>High</v>
      </c>
    </row>
    <row r="966" spans="1:33">
      <c r="A966" t="s">
        <v>1665</v>
      </c>
      <c r="B966" t="s">
        <v>1469</v>
      </c>
      <c r="C966" s="11">
        <v>46166</v>
      </c>
      <c r="D966" t="s">
        <v>89</v>
      </c>
      <c r="E966" t="s">
        <v>314</v>
      </c>
      <c r="F966" s="4"/>
      <c r="G966" s="4"/>
      <c r="H966" t="s">
        <v>201</v>
      </c>
      <c r="I966" t="s">
        <v>449</v>
      </c>
      <c r="J966" t="s">
        <v>203</v>
      </c>
      <c r="K966" t="s">
        <v>124</v>
      </c>
      <c r="L966" t="s">
        <v>94</v>
      </c>
      <c r="M966" s="5"/>
      <c r="N966" s="5"/>
      <c r="O966" s="5"/>
      <c r="P966" s="5"/>
      <c r="R966" t="s">
        <v>62</v>
      </c>
      <c r="S966" t="s">
        <v>63</v>
      </c>
      <c r="T966" s="5"/>
      <c r="U966" s="6"/>
      <c r="V966" t="s">
        <v>64</v>
      </c>
      <c r="W966" s="4"/>
      <c r="X966" t="s">
        <v>65</v>
      </c>
      <c r="Z966" t="s">
        <v>66</v>
      </c>
      <c r="AA966" t="str">
        <f>VLOOKUP(H966,Departments!$A:$B,2,0)</f>
        <v>Emergency</v>
      </c>
      <c r="AB966" t="str">
        <f>VLOOKUP(J966,Diagnosis_Guide!$A:$B,2,0)</f>
        <v>Trauma Observation</v>
      </c>
      <c r="AC966" s="4" t="str">
        <f>VLOOKUP(J966,Diagnosis_Guide!$A:$C,3,0)</f>
        <v>Emergency</v>
      </c>
      <c r="AD966" s="4" t="str">
        <f>VLOOKUP(R966,Insurance_Plans!$A:$C,3,0)</f>
        <v>Public</v>
      </c>
      <c r="AE966" s="13" t="str">
        <f t="shared" si="45"/>
        <v/>
      </c>
      <c r="AF966" s="13" t="str">
        <f t="shared" si="46"/>
        <v/>
      </c>
      <c r="AG966" s="4" t="str">
        <f t="shared" si="47"/>
        <v>Not Available</v>
      </c>
    </row>
    <row r="967" spans="1:33">
      <c r="A967" t="s">
        <v>1666</v>
      </c>
      <c r="B967" t="s">
        <v>1297</v>
      </c>
      <c r="C967" s="11">
        <v>46046</v>
      </c>
      <c r="D967" t="s">
        <v>206</v>
      </c>
      <c r="E967" t="s">
        <v>177</v>
      </c>
      <c r="F967" s="4"/>
      <c r="G967" s="4"/>
      <c r="H967" t="s">
        <v>103</v>
      </c>
      <c r="I967" t="s">
        <v>412</v>
      </c>
      <c r="J967" t="s">
        <v>105</v>
      </c>
      <c r="K967" t="s">
        <v>93</v>
      </c>
      <c r="L967" t="s">
        <v>61</v>
      </c>
      <c r="M967" s="5"/>
      <c r="N967" s="5"/>
      <c r="O967" s="5"/>
      <c r="P967" s="5"/>
      <c r="R967" t="s">
        <v>106</v>
      </c>
      <c r="S967" t="s">
        <v>63</v>
      </c>
      <c r="T967" s="5"/>
      <c r="U967" s="6"/>
      <c r="V967" t="s">
        <v>64</v>
      </c>
      <c r="W967" s="4"/>
      <c r="X967" t="s">
        <v>65</v>
      </c>
      <c r="Z967" t="s">
        <v>66</v>
      </c>
      <c r="AA967" t="str">
        <f>VLOOKUP(H967,Departments!$A:$B,2,0)</f>
        <v>Nephrology</v>
      </c>
      <c r="AB967" t="str">
        <f>VLOOKUP(J967,Diagnosis_Guide!$A:$B,2,0)</f>
        <v>Dialysis Complication</v>
      </c>
      <c r="AC967" s="4" t="str">
        <f>VLOOKUP(J967,Diagnosis_Guide!$A:$C,3,0)</f>
        <v>Renal</v>
      </c>
      <c r="AD967" s="4" t="str">
        <f>VLOOKUP(R967,Insurance_Plans!$A:$C,3,0)</f>
        <v>Private</v>
      </c>
      <c r="AE967" s="13" t="str">
        <f t="shared" si="45"/>
        <v/>
      </c>
      <c r="AF967" s="13" t="str">
        <f t="shared" si="46"/>
        <v/>
      </c>
      <c r="AG967" s="4" t="str">
        <f t="shared" si="47"/>
        <v>Not Available</v>
      </c>
    </row>
    <row r="968" spans="1:33">
      <c r="A968" t="s">
        <v>1667</v>
      </c>
      <c r="B968" t="s">
        <v>1185</v>
      </c>
      <c r="C968" s="11">
        <v>46122</v>
      </c>
      <c r="D968" t="s">
        <v>132</v>
      </c>
      <c r="E968" t="s">
        <v>70</v>
      </c>
      <c r="F968" s="4">
        <v>46122</v>
      </c>
      <c r="G968" s="4">
        <v>46122</v>
      </c>
      <c r="H968" t="s">
        <v>150</v>
      </c>
      <c r="I968" t="s">
        <v>228</v>
      </c>
      <c r="J968" t="s">
        <v>152</v>
      </c>
      <c r="K968" t="s">
        <v>60</v>
      </c>
      <c r="L968" t="s">
        <v>94</v>
      </c>
      <c r="M968" s="5">
        <v>32400</v>
      </c>
      <c r="N968" s="5">
        <v>3000</v>
      </c>
      <c r="O968" s="5">
        <v>6750</v>
      </c>
      <c r="P968" s="5">
        <v>0</v>
      </c>
      <c r="Q968" s="13">
        <v>43650</v>
      </c>
      <c r="R968" t="s">
        <v>106</v>
      </c>
      <c r="S968" t="s">
        <v>76</v>
      </c>
      <c r="T968" s="5">
        <v>15980</v>
      </c>
      <c r="U968" s="6">
        <v>4</v>
      </c>
      <c r="V968" t="s">
        <v>77</v>
      </c>
      <c r="W968" s="4">
        <v>46141</v>
      </c>
      <c r="X968" t="s">
        <v>77</v>
      </c>
      <c r="Y968" t="s">
        <v>64</v>
      </c>
      <c r="Z968" t="s">
        <v>96</v>
      </c>
      <c r="AA968" t="str">
        <f>VLOOKUP(H968,Departments!$A:$B,2,0)</f>
        <v>Obstetrics</v>
      </c>
      <c r="AB968" t="str">
        <f>VLOOKUP(J968,Diagnosis_Guide!$A:$B,2,0)</f>
        <v>Antenatal Complication</v>
      </c>
      <c r="AC968" s="4" t="str">
        <f>VLOOKUP(J968,Diagnosis_Guide!$A:$C,3,0)</f>
        <v>Maternal Health</v>
      </c>
      <c r="AD968" s="4" t="str">
        <f>VLOOKUP(R968,Insurance_Plans!$A:$C,3,0)</f>
        <v>Private</v>
      </c>
      <c r="AE968" s="13">
        <f t="shared" si="45"/>
        <v>2182.5</v>
      </c>
      <c r="AF968" s="13">
        <f t="shared" si="46"/>
        <v>45832.5</v>
      </c>
      <c r="AG968" s="4" t="str">
        <f t="shared" si="47"/>
        <v>High</v>
      </c>
    </row>
    <row r="969" spans="1:33">
      <c r="A969" t="s">
        <v>1668</v>
      </c>
      <c r="B969" t="s">
        <v>1669</v>
      </c>
      <c r="C969" s="11">
        <v>46106</v>
      </c>
      <c r="D969" t="s">
        <v>89</v>
      </c>
      <c r="E969" t="s">
        <v>70</v>
      </c>
      <c r="F969" s="4">
        <v>46106</v>
      </c>
      <c r="G969" s="4">
        <v>46108</v>
      </c>
      <c r="H969" t="s">
        <v>90</v>
      </c>
      <c r="I969" t="s">
        <v>162</v>
      </c>
      <c r="J969" t="s">
        <v>197</v>
      </c>
      <c r="K969" t="s">
        <v>124</v>
      </c>
      <c r="L969" t="s">
        <v>94</v>
      </c>
      <c r="M969" s="5">
        <v>15700</v>
      </c>
      <c r="N969" s="5">
        <v>1450</v>
      </c>
      <c r="O969" s="5">
        <v>3200</v>
      </c>
      <c r="P969" s="5">
        <v>5000</v>
      </c>
      <c r="Q969" s="13">
        <v>26550</v>
      </c>
      <c r="R969" t="s">
        <v>95</v>
      </c>
      <c r="S969" t="s">
        <v>63</v>
      </c>
      <c r="T969" s="5">
        <v>26550</v>
      </c>
      <c r="U969" s="6">
        <v>5</v>
      </c>
      <c r="V969" t="s">
        <v>64</v>
      </c>
      <c r="W969" s="4"/>
      <c r="X969" t="s">
        <v>65</v>
      </c>
      <c r="Y969" t="s">
        <v>64</v>
      </c>
      <c r="Z969" t="s">
        <v>96</v>
      </c>
      <c r="AA969" t="str">
        <f>VLOOKUP(H969,Departments!$A:$B,2,0)</f>
        <v>Cardiology</v>
      </c>
      <c r="AB969" t="str">
        <f>VLOOKUP(J969,Diagnosis_Guide!$A:$B,2,0)</f>
        <v>Chest Pain</v>
      </c>
      <c r="AC969" s="4" t="str">
        <f>VLOOKUP(J969,Diagnosis_Guide!$A:$C,3,0)</f>
        <v>Cardiovascular</v>
      </c>
      <c r="AD969" s="4" t="str">
        <f>VLOOKUP(R969,Insurance_Plans!$A:$C,3,0)</f>
        <v>Self-Pay</v>
      </c>
      <c r="AE969" s="13">
        <f t="shared" si="45"/>
        <v>1327.5</v>
      </c>
      <c r="AF969" s="13">
        <f t="shared" si="46"/>
        <v>27877.5</v>
      </c>
      <c r="AG969" s="4" t="str">
        <f t="shared" si="47"/>
        <v>High</v>
      </c>
    </row>
    <row r="970" spans="1:33">
      <c r="A970" t="s">
        <v>1670</v>
      </c>
      <c r="B970" t="s">
        <v>569</v>
      </c>
      <c r="C970" s="11">
        <v>46122</v>
      </c>
      <c r="D970" t="s">
        <v>225</v>
      </c>
      <c r="E970" t="s">
        <v>70</v>
      </c>
      <c r="F970" s="4">
        <v>46122</v>
      </c>
      <c r="G970" s="4">
        <v>46122</v>
      </c>
      <c r="H970" t="s">
        <v>90</v>
      </c>
      <c r="I970" t="s">
        <v>91</v>
      </c>
      <c r="J970" t="s">
        <v>197</v>
      </c>
      <c r="K970" t="s">
        <v>60</v>
      </c>
      <c r="L970" t="s">
        <v>146</v>
      </c>
      <c r="M970" s="5"/>
      <c r="N970" s="5">
        <v>1650</v>
      </c>
      <c r="O970" s="5">
        <v>2050</v>
      </c>
      <c r="P970" s="5">
        <v>0</v>
      </c>
      <c r="Q970" s="13">
        <v>23500</v>
      </c>
      <c r="R970" t="s">
        <v>85</v>
      </c>
      <c r="S970" t="s">
        <v>76</v>
      </c>
      <c r="T970" s="5">
        <v>6780</v>
      </c>
      <c r="U970" s="6">
        <v>5</v>
      </c>
      <c r="V970" t="s">
        <v>77</v>
      </c>
      <c r="W970" s="4">
        <v>46133</v>
      </c>
      <c r="X970" t="s">
        <v>64</v>
      </c>
      <c r="Y970" t="s">
        <v>64</v>
      </c>
      <c r="Z970" t="s">
        <v>436</v>
      </c>
      <c r="AA970" t="str">
        <f>VLOOKUP(H970,Departments!$A:$B,2,0)</f>
        <v>Cardiology</v>
      </c>
      <c r="AB970" t="str">
        <f>VLOOKUP(J970,Diagnosis_Guide!$A:$B,2,0)</f>
        <v>Chest Pain</v>
      </c>
      <c r="AC970" s="4" t="str">
        <f>VLOOKUP(J970,Diagnosis_Guide!$A:$C,3,0)</f>
        <v>Cardiovascular</v>
      </c>
      <c r="AD970" s="4" t="str">
        <f>VLOOKUP(R970,Insurance_Plans!$A:$C,3,0)</f>
        <v>Employer</v>
      </c>
      <c r="AE970" s="13">
        <f t="shared" si="45"/>
        <v>1175</v>
      </c>
      <c r="AF970" s="13">
        <f t="shared" si="46"/>
        <v>24675</v>
      </c>
      <c r="AG970" s="4" t="str">
        <f t="shared" si="47"/>
        <v>High</v>
      </c>
    </row>
    <row r="971" spans="1:33">
      <c r="A971" t="s">
        <v>1671</v>
      </c>
      <c r="B971" t="s">
        <v>360</v>
      </c>
      <c r="C971" s="11">
        <v>46072</v>
      </c>
      <c r="D971" t="s">
        <v>337</v>
      </c>
      <c r="E971" t="s">
        <v>70</v>
      </c>
      <c r="F971" s="4">
        <v>46072</v>
      </c>
      <c r="G971" s="4">
        <v>46072</v>
      </c>
      <c r="H971" t="s">
        <v>57</v>
      </c>
      <c r="I971" t="s">
        <v>169</v>
      </c>
      <c r="J971" t="s">
        <v>59</v>
      </c>
      <c r="K971" t="s">
        <v>60</v>
      </c>
      <c r="L971" t="s">
        <v>94</v>
      </c>
      <c r="M971" s="5">
        <v>54600</v>
      </c>
      <c r="N971" s="5">
        <v>8250</v>
      </c>
      <c r="O971" s="5">
        <v>10050</v>
      </c>
      <c r="P971" s="5">
        <v>0</v>
      </c>
      <c r="Q971" s="13">
        <v>73700</v>
      </c>
      <c r="R971" t="s">
        <v>141</v>
      </c>
      <c r="S971" t="s">
        <v>76</v>
      </c>
      <c r="T971" s="5">
        <v>12260</v>
      </c>
      <c r="U971" s="6">
        <v>4</v>
      </c>
      <c r="V971" t="s">
        <v>77</v>
      </c>
      <c r="W971" s="4">
        <v>46082</v>
      </c>
      <c r="X971" t="s">
        <v>77</v>
      </c>
      <c r="Y971" t="s">
        <v>64</v>
      </c>
      <c r="Z971" t="s">
        <v>78</v>
      </c>
      <c r="AA971" t="str">
        <f>VLOOKUP(H971,Departments!$A:$B,2,0)</f>
        <v>Pulmonology</v>
      </c>
      <c r="AB971" t="str">
        <f>VLOOKUP(J971,Diagnosis_Guide!$A:$B,2,0)</f>
        <v>Pneumonia</v>
      </c>
      <c r="AC971" s="4" t="str">
        <f>VLOOKUP(J971,Diagnosis_Guide!$A:$C,3,0)</f>
        <v>Respiratory</v>
      </c>
      <c r="AD971" s="4" t="str">
        <f>VLOOKUP(R971,Insurance_Plans!$A:$C,3,0)</f>
        <v>Private</v>
      </c>
      <c r="AE971" s="13">
        <f t="shared" si="45"/>
        <v>3685</v>
      </c>
      <c r="AF971" s="13">
        <f t="shared" si="46"/>
        <v>77385</v>
      </c>
      <c r="AG971" s="4" t="str">
        <f t="shared" si="47"/>
        <v>High</v>
      </c>
    </row>
    <row r="972" spans="1:33">
      <c r="A972" t="s">
        <v>1672</v>
      </c>
      <c r="B972" t="s">
        <v>392</v>
      </c>
      <c r="C972" s="11">
        <v>46115</v>
      </c>
      <c r="D972" t="s">
        <v>89</v>
      </c>
      <c r="E972" t="s">
        <v>70</v>
      </c>
      <c r="F972" s="4">
        <v>46115</v>
      </c>
      <c r="G972" s="4">
        <v>46115</v>
      </c>
      <c r="H972" t="s">
        <v>138</v>
      </c>
      <c r="I972" t="s">
        <v>235</v>
      </c>
      <c r="J972" t="s">
        <v>236</v>
      </c>
      <c r="K972" t="s">
        <v>60</v>
      </c>
      <c r="L972" t="s">
        <v>146</v>
      </c>
      <c r="M972" s="5">
        <v>41900</v>
      </c>
      <c r="N972" s="5">
        <v>6800</v>
      </c>
      <c r="O972" s="5">
        <v>4950</v>
      </c>
      <c r="P972" s="5">
        <v>0</v>
      </c>
      <c r="Q972" s="13">
        <v>54650</v>
      </c>
      <c r="R972" t="s">
        <v>106</v>
      </c>
      <c r="S972" t="s">
        <v>76</v>
      </c>
      <c r="T972" s="5">
        <v>19830</v>
      </c>
      <c r="U972" s="6">
        <v>3</v>
      </c>
      <c r="V972" t="s">
        <v>77</v>
      </c>
      <c r="W972" s="4">
        <v>46133</v>
      </c>
      <c r="X972" t="s">
        <v>77</v>
      </c>
      <c r="Y972" t="s">
        <v>77</v>
      </c>
      <c r="Z972" t="s">
        <v>107</v>
      </c>
      <c r="AA972" t="str">
        <f>VLOOKUP(H972,Departments!$A:$B,2,0)</f>
        <v>Pediatrics</v>
      </c>
      <c r="AB972" t="str">
        <f>VLOOKUP(J972,Diagnosis_Guide!$A:$B,2,0)</f>
        <v>Neonatal Observation</v>
      </c>
      <c r="AC972" s="4" t="str">
        <f>VLOOKUP(J972,Diagnosis_Guide!$A:$C,3,0)</f>
        <v>Pediatric</v>
      </c>
      <c r="AD972" s="4" t="str">
        <f>VLOOKUP(R972,Insurance_Plans!$A:$C,3,0)</f>
        <v>Private</v>
      </c>
      <c r="AE972" s="13">
        <f t="shared" si="45"/>
        <v>2732.5</v>
      </c>
      <c r="AF972" s="13">
        <f t="shared" si="46"/>
        <v>57382.5</v>
      </c>
      <c r="AG972" s="4" t="str">
        <f t="shared" si="47"/>
        <v>Medium</v>
      </c>
    </row>
    <row r="973" spans="1:33">
      <c r="A973" t="s">
        <v>1673</v>
      </c>
      <c r="B973" t="s">
        <v>1362</v>
      </c>
      <c r="C973" s="11">
        <v>46039</v>
      </c>
      <c r="D973" t="s">
        <v>183</v>
      </c>
      <c r="E973" t="s">
        <v>70</v>
      </c>
      <c r="F973" s="4">
        <v>46039</v>
      </c>
      <c r="G973" s="4">
        <v>46040</v>
      </c>
      <c r="H973" t="s">
        <v>82</v>
      </c>
      <c r="I973" t="s">
        <v>272</v>
      </c>
      <c r="J973" t="s">
        <v>291</v>
      </c>
      <c r="K973" t="s">
        <v>60</v>
      </c>
      <c r="L973" t="s">
        <v>61</v>
      </c>
      <c r="M973" s="5">
        <v>37900</v>
      </c>
      <c r="N973" s="5">
        <v>5750</v>
      </c>
      <c r="O973" s="5">
        <v>7950</v>
      </c>
      <c r="P973" s="5">
        <v>3000</v>
      </c>
      <c r="Q973" s="13">
        <v>56400</v>
      </c>
      <c r="R973" t="s">
        <v>134</v>
      </c>
      <c r="S973" t="s">
        <v>76</v>
      </c>
      <c r="T973" s="5">
        <v>31220</v>
      </c>
      <c r="U973" s="6">
        <v>5</v>
      </c>
      <c r="V973" t="s">
        <v>64</v>
      </c>
      <c r="W973" s="4"/>
      <c r="X973" t="s">
        <v>65</v>
      </c>
      <c r="Y973" t="s">
        <v>64</v>
      </c>
      <c r="Z973" t="s">
        <v>107</v>
      </c>
      <c r="AA973" t="str">
        <f>VLOOKUP(H973,Departments!$A:$B,2,0)</f>
        <v>Orthopedics</v>
      </c>
      <c r="AB973" t="str">
        <f>VLOOKUP(J973,Diagnosis_Guide!$A:$B,2,0)</f>
        <v>Fracture Repair</v>
      </c>
      <c r="AC973" s="4" t="str">
        <f>VLOOKUP(J973,Diagnosis_Guide!$A:$C,3,0)</f>
        <v>Musculoskeletal</v>
      </c>
      <c r="AD973" s="4" t="str">
        <f>VLOOKUP(R973,Insurance_Plans!$A:$C,3,0)</f>
        <v>Community</v>
      </c>
      <c r="AE973" s="13">
        <f t="shared" si="45"/>
        <v>2820</v>
      </c>
      <c r="AF973" s="13">
        <f t="shared" si="46"/>
        <v>59220</v>
      </c>
      <c r="AG973" s="4" t="str">
        <f t="shared" si="47"/>
        <v>High</v>
      </c>
    </row>
    <row r="974" spans="1:33">
      <c r="A974" t="s">
        <v>1674</v>
      </c>
      <c r="B974" t="s">
        <v>506</v>
      </c>
      <c r="C974" s="11">
        <v>46168</v>
      </c>
      <c r="D974" t="s">
        <v>302</v>
      </c>
      <c r="E974" t="s">
        <v>56</v>
      </c>
      <c r="F974" s="4"/>
      <c r="G974" s="4"/>
      <c r="H974" t="s">
        <v>111</v>
      </c>
      <c r="I974" t="s">
        <v>397</v>
      </c>
      <c r="J974" t="s">
        <v>113</v>
      </c>
      <c r="K974" t="s">
        <v>124</v>
      </c>
      <c r="L974" t="s">
        <v>74</v>
      </c>
      <c r="M974" s="5"/>
      <c r="N974" s="5"/>
      <c r="O974" s="5"/>
      <c r="P974" s="5"/>
      <c r="R974" t="s">
        <v>141</v>
      </c>
      <c r="S974" t="s">
        <v>63</v>
      </c>
      <c r="T974" s="5"/>
      <c r="U974" s="6"/>
      <c r="V974" t="s">
        <v>64</v>
      </c>
      <c r="W974" s="4"/>
      <c r="X974" t="s">
        <v>65</v>
      </c>
      <c r="Z974" t="s">
        <v>66</v>
      </c>
      <c r="AA974" t="str">
        <f>VLOOKUP(H974,Departments!$A:$B,2,0)</f>
        <v>General Medicine</v>
      </c>
      <c r="AB974" t="str">
        <f>VLOOKUP(J974,Diagnosis_Guide!$A:$B,2,0)</f>
        <v>Diabetes Complication</v>
      </c>
      <c r="AC974" s="4" t="str">
        <f>VLOOKUP(J974,Diagnosis_Guide!$A:$C,3,0)</f>
        <v>Endocrine/General</v>
      </c>
      <c r="AD974" s="4" t="str">
        <f>VLOOKUP(R974,Insurance_Plans!$A:$C,3,0)</f>
        <v>Private</v>
      </c>
      <c r="AE974" s="13" t="str">
        <f t="shared" si="45"/>
        <v/>
      </c>
      <c r="AF974" s="13" t="str">
        <f t="shared" si="46"/>
        <v/>
      </c>
      <c r="AG974" s="4" t="str">
        <f t="shared" si="47"/>
        <v>Not Available</v>
      </c>
    </row>
    <row r="975" spans="1:33">
      <c r="A975" t="s">
        <v>1675</v>
      </c>
      <c r="B975" t="s">
        <v>190</v>
      </c>
      <c r="C975" s="11">
        <v>46094</v>
      </c>
      <c r="D975" t="s">
        <v>363</v>
      </c>
      <c r="E975" t="s">
        <v>70</v>
      </c>
      <c r="F975" s="4">
        <v>46094</v>
      </c>
      <c r="G975" s="4">
        <v>46099</v>
      </c>
      <c r="H975" t="s">
        <v>111</v>
      </c>
      <c r="I975" t="s">
        <v>397</v>
      </c>
      <c r="J975" t="s">
        <v>113</v>
      </c>
      <c r="K975" t="s">
        <v>124</v>
      </c>
      <c r="L975" t="s">
        <v>74</v>
      </c>
      <c r="M975" s="5">
        <v>17100</v>
      </c>
      <c r="N975" s="5">
        <v>2700</v>
      </c>
      <c r="O975" s="5">
        <v>2300</v>
      </c>
      <c r="P975" s="5">
        <v>12500</v>
      </c>
      <c r="Q975" s="13">
        <v>36600</v>
      </c>
      <c r="R975" t="s">
        <v>141</v>
      </c>
      <c r="S975" t="s">
        <v>76</v>
      </c>
      <c r="T975" s="5">
        <v>6690</v>
      </c>
      <c r="U975" s="6">
        <v>4</v>
      </c>
      <c r="V975" t="s">
        <v>77</v>
      </c>
      <c r="W975" s="4">
        <v>46106</v>
      </c>
      <c r="X975" t="s">
        <v>77</v>
      </c>
      <c r="Y975" t="s">
        <v>64</v>
      </c>
      <c r="Z975" t="s">
        <v>96</v>
      </c>
      <c r="AA975" t="str">
        <f>VLOOKUP(H975,Departments!$A:$B,2,0)</f>
        <v>General Medicine</v>
      </c>
      <c r="AB975" t="str">
        <f>VLOOKUP(J975,Diagnosis_Guide!$A:$B,2,0)</f>
        <v>Diabetes Complication</v>
      </c>
      <c r="AC975" s="4" t="str">
        <f>VLOOKUP(J975,Diagnosis_Guide!$A:$C,3,0)</f>
        <v>Endocrine/General</v>
      </c>
      <c r="AD975" s="4" t="str">
        <f>VLOOKUP(R975,Insurance_Plans!$A:$C,3,0)</f>
        <v>Private</v>
      </c>
      <c r="AE975" s="13">
        <f t="shared" si="45"/>
        <v>1830</v>
      </c>
      <c r="AF975" s="13">
        <f t="shared" si="46"/>
        <v>38430</v>
      </c>
      <c r="AG975" s="4" t="str">
        <f t="shared" si="47"/>
        <v>High</v>
      </c>
    </row>
    <row r="976" spans="1:33">
      <c r="A976" t="s">
        <v>1676</v>
      </c>
      <c r="B976" t="s">
        <v>1677</v>
      </c>
      <c r="C976" s="11">
        <v>46065</v>
      </c>
      <c r="D976" t="s">
        <v>266</v>
      </c>
      <c r="E976" t="s">
        <v>338</v>
      </c>
      <c r="F976" s="4"/>
      <c r="G976" s="4"/>
      <c r="H976" t="s">
        <v>57</v>
      </c>
      <c r="I976" t="s">
        <v>58</v>
      </c>
      <c r="J976" t="s">
        <v>170</v>
      </c>
      <c r="K976" t="s">
        <v>93</v>
      </c>
      <c r="L976" t="s">
        <v>94</v>
      </c>
      <c r="M976" s="5"/>
      <c r="N976" s="5"/>
      <c r="O976" s="5"/>
      <c r="P976" s="5"/>
      <c r="R976" t="s">
        <v>62</v>
      </c>
      <c r="S976" t="s">
        <v>63</v>
      </c>
      <c r="T976" s="5"/>
      <c r="U976" s="6"/>
      <c r="V976" t="s">
        <v>64</v>
      </c>
      <c r="W976" s="4"/>
      <c r="X976" t="s">
        <v>65</v>
      </c>
      <c r="Z976" t="s">
        <v>66</v>
      </c>
      <c r="AA976" t="str">
        <f>VLOOKUP(H976,Departments!$A:$B,2,0)</f>
        <v>Pulmonology</v>
      </c>
      <c r="AB976" t="str">
        <f>VLOOKUP(J976,Diagnosis_Guide!$A:$B,2,0)</f>
        <v>COPD Exacerbation</v>
      </c>
      <c r="AC976" s="4" t="str">
        <f>VLOOKUP(J976,Diagnosis_Guide!$A:$C,3,0)</f>
        <v>Respiratory</v>
      </c>
      <c r="AD976" s="4" t="str">
        <f>VLOOKUP(R976,Insurance_Plans!$A:$C,3,0)</f>
        <v>Public</v>
      </c>
      <c r="AE976" s="13" t="str">
        <f t="shared" si="45"/>
        <v/>
      </c>
      <c r="AF976" s="13" t="str">
        <f t="shared" si="46"/>
        <v/>
      </c>
      <c r="AG976" s="4" t="str">
        <f t="shared" si="47"/>
        <v>Not Available</v>
      </c>
    </row>
    <row r="977" spans="1:33">
      <c r="A977" t="s">
        <v>1678</v>
      </c>
      <c r="B977" t="s">
        <v>1469</v>
      </c>
      <c r="C977" s="11">
        <v>46091</v>
      </c>
      <c r="D977" t="s">
        <v>432</v>
      </c>
      <c r="E977" t="s">
        <v>70</v>
      </c>
      <c r="F977" s="4">
        <v>46092</v>
      </c>
      <c r="G977" s="4">
        <v>46092</v>
      </c>
      <c r="H977" t="s">
        <v>90</v>
      </c>
      <c r="I977" t="s">
        <v>299</v>
      </c>
      <c r="J977" t="s">
        <v>197</v>
      </c>
      <c r="K977" t="s">
        <v>60</v>
      </c>
      <c r="L977" t="s">
        <v>61</v>
      </c>
      <c r="M977" s="5">
        <v>15400</v>
      </c>
      <c r="N977" s="5">
        <v>1450</v>
      </c>
      <c r="O977" s="5">
        <v>2300</v>
      </c>
      <c r="P977" s="5">
        <v>0</v>
      </c>
      <c r="Q977" s="13">
        <v>20650</v>
      </c>
      <c r="R977" t="s">
        <v>106</v>
      </c>
      <c r="S977" t="s">
        <v>76</v>
      </c>
      <c r="T977" s="5">
        <v>7930</v>
      </c>
      <c r="U977" s="6">
        <v>5</v>
      </c>
      <c r="V977" t="s">
        <v>77</v>
      </c>
      <c r="W977" s="4">
        <v>46108</v>
      </c>
      <c r="X977" t="s">
        <v>77</v>
      </c>
      <c r="Y977" t="s">
        <v>64</v>
      </c>
      <c r="Z977" t="s">
        <v>78</v>
      </c>
      <c r="AA977" t="str">
        <f>VLOOKUP(H977,Departments!$A:$B,2,0)</f>
        <v>Cardiology</v>
      </c>
      <c r="AB977" t="str">
        <f>VLOOKUP(J977,Diagnosis_Guide!$A:$B,2,0)</f>
        <v>Chest Pain</v>
      </c>
      <c r="AC977" s="4" t="str">
        <f>VLOOKUP(J977,Diagnosis_Guide!$A:$C,3,0)</f>
        <v>Cardiovascular</v>
      </c>
      <c r="AD977" s="4" t="str">
        <f>VLOOKUP(R977,Insurance_Plans!$A:$C,3,0)</f>
        <v>Private</v>
      </c>
      <c r="AE977" s="13">
        <f t="shared" si="45"/>
        <v>1032.5</v>
      </c>
      <c r="AF977" s="13">
        <f t="shared" si="46"/>
        <v>21682.5</v>
      </c>
      <c r="AG977" s="4" t="str">
        <f t="shared" si="47"/>
        <v>High</v>
      </c>
    </row>
    <row r="978" spans="1:33">
      <c r="A978" t="s">
        <v>1679</v>
      </c>
      <c r="B978" t="s">
        <v>747</v>
      </c>
      <c r="C978" s="11">
        <v>46148</v>
      </c>
      <c r="D978" t="s">
        <v>144</v>
      </c>
      <c r="E978" t="s">
        <v>70</v>
      </c>
      <c r="F978" s="4">
        <v>46148</v>
      </c>
      <c r="G978" s="4">
        <v>46148</v>
      </c>
      <c r="H978" t="s">
        <v>82</v>
      </c>
      <c r="I978" t="s">
        <v>331</v>
      </c>
      <c r="J978" t="s">
        <v>156</v>
      </c>
      <c r="K978" t="s">
        <v>60</v>
      </c>
      <c r="L978" t="s">
        <v>146</v>
      </c>
      <c r="M978" s="5">
        <v>87500</v>
      </c>
      <c r="N978" s="5">
        <v>8900</v>
      </c>
      <c r="O978" s="5">
        <v>13900</v>
      </c>
      <c r="P978" s="5">
        <v>0</v>
      </c>
      <c r="Q978" s="13">
        <v>111800</v>
      </c>
      <c r="R978" t="s">
        <v>62</v>
      </c>
      <c r="S978" t="s">
        <v>76</v>
      </c>
      <c r="T978" s="5">
        <v>33940</v>
      </c>
      <c r="U978" s="6">
        <v>5</v>
      </c>
      <c r="V978" t="s">
        <v>77</v>
      </c>
      <c r="W978" s="4">
        <v>46161</v>
      </c>
      <c r="X978" t="s">
        <v>77</v>
      </c>
      <c r="Y978" t="s">
        <v>64</v>
      </c>
      <c r="Z978" t="s">
        <v>96</v>
      </c>
      <c r="AA978" t="str">
        <f>VLOOKUP(H978,Departments!$A:$B,2,0)</f>
        <v>Orthopedics</v>
      </c>
      <c r="AB978" t="str">
        <f>VLOOKUP(J978,Diagnosis_Guide!$A:$B,2,0)</f>
        <v>Spinal Injury</v>
      </c>
      <c r="AC978" s="4" t="str">
        <f>VLOOKUP(J978,Diagnosis_Guide!$A:$C,3,0)</f>
        <v>Musculoskeletal</v>
      </c>
      <c r="AD978" s="4" t="str">
        <f>VLOOKUP(R978,Insurance_Plans!$A:$C,3,0)</f>
        <v>Public</v>
      </c>
      <c r="AE978" s="13">
        <f t="shared" si="45"/>
        <v>5590</v>
      </c>
      <c r="AF978" s="13">
        <f t="shared" si="46"/>
        <v>117390</v>
      </c>
      <c r="AG978" s="4" t="str">
        <f t="shared" si="47"/>
        <v>High</v>
      </c>
    </row>
    <row r="979" spans="1:33">
      <c r="A979" t="s">
        <v>1680</v>
      </c>
      <c r="B979" t="s">
        <v>269</v>
      </c>
      <c r="C979" s="11">
        <v>46026</v>
      </c>
      <c r="D979" t="s">
        <v>419</v>
      </c>
      <c r="E979" t="s">
        <v>70</v>
      </c>
      <c r="F979" s="4">
        <v>46026</v>
      </c>
      <c r="G979" s="4">
        <v>46035</v>
      </c>
      <c r="H979" t="s">
        <v>82</v>
      </c>
      <c r="I979" t="s">
        <v>194</v>
      </c>
      <c r="J979" t="s">
        <v>156</v>
      </c>
      <c r="K979" t="s">
        <v>93</v>
      </c>
      <c r="L979" t="s">
        <v>61</v>
      </c>
      <c r="M979" s="5">
        <v>73300</v>
      </c>
      <c r="N979" s="5">
        <v>7700</v>
      </c>
      <c r="O979" s="5">
        <v>14350</v>
      </c>
      <c r="P979" s="5">
        <v>27000</v>
      </c>
      <c r="Q979" s="13">
        <v>124150</v>
      </c>
      <c r="R979" t="s">
        <v>141</v>
      </c>
      <c r="S979" t="s">
        <v>76</v>
      </c>
      <c r="T979" s="5">
        <v>19820</v>
      </c>
      <c r="U979" s="6">
        <v>3</v>
      </c>
      <c r="V979" t="s">
        <v>64</v>
      </c>
      <c r="W979" s="4"/>
      <c r="X979" t="s">
        <v>65</v>
      </c>
      <c r="Y979" t="s">
        <v>64</v>
      </c>
      <c r="Z979" t="s">
        <v>78</v>
      </c>
      <c r="AA979" t="str">
        <f>VLOOKUP(H979,Departments!$A:$B,2,0)</f>
        <v>Orthopedics</v>
      </c>
      <c r="AB979" t="str">
        <f>VLOOKUP(J979,Diagnosis_Guide!$A:$B,2,0)</f>
        <v>Spinal Injury</v>
      </c>
      <c r="AC979" s="4" t="str">
        <f>VLOOKUP(J979,Diagnosis_Guide!$A:$C,3,0)</f>
        <v>Musculoskeletal</v>
      </c>
      <c r="AD979" s="4" t="str">
        <f>VLOOKUP(R979,Insurance_Plans!$A:$C,3,0)</f>
        <v>Private</v>
      </c>
      <c r="AE979" s="13">
        <f t="shared" si="45"/>
        <v>6207.5</v>
      </c>
      <c r="AF979" s="13">
        <f t="shared" si="46"/>
        <v>130357.5</v>
      </c>
      <c r="AG979" s="4" t="str">
        <f t="shared" si="47"/>
        <v>Medium</v>
      </c>
    </row>
    <row r="980" spans="1:33">
      <c r="A980" t="s">
        <v>1681</v>
      </c>
      <c r="B980" t="s">
        <v>1682</v>
      </c>
      <c r="C980" s="11">
        <v>46113</v>
      </c>
      <c r="D980" t="s">
        <v>200</v>
      </c>
      <c r="E980" t="s">
        <v>70</v>
      </c>
      <c r="F980" s="4">
        <v>46113</v>
      </c>
      <c r="G980" s="4">
        <v>46113</v>
      </c>
      <c r="H980" t="s">
        <v>121</v>
      </c>
      <c r="I980" t="s">
        <v>174</v>
      </c>
      <c r="J980" t="s">
        <v>123</v>
      </c>
      <c r="K980" t="s">
        <v>60</v>
      </c>
      <c r="L980" t="s">
        <v>61</v>
      </c>
      <c r="M980" s="5">
        <v>46900</v>
      </c>
      <c r="N980" s="5">
        <v>7650</v>
      </c>
      <c r="O980" s="5">
        <v>5200</v>
      </c>
      <c r="P980" s="5">
        <v>0</v>
      </c>
      <c r="Q980" s="13">
        <v>61550</v>
      </c>
      <c r="R980" t="s">
        <v>95</v>
      </c>
      <c r="S980" t="s">
        <v>63</v>
      </c>
      <c r="T980" s="5">
        <v>61550</v>
      </c>
      <c r="U980" s="6">
        <v>4</v>
      </c>
      <c r="V980" t="s">
        <v>77</v>
      </c>
      <c r="W980" s="4">
        <v>46129</v>
      </c>
      <c r="X980" t="s">
        <v>77</v>
      </c>
      <c r="Y980" t="s">
        <v>64</v>
      </c>
      <c r="Z980" t="s">
        <v>96</v>
      </c>
      <c r="AA980" t="str">
        <f>VLOOKUP(H980,Departments!$A:$B,2,0)</f>
        <v>Neurology</v>
      </c>
      <c r="AB980" t="str">
        <f>VLOOKUP(J980,Diagnosis_Guide!$A:$B,2,0)</f>
        <v>Seizure Episode</v>
      </c>
      <c r="AC980" s="4" t="str">
        <f>VLOOKUP(J980,Diagnosis_Guide!$A:$C,3,0)</f>
        <v>Neurological</v>
      </c>
      <c r="AD980" s="4" t="str">
        <f>VLOOKUP(R980,Insurance_Plans!$A:$C,3,0)</f>
        <v>Self-Pay</v>
      </c>
      <c r="AE980" s="13">
        <f t="shared" si="45"/>
        <v>3077.5</v>
      </c>
      <c r="AF980" s="13">
        <f t="shared" si="46"/>
        <v>64627.5</v>
      </c>
      <c r="AG980" s="4" t="str">
        <f t="shared" si="47"/>
        <v>High</v>
      </c>
    </row>
    <row r="981" spans="1:33">
      <c r="A981" t="s">
        <v>1683</v>
      </c>
      <c r="B981" t="s">
        <v>713</v>
      </c>
      <c r="C981" s="11">
        <v>46027</v>
      </c>
      <c r="D981" t="s">
        <v>120</v>
      </c>
      <c r="E981" t="s">
        <v>338</v>
      </c>
      <c r="F981" s="4"/>
      <c r="G981" s="4"/>
      <c r="H981" t="s">
        <v>121</v>
      </c>
      <c r="I981" t="s">
        <v>122</v>
      </c>
      <c r="J981" t="s">
        <v>256</v>
      </c>
      <c r="K981" t="s">
        <v>60</v>
      </c>
      <c r="L981" t="s">
        <v>74</v>
      </c>
      <c r="M981" s="5"/>
      <c r="N981" s="5"/>
      <c r="O981" s="5"/>
      <c r="P981" s="5"/>
      <c r="R981" t="s">
        <v>95</v>
      </c>
      <c r="S981" t="s">
        <v>63</v>
      </c>
      <c r="T981" s="5"/>
      <c r="U981" s="6"/>
      <c r="V981" t="s">
        <v>64</v>
      </c>
      <c r="W981" s="4"/>
      <c r="X981" t="s">
        <v>65</v>
      </c>
      <c r="Z981" t="s">
        <v>66</v>
      </c>
      <c r="AA981" t="str">
        <f>VLOOKUP(H981,Departments!$A:$B,2,0)</f>
        <v>Neurology</v>
      </c>
      <c r="AB981" t="str">
        <f>VLOOKUP(J981,Diagnosis_Guide!$A:$B,2,0)</f>
        <v>Migraine Complication</v>
      </c>
      <c r="AC981" s="4" t="str">
        <f>VLOOKUP(J981,Diagnosis_Guide!$A:$C,3,0)</f>
        <v>Neurological</v>
      </c>
      <c r="AD981" s="4" t="str">
        <f>VLOOKUP(R981,Insurance_Plans!$A:$C,3,0)</f>
        <v>Self-Pay</v>
      </c>
      <c r="AE981" s="13" t="str">
        <f t="shared" si="45"/>
        <v/>
      </c>
      <c r="AF981" s="13" t="str">
        <f t="shared" si="46"/>
        <v/>
      </c>
      <c r="AG981" s="4" t="str">
        <f t="shared" si="47"/>
        <v>Not Available</v>
      </c>
    </row>
    <row r="982" spans="1:33">
      <c r="A982" t="s">
        <v>1684</v>
      </c>
      <c r="B982" t="s">
        <v>1685</v>
      </c>
      <c r="C982" s="11">
        <v>46132</v>
      </c>
      <c r="D982" t="s">
        <v>298</v>
      </c>
      <c r="E982" t="s">
        <v>70</v>
      </c>
      <c r="F982" s="4">
        <v>46133</v>
      </c>
      <c r="G982" s="4">
        <v>46133</v>
      </c>
      <c r="H982" t="s">
        <v>103</v>
      </c>
      <c r="I982" t="s">
        <v>104</v>
      </c>
      <c r="J982" t="s">
        <v>105</v>
      </c>
      <c r="K982" t="s">
        <v>60</v>
      </c>
      <c r="L982" t="s">
        <v>74</v>
      </c>
      <c r="M982" s="5">
        <v>53100</v>
      </c>
      <c r="N982" s="5">
        <v>7700</v>
      </c>
      <c r="O982" s="5">
        <v>7150</v>
      </c>
      <c r="P982" s="5">
        <v>0</v>
      </c>
      <c r="Q982" s="13">
        <v>69750</v>
      </c>
      <c r="R982" t="s">
        <v>95</v>
      </c>
      <c r="S982" t="s">
        <v>63</v>
      </c>
      <c r="T982" s="5">
        <v>69750</v>
      </c>
      <c r="U982" s="6">
        <v>5</v>
      </c>
      <c r="V982" t="s">
        <v>77</v>
      </c>
      <c r="W982" s="4">
        <v>46144</v>
      </c>
      <c r="X982" t="s">
        <v>77</v>
      </c>
      <c r="Y982" t="s">
        <v>64</v>
      </c>
      <c r="Z982" t="s">
        <v>78</v>
      </c>
      <c r="AA982" t="str">
        <f>VLOOKUP(H982,Departments!$A:$B,2,0)</f>
        <v>Nephrology</v>
      </c>
      <c r="AB982" t="str">
        <f>VLOOKUP(J982,Diagnosis_Guide!$A:$B,2,0)</f>
        <v>Dialysis Complication</v>
      </c>
      <c r="AC982" s="4" t="str">
        <f>VLOOKUP(J982,Diagnosis_Guide!$A:$C,3,0)</f>
        <v>Renal</v>
      </c>
      <c r="AD982" s="4" t="str">
        <f>VLOOKUP(R982,Insurance_Plans!$A:$C,3,0)</f>
        <v>Self-Pay</v>
      </c>
      <c r="AE982" s="13">
        <f t="shared" si="45"/>
        <v>3487.5</v>
      </c>
      <c r="AF982" s="13">
        <f t="shared" si="46"/>
        <v>73237.5</v>
      </c>
      <c r="AG982" s="4" t="str">
        <f t="shared" si="47"/>
        <v>High</v>
      </c>
    </row>
    <row r="983" spans="1:33">
      <c r="A983" t="s">
        <v>1686</v>
      </c>
      <c r="B983" t="s">
        <v>1200</v>
      </c>
      <c r="C983" s="11">
        <v>46030</v>
      </c>
      <c r="D983" t="s">
        <v>173</v>
      </c>
      <c r="E983" t="s">
        <v>56</v>
      </c>
      <c r="F983" s="4"/>
      <c r="G983" s="4"/>
      <c r="H983" t="s">
        <v>82</v>
      </c>
      <c r="I983" t="s">
        <v>83</v>
      </c>
      <c r="J983" t="s">
        <v>291</v>
      </c>
      <c r="K983" t="s">
        <v>60</v>
      </c>
      <c r="L983" t="s">
        <v>74</v>
      </c>
      <c r="M983" s="5"/>
      <c r="N983" s="5"/>
      <c r="O983" s="5"/>
      <c r="P983" s="5"/>
      <c r="R983" t="s">
        <v>134</v>
      </c>
      <c r="S983" t="s">
        <v>63</v>
      </c>
      <c r="T983" s="5"/>
      <c r="U983" s="6"/>
      <c r="V983" t="s">
        <v>64</v>
      </c>
      <c r="W983" s="4"/>
      <c r="X983" t="s">
        <v>65</v>
      </c>
      <c r="Z983" t="s">
        <v>66</v>
      </c>
      <c r="AA983" t="str">
        <f>VLOOKUP(H983,Departments!$A:$B,2,0)</f>
        <v>Orthopedics</v>
      </c>
      <c r="AB983" t="str">
        <f>VLOOKUP(J983,Diagnosis_Guide!$A:$B,2,0)</f>
        <v>Fracture Repair</v>
      </c>
      <c r="AC983" s="4" t="str">
        <f>VLOOKUP(J983,Diagnosis_Guide!$A:$C,3,0)</f>
        <v>Musculoskeletal</v>
      </c>
      <c r="AD983" s="4" t="str">
        <f>VLOOKUP(R983,Insurance_Plans!$A:$C,3,0)</f>
        <v>Community</v>
      </c>
      <c r="AE983" s="13" t="str">
        <f t="shared" si="45"/>
        <v/>
      </c>
      <c r="AF983" s="13" t="str">
        <f t="shared" si="46"/>
        <v/>
      </c>
      <c r="AG983" s="4" t="str">
        <f t="shared" si="47"/>
        <v>Not Available</v>
      </c>
    </row>
    <row r="984" spans="1:33">
      <c r="A984" t="s">
        <v>1687</v>
      </c>
      <c r="B984" t="s">
        <v>1237</v>
      </c>
      <c r="C984" s="11">
        <v>46143</v>
      </c>
      <c r="D984" t="s">
        <v>206</v>
      </c>
      <c r="E984" t="s">
        <v>70</v>
      </c>
      <c r="F984" s="4">
        <v>46143</v>
      </c>
      <c r="G984" s="4">
        <v>46149</v>
      </c>
      <c r="H984" t="s">
        <v>57</v>
      </c>
      <c r="I984" t="s">
        <v>211</v>
      </c>
      <c r="J984" t="s">
        <v>59</v>
      </c>
      <c r="K984" t="s">
        <v>124</v>
      </c>
      <c r="L984" t="s">
        <v>61</v>
      </c>
      <c r="M984" s="5">
        <v>44000</v>
      </c>
      <c r="N984" s="5">
        <v>4700</v>
      </c>
      <c r="O984" s="5">
        <v>7450</v>
      </c>
      <c r="P984" s="5">
        <v>15000</v>
      </c>
      <c r="Q984" s="13">
        <v>73150</v>
      </c>
      <c r="R984" t="s">
        <v>95</v>
      </c>
      <c r="S984" t="s">
        <v>63</v>
      </c>
      <c r="T984" s="5">
        <v>73150</v>
      </c>
      <c r="U984" s="6">
        <v>2</v>
      </c>
      <c r="V984" t="s">
        <v>77</v>
      </c>
      <c r="W984" s="4">
        <v>46168</v>
      </c>
      <c r="X984" t="s">
        <v>64</v>
      </c>
      <c r="Y984" t="s">
        <v>64</v>
      </c>
      <c r="Z984" t="s">
        <v>78</v>
      </c>
      <c r="AA984" t="str">
        <f>VLOOKUP(H984,Departments!$A:$B,2,0)</f>
        <v>Pulmonology</v>
      </c>
      <c r="AB984" t="str">
        <f>VLOOKUP(J984,Diagnosis_Guide!$A:$B,2,0)</f>
        <v>Pneumonia</v>
      </c>
      <c r="AC984" s="4" t="str">
        <f>VLOOKUP(J984,Diagnosis_Guide!$A:$C,3,0)</f>
        <v>Respiratory</v>
      </c>
      <c r="AD984" s="4" t="str">
        <f>VLOOKUP(R984,Insurance_Plans!$A:$C,3,0)</f>
        <v>Self-Pay</v>
      </c>
      <c r="AE984" s="13">
        <f t="shared" si="45"/>
        <v>3657.5</v>
      </c>
      <c r="AF984" s="13">
        <f t="shared" si="46"/>
        <v>76807.5</v>
      </c>
      <c r="AG984" s="4" t="str">
        <f t="shared" si="47"/>
        <v>Low</v>
      </c>
    </row>
    <row r="985" spans="1:33">
      <c r="A985" t="s">
        <v>1688</v>
      </c>
      <c r="B985" t="s">
        <v>609</v>
      </c>
      <c r="C985" s="11">
        <v>46155</v>
      </c>
      <c r="D985" t="s">
        <v>99</v>
      </c>
      <c r="E985" t="s">
        <v>70</v>
      </c>
      <c r="F985" s="4">
        <v>46155</v>
      </c>
      <c r="G985" s="4">
        <v>46155</v>
      </c>
      <c r="H985" t="s">
        <v>150</v>
      </c>
      <c r="I985" t="s">
        <v>151</v>
      </c>
      <c r="J985" t="s">
        <v>229</v>
      </c>
      <c r="K985" t="s">
        <v>60</v>
      </c>
      <c r="L985" t="s">
        <v>61</v>
      </c>
      <c r="M985" s="5">
        <v>53400</v>
      </c>
      <c r="N985" s="5">
        <v>6450</v>
      </c>
      <c r="O985" s="5">
        <v>9950</v>
      </c>
      <c r="P985" s="5">
        <v>0</v>
      </c>
      <c r="Q985" s="13">
        <v>72300</v>
      </c>
      <c r="R985" t="s">
        <v>95</v>
      </c>
      <c r="S985" t="s">
        <v>63</v>
      </c>
      <c r="T985" s="5">
        <v>72300</v>
      </c>
      <c r="U985" s="6">
        <v>2</v>
      </c>
      <c r="V985" t="s">
        <v>77</v>
      </c>
      <c r="W985" s="4">
        <v>46173</v>
      </c>
      <c r="X985" t="s">
        <v>64</v>
      </c>
      <c r="Y985" t="s">
        <v>77</v>
      </c>
      <c r="Z985" t="s">
        <v>96</v>
      </c>
      <c r="AA985" t="str">
        <f>VLOOKUP(H985,Departments!$A:$B,2,0)</f>
        <v>Obstetrics</v>
      </c>
      <c r="AB985" t="str">
        <f>VLOOKUP(J985,Diagnosis_Guide!$A:$B,2,0)</f>
        <v>Delivery Care</v>
      </c>
      <c r="AC985" s="4" t="str">
        <f>VLOOKUP(J985,Diagnosis_Guide!$A:$C,3,0)</f>
        <v>Maternal Health</v>
      </c>
      <c r="AD985" s="4" t="str">
        <f>VLOOKUP(R985,Insurance_Plans!$A:$C,3,0)</f>
        <v>Self-Pay</v>
      </c>
      <c r="AE985" s="13">
        <f t="shared" si="45"/>
        <v>3615</v>
      </c>
      <c r="AF985" s="13">
        <f t="shared" si="46"/>
        <v>75915</v>
      </c>
      <c r="AG985" s="4" t="str">
        <f t="shared" si="47"/>
        <v>Low</v>
      </c>
    </row>
    <row r="986" spans="1:33">
      <c r="A986" t="s">
        <v>1689</v>
      </c>
      <c r="B986" t="s">
        <v>403</v>
      </c>
      <c r="C986" s="11">
        <v>46151</v>
      </c>
      <c r="D986" t="s">
        <v>469</v>
      </c>
      <c r="E986" t="s">
        <v>177</v>
      </c>
      <c r="F986" s="4"/>
      <c r="G986" s="4"/>
      <c r="H986" t="s">
        <v>201</v>
      </c>
      <c r="I986" t="s">
        <v>327</v>
      </c>
      <c r="J986" t="s">
        <v>295</v>
      </c>
      <c r="K986" t="s">
        <v>124</v>
      </c>
      <c r="L986" t="s">
        <v>61</v>
      </c>
      <c r="M986" s="5"/>
      <c r="N986" s="5"/>
      <c r="O986" s="5"/>
      <c r="P986" s="5"/>
      <c r="R986" t="s">
        <v>141</v>
      </c>
      <c r="S986" t="s">
        <v>63</v>
      </c>
      <c r="T986" s="5"/>
      <c r="U986" s="6"/>
      <c r="V986" t="s">
        <v>64</v>
      </c>
      <c r="W986" s="4"/>
      <c r="X986" t="s">
        <v>65</v>
      </c>
      <c r="Z986" t="s">
        <v>66</v>
      </c>
      <c r="AA986" t="str">
        <f>VLOOKUP(H986,Departments!$A:$B,2,0)</f>
        <v>Emergency</v>
      </c>
      <c r="AB986" t="str">
        <f>VLOOKUP(J986,Diagnosis_Guide!$A:$B,2,0)</f>
        <v>Accident Injury</v>
      </c>
      <c r="AC986" s="4" t="str">
        <f>VLOOKUP(J986,Diagnosis_Guide!$A:$C,3,0)</f>
        <v>Emergency</v>
      </c>
      <c r="AD986" s="4" t="str">
        <f>VLOOKUP(R986,Insurance_Plans!$A:$C,3,0)</f>
        <v>Private</v>
      </c>
      <c r="AE986" s="13" t="str">
        <f t="shared" si="45"/>
        <v/>
      </c>
      <c r="AF986" s="13" t="str">
        <f t="shared" si="46"/>
        <v/>
      </c>
      <c r="AG986" s="4" t="str">
        <f t="shared" si="47"/>
        <v>Not Available</v>
      </c>
    </row>
    <row r="987" spans="1:33">
      <c r="A987" t="s">
        <v>1690</v>
      </c>
      <c r="B987" t="s">
        <v>1515</v>
      </c>
      <c r="C987" s="11">
        <v>46101</v>
      </c>
      <c r="D987" t="s">
        <v>266</v>
      </c>
      <c r="E987" t="s">
        <v>70</v>
      </c>
      <c r="F987" s="4">
        <v>46101</v>
      </c>
      <c r="G987" s="4">
        <v>46103</v>
      </c>
      <c r="H987" t="s">
        <v>201</v>
      </c>
      <c r="I987" t="s">
        <v>515</v>
      </c>
      <c r="J987" t="s">
        <v>281</v>
      </c>
      <c r="K987" t="s">
        <v>73</v>
      </c>
      <c r="L987" t="s">
        <v>61</v>
      </c>
      <c r="M987" s="5">
        <v>5400</v>
      </c>
      <c r="N987" s="5">
        <v>600</v>
      </c>
      <c r="O987" s="5">
        <v>650</v>
      </c>
      <c r="P987" s="5">
        <v>7000</v>
      </c>
      <c r="Q987" s="13">
        <v>14850</v>
      </c>
      <c r="R987" t="s">
        <v>106</v>
      </c>
      <c r="S987" t="s">
        <v>76</v>
      </c>
      <c r="T987" s="5">
        <v>5900</v>
      </c>
      <c r="U987" s="6">
        <v>5</v>
      </c>
      <c r="V987" t="s">
        <v>64</v>
      </c>
      <c r="W987" s="4"/>
      <c r="X987" t="s">
        <v>65</v>
      </c>
      <c r="Y987" t="s">
        <v>64</v>
      </c>
      <c r="Z987" t="s">
        <v>96</v>
      </c>
      <c r="AA987" t="str">
        <f>VLOOKUP(H987,Departments!$A:$B,2,0)</f>
        <v>Emergency</v>
      </c>
      <c r="AB987" t="str">
        <f>VLOOKUP(J987,Diagnosis_Guide!$A:$B,2,0)</f>
        <v>Food Poisoning</v>
      </c>
      <c r="AC987" s="4" t="str">
        <f>VLOOKUP(J987,Diagnosis_Guide!$A:$C,3,0)</f>
        <v>Emergency</v>
      </c>
      <c r="AD987" s="4" t="str">
        <f>VLOOKUP(R987,Insurance_Plans!$A:$C,3,0)</f>
        <v>Private</v>
      </c>
      <c r="AE987" s="13">
        <f t="shared" si="45"/>
        <v>742.5</v>
      </c>
      <c r="AF987" s="13">
        <f t="shared" si="46"/>
        <v>15592.5</v>
      </c>
      <c r="AG987" s="4" t="str">
        <f t="shared" si="47"/>
        <v>High</v>
      </c>
    </row>
    <row r="988" spans="1:33">
      <c r="A988" t="s">
        <v>1691</v>
      </c>
      <c r="B988" t="s">
        <v>786</v>
      </c>
      <c r="C988" s="11">
        <v>46028</v>
      </c>
      <c r="D988" t="s">
        <v>200</v>
      </c>
      <c r="E988" t="s">
        <v>314</v>
      </c>
      <c r="F988" s="4"/>
      <c r="G988" s="4"/>
      <c r="H988" t="s">
        <v>138</v>
      </c>
      <c r="I988" t="s">
        <v>260</v>
      </c>
      <c r="J988" t="s">
        <v>140</v>
      </c>
      <c r="K988" t="s">
        <v>124</v>
      </c>
      <c r="L988" t="s">
        <v>61</v>
      </c>
      <c r="M988" s="5"/>
      <c r="N988" s="5"/>
      <c r="O988" s="5"/>
      <c r="P988" s="5"/>
      <c r="R988" t="s">
        <v>134</v>
      </c>
      <c r="S988" t="s">
        <v>63</v>
      </c>
      <c r="T988" s="5"/>
      <c r="U988" s="6"/>
      <c r="V988" t="s">
        <v>64</v>
      </c>
      <c r="W988" s="4"/>
      <c r="X988" t="s">
        <v>65</v>
      </c>
      <c r="Z988" t="s">
        <v>66</v>
      </c>
      <c r="AA988" t="str">
        <f>VLOOKUP(H988,Departments!$A:$B,2,0)</f>
        <v>Pediatrics</v>
      </c>
      <c r="AB988" t="str">
        <f>VLOOKUP(J988,Diagnosis_Guide!$A:$B,2,0)</f>
        <v>Pediatric Asthma</v>
      </c>
      <c r="AC988" s="4" t="str">
        <f>VLOOKUP(J988,Diagnosis_Guide!$A:$C,3,0)</f>
        <v>Pediatric</v>
      </c>
      <c r="AD988" s="4" t="str">
        <f>VLOOKUP(R988,Insurance_Plans!$A:$C,3,0)</f>
        <v>Community</v>
      </c>
      <c r="AE988" s="13" t="str">
        <f t="shared" si="45"/>
        <v/>
      </c>
      <c r="AF988" s="13" t="str">
        <f t="shared" si="46"/>
        <v/>
      </c>
      <c r="AG988" s="4" t="str">
        <f t="shared" si="47"/>
        <v>Not Available</v>
      </c>
    </row>
    <row r="989" spans="1:33">
      <c r="A989" t="s">
        <v>1692</v>
      </c>
      <c r="B989" t="s">
        <v>1693</v>
      </c>
      <c r="C989" s="11">
        <v>46133</v>
      </c>
      <c r="D989" t="s">
        <v>294</v>
      </c>
      <c r="E989" t="s">
        <v>191</v>
      </c>
      <c r="F989" s="4"/>
      <c r="G989" s="4"/>
      <c r="H989" t="s">
        <v>121</v>
      </c>
      <c r="I989" t="s">
        <v>665</v>
      </c>
      <c r="J989" t="s">
        <v>256</v>
      </c>
      <c r="K989" t="s">
        <v>60</v>
      </c>
      <c r="L989" t="s">
        <v>94</v>
      </c>
      <c r="M989" s="5"/>
      <c r="N989" s="5"/>
      <c r="O989" s="5"/>
      <c r="P989" s="5"/>
      <c r="R989" t="s">
        <v>62</v>
      </c>
      <c r="S989" t="s">
        <v>63</v>
      </c>
      <c r="T989" s="5"/>
      <c r="U989" s="6"/>
      <c r="V989" t="s">
        <v>64</v>
      </c>
      <c r="W989" s="4"/>
      <c r="X989" t="s">
        <v>65</v>
      </c>
      <c r="Z989" t="s">
        <v>66</v>
      </c>
      <c r="AA989" t="str">
        <f>VLOOKUP(H989,Departments!$A:$B,2,0)</f>
        <v>Neurology</v>
      </c>
      <c r="AB989" t="str">
        <f>VLOOKUP(J989,Diagnosis_Guide!$A:$B,2,0)</f>
        <v>Migraine Complication</v>
      </c>
      <c r="AC989" s="4" t="str">
        <f>VLOOKUP(J989,Diagnosis_Guide!$A:$C,3,0)</f>
        <v>Neurological</v>
      </c>
      <c r="AD989" s="4" t="str">
        <f>VLOOKUP(R989,Insurance_Plans!$A:$C,3,0)</f>
        <v>Public</v>
      </c>
      <c r="AE989" s="13" t="str">
        <f t="shared" si="45"/>
        <v/>
      </c>
      <c r="AF989" s="13" t="str">
        <f t="shared" si="46"/>
        <v/>
      </c>
      <c r="AG989" s="4" t="str">
        <f t="shared" si="47"/>
        <v>Not Available</v>
      </c>
    </row>
    <row r="990" spans="1:33">
      <c r="A990" t="s">
        <v>1694</v>
      </c>
      <c r="B990" t="s">
        <v>1695</v>
      </c>
      <c r="C990" s="11">
        <v>46069</v>
      </c>
      <c r="D990" t="s">
        <v>120</v>
      </c>
      <c r="E990" t="s">
        <v>70</v>
      </c>
      <c r="F990" s="4">
        <v>46069</v>
      </c>
      <c r="G990" s="4">
        <v>46069</v>
      </c>
      <c r="H990" t="s">
        <v>57</v>
      </c>
      <c r="I990" t="s">
        <v>184</v>
      </c>
      <c r="J990" t="s">
        <v>170</v>
      </c>
      <c r="K990" t="s">
        <v>60</v>
      </c>
      <c r="L990" t="s">
        <v>74</v>
      </c>
      <c r="M990" s="5">
        <v>65700</v>
      </c>
      <c r="N990" s="5">
        <v>5850</v>
      </c>
      <c r="O990" s="5">
        <v>13300</v>
      </c>
      <c r="P990" s="5">
        <v>0</v>
      </c>
      <c r="Q990" s="13">
        <v>86050</v>
      </c>
      <c r="R990" t="s">
        <v>95</v>
      </c>
      <c r="S990" t="s">
        <v>63</v>
      </c>
      <c r="T990" s="5">
        <v>86050</v>
      </c>
      <c r="U990" s="6">
        <v>4</v>
      </c>
      <c r="V990" t="s">
        <v>64</v>
      </c>
      <c r="W990" s="4"/>
      <c r="X990" t="s">
        <v>65</v>
      </c>
      <c r="Y990" t="s">
        <v>64</v>
      </c>
      <c r="Z990" t="s">
        <v>78</v>
      </c>
      <c r="AA990" t="str">
        <f>VLOOKUP(H990,Departments!$A:$B,2,0)</f>
        <v>Pulmonology</v>
      </c>
      <c r="AB990" t="str">
        <f>VLOOKUP(J990,Diagnosis_Guide!$A:$B,2,0)</f>
        <v>COPD Exacerbation</v>
      </c>
      <c r="AC990" s="4" t="str">
        <f>VLOOKUP(J990,Diagnosis_Guide!$A:$C,3,0)</f>
        <v>Respiratory</v>
      </c>
      <c r="AD990" s="4" t="str">
        <f>VLOOKUP(R990,Insurance_Plans!$A:$C,3,0)</f>
        <v>Self-Pay</v>
      </c>
      <c r="AE990" s="13">
        <f t="shared" si="45"/>
        <v>4302.5</v>
      </c>
      <c r="AF990" s="13">
        <f t="shared" si="46"/>
        <v>90352.5</v>
      </c>
      <c r="AG990" s="4" t="str">
        <f t="shared" si="47"/>
        <v>High</v>
      </c>
    </row>
    <row r="991" spans="1:33">
      <c r="A991" t="s">
        <v>1696</v>
      </c>
      <c r="B991" t="s">
        <v>1697</v>
      </c>
      <c r="C991" s="11">
        <v>46023</v>
      </c>
      <c r="D991" t="s">
        <v>337</v>
      </c>
      <c r="E991" t="s">
        <v>177</v>
      </c>
      <c r="F991" s="4"/>
      <c r="G991" s="4"/>
      <c r="H991" t="s">
        <v>121</v>
      </c>
      <c r="I991" t="s">
        <v>174</v>
      </c>
      <c r="J991" t="s">
        <v>256</v>
      </c>
      <c r="K991" t="s">
        <v>73</v>
      </c>
      <c r="L991" t="s">
        <v>94</v>
      </c>
      <c r="M991" s="5"/>
      <c r="N991" s="5"/>
      <c r="O991" s="5"/>
      <c r="P991" s="5"/>
      <c r="R991" t="s">
        <v>75</v>
      </c>
      <c r="S991" t="s">
        <v>63</v>
      </c>
      <c r="T991" s="5"/>
      <c r="U991" s="6"/>
      <c r="V991" t="s">
        <v>64</v>
      </c>
      <c r="W991" s="4"/>
      <c r="X991" t="s">
        <v>65</v>
      </c>
      <c r="Z991" t="s">
        <v>66</v>
      </c>
      <c r="AA991" t="str">
        <f>VLOOKUP(H991,Departments!$A:$B,2,0)</f>
        <v>Neurology</v>
      </c>
      <c r="AB991" t="str">
        <f>VLOOKUP(J991,Diagnosis_Guide!$A:$B,2,0)</f>
        <v>Migraine Complication</v>
      </c>
      <c r="AC991" s="4" t="str">
        <f>VLOOKUP(J991,Diagnosis_Guide!$A:$C,3,0)</f>
        <v>Neurological</v>
      </c>
      <c r="AD991" s="4" t="str">
        <f>VLOOKUP(R991,Insurance_Plans!$A:$C,3,0)</f>
        <v>Public</v>
      </c>
      <c r="AE991" s="13" t="str">
        <f t="shared" si="45"/>
        <v/>
      </c>
      <c r="AF991" s="13" t="str">
        <f t="shared" si="46"/>
        <v/>
      </c>
      <c r="AG991" s="4" t="str">
        <f t="shared" si="47"/>
        <v>Not Available</v>
      </c>
    </row>
    <row r="992" spans="1:33">
      <c r="A992" t="s">
        <v>1698</v>
      </c>
      <c r="B992" t="s">
        <v>1699</v>
      </c>
      <c r="C992" s="11">
        <v>46065</v>
      </c>
      <c r="D992" t="s">
        <v>217</v>
      </c>
      <c r="E992" t="s">
        <v>70</v>
      </c>
      <c r="F992" s="4">
        <v>46066</v>
      </c>
      <c r="G992" s="4">
        <v>46073</v>
      </c>
      <c r="H992" t="s">
        <v>201</v>
      </c>
      <c r="I992" t="s">
        <v>515</v>
      </c>
      <c r="J992" t="s">
        <v>203</v>
      </c>
      <c r="K992" t="s">
        <v>124</v>
      </c>
      <c r="L992" t="s">
        <v>94</v>
      </c>
      <c r="M992" s="5">
        <v>34700</v>
      </c>
      <c r="N992" s="5">
        <v>5350</v>
      </c>
      <c r="O992" s="5">
        <v>4150</v>
      </c>
      <c r="P992" s="5">
        <v>42000</v>
      </c>
      <c r="Q992" s="13">
        <v>87400</v>
      </c>
      <c r="R992" t="s">
        <v>85</v>
      </c>
      <c r="S992" t="s">
        <v>86</v>
      </c>
      <c r="T992" s="5">
        <v>22750</v>
      </c>
      <c r="U992" s="6">
        <v>3</v>
      </c>
      <c r="V992" t="s">
        <v>77</v>
      </c>
      <c r="W992" s="4">
        <v>46091</v>
      </c>
      <c r="X992" t="s">
        <v>77</v>
      </c>
      <c r="Y992" t="s">
        <v>64</v>
      </c>
      <c r="Z992" t="s">
        <v>107</v>
      </c>
      <c r="AA992" t="str">
        <f>VLOOKUP(H992,Departments!$A:$B,2,0)</f>
        <v>Emergency</v>
      </c>
      <c r="AB992" t="str">
        <f>VLOOKUP(J992,Diagnosis_Guide!$A:$B,2,0)</f>
        <v>Trauma Observation</v>
      </c>
      <c r="AC992" s="4" t="str">
        <f>VLOOKUP(J992,Diagnosis_Guide!$A:$C,3,0)</f>
        <v>Emergency</v>
      </c>
      <c r="AD992" s="4" t="str">
        <f>VLOOKUP(R992,Insurance_Plans!$A:$C,3,0)</f>
        <v>Employer</v>
      </c>
      <c r="AE992" s="13">
        <f t="shared" si="45"/>
        <v>4370</v>
      </c>
      <c r="AF992" s="13">
        <f t="shared" si="46"/>
        <v>91770</v>
      </c>
      <c r="AG992" s="4" t="str">
        <f t="shared" si="47"/>
        <v>Medium</v>
      </c>
    </row>
    <row r="993" spans="1:33">
      <c r="A993" t="s">
        <v>1700</v>
      </c>
      <c r="B993" t="s">
        <v>468</v>
      </c>
      <c r="C993" s="11">
        <v>46145</v>
      </c>
      <c r="D993" t="s">
        <v>279</v>
      </c>
      <c r="E993" t="s">
        <v>70</v>
      </c>
      <c r="F993" s="4">
        <v>46146</v>
      </c>
      <c r="G993" s="4">
        <v>46153</v>
      </c>
      <c r="H993" t="s">
        <v>103</v>
      </c>
      <c r="I993" t="s">
        <v>412</v>
      </c>
      <c r="J993" t="s">
        <v>244</v>
      </c>
      <c r="K993" t="s">
        <v>73</v>
      </c>
      <c r="L993" t="s">
        <v>94</v>
      </c>
      <c r="M993" s="5">
        <v>82500</v>
      </c>
      <c r="N993" s="5">
        <v>13650</v>
      </c>
      <c r="O993" s="5">
        <v>11000</v>
      </c>
      <c r="P993" s="5">
        <v>42000</v>
      </c>
      <c r="Q993" s="13">
        <v>150350</v>
      </c>
      <c r="R993" t="s">
        <v>85</v>
      </c>
      <c r="S993" t="s">
        <v>76</v>
      </c>
      <c r="T993" s="5">
        <v>38490</v>
      </c>
      <c r="U993" s="6">
        <v>4</v>
      </c>
      <c r="V993" t="s">
        <v>64</v>
      </c>
      <c r="W993" s="4"/>
      <c r="X993" t="s">
        <v>65</v>
      </c>
      <c r="Y993" t="s">
        <v>64</v>
      </c>
      <c r="Z993" t="s">
        <v>78</v>
      </c>
      <c r="AA993" t="str">
        <f>VLOOKUP(H993,Departments!$A:$B,2,0)</f>
        <v>Nephrology</v>
      </c>
      <c r="AB993" t="str">
        <f>VLOOKUP(J993,Diagnosis_Guide!$A:$B,2,0)</f>
        <v>Chronic Kidney Disease</v>
      </c>
      <c r="AC993" s="4" t="str">
        <f>VLOOKUP(J993,Diagnosis_Guide!$A:$C,3,0)</f>
        <v>Renal</v>
      </c>
      <c r="AD993" s="4" t="str">
        <f>VLOOKUP(R993,Insurance_Plans!$A:$C,3,0)</f>
        <v>Employer</v>
      </c>
      <c r="AE993" s="13">
        <f t="shared" si="45"/>
        <v>7517.5</v>
      </c>
      <c r="AF993" s="13">
        <f t="shared" si="46"/>
        <v>157867.5</v>
      </c>
      <c r="AG993" s="4" t="str">
        <f t="shared" si="47"/>
        <v>High</v>
      </c>
    </row>
    <row r="994" spans="1:33">
      <c r="A994" t="s">
        <v>1701</v>
      </c>
      <c r="B994" t="s">
        <v>1702</v>
      </c>
      <c r="C994" s="11">
        <v>46162</v>
      </c>
      <c r="D994" t="s">
        <v>161</v>
      </c>
      <c r="E994" t="s">
        <v>177</v>
      </c>
      <c r="F994" s="4"/>
      <c r="G994" s="4"/>
      <c r="H994" t="s">
        <v>138</v>
      </c>
      <c r="I994" t="s">
        <v>343</v>
      </c>
      <c r="J994" t="s">
        <v>140</v>
      </c>
      <c r="K994" t="s">
        <v>73</v>
      </c>
      <c r="L994" t="s">
        <v>94</v>
      </c>
      <c r="M994" s="5"/>
      <c r="N994" s="5"/>
      <c r="O994" s="5"/>
      <c r="P994" s="5"/>
      <c r="R994" t="s">
        <v>75</v>
      </c>
      <c r="S994" t="s">
        <v>63</v>
      </c>
      <c r="T994" s="5"/>
      <c r="U994" s="6"/>
      <c r="V994" t="s">
        <v>64</v>
      </c>
      <c r="W994" s="4"/>
      <c r="X994" t="s">
        <v>65</v>
      </c>
      <c r="Z994" t="s">
        <v>66</v>
      </c>
      <c r="AA994" t="str">
        <f>VLOOKUP(H994,Departments!$A:$B,2,0)</f>
        <v>Pediatrics</v>
      </c>
      <c r="AB994" t="str">
        <f>VLOOKUP(J994,Diagnosis_Guide!$A:$B,2,0)</f>
        <v>Pediatric Asthma</v>
      </c>
      <c r="AC994" s="4" t="str">
        <f>VLOOKUP(J994,Diagnosis_Guide!$A:$C,3,0)</f>
        <v>Pediatric</v>
      </c>
      <c r="AD994" s="4" t="str">
        <f>VLOOKUP(R994,Insurance_Plans!$A:$C,3,0)</f>
        <v>Public</v>
      </c>
      <c r="AE994" s="13" t="str">
        <f t="shared" si="45"/>
        <v/>
      </c>
      <c r="AF994" s="13" t="str">
        <f t="shared" si="46"/>
        <v/>
      </c>
      <c r="AG994" s="4" t="str">
        <f t="shared" si="47"/>
        <v>Not Available</v>
      </c>
    </row>
    <row r="995" spans="1:33">
      <c r="A995" t="s">
        <v>1703</v>
      </c>
      <c r="B995" t="s">
        <v>826</v>
      </c>
      <c r="C995" s="11">
        <v>46143</v>
      </c>
      <c r="D995" t="s">
        <v>363</v>
      </c>
      <c r="E995" t="s">
        <v>70</v>
      </c>
      <c r="F995" s="4">
        <v>46143</v>
      </c>
      <c r="G995" s="4">
        <v>46146</v>
      </c>
      <c r="H995" t="s">
        <v>90</v>
      </c>
      <c r="I995" t="s">
        <v>388</v>
      </c>
      <c r="J995" t="s">
        <v>197</v>
      </c>
      <c r="K995" t="s">
        <v>73</v>
      </c>
      <c r="L995" t="s">
        <v>146</v>
      </c>
      <c r="M995" s="5">
        <v>25200</v>
      </c>
      <c r="N995" s="5">
        <v>3650</v>
      </c>
      <c r="O995" s="5">
        <v>3500</v>
      </c>
      <c r="P995" s="5">
        <v>10500</v>
      </c>
      <c r="Q995" s="13">
        <v>44350</v>
      </c>
      <c r="R995" t="s">
        <v>106</v>
      </c>
      <c r="S995" t="s">
        <v>86</v>
      </c>
      <c r="T995" s="5">
        <v>16220</v>
      </c>
      <c r="U995" s="6">
        <v>4</v>
      </c>
      <c r="V995" t="s">
        <v>77</v>
      </c>
      <c r="W995" s="4">
        <v>46159</v>
      </c>
      <c r="X995" t="s">
        <v>77</v>
      </c>
      <c r="Y995" t="s">
        <v>64</v>
      </c>
      <c r="Z995" t="s">
        <v>78</v>
      </c>
      <c r="AA995" t="str">
        <f>VLOOKUP(H995,Departments!$A:$B,2,0)</f>
        <v>Cardiology</v>
      </c>
      <c r="AB995" t="str">
        <f>VLOOKUP(J995,Diagnosis_Guide!$A:$B,2,0)</f>
        <v>Chest Pain</v>
      </c>
      <c r="AC995" s="4" t="str">
        <f>VLOOKUP(J995,Diagnosis_Guide!$A:$C,3,0)</f>
        <v>Cardiovascular</v>
      </c>
      <c r="AD995" s="4" t="str">
        <f>VLOOKUP(R995,Insurance_Plans!$A:$C,3,0)</f>
        <v>Private</v>
      </c>
      <c r="AE995" s="13">
        <f t="shared" si="45"/>
        <v>2217.5</v>
      </c>
      <c r="AF995" s="13">
        <f t="shared" si="46"/>
        <v>46567.5</v>
      </c>
      <c r="AG995" s="4" t="str">
        <f t="shared" si="47"/>
        <v>High</v>
      </c>
    </row>
    <row r="996" spans="1:33">
      <c r="A996" t="s">
        <v>1704</v>
      </c>
      <c r="B996" t="s">
        <v>851</v>
      </c>
      <c r="C996" s="11">
        <v>46050</v>
      </c>
      <c r="D996" t="s">
        <v>439</v>
      </c>
      <c r="E996" t="s">
        <v>56</v>
      </c>
      <c r="F996" s="4"/>
      <c r="G996" s="4"/>
      <c r="H996" t="s">
        <v>150</v>
      </c>
      <c r="I996" t="s">
        <v>239</v>
      </c>
      <c r="J996" t="s">
        <v>188</v>
      </c>
      <c r="K996" t="s">
        <v>60</v>
      </c>
      <c r="L996" t="s">
        <v>94</v>
      </c>
      <c r="M996" s="5"/>
      <c r="N996" s="5"/>
      <c r="O996" s="5"/>
      <c r="P996" s="5"/>
      <c r="R996" t="s">
        <v>95</v>
      </c>
      <c r="S996" t="s">
        <v>63</v>
      </c>
      <c r="T996" s="5"/>
      <c r="U996" s="6"/>
      <c r="V996" t="s">
        <v>64</v>
      </c>
      <c r="W996" s="4"/>
      <c r="X996" t="s">
        <v>65</v>
      </c>
      <c r="Z996" t="s">
        <v>66</v>
      </c>
      <c r="AA996" t="str">
        <f>VLOOKUP(H996,Departments!$A:$B,2,0)</f>
        <v>Obstetrics</v>
      </c>
      <c r="AB996" t="str">
        <f>VLOOKUP(J996,Diagnosis_Guide!$A:$B,2,0)</f>
        <v>Emergency C-Section</v>
      </c>
      <c r="AC996" s="4" t="str">
        <f>VLOOKUP(J996,Diagnosis_Guide!$A:$C,3,0)</f>
        <v>Maternal Health</v>
      </c>
      <c r="AD996" s="4" t="str">
        <f>VLOOKUP(R996,Insurance_Plans!$A:$C,3,0)</f>
        <v>Self-Pay</v>
      </c>
      <c r="AE996" s="13" t="str">
        <f t="shared" si="45"/>
        <v/>
      </c>
      <c r="AF996" s="13" t="str">
        <f t="shared" si="46"/>
        <v/>
      </c>
      <c r="AG996" s="4" t="str">
        <f t="shared" si="47"/>
        <v>Not Available</v>
      </c>
    </row>
    <row r="997" spans="1:33">
      <c r="A997" t="s">
        <v>1705</v>
      </c>
      <c r="B997" t="s">
        <v>148</v>
      </c>
      <c r="C997" s="11">
        <v>46107</v>
      </c>
      <c r="D997" t="s">
        <v>173</v>
      </c>
      <c r="E997" t="s">
        <v>70</v>
      </c>
      <c r="F997" s="4">
        <v>46107</v>
      </c>
      <c r="G997" s="4">
        <v>46109</v>
      </c>
      <c r="H997" t="s">
        <v>201</v>
      </c>
      <c r="I997" t="s">
        <v>280</v>
      </c>
      <c r="J997" t="s">
        <v>295</v>
      </c>
      <c r="K997" t="s">
        <v>73</v>
      </c>
      <c r="L997" t="s">
        <v>146</v>
      </c>
      <c r="M997" s="5">
        <v>39000</v>
      </c>
      <c r="N997" s="5">
        <v>5100</v>
      </c>
      <c r="O997" s="5">
        <v>5200</v>
      </c>
      <c r="P997" s="5">
        <v>9000</v>
      </c>
      <c r="Q997" s="13">
        <v>59300</v>
      </c>
      <c r="R997" t="s">
        <v>106</v>
      </c>
      <c r="S997" t="s">
        <v>76</v>
      </c>
      <c r="T997" s="5">
        <v>21460</v>
      </c>
      <c r="U997" s="6">
        <v>5</v>
      </c>
      <c r="V997" t="s">
        <v>77</v>
      </c>
      <c r="W997" s="4">
        <v>46123</v>
      </c>
      <c r="X997" t="s">
        <v>77</v>
      </c>
      <c r="Y997" t="s">
        <v>64</v>
      </c>
      <c r="Z997" t="s">
        <v>78</v>
      </c>
      <c r="AA997" t="str">
        <f>VLOOKUP(H997,Departments!$A:$B,2,0)</f>
        <v>Emergency</v>
      </c>
      <c r="AB997" t="str">
        <f>VLOOKUP(J997,Diagnosis_Guide!$A:$B,2,0)</f>
        <v>Accident Injury</v>
      </c>
      <c r="AC997" s="4" t="str">
        <f>VLOOKUP(J997,Diagnosis_Guide!$A:$C,3,0)</f>
        <v>Emergency</v>
      </c>
      <c r="AD997" s="4" t="str">
        <f>VLOOKUP(R997,Insurance_Plans!$A:$C,3,0)</f>
        <v>Private</v>
      </c>
      <c r="AE997" s="13">
        <f t="shared" si="45"/>
        <v>2965</v>
      </c>
      <c r="AF997" s="13">
        <f t="shared" si="46"/>
        <v>62265</v>
      </c>
      <c r="AG997" s="4" t="str">
        <f t="shared" si="47"/>
        <v>High</v>
      </c>
    </row>
    <row r="998" spans="1:33">
      <c r="A998" t="s">
        <v>1706</v>
      </c>
      <c r="B998" t="s">
        <v>962</v>
      </c>
      <c r="C998" s="11">
        <v>46142</v>
      </c>
      <c r="D998" t="s">
        <v>266</v>
      </c>
      <c r="E998" t="s">
        <v>70</v>
      </c>
      <c r="F998" s="4">
        <v>46142</v>
      </c>
      <c r="G998" s="4">
        <v>46146</v>
      </c>
      <c r="H998" t="s">
        <v>57</v>
      </c>
      <c r="I998" t="s">
        <v>100</v>
      </c>
      <c r="J998" t="s">
        <v>59</v>
      </c>
      <c r="K998" t="s">
        <v>93</v>
      </c>
      <c r="L998" t="s">
        <v>94</v>
      </c>
      <c r="M998" s="5">
        <v>45300</v>
      </c>
      <c r="N998" s="5">
        <v>6050</v>
      </c>
      <c r="O998" s="5">
        <v>7150</v>
      </c>
      <c r="P998" s="5">
        <v>12000</v>
      </c>
      <c r="Q998" s="13">
        <v>72500</v>
      </c>
      <c r="R998" t="s">
        <v>75</v>
      </c>
      <c r="S998" t="s">
        <v>76</v>
      </c>
      <c r="T998" s="5">
        <v>32920</v>
      </c>
      <c r="U998" s="6">
        <v>4</v>
      </c>
      <c r="V998" t="s">
        <v>77</v>
      </c>
      <c r="W998" s="4">
        <v>46158</v>
      </c>
      <c r="X998" t="s">
        <v>77</v>
      </c>
      <c r="Y998" t="s">
        <v>64</v>
      </c>
      <c r="Z998" t="s">
        <v>78</v>
      </c>
      <c r="AA998" t="str">
        <f>VLOOKUP(H998,Departments!$A:$B,2,0)</f>
        <v>Pulmonology</v>
      </c>
      <c r="AB998" t="str">
        <f>VLOOKUP(J998,Diagnosis_Guide!$A:$B,2,0)</f>
        <v>Pneumonia</v>
      </c>
      <c r="AC998" s="4" t="str">
        <f>VLOOKUP(J998,Diagnosis_Guide!$A:$C,3,0)</f>
        <v>Respiratory</v>
      </c>
      <c r="AD998" s="4" t="str">
        <f>VLOOKUP(R998,Insurance_Plans!$A:$C,3,0)</f>
        <v>Public</v>
      </c>
      <c r="AE998" s="13">
        <f t="shared" si="45"/>
        <v>3625</v>
      </c>
      <c r="AF998" s="13">
        <f t="shared" si="46"/>
        <v>76125</v>
      </c>
      <c r="AG998" s="4" t="str">
        <f t="shared" si="47"/>
        <v>High</v>
      </c>
    </row>
    <row r="999" spans="1:33">
      <c r="A999" t="s">
        <v>1707</v>
      </c>
      <c r="B999" t="s">
        <v>1432</v>
      </c>
      <c r="C999" s="11">
        <v>46045</v>
      </c>
      <c r="D999" t="s">
        <v>110</v>
      </c>
      <c r="E999" t="s">
        <v>70</v>
      </c>
      <c r="F999" s="4">
        <v>46045</v>
      </c>
      <c r="G999" s="4">
        <v>46046</v>
      </c>
      <c r="H999" t="s">
        <v>57</v>
      </c>
      <c r="I999" t="s">
        <v>71</v>
      </c>
      <c r="J999" t="s">
        <v>72</v>
      </c>
      <c r="K999" t="s">
        <v>60</v>
      </c>
      <c r="L999" t="s">
        <v>61</v>
      </c>
      <c r="M999" s="5">
        <v>7700</v>
      </c>
      <c r="N999" s="5">
        <v>950</v>
      </c>
      <c r="O999" s="5">
        <v>1050</v>
      </c>
      <c r="P999" s="5">
        <v>2500</v>
      </c>
      <c r="Q999" s="13">
        <v>14000</v>
      </c>
      <c r="R999" t="s">
        <v>75</v>
      </c>
      <c r="S999" t="s">
        <v>163</v>
      </c>
      <c r="T999" s="5">
        <v>6600</v>
      </c>
      <c r="U999" s="6">
        <v>5</v>
      </c>
      <c r="V999" t="s">
        <v>77</v>
      </c>
      <c r="W999" s="4">
        <v>46060</v>
      </c>
      <c r="X999" t="s">
        <v>77</v>
      </c>
      <c r="Y999" t="s">
        <v>64</v>
      </c>
      <c r="Z999" t="s">
        <v>96</v>
      </c>
      <c r="AA999" t="str">
        <f>VLOOKUP(H999,Departments!$A:$B,2,0)</f>
        <v>Pulmonology</v>
      </c>
      <c r="AB999" t="str">
        <f>VLOOKUP(J999,Diagnosis_Guide!$A:$B,2,0)</f>
        <v>Acute Bronchitis</v>
      </c>
      <c r="AC999" s="4" t="str">
        <f>VLOOKUP(J999,Diagnosis_Guide!$A:$C,3,0)</f>
        <v>Respiratory</v>
      </c>
      <c r="AD999" s="4" t="str">
        <f>VLOOKUP(R999,Insurance_Plans!$A:$C,3,0)</f>
        <v>Public</v>
      </c>
      <c r="AE999" s="13">
        <f t="shared" si="45"/>
        <v>700</v>
      </c>
      <c r="AF999" s="13">
        <f t="shared" si="46"/>
        <v>14700</v>
      </c>
      <c r="AG999" s="4" t="str">
        <f t="shared" si="47"/>
        <v>High</v>
      </c>
    </row>
    <row r="1000" spans="1:33">
      <c r="A1000" t="s">
        <v>1708</v>
      </c>
      <c r="B1000" t="s">
        <v>851</v>
      </c>
      <c r="C1000" s="11">
        <v>46061</v>
      </c>
      <c r="D1000" t="s">
        <v>225</v>
      </c>
      <c r="E1000" t="s">
        <v>70</v>
      </c>
      <c r="F1000" s="4">
        <v>46061</v>
      </c>
      <c r="G1000" s="4">
        <v>46062</v>
      </c>
      <c r="H1000" t="s">
        <v>201</v>
      </c>
      <c r="I1000" t="s">
        <v>421</v>
      </c>
      <c r="J1000" t="s">
        <v>281</v>
      </c>
      <c r="K1000" t="s">
        <v>124</v>
      </c>
      <c r="L1000" t="s">
        <v>74</v>
      </c>
      <c r="M1000" s="5">
        <v>6300</v>
      </c>
      <c r="N1000" s="5">
        <v>700</v>
      </c>
      <c r="O1000" s="5">
        <v>1050</v>
      </c>
      <c r="P1000" s="5">
        <v>4500</v>
      </c>
      <c r="Q1000" s="13">
        <v>13550</v>
      </c>
      <c r="R1000" t="s">
        <v>75</v>
      </c>
      <c r="S1000" t="s">
        <v>76</v>
      </c>
      <c r="T1000" s="5">
        <v>6400</v>
      </c>
      <c r="U1000" s="6">
        <v>5</v>
      </c>
      <c r="V1000" t="s">
        <v>64</v>
      </c>
      <c r="W1000" s="4"/>
      <c r="X1000" t="s">
        <v>65</v>
      </c>
      <c r="Y1000" t="s">
        <v>64</v>
      </c>
      <c r="Z1000" t="s">
        <v>78</v>
      </c>
      <c r="AA1000" t="str">
        <f>VLOOKUP(H1000,Departments!$A:$B,2,0)</f>
        <v>Emergency</v>
      </c>
      <c r="AB1000" t="str">
        <f>VLOOKUP(J1000,Diagnosis_Guide!$A:$B,2,0)</f>
        <v>Food Poisoning</v>
      </c>
      <c r="AC1000" s="4" t="str">
        <f>VLOOKUP(J1000,Diagnosis_Guide!$A:$C,3,0)</f>
        <v>Emergency</v>
      </c>
      <c r="AD1000" s="4" t="str">
        <f>VLOOKUP(R1000,Insurance_Plans!$A:$C,3,0)</f>
        <v>Public</v>
      </c>
      <c r="AE1000" s="13">
        <f t="shared" si="45"/>
        <v>677.5</v>
      </c>
      <c r="AF1000" s="13">
        <f t="shared" si="46"/>
        <v>14227.5</v>
      </c>
      <c r="AG1000" s="4" t="str">
        <f t="shared" si="47"/>
        <v>High</v>
      </c>
    </row>
    <row r="1001" spans="1:33">
      <c r="A1001" t="s">
        <v>1709</v>
      </c>
      <c r="B1001" t="s">
        <v>647</v>
      </c>
      <c r="C1001" s="11">
        <v>46126</v>
      </c>
      <c r="D1001" t="s">
        <v>330</v>
      </c>
      <c r="E1001" t="s">
        <v>70</v>
      </c>
      <c r="F1001" s="4">
        <v>46126</v>
      </c>
      <c r="G1001" s="4">
        <v>46126</v>
      </c>
      <c r="H1001" t="s">
        <v>138</v>
      </c>
      <c r="I1001" t="s">
        <v>235</v>
      </c>
      <c r="J1001" t="s">
        <v>140</v>
      </c>
      <c r="K1001" t="s">
        <v>60</v>
      </c>
      <c r="L1001" t="s">
        <v>146</v>
      </c>
      <c r="M1001" s="5">
        <v>16000</v>
      </c>
      <c r="N1001" s="5">
        <v>1850</v>
      </c>
      <c r="O1001" s="5">
        <v>2300</v>
      </c>
      <c r="P1001" s="5">
        <v>0</v>
      </c>
      <c r="Q1001" s="13">
        <v>21150</v>
      </c>
      <c r="R1001" t="s">
        <v>141</v>
      </c>
      <c r="S1001" t="s">
        <v>76</v>
      </c>
      <c r="T1001" s="5">
        <v>4370</v>
      </c>
      <c r="U1001" s="6">
        <v>4</v>
      </c>
      <c r="V1001" t="s">
        <v>77</v>
      </c>
      <c r="W1001" s="4">
        <v>46133</v>
      </c>
      <c r="X1001" t="s">
        <v>64</v>
      </c>
      <c r="Y1001" t="s">
        <v>64</v>
      </c>
      <c r="Z1001" t="s">
        <v>96</v>
      </c>
      <c r="AA1001" t="str">
        <f>VLOOKUP(H1001,Departments!$A:$B,2,0)</f>
        <v>Pediatrics</v>
      </c>
      <c r="AB1001" t="str">
        <f>VLOOKUP(J1001,Diagnosis_Guide!$A:$B,2,0)</f>
        <v>Pediatric Asthma</v>
      </c>
      <c r="AC1001" s="4" t="str">
        <f>VLOOKUP(J1001,Diagnosis_Guide!$A:$C,3,0)</f>
        <v>Pediatric</v>
      </c>
      <c r="AD1001" s="4" t="str">
        <f>VLOOKUP(R1001,Insurance_Plans!$A:$C,3,0)</f>
        <v>Private</v>
      </c>
      <c r="AE1001" s="13">
        <f t="shared" si="45"/>
        <v>1057.5</v>
      </c>
      <c r="AF1001" s="13">
        <f t="shared" si="46"/>
        <v>22207.5</v>
      </c>
      <c r="AG1001" s="4" t="str">
        <f t="shared" si="47"/>
        <v>High</v>
      </c>
    </row>
    <row r="1002" spans="1:33">
      <c r="A1002" t="s">
        <v>1710</v>
      </c>
      <c r="B1002" t="s">
        <v>1711</v>
      </c>
      <c r="C1002" s="11">
        <v>46150</v>
      </c>
      <c r="D1002" t="s">
        <v>383</v>
      </c>
      <c r="E1002" t="s">
        <v>56</v>
      </c>
      <c r="F1002" s="4"/>
      <c r="G1002" s="4"/>
      <c r="H1002" t="s">
        <v>111</v>
      </c>
      <c r="I1002" t="s">
        <v>222</v>
      </c>
      <c r="J1002" t="s">
        <v>117</v>
      </c>
      <c r="K1002" t="s">
        <v>73</v>
      </c>
      <c r="L1002" t="s">
        <v>74</v>
      </c>
      <c r="M1002" s="5"/>
      <c r="N1002" s="5"/>
      <c r="O1002" s="5"/>
      <c r="P1002" s="5"/>
      <c r="R1002" t="s">
        <v>134</v>
      </c>
      <c r="S1002" t="s">
        <v>63</v>
      </c>
      <c r="T1002" s="5"/>
      <c r="U1002" s="6"/>
      <c r="V1002" t="s">
        <v>64</v>
      </c>
      <c r="W1002" s="4"/>
      <c r="X1002" t="s">
        <v>65</v>
      </c>
      <c r="Z1002" t="s">
        <v>66</v>
      </c>
      <c r="AA1002" t="str">
        <f>VLOOKUP(H1002,Departments!$A:$B,2,0)</f>
        <v>General Medicine</v>
      </c>
      <c r="AB1002" t="str">
        <f>VLOOKUP(J1002,Diagnosis_Guide!$A:$B,2,0)</f>
        <v>Fever Investigation</v>
      </c>
      <c r="AC1002" s="4" t="str">
        <f>VLOOKUP(J1002,Diagnosis_Guide!$A:$C,3,0)</f>
        <v>Infectious/General</v>
      </c>
      <c r="AD1002" s="4" t="str">
        <f>VLOOKUP(R1002,Insurance_Plans!$A:$C,3,0)</f>
        <v>Community</v>
      </c>
      <c r="AE1002" s="13" t="str">
        <f t="shared" si="45"/>
        <v/>
      </c>
      <c r="AF1002" s="13" t="str">
        <f t="shared" si="46"/>
        <v/>
      </c>
      <c r="AG1002" s="4" t="str">
        <f t="shared" si="47"/>
        <v>Not Available</v>
      </c>
    </row>
    <row r="1003" spans="1:33">
      <c r="A1003" t="s">
        <v>1712</v>
      </c>
      <c r="B1003" t="s">
        <v>1606</v>
      </c>
      <c r="C1003" s="11">
        <v>46038</v>
      </c>
      <c r="D1003" t="s">
        <v>55</v>
      </c>
      <c r="E1003" t="s">
        <v>70</v>
      </c>
      <c r="F1003" s="4">
        <v>46038</v>
      </c>
      <c r="G1003" s="4">
        <v>46041</v>
      </c>
      <c r="H1003" t="s">
        <v>103</v>
      </c>
      <c r="I1003" t="s">
        <v>243</v>
      </c>
      <c r="J1003" t="s">
        <v>105</v>
      </c>
      <c r="K1003" t="s">
        <v>73</v>
      </c>
      <c r="L1003" t="s">
        <v>94</v>
      </c>
      <c r="M1003" s="5">
        <v>58500</v>
      </c>
      <c r="N1003" s="5">
        <v>5500</v>
      </c>
      <c r="O1003" s="5">
        <v>14250</v>
      </c>
      <c r="P1003" s="5">
        <v>18000</v>
      </c>
      <c r="Q1003" s="13">
        <v>98050</v>
      </c>
      <c r="R1003" t="s">
        <v>75</v>
      </c>
      <c r="S1003" t="s">
        <v>163</v>
      </c>
      <c r="T1003" s="5">
        <v>44420</v>
      </c>
      <c r="U1003" s="6">
        <v>4</v>
      </c>
      <c r="V1003" t="s">
        <v>77</v>
      </c>
      <c r="W1003" s="4">
        <v>46048</v>
      </c>
      <c r="X1003" t="s">
        <v>77</v>
      </c>
      <c r="Y1003" t="s">
        <v>64</v>
      </c>
      <c r="Z1003" t="s">
        <v>96</v>
      </c>
      <c r="AA1003" t="str">
        <f>VLOOKUP(H1003,Departments!$A:$B,2,0)</f>
        <v>Nephrology</v>
      </c>
      <c r="AB1003" t="str">
        <f>VLOOKUP(J1003,Diagnosis_Guide!$A:$B,2,0)</f>
        <v>Dialysis Complication</v>
      </c>
      <c r="AC1003" s="4" t="str">
        <f>VLOOKUP(J1003,Diagnosis_Guide!$A:$C,3,0)</f>
        <v>Renal</v>
      </c>
      <c r="AD1003" s="4" t="str">
        <f>VLOOKUP(R1003,Insurance_Plans!$A:$C,3,0)</f>
        <v>Public</v>
      </c>
      <c r="AE1003" s="13">
        <f t="shared" si="45"/>
        <v>4902.5</v>
      </c>
      <c r="AF1003" s="13">
        <f t="shared" si="46"/>
        <v>102952.5</v>
      </c>
      <c r="AG1003" s="4" t="str">
        <f t="shared" si="47"/>
        <v>High</v>
      </c>
    </row>
    <row r="1004" spans="1:33">
      <c r="A1004" t="s">
        <v>1713</v>
      </c>
      <c r="B1004" t="s">
        <v>874</v>
      </c>
      <c r="C1004" s="11">
        <v>46040</v>
      </c>
      <c r="D1004" t="s">
        <v>168</v>
      </c>
      <c r="E1004" t="s">
        <v>70</v>
      </c>
      <c r="F1004" s="4">
        <v>46040</v>
      </c>
      <c r="G1004" s="4">
        <v>46040</v>
      </c>
      <c r="H1004" t="s">
        <v>90</v>
      </c>
      <c r="I1004" t="s">
        <v>299</v>
      </c>
      <c r="J1004" t="s">
        <v>92</v>
      </c>
      <c r="K1004" t="s">
        <v>60</v>
      </c>
      <c r="L1004" t="s">
        <v>94</v>
      </c>
      <c r="M1004" s="5">
        <v>48600</v>
      </c>
      <c r="N1004" s="5">
        <v>6200</v>
      </c>
      <c r="O1004" s="5">
        <v>6050</v>
      </c>
      <c r="P1004" s="5">
        <v>0</v>
      </c>
      <c r="Q1004" s="13">
        <v>62350</v>
      </c>
      <c r="R1004" t="s">
        <v>75</v>
      </c>
      <c r="S1004" t="s">
        <v>76</v>
      </c>
      <c r="T1004" s="5">
        <v>28360</v>
      </c>
      <c r="U1004" s="6">
        <v>5</v>
      </c>
      <c r="V1004" t="s">
        <v>77</v>
      </c>
      <c r="W1004" s="4">
        <v>46057</v>
      </c>
      <c r="X1004" t="s">
        <v>77</v>
      </c>
      <c r="Y1004" t="s">
        <v>64</v>
      </c>
      <c r="Z1004" t="s">
        <v>78</v>
      </c>
      <c r="AA1004" t="str">
        <f>VLOOKUP(H1004,Departments!$A:$B,2,0)</f>
        <v>Cardiology</v>
      </c>
      <c r="AB1004" t="str">
        <f>VLOOKUP(J1004,Diagnosis_Guide!$A:$B,2,0)</f>
        <v>Heart Failure</v>
      </c>
      <c r="AC1004" s="4" t="str">
        <f>VLOOKUP(J1004,Diagnosis_Guide!$A:$C,3,0)</f>
        <v>Cardiovascular</v>
      </c>
      <c r="AD1004" s="4" t="str">
        <f>VLOOKUP(R1004,Insurance_Plans!$A:$C,3,0)</f>
        <v>Public</v>
      </c>
      <c r="AE1004" s="13">
        <f t="shared" si="45"/>
        <v>3117.5</v>
      </c>
      <c r="AF1004" s="13">
        <f t="shared" si="46"/>
        <v>65467.5</v>
      </c>
      <c r="AG1004" s="4" t="str">
        <f t="shared" si="47"/>
        <v>High</v>
      </c>
    </row>
    <row r="1005" spans="1:33">
      <c r="A1005" t="s">
        <v>1714</v>
      </c>
      <c r="B1005" t="s">
        <v>1715</v>
      </c>
      <c r="C1005" s="11">
        <v>46060</v>
      </c>
      <c r="D1005" t="s">
        <v>81</v>
      </c>
      <c r="E1005" t="s">
        <v>255</v>
      </c>
      <c r="F1005" s="4"/>
      <c r="G1005" s="4"/>
      <c r="H1005" t="s">
        <v>57</v>
      </c>
      <c r="I1005" t="s">
        <v>211</v>
      </c>
      <c r="J1005" t="s">
        <v>170</v>
      </c>
      <c r="K1005" t="s">
        <v>60</v>
      </c>
      <c r="L1005" t="s">
        <v>61</v>
      </c>
      <c r="M1005" s="5"/>
      <c r="N1005" s="5"/>
      <c r="O1005" s="5"/>
      <c r="P1005" s="5"/>
      <c r="R1005" t="s">
        <v>85</v>
      </c>
      <c r="S1005" t="s">
        <v>63</v>
      </c>
      <c r="T1005" s="5"/>
      <c r="U1005" s="6"/>
      <c r="V1005" t="s">
        <v>64</v>
      </c>
      <c r="W1005" s="4"/>
      <c r="X1005" t="s">
        <v>65</v>
      </c>
      <c r="Z1005" t="s">
        <v>66</v>
      </c>
      <c r="AA1005" t="str">
        <f>VLOOKUP(H1005,Departments!$A:$B,2,0)</f>
        <v>Pulmonology</v>
      </c>
      <c r="AB1005" t="str">
        <f>VLOOKUP(J1005,Diagnosis_Guide!$A:$B,2,0)</f>
        <v>COPD Exacerbation</v>
      </c>
      <c r="AC1005" s="4" t="str">
        <f>VLOOKUP(J1005,Diagnosis_Guide!$A:$C,3,0)</f>
        <v>Respiratory</v>
      </c>
      <c r="AD1005" s="4" t="str">
        <f>VLOOKUP(R1005,Insurance_Plans!$A:$C,3,0)</f>
        <v>Employer</v>
      </c>
      <c r="AE1005" s="13" t="str">
        <f t="shared" si="45"/>
        <v/>
      </c>
      <c r="AF1005" s="13" t="str">
        <f t="shared" si="46"/>
        <v/>
      </c>
      <c r="AG1005" s="4" t="str">
        <f t="shared" si="47"/>
        <v>Not Available</v>
      </c>
    </row>
    <row r="1006" spans="1:33">
      <c r="A1006" t="s">
        <v>1716</v>
      </c>
      <c r="B1006" t="s">
        <v>186</v>
      </c>
      <c r="C1006" s="11">
        <v>46055</v>
      </c>
      <c r="D1006" t="s">
        <v>298</v>
      </c>
      <c r="E1006" t="s">
        <v>70</v>
      </c>
      <c r="F1006" s="4">
        <v>46055</v>
      </c>
      <c r="G1006" s="4">
        <v>46059</v>
      </c>
      <c r="H1006" t="s">
        <v>201</v>
      </c>
      <c r="I1006" t="s">
        <v>280</v>
      </c>
      <c r="J1006" t="s">
        <v>203</v>
      </c>
      <c r="K1006" t="s">
        <v>124</v>
      </c>
      <c r="L1006" t="s">
        <v>74</v>
      </c>
      <c r="M1006" s="5">
        <v>36700</v>
      </c>
      <c r="N1006" s="5">
        <v>6200</v>
      </c>
      <c r="O1006" s="5">
        <v>8000</v>
      </c>
      <c r="P1006" s="5">
        <v>24000</v>
      </c>
      <c r="Q1006" s="13">
        <v>75900</v>
      </c>
      <c r="R1006" t="s">
        <v>62</v>
      </c>
      <c r="S1006" t="s">
        <v>76</v>
      </c>
      <c r="T1006" s="5">
        <v>23170</v>
      </c>
      <c r="U1006" s="6">
        <v>3</v>
      </c>
      <c r="V1006" t="s">
        <v>77</v>
      </c>
      <c r="W1006" s="4">
        <v>46068</v>
      </c>
      <c r="X1006" t="s">
        <v>77</v>
      </c>
      <c r="Y1006" t="s">
        <v>64</v>
      </c>
      <c r="Z1006" t="s">
        <v>219</v>
      </c>
      <c r="AA1006" t="str">
        <f>VLOOKUP(H1006,Departments!$A:$B,2,0)</f>
        <v>Emergency</v>
      </c>
      <c r="AB1006" t="str">
        <f>VLOOKUP(J1006,Diagnosis_Guide!$A:$B,2,0)</f>
        <v>Trauma Observation</v>
      </c>
      <c r="AC1006" s="4" t="str">
        <f>VLOOKUP(J1006,Diagnosis_Guide!$A:$C,3,0)</f>
        <v>Emergency</v>
      </c>
      <c r="AD1006" s="4" t="str">
        <f>VLOOKUP(R1006,Insurance_Plans!$A:$C,3,0)</f>
        <v>Public</v>
      </c>
      <c r="AE1006" s="13">
        <f t="shared" si="45"/>
        <v>3795</v>
      </c>
      <c r="AF1006" s="13">
        <f t="shared" si="46"/>
        <v>79695</v>
      </c>
      <c r="AG1006" s="4" t="str">
        <f t="shared" si="47"/>
        <v>Medium</v>
      </c>
    </row>
    <row r="1007" spans="1:33">
      <c r="A1007" t="s">
        <v>1717</v>
      </c>
      <c r="B1007" t="s">
        <v>1450</v>
      </c>
      <c r="C1007" s="11">
        <v>46130</v>
      </c>
      <c r="D1007" t="s">
        <v>149</v>
      </c>
      <c r="E1007" t="s">
        <v>70</v>
      </c>
      <c r="F1007" s="4">
        <v>46130</v>
      </c>
      <c r="G1007" s="4">
        <v>46137</v>
      </c>
      <c r="H1007" t="s">
        <v>111</v>
      </c>
      <c r="I1007" t="s">
        <v>116</v>
      </c>
      <c r="J1007" t="s">
        <v>384</v>
      </c>
      <c r="K1007" t="s">
        <v>124</v>
      </c>
      <c r="L1007" t="s">
        <v>74</v>
      </c>
      <c r="M1007" s="5">
        <v>66200</v>
      </c>
      <c r="N1007" s="5">
        <v>9900</v>
      </c>
      <c r="O1007" s="5">
        <v>6800</v>
      </c>
      <c r="P1007" s="5">
        <v>31500</v>
      </c>
      <c r="Q1007" s="13">
        <v>115200</v>
      </c>
      <c r="R1007" t="s">
        <v>62</v>
      </c>
      <c r="S1007" t="s">
        <v>163</v>
      </c>
      <c r="T1007" s="5">
        <v>34960</v>
      </c>
      <c r="U1007" s="6">
        <v>4</v>
      </c>
      <c r="V1007" t="s">
        <v>77</v>
      </c>
      <c r="W1007" s="4">
        <v>46155</v>
      </c>
      <c r="X1007" t="s">
        <v>77</v>
      </c>
      <c r="Y1007" t="s">
        <v>64</v>
      </c>
      <c r="Z1007" t="s">
        <v>78</v>
      </c>
      <c r="AA1007" t="str">
        <f>VLOOKUP(H1007,Departments!$A:$B,2,0)</f>
        <v>General Medicine</v>
      </c>
      <c r="AB1007" t="str">
        <f>VLOOKUP(J1007,Diagnosis_Guide!$A:$B,2,0)</f>
        <v>Severe Infection</v>
      </c>
      <c r="AC1007" s="4" t="str">
        <f>VLOOKUP(J1007,Diagnosis_Guide!$A:$C,3,0)</f>
        <v>Infectious/General</v>
      </c>
      <c r="AD1007" s="4" t="str">
        <f>VLOOKUP(R1007,Insurance_Plans!$A:$C,3,0)</f>
        <v>Public</v>
      </c>
      <c r="AE1007" s="13">
        <f t="shared" si="45"/>
        <v>5760</v>
      </c>
      <c r="AF1007" s="13">
        <f t="shared" si="46"/>
        <v>120960</v>
      </c>
      <c r="AG1007" s="4" t="str">
        <f t="shared" si="47"/>
        <v>High</v>
      </c>
    </row>
    <row r="1008" spans="1:33">
      <c r="A1008" t="s">
        <v>1718</v>
      </c>
      <c r="B1008" t="s">
        <v>633</v>
      </c>
      <c r="C1008" s="11">
        <v>46089</v>
      </c>
      <c r="D1008" t="s">
        <v>234</v>
      </c>
      <c r="E1008" t="s">
        <v>70</v>
      </c>
      <c r="F1008" s="4">
        <v>46090</v>
      </c>
      <c r="G1008" s="4">
        <v>46092</v>
      </c>
      <c r="H1008" t="s">
        <v>138</v>
      </c>
      <c r="I1008" t="s">
        <v>444</v>
      </c>
      <c r="J1008" t="s">
        <v>140</v>
      </c>
      <c r="K1008" t="s">
        <v>124</v>
      </c>
      <c r="L1008" t="s">
        <v>94</v>
      </c>
      <c r="M1008" s="5">
        <v>21900</v>
      </c>
      <c r="N1008" s="5">
        <v>1850</v>
      </c>
      <c r="O1008" s="5">
        <v>3600</v>
      </c>
      <c r="P1008" s="5">
        <v>6000</v>
      </c>
      <c r="Q1008" s="13">
        <v>34850</v>
      </c>
      <c r="R1008" t="s">
        <v>62</v>
      </c>
      <c r="S1008" t="s">
        <v>76</v>
      </c>
      <c r="T1008" s="5">
        <v>10860</v>
      </c>
      <c r="U1008" s="6">
        <v>4</v>
      </c>
      <c r="V1008" t="s">
        <v>77</v>
      </c>
      <c r="W1008" s="4">
        <v>46113</v>
      </c>
      <c r="X1008" t="s">
        <v>77</v>
      </c>
      <c r="Y1008" t="s">
        <v>64</v>
      </c>
      <c r="Z1008" t="s">
        <v>107</v>
      </c>
      <c r="AA1008" t="str">
        <f>VLOOKUP(H1008,Departments!$A:$B,2,0)</f>
        <v>Pediatrics</v>
      </c>
      <c r="AB1008" t="str">
        <f>VLOOKUP(J1008,Diagnosis_Guide!$A:$B,2,0)</f>
        <v>Pediatric Asthma</v>
      </c>
      <c r="AC1008" s="4" t="str">
        <f>VLOOKUP(J1008,Diagnosis_Guide!$A:$C,3,0)</f>
        <v>Pediatric</v>
      </c>
      <c r="AD1008" s="4" t="str">
        <f>VLOOKUP(R1008,Insurance_Plans!$A:$C,3,0)</f>
        <v>Public</v>
      </c>
      <c r="AE1008" s="13">
        <f t="shared" si="45"/>
        <v>1742.5</v>
      </c>
      <c r="AF1008" s="13">
        <f t="shared" si="46"/>
        <v>36592.5</v>
      </c>
      <c r="AG1008" s="4" t="str">
        <f t="shared" si="47"/>
        <v>High</v>
      </c>
    </row>
    <row r="1009" spans="1:33">
      <c r="A1009" t="s">
        <v>1719</v>
      </c>
      <c r="B1009" t="s">
        <v>754</v>
      </c>
      <c r="C1009" s="11">
        <v>46119</v>
      </c>
      <c r="D1009" t="s">
        <v>206</v>
      </c>
      <c r="E1009" t="s">
        <v>70</v>
      </c>
      <c r="F1009" s="4">
        <v>46120</v>
      </c>
      <c r="G1009" s="4">
        <v>46121</v>
      </c>
      <c r="H1009" t="s">
        <v>103</v>
      </c>
      <c r="I1009" t="s">
        <v>214</v>
      </c>
      <c r="J1009" t="s">
        <v>105</v>
      </c>
      <c r="K1009" t="s">
        <v>60</v>
      </c>
      <c r="L1009" t="s">
        <v>61</v>
      </c>
      <c r="M1009" s="5">
        <v>43400</v>
      </c>
      <c r="N1009" s="5">
        <v>5150</v>
      </c>
      <c r="O1009" s="5">
        <v>9000</v>
      </c>
      <c r="P1009" s="5">
        <v>6000</v>
      </c>
      <c r="Q1009" s="13">
        <v>64350</v>
      </c>
      <c r="R1009" t="s">
        <v>141</v>
      </c>
      <c r="S1009" t="s">
        <v>86</v>
      </c>
      <c r="T1009" s="5">
        <v>10850</v>
      </c>
      <c r="U1009" s="6">
        <v>4</v>
      </c>
      <c r="V1009" t="s">
        <v>77</v>
      </c>
      <c r="W1009" s="4">
        <v>46141</v>
      </c>
      <c r="X1009" t="s">
        <v>64</v>
      </c>
      <c r="Y1009" t="s">
        <v>64</v>
      </c>
      <c r="Z1009" t="s">
        <v>436</v>
      </c>
      <c r="AA1009" t="str">
        <f>VLOOKUP(H1009,Departments!$A:$B,2,0)</f>
        <v>Nephrology</v>
      </c>
      <c r="AB1009" t="str">
        <f>VLOOKUP(J1009,Diagnosis_Guide!$A:$B,2,0)</f>
        <v>Dialysis Complication</v>
      </c>
      <c r="AC1009" s="4" t="str">
        <f>VLOOKUP(J1009,Diagnosis_Guide!$A:$C,3,0)</f>
        <v>Renal</v>
      </c>
      <c r="AD1009" s="4" t="str">
        <f>VLOOKUP(R1009,Insurance_Plans!$A:$C,3,0)</f>
        <v>Private</v>
      </c>
      <c r="AE1009" s="13">
        <f t="shared" si="45"/>
        <v>3217.5</v>
      </c>
      <c r="AF1009" s="13">
        <f t="shared" si="46"/>
        <v>67567.5</v>
      </c>
      <c r="AG1009" s="4" t="str">
        <f t="shared" si="47"/>
        <v>High</v>
      </c>
    </row>
    <row r="1010" spans="1:33">
      <c r="A1010" t="s">
        <v>1720</v>
      </c>
      <c r="B1010" t="s">
        <v>1721</v>
      </c>
      <c r="C1010" s="11">
        <v>46054</v>
      </c>
      <c r="D1010" t="s">
        <v>259</v>
      </c>
      <c r="E1010" t="s">
        <v>70</v>
      </c>
      <c r="F1010" s="4">
        <v>46054</v>
      </c>
      <c r="G1010" s="4">
        <v>46056</v>
      </c>
      <c r="H1010" t="s">
        <v>103</v>
      </c>
      <c r="I1010" t="s">
        <v>104</v>
      </c>
      <c r="J1010" t="s">
        <v>145</v>
      </c>
      <c r="K1010" t="s">
        <v>73</v>
      </c>
      <c r="L1010" t="s">
        <v>61</v>
      </c>
      <c r="M1010" s="5"/>
      <c r="N1010" s="5">
        <v>4850</v>
      </c>
      <c r="O1010" s="5">
        <v>3450</v>
      </c>
      <c r="P1010" s="5">
        <v>12000</v>
      </c>
      <c r="Q1010" s="13">
        <v>52500</v>
      </c>
      <c r="R1010" t="s">
        <v>75</v>
      </c>
      <c r="S1010" t="s">
        <v>76</v>
      </c>
      <c r="T1010" s="5">
        <v>23920</v>
      </c>
      <c r="U1010" s="6">
        <v>5</v>
      </c>
      <c r="V1010" t="s">
        <v>64</v>
      </c>
      <c r="W1010" s="4"/>
      <c r="X1010" t="s">
        <v>65</v>
      </c>
      <c r="Y1010" t="s">
        <v>64</v>
      </c>
      <c r="Z1010" t="s">
        <v>436</v>
      </c>
      <c r="AA1010" t="str">
        <f>VLOOKUP(H1010,Departments!$A:$B,2,0)</f>
        <v>Nephrology</v>
      </c>
      <c r="AB1010" t="str">
        <f>VLOOKUP(J1010,Diagnosis_Guide!$A:$B,2,0)</f>
        <v>Kidney Stone</v>
      </c>
      <c r="AC1010" s="4" t="str">
        <f>VLOOKUP(J1010,Diagnosis_Guide!$A:$C,3,0)</f>
        <v>Renal</v>
      </c>
      <c r="AD1010" s="4" t="str">
        <f>VLOOKUP(R1010,Insurance_Plans!$A:$C,3,0)</f>
        <v>Public</v>
      </c>
      <c r="AE1010" s="13">
        <f t="shared" si="45"/>
        <v>2625</v>
      </c>
      <c r="AF1010" s="13">
        <f t="shared" si="46"/>
        <v>55125</v>
      </c>
      <c r="AG1010" s="4" t="str">
        <f t="shared" si="47"/>
        <v>High</v>
      </c>
    </row>
    <row r="1011" spans="1:33">
      <c r="A1011" t="s">
        <v>1722</v>
      </c>
      <c r="B1011" t="s">
        <v>815</v>
      </c>
      <c r="C1011" s="11">
        <v>46116</v>
      </c>
      <c r="D1011" t="s">
        <v>217</v>
      </c>
      <c r="E1011" t="s">
        <v>70</v>
      </c>
      <c r="F1011" s="4">
        <v>46116</v>
      </c>
      <c r="G1011" s="4">
        <v>46116</v>
      </c>
      <c r="H1011" t="s">
        <v>138</v>
      </c>
      <c r="I1011" t="s">
        <v>343</v>
      </c>
      <c r="J1011" t="s">
        <v>261</v>
      </c>
      <c r="K1011" t="s">
        <v>73</v>
      </c>
      <c r="L1011" t="s">
        <v>94</v>
      </c>
      <c r="M1011" s="5">
        <v>5400</v>
      </c>
      <c r="N1011" s="5">
        <v>600</v>
      </c>
      <c r="O1011" s="5">
        <v>750</v>
      </c>
      <c r="P1011" s="5">
        <v>0</v>
      </c>
      <c r="Q1011" s="13">
        <v>8550</v>
      </c>
      <c r="R1011" t="s">
        <v>75</v>
      </c>
      <c r="S1011" t="s">
        <v>163</v>
      </c>
      <c r="T1011" s="5">
        <v>4150</v>
      </c>
      <c r="U1011" s="6">
        <v>5</v>
      </c>
      <c r="V1011" t="s">
        <v>64</v>
      </c>
      <c r="W1011" s="4"/>
      <c r="X1011" t="s">
        <v>65</v>
      </c>
      <c r="Y1011" t="s">
        <v>64</v>
      </c>
      <c r="Z1011" t="s">
        <v>78</v>
      </c>
      <c r="AA1011" t="str">
        <f>VLOOKUP(H1011,Departments!$A:$B,2,0)</f>
        <v>Pediatrics</v>
      </c>
      <c r="AB1011" t="str">
        <f>VLOOKUP(J1011,Diagnosis_Guide!$A:$B,2,0)</f>
        <v>Child Fever</v>
      </c>
      <c r="AC1011" s="4" t="str">
        <f>VLOOKUP(J1011,Diagnosis_Guide!$A:$C,3,0)</f>
        <v>Pediatric</v>
      </c>
      <c r="AD1011" s="4" t="str">
        <f>VLOOKUP(R1011,Insurance_Plans!$A:$C,3,0)</f>
        <v>Public</v>
      </c>
      <c r="AE1011" s="13">
        <f t="shared" si="45"/>
        <v>427.5</v>
      </c>
      <c r="AF1011" s="13">
        <f t="shared" si="46"/>
        <v>8977.5</v>
      </c>
      <c r="AG1011" s="4" t="str">
        <f t="shared" si="47"/>
        <v>High</v>
      </c>
    </row>
    <row r="1012" spans="1:33">
      <c r="A1012" t="s">
        <v>1723</v>
      </c>
      <c r="B1012" t="s">
        <v>835</v>
      </c>
      <c r="C1012" s="11">
        <v>46046</v>
      </c>
      <c r="D1012" t="s">
        <v>225</v>
      </c>
      <c r="E1012" t="s">
        <v>70</v>
      </c>
      <c r="F1012" s="4">
        <v>46046</v>
      </c>
      <c r="G1012" s="4">
        <v>46053</v>
      </c>
      <c r="H1012" t="s">
        <v>178</v>
      </c>
      <c r="I1012" t="s">
        <v>339</v>
      </c>
      <c r="J1012" t="s">
        <v>340</v>
      </c>
      <c r="K1012" t="s">
        <v>73</v>
      </c>
      <c r="L1012" t="s">
        <v>74</v>
      </c>
      <c r="M1012" s="5">
        <v>58800</v>
      </c>
      <c r="N1012" s="5">
        <v>8600</v>
      </c>
      <c r="O1012" s="5">
        <v>10850</v>
      </c>
      <c r="P1012" s="5">
        <v>21000</v>
      </c>
      <c r="Q1012" s="13">
        <v>100050</v>
      </c>
      <c r="R1012" t="s">
        <v>95</v>
      </c>
      <c r="S1012" t="s">
        <v>63</v>
      </c>
      <c r="T1012" s="5">
        <v>100050</v>
      </c>
      <c r="U1012" s="6">
        <v>3</v>
      </c>
      <c r="V1012" t="s">
        <v>77</v>
      </c>
      <c r="W1012" s="4">
        <v>46070</v>
      </c>
      <c r="X1012" t="s">
        <v>77</v>
      </c>
      <c r="Y1012" t="s">
        <v>77</v>
      </c>
      <c r="Z1012" t="s">
        <v>96</v>
      </c>
      <c r="AA1012" t="str">
        <f>VLOOKUP(H1012,Departments!$A:$B,2,0)</f>
        <v>Surgery</v>
      </c>
      <c r="AB1012" t="str">
        <f>VLOOKUP(J1012,Diagnosis_Guide!$A:$B,2,0)</f>
        <v>Post-Operative Infection</v>
      </c>
      <c r="AC1012" s="4" t="str">
        <f>VLOOKUP(J1012,Diagnosis_Guide!$A:$C,3,0)</f>
        <v>Surgical</v>
      </c>
      <c r="AD1012" s="4" t="str">
        <f>VLOOKUP(R1012,Insurance_Plans!$A:$C,3,0)</f>
        <v>Self-Pay</v>
      </c>
      <c r="AE1012" s="13">
        <f t="shared" si="45"/>
        <v>5002.5</v>
      </c>
      <c r="AF1012" s="13">
        <f t="shared" si="46"/>
        <v>105052.5</v>
      </c>
      <c r="AG1012" s="4" t="str">
        <f t="shared" si="47"/>
        <v>Medium</v>
      </c>
    </row>
    <row r="1013" spans="1:33">
      <c r="A1013" t="s">
        <v>1724</v>
      </c>
      <c r="B1013" t="s">
        <v>1725</v>
      </c>
      <c r="C1013" s="11">
        <v>46108</v>
      </c>
      <c r="D1013" t="s">
        <v>363</v>
      </c>
      <c r="E1013" t="s">
        <v>70</v>
      </c>
      <c r="F1013" s="4">
        <v>46108</v>
      </c>
      <c r="G1013" s="4">
        <v>46115</v>
      </c>
      <c r="H1013" t="s">
        <v>121</v>
      </c>
      <c r="I1013" t="s">
        <v>174</v>
      </c>
      <c r="J1013" t="s">
        <v>252</v>
      </c>
      <c r="K1013" t="s">
        <v>124</v>
      </c>
      <c r="L1013" t="s">
        <v>146</v>
      </c>
      <c r="M1013" s="5">
        <v>65200</v>
      </c>
      <c r="N1013" s="5">
        <v>7700</v>
      </c>
      <c r="O1013" s="5">
        <v>13150</v>
      </c>
      <c r="P1013" s="5">
        <v>42000</v>
      </c>
      <c r="Q1013" s="13">
        <v>129850</v>
      </c>
      <c r="R1013" t="s">
        <v>95</v>
      </c>
      <c r="S1013" t="s">
        <v>63</v>
      </c>
      <c r="T1013" s="5">
        <v>129850</v>
      </c>
      <c r="U1013" s="6">
        <v>4</v>
      </c>
      <c r="V1013" t="s">
        <v>77</v>
      </c>
      <c r="W1013" s="4">
        <v>46132</v>
      </c>
      <c r="X1013" t="s">
        <v>77</v>
      </c>
      <c r="Y1013" t="s">
        <v>64</v>
      </c>
      <c r="Z1013" t="s">
        <v>96</v>
      </c>
      <c r="AA1013" t="str">
        <f>VLOOKUP(H1013,Departments!$A:$B,2,0)</f>
        <v>Neurology</v>
      </c>
      <c r="AB1013" t="str">
        <f>VLOOKUP(J1013,Diagnosis_Guide!$A:$B,2,0)</f>
        <v>Stroke Assessment</v>
      </c>
      <c r="AC1013" s="4" t="str">
        <f>VLOOKUP(J1013,Diagnosis_Guide!$A:$C,3,0)</f>
        <v>Neurological</v>
      </c>
      <c r="AD1013" s="4" t="str">
        <f>VLOOKUP(R1013,Insurance_Plans!$A:$C,3,0)</f>
        <v>Self-Pay</v>
      </c>
      <c r="AE1013" s="13">
        <f t="shared" si="45"/>
        <v>6492.5</v>
      </c>
      <c r="AF1013" s="13">
        <f t="shared" si="46"/>
        <v>136342.5</v>
      </c>
      <c r="AG1013" s="4" t="str">
        <f t="shared" si="47"/>
        <v>High</v>
      </c>
    </row>
    <row r="1014" spans="1:33">
      <c r="A1014" t="s">
        <v>1726</v>
      </c>
      <c r="B1014" t="s">
        <v>1013</v>
      </c>
      <c r="C1014" s="11">
        <v>46084</v>
      </c>
      <c r="D1014" t="s">
        <v>307</v>
      </c>
      <c r="E1014" t="s">
        <v>314</v>
      </c>
      <c r="F1014" s="4"/>
      <c r="G1014" s="4"/>
      <c r="H1014" t="s">
        <v>121</v>
      </c>
      <c r="I1014" t="s">
        <v>334</v>
      </c>
      <c r="J1014" t="s">
        <v>252</v>
      </c>
      <c r="K1014" t="s">
        <v>124</v>
      </c>
      <c r="L1014" t="s">
        <v>74</v>
      </c>
      <c r="M1014" s="5"/>
      <c r="N1014" s="5"/>
      <c r="O1014" s="5"/>
      <c r="P1014" s="5"/>
      <c r="R1014" t="s">
        <v>95</v>
      </c>
      <c r="S1014" t="s">
        <v>63</v>
      </c>
      <c r="T1014" s="5"/>
      <c r="U1014" s="6"/>
      <c r="V1014" t="s">
        <v>64</v>
      </c>
      <c r="W1014" s="4"/>
      <c r="X1014" t="s">
        <v>65</v>
      </c>
      <c r="Z1014" t="s">
        <v>66</v>
      </c>
      <c r="AA1014" t="str">
        <f>VLOOKUP(H1014,Departments!$A:$B,2,0)</f>
        <v>Neurology</v>
      </c>
      <c r="AB1014" t="str">
        <f>VLOOKUP(J1014,Diagnosis_Guide!$A:$B,2,0)</f>
        <v>Stroke Assessment</v>
      </c>
      <c r="AC1014" s="4" t="str">
        <f>VLOOKUP(J1014,Diagnosis_Guide!$A:$C,3,0)</f>
        <v>Neurological</v>
      </c>
      <c r="AD1014" s="4" t="str">
        <f>VLOOKUP(R1014,Insurance_Plans!$A:$C,3,0)</f>
        <v>Self-Pay</v>
      </c>
      <c r="AE1014" s="13" t="str">
        <f t="shared" si="45"/>
        <v/>
      </c>
      <c r="AF1014" s="13" t="str">
        <f t="shared" si="46"/>
        <v/>
      </c>
      <c r="AG1014" s="4" t="str">
        <f t="shared" si="47"/>
        <v>Not Available</v>
      </c>
    </row>
    <row r="1015" spans="1:33">
      <c r="A1015" t="s">
        <v>1727</v>
      </c>
      <c r="B1015" t="s">
        <v>1669</v>
      </c>
      <c r="C1015" s="11">
        <v>46119</v>
      </c>
      <c r="D1015" t="s">
        <v>120</v>
      </c>
      <c r="E1015" t="s">
        <v>70</v>
      </c>
      <c r="F1015" s="4">
        <v>46119</v>
      </c>
      <c r="G1015" s="4">
        <v>46124</v>
      </c>
      <c r="H1015" t="s">
        <v>178</v>
      </c>
      <c r="I1015" t="s">
        <v>339</v>
      </c>
      <c r="J1015" t="s">
        <v>180</v>
      </c>
      <c r="K1015" t="s">
        <v>73</v>
      </c>
      <c r="L1015" t="s">
        <v>74</v>
      </c>
      <c r="M1015" s="5">
        <v>62100</v>
      </c>
      <c r="N1015" s="5">
        <v>8150</v>
      </c>
      <c r="O1015" s="5">
        <v>8750</v>
      </c>
      <c r="P1015" s="5">
        <v>30000</v>
      </c>
      <c r="Q1015" s="13">
        <v>109800</v>
      </c>
      <c r="R1015" t="s">
        <v>85</v>
      </c>
      <c r="S1015" t="s">
        <v>76</v>
      </c>
      <c r="T1015" s="5">
        <v>28350</v>
      </c>
      <c r="U1015" s="6">
        <v>3</v>
      </c>
      <c r="V1015" t="s">
        <v>77</v>
      </c>
      <c r="W1015" s="4">
        <v>46144</v>
      </c>
      <c r="X1015" t="s">
        <v>64</v>
      </c>
      <c r="Y1015" t="s">
        <v>64</v>
      </c>
      <c r="Z1015" t="s">
        <v>96</v>
      </c>
      <c r="AA1015" t="str">
        <f>VLOOKUP(H1015,Departments!$A:$B,2,0)</f>
        <v>Surgery</v>
      </c>
      <c r="AB1015" t="str">
        <f>VLOOKUP(J1015,Diagnosis_Guide!$A:$B,2,0)</f>
        <v>Appendicitis Surgery</v>
      </c>
      <c r="AC1015" s="4" t="str">
        <f>VLOOKUP(J1015,Diagnosis_Guide!$A:$C,3,0)</f>
        <v>Surgical</v>
      </c>
      <c r="AD1015" s="4" t="str">
        <f>VLOOKUP(R1015,Insurance_Plans!$A:$C,3,0)</f>
        <v>Employer</v>
      </c>
      <c r="AE1015" s="13">
        <f t="shared" si="45"/>
        <v>5490</v>
      </c>
      <c r="AF1015" s="13">
        <f t="shared" si="46"/>
        <v>115290</v>
      </c>
      <c r="AG1015" s="4" t="str">
        <f t="shared" si="47"/>
        <v>Medium</v>
      </c>
    </row>
    <row r="1016" spans="1:33">
      <c r="A1016" t="s">
        <v>1728</v>
      </c>
      <c r="B1016" t="s">
        <v>1729</v>
      </c>
      <c r="C1016" s="11">
        <v>46134</v>
      </c>
      <c r="D1016" t="s">
        <v>127</v>
      </c>
      <c r="E1016" t="s">
        <v>70</v>
      </c>
      <c r="F1016" s="4">
        <v>46135</v>
      </c>
      <c r="G1016" s="4">
        <v>46138</v>
      </c>
      <c r="H1016" t="s">
        <v>138</v>
      </c>
      <c r="I1016" t="s">
        <v>444</v>
      </c>
      <c r="J1016" t="s">
        <v>236</v>
      </c>
      <c r="K1016" t="s">
        <v>124</v>
      </c>
      <c r="L1016" t="s">
        <v>74</v>
      </c>
      <c r="M1016" s="5">
        <v>26800</v>
      </c>
      <c r="N1016" s="5">
        <v>4550</v>
      </c>
      <c r="O1016" s="5">
        <v>3050</v>
      </c>
      <c r="P1016" s="5">
        <v>7500</v>
      </c>
      <c r="Q1016" s="13">
        <v>43400</v>
      </c>
      <c r="R1016" t="s">
        <v>62</v>
      </c>
      <c r="S1016" t="s">
        <v>76</v>
      </c>
      <c r="T1016" s="5">
        <v>13420</v>
      </c>
      <c r="U1016" s="6">
        <v>5</v>
      </c>
      <c r="V1016" t="s">
        <v>64</v>
      </c>
      <c r="W1016" s="4"/>
      <c r="X1016" t="s">
        <v>65</v>
      </c>
      <c r="Y1016" t="s">
        <v>64</v>
      </c>
      <c r="Z1016" t="s">
        <v>78</v>
      </c>
      <c r="AA1016" t="str">
        <f>VLOOKUP(H1016,Departments!$A:$B,2,0)</f>
        <v>Pediatrics</v>
      </c>
      <c r="AB1016" t="str">
        <f>VLOOKUP(J1016,Diagnosis_Guide!$A:$B,2,0)</f>
        <v>Neonatal Observation</v>
      </c>
      <c r="AC1016" s="4" t="str">
        <f>VLOOKUP(J1016,Diagnosis_Guide!$A:$C,3,0)</f>
        <v>Pediatric</v>
      </c>
      <c r="AD1016" s="4" t="str">
        <f>VLOOKUP(R1016,Insurance_Plans!$A:$C,3,0)</f>
        <v>Public</v>
      </c>
      <c r="AE1016" s="13">
        <f t="shared" si="45"/>
        <v>2170</v>
      </c>
      <c r="AF1016" s="13">
        <f t="shared" si="46"/>
        <v>45570</v>
      </c>
      <c r="AG1016" s="4" t="str">
        <f t="shared" si="47"/>
        <v>High</v>
      </c>
    </row>
    <row r="1017" spans="1:33">
      <c r="A1017" t="s">
        <v>1730</v>
      </c>
      <c r="B1017" t="s">
        <v>905</v>
      </c>
      <c r="C1017" s="11">
        <v>46042</v>
      </c>
      <c r="D1017" t="s">
        <v>210</v>
      </c>
      <c r="E1017" t="s">
        <v>314</v>
      </c>
      <c r="F1017" s="4"/>
      <c r="G1017" s="4"/>
      <c r="H1017" t="s">
        <v>103</v>
      </c>
      <c r="I1017" t="s">
        <v>104</v>
      </c>
      <c r="J1017" t="s">
        <v>244</v>
      </c>
      <c r="K1017" t="s">
        <v>73</v>
      </c>
      <c r="L1017" t="s">
        <v>61</v>
      </c>
      <c r="M1017" s="5"/>
      <c r="N1017" s="5"/>
      <c r="O1017" s="5"/>
      <c r="P1017" s="5"/>
      <c r="R1017" t="s">
        <v>134</v>
      </c>
      <c r="S1017" t="s">
        <v>63</v>
      </c>
      <c r="T1017" s="5"/>
      <c r="U1017" s="6"/>
      <c r="V1017" t="s">
        <v>64</v>
      </c>
      <c r="W1017" s="4"/>
      <c r="X1017" t="s">
        <v>65</v>
      </c>
      <c r="Z1017" t="s">
        <v>66</v>
      </c>
      <c r="AA1017" t="str">
        <f>VLOOKUP(H1017,Departments!$A:$B,2,0)</f>
        <v>Nephrology</v>
      </c>
      <c r="AB1017" t="str">
        <f>VLOOKUP(J1017,Diagnosis_Guide!$A:$B,2,0)</f>
        <v>Chronic Kidney Disease</v>
      </c>
      <c r="AC1017" s="4" t="str">
        <f>VLOOKUP(J1017,Diagnosis_Guide!$A:$C,3,0)</f>
        <v>Renal</v>
      </c>
      <c r="AD1017" s="4" t="str">
        <f>VLOOKUP(R1017,Insurance_Plans!$A:$C,3,0)</f>
        <v>Community</v>
      </c>
      <c r="AE1017" s="13" t="str">
        <f t="shared" si="45"/>
        <v/>
      </c>
      <c r="AF1017" s="13" t="str">
        <f t="shared" si="46"/>
        <v/>
      </c>
      <c r="AG1017" s="4" t="str">
        <f t="shared" si="47"/>
        <v>Not Available</v>
      </c>
    </row>
    <row r="1018" spans="1:33">
      <c r="A1018" t="s">
        <v>1731</v>
      </c>
      <c r="B1018" t="s">
        <v>583</v>
      </c>
      <c r="C1018" s="11">
        <v>46093</v>
      </c>
      <c r="D1018" t="s">
        <v>419</v>
      </c>
      <c r="E1018" t="s">
        <v>338</v>
      </c>
      <c r="F1018" s="4"/>
      <c r="G1018" s="4"/>
      <c r="H1018" t="s">
        <v>150</v>
      </c>
      <c r="I1018" t="s">
        <v>151</v>
      </c>
      <c r="J1018" t="s">
        <v>152</v>
      </c>
      <c r="K1018" t="s">
        <v>60</v>
      </c>
      <c r="L1018" t="s">
        <v>94</v>
      </c>
      <c r="M1018" s="5"/>
      <c r="N1018" s="5"/>
      <c r="O1018" s="5"/>
      <c r="P1018" s="5"/>
      <c r="R1018" t="s">
        <v>85</v>
      </c>
      <c r="S1018" t="s">
        <v>63</v>
      </c>
      <c r="T1018" s="5"/>
      <c r="U1018" s="6"/>
      <c r="V1018" t="s">
        <v>64</v>
      </c>
      <c r="W1018" s="4"/>
      <c r="X1018" t="s">
        <v>65</v>
      </c>
      <c r="Z1018" t="s">
        <v>66</v>
      </c>
      <c r="AA1018" t="str">
        <f>VLOOKUP(H1018,Departments!$A:$B,2,0)</f>
        <v>Obstetrics</v>
      </c>
      <c r="AB1018" t="str">
        <f>VLOOKUP(J1018,Diagnosis_Guide!$A:$B,2,0)</f>
        <v>Antenatal Complication</v>
      </c>
      <c r="AC1018" s="4" t="str">
        <f>VLOOKUP(J1018,Diagnosis_Guide!$A:$C,3,0)</f>
        <v>Maternal Health</v>
      </c>
      <c r="AD1018" s="4" t="str">
        <f>VLOOKUP(R1018,Insurance_Plans!$A:$C,3,0)</f>
        <v>Employer</v>
      </c>
      <c r="AE1018" s="13" t="str">
        <f t="shared" si="45"/>
        <v/>
      </c>
      <c r="AF1018" s="13" t="str">
        <f t="shared" si="46"/>
        <v/>
      </c>
      <c r="AG1018" s="4" t="str">
        <f t="shared" si="47"/>
        <v>Not Available</v>
      </c>
    </row>
    <row r="1019" spans="1:33">
      <c r="A1019" t="s">
        <v>1732</v>
      </c>
      <c r="B1019" t="s">
        <v>883</v>
      </c>
      <c r="C1019" s="11">
        <v>46149</v>
      </c>
      <c r="D1019" t="s">
        <v>217</v>
      </c>
      <c r="E1019" t="s">
        <v>70</v>
      </c>
      <c r="F1019" s="4">
        <v>46149</v>
      </c>
      <c r="G1019" s="4">
        <v>46149</v>
      </c>
      <c r="H1019" t="s">
        <v>90</v>
      </c>
      <c r="I1019" t="s">
        <v>133</v>
      </c>
      <c r="J1019" t="s">
        <v>129</v>
      </c>
      <c r="K1019" t="s">
        <v>60</v>
      </c>
      <c r="L1019" t="s">
        <v>74</v>
      </c>
      <c r="M1019" s="5"/>
      <c r="N1019" s="5">
        <v>8800</v>
      </c>
      <c r="O1019" s="5">
        <v>11000</v>
      </c>
      <c r="P1019" s="5">
        <v>0</v>
      </c>
      <c r="Q1019" s="13">
        <v>74800</v>
      </c>
      <c r="R1019" t="s">
        <v>75</v>
      </c>
      <c r="S1019" t="s">
        <v>76</v>
      </c>
      <c r="T1019" s="5">
        <v>33960</v>
      </c>
      <c r="U1019" s="6">
        <v>5</v>
      </c>
      <c r="V1019" t="s">
        <v>77</v>
      </c>
      <c r="W1019" s="4">
        <v>46160</v>
      </c>
      <c r="X1019" t="s">
        <v>77</v>
      </c>
      <c r="Y1019" t="s">
        <v>64</v>
      </c>
      <c r="Z1019" t="s">
        <v>96</v>
      </c>
      <c r="AA1019" t="str">
        <f>VLOOKUP(H1019,Departments!$A:$B,2,0)</f>
        <v>Cardiology</v>
      </c>
      <c r="AB1019" t="str">
        <f>VLOOKUP(J1019,Diagnosis_Guide!$A:$B,2,0)</f>
        <v>Hypertension Crisis</v>
      </c>
      <c r="AC1019" s="4" t="str">
        <f>VLOOKUP(J1019,Diagnosis_Guide!$A:$C,3,0)</f>
        <v>Cardiovascular</v>
      </c>
      <c r="AD1019" s="4" t="str">
        <f>VLOOKUP(R1019,Insurance_Plans!$A:$C,3,0)</f>
        <v>Public</v>
      </c>
      <c r="AE1019" s="13">
        <f t="shared" si="45"/>
        <v>3740</v>
      </c>
      <c r="AF1019" s="13">
        <f t="shared" si="46"/>
        <v>78540</v>
      </c>
      <c r="AG1019" s="4" t="str">
        <f t="shared" si="47"/>
        <v>High</v>
      </c>
    </row>
    <row r="1020" spans="1:33">
      <c r="A1020" t="s">
        <v>1733</v>
      </c>
      <c r="B1020" t="s">
        <v>1734</v>
      </c>
      <c r="C1020" s="11">
        <v>46146</v>
      </c>
      <c r="D1020" t="s">
        <v>337</v>
      </c>
      <c r="E1020" t="s">
        <v>70</v>
      </c>
      <c r="F1020" s="4">
        <v>46147</v>
      </c>
      <c r="G1020" s="4">
        <v>46149</v>
      </c>
      <c r="H1020" t="s">
        <v>201</v>
      </c>
      <c r="I1020" t="s">
        <v>421</v>
      </c>
      <c r="J1020" t="s">
        <v>203</v>
      </c>
      <c r="K1020" t="s">
        <v>73</v>
      </c>
      <c r="L1020" t="s">
        <v>61</v>
      </c>
      <c r="M1020" s="5">
        <v>46100</v>
      </c>
      <c r="N1020" s="5">
        <v>6150</v>
      </c>
      <c r="O1020" s="5">
        <v>10200</v>
      </c>
      <c r="P1020" s="5">
        <v>7000</v>
      </c>
      <c r="Q1020" s="13">
        <v>70450</v>
      </c>
      <c r="R1020" t="s">
        <v>95</v>
      </c>
      <c r="S1020" t="s">
        <v>63</v>
      </c>
      <c r="T1020" s="5">
        <v>70450</v>
      </c>
      <c r="U1020" s="6">
        <v>4</v>
      </c>
      <c r="V1020" t="s">
        <v>77</v>
      </c>
      <c r="W1020" s="4">
        <v>46170</v>
      </c>
      <c r="X1020" t="s">
        <v>77</v>
      </c>
      <c r="Y1020" t="s">
        <v>64</v>
      </c>
      <c r="Z1020" t="s">
        <v>78</v>
      </c>
      <c r="AA1020" t="str">
        <f>VLOOKUP(H1020,Departments!$A:$B,2,0)</f>
        <v>Emergency</v>
      </c>
      <c r="AB1020" t="str">
        <f>VLOOKUP(J1020,Diagnosis_Guide!$A:$B,2,0)</f>
        <v>Trauma Observation</v>
      </c>
      <c r="AC1020" s="4" t="str">
        <f>VLOOKUP(J1020,Diagnosis_Guide!$A:$C,3,0)</f>
        <v>Emergency</v>
      </c>
      <c r="AD1020" s="4" t="str">
        <f>VLOOKUP(R1020,Insurance_Plans!$A:$C,3,0)</f>
        <v>Self-Pay</v>
      </c>
      <c r="AE1020" s="13">
        <f t="shared" si="45"/>
        <v>3522.5</v>
      </c>
      <c r="AF1020" s="13">
        <f t="shared" si="46"/>
        <v>73972.5</v>
      </c>
      <c r="AG1020" s="4" t="str">
        <f t="shared" si="47"/>
        <v>High</v>
      </c>
    </row>
    <row r="1021" spans="1:33">
      <c r="A1021" t="s">
        <v>1735</v>
      </c>
      <c r="B1021" t="s">
        <v>1343</v>
      </c>
      <c r="C1021" s="11">
        <v>46107</v>
      </c>
      <c r="D1021" t="s">
        <v>200</v>
      </c>
      <c r="E1021" t="s">
        <v>70</v>
      </c>
      <c r="F1021" s="4">
        <v>46107</v>
      </c>
      <c r="G1021" s="4">
        <v>46107</v>
      </c>
      <c r="H1021" t="s">
        <v>103</v>
      </c>
      <c r="I1021" t="s">
        <v>207</v>
      </c>
      <c r="J1021" t="s">
        <v>145</v>
      </c>
      <c r="K1021" t="s">
        <v>60</v>
      </c>
      <c r="L1021" t="s">
        <v>74</v>
      </c>
      <c r="M1021" s="5">
        <v>35800</v>
      </c>
      <c r="N1021" s="5">
        <v>6200</v>
      </c>
      <c r="O1021" s="5">
        <v>4300</v>
      </c>
      <c r="P1021" s="5">
        <v>0</v>
      </c>
      <c r="Q1021" s="13">
        <v>47800</v>
      </c>
      <c r="R1021" t="s">
        <v>62</v>
      </c>
      <c r="S1021" t="s">
        <v>163</v>
      </c>
      <c r="T1021" s="5">
        <v>14740</v>
      </c>
      <c r="U1021" s="6">
        <v>3</v>
      </c>
      <c r="V1021" t="s">
        <v>64</v>
      </c>
      <c r="W1021" s="4"/>
      <c r="X1021" t="s">
        <v>65</v>
      </c>
      <c r="Y1021" t="s">
        <v>64</v>
      </c>
      <c r="Z1021" t="s">
        <v>436</v>
      </c>
      <c r="AA1021" t="str">
        <f>VLOOKUP(H1021,Departments!$A:$B,2,0)</f>
        <v>Nephrology</v>
      </c>
      <c r="AB1021" t="str">
        <f>VLOOKUP(J1021,Diagnosis_Guide!$A:$B,2,0)</f>
        <v>Kidney Stone</v>
      </c>
      <c r="AC1021" s="4" t="str">
        <f>VLOOKUP(J1021,Diagnosis_Guide!$A:$C,3,0)</f>
        <v>Renal</v>
      </c>
      <c r="AD1021" s="4" t="str">
        <f>VLOOKUP(R1021,Insurance_Plans!$A:$C,3,0)</f>
        <v>Public</v>
      </c>
      <c r="AE1021" s="13">
        <f t="shared" si="45"/>
        <v>2390</v>
      </c>
      <c r="AF1021" s="13">
        <f t="shared" si="46"/>
        <v>50190</v>
      </c>
      <c r="AG1021" s="4" t="str">
        <f t="shared" si="47"/>
        <v>Medium</v>
      </c>
    </row>
    <row r="1022" spans="1:33">
      <c r="A1022" t="s">
        <v>1736</v>
      </c>
      <c r="B1022" t="s">
        <v>723</v>
      </c>
      <c r="C1022" s="11">
        <v>46076</v>
      </c>
      <c r="D1022" t="s">
        <v>55</v>
      </c>
      <c r="E1022" t="s">
        <v>56</v>
      </c>
      <c r="F1022" s="4"/>
      <c r="G1022" s="4"/>
      <c r="H1022" t="s">
        <v>201</v>
      </c>
      <c r="I1022" t="s">
        <v>280</v>
      </c>
      <c r="J1022" t="s">
        <v>281</v>
      </c>
      <c r="K1022" t="s">
        <v>124</v>
      </c>
      <c r="L1022" t="s">
        <v>61</v>
      </c>
      <c r="M1022" s="5"/>
      <c r="N1022" s="5"/>
      <c r="O1022" s="5"/>
      <c r="P1022" s="5"/>
      <c r="R1022" t="s">
        <v>95</v>
      </c>
      <c r="S1022" t="s">
        <v>63</v>
      </c>
      <c r="T1022" s="5"/>
      <c r="U1022" s="6"/>
      <c r="V1022" t="s">
        <v>64</v>
      </c>
      <c r="W1022" s="4"/>
      <c r="X1022" t="s">
        <v>65</v>
      </c>
      <c r="Z1022" t="s">
        <v>66</v>
      </c>
      <c r="AA1022" t="str">
        <f>VLOOKUP(H1022,Departments!$A:$B,2,0)</f>
        <v>Emergency</v>
      </c>
      <c r="AB1022" t="str">
        <f>VLOOKUP(J1022,Diagnosis_Guide!$A:$B,2,0)</f>
        <v>Food Poisoning</v>
      </c>
      <c r="AC1022" s="4" t="str">
        <f>VLOOKUP(J1022,Diagnosis_Guide!$A:$C,3,0)</f>
        <v>Emergency</v>
      </c>
      <c r="AD1022" s="4" t="str">
        <f>VLOOKUP(R1022,Insurance_Plans!$A:$C,3,0)</f>
        <v>Self-Pay</v>
      </c>
      <c r="AE1022" s="13" t="str">
        <f t="shared" si="45"/>
        <v/>
      </c>
      <c r="AF1022" s="13" t="str">
        <f t="shared" si="46"/>
        <v/>
      </c>
      <c r="AG1022" s="4" t="str">
        <f t="shared" si="47"/>
        <v>Not Available</v>
      </c>
    </row>
    <row r="1023" spans="1:33">
      <c r="A1023" t="s">
        <v>1737</v>
      </c>
      <c r="B1023" t="s">
        <v>1738</v>
      </c>
      <c r="C1023" s="11">
        <v>46085</v>
      </c>
      <c r="D1023" t="s">
        <v>250</v>
      </c>
      <c r="E1023" t="s">
        <v>70</v>
      </c>
      <c r="F1023" s="4">
        <v>46085</v>
      </c>
      <c r="G1023" s="4">
        <v>46087</v>
      </c>
      <c r="H1023" t="s">
        <v>150</v>
      </c>
      <c r="I1023" t="s">
        <v>228</v>
      </c>
      <c r="J1023" t="s">
        <v>152</v>
      </c>
      <c r="K1023" t="s">
        <v>93</v>
      </c>
      <c r="L1023" t="s">
        <v>61</v>
      </c>
      <c r="M1023" s="5">
        <v>26000</v>
      </c>
      <c r="N1023" s="5">
        <v>4150</v>
      </c>
      <c r="O1023" s="5">
        <v>3150</v>
      </c>
      <c r="P1023" s="5">
        <v>6000</v>
      </c>
      <c r="Q1023" s="13">
        <v>40800</v>
      </c>
      <c r="R1023" t="s">
        <v>95</v>
      </c>
      <c r="S1023" t="s">
        <v>63</v>
      </c>
      <c r="T1023" s="5">
        <v>40800</v>
      </c>
      <c r="U1023" s="6"/>
      <c r="V1023" t="s">
        <v>77</v>
      </c>
      <c r="W1023" s="4">
        <v>46108</v>
      </c>
      <c r="X1023" t="s">
        <v>77</v>
      </c>
      <c r="Y1023" t="s">
        <v>64</v>
      </c>
      <c r="Z1023" t="s">
        <v>96</v>
      </c>
      <c r="AA1023" t="str">
        <f>VLOOKUP(H1023,Departments!$A:$B,2,0)</f>
        <v>Obstetrics</v>
      </c>
      <c r="AB1023" t="str">
        <f>VLOOKUP(J1023,Diagnosis_Guide!$A:$B,2,0)</f>
        <v>Antenatal Complication</v>
      </c>
      <c r="AC1023" s="4" t="str">
        <f>VLOOKUP(J1023,Diagnosis_Guide!$A:$C,3,0)</f>
        <v>Maternal Health</v>
      </c>
      <c r="AD1023" s="4" t="str">
        <f>VLOOKUP(R1023,Insurance_Plans!$A:$C,3,0)</f>
        <v>Self-Pay</v>
      </c>
      <c r="AE1023" s="13">
        <f t="shared" si="45"/>
        <v>2040</v>
      </c>
      <c r="AF1023" s="13">
        <f t="shared" si="46"/>
        <v>42840</v>
      </c>
      <c r="AG1023" s="4" t="str">
        <f t="shared" si="47"/>
        <v>Not Available</v>
      </c>
    </row>
    <row r="1024" spans="1:33">
      <c r="A1024" t="s">
        <v>1739</v>
      </c>
      <c r="B1024" t="s">
        <v>532</v>
      </c>
      <c r="C1024" s="11">
        <v>46056</v>
      </c>
      <c r="D1024" t="s">
        <v>110</v>
      </c>
      <c r="E1024" t="s">
        <v>70</v>
      </c>
      <c r="F1024" s="4">
        <v>46056</v>
      </c>
      <c r="G1024" s="4">
        <v>46056</v>
      </c>
      <c r="H1024" t="s">
        <v>90</v>
      </c>
      <c r="I1024" t="s">
        <v>388</v>
      </c>
      <c r="J1024" t="s">
        <v>129</v>
      </c>
      <c r="K1024" t="s">
        <v>60</v>
      </c>
      <c r="L1024" t="s">
        <v>61</v>
      </c>
      <c r="M1024" s="5">
        <v>55800</v>
      </c>
      <c r="N1024" s="5">
        <v>4850</v>
      </c>
      <c r="O1024" s="5">
        <v>9050</v>
      </c>
      <c r="P1024" s="5">
        <v>0</v>
      </c>
      <c r="Q1024" s="13">
        <v>71200</v>
      </c>
      <c r="R1024" t="s">
        <v>85</v>
      </c>
      <c r="S1024" t="s">
        <v>76</v>
      </c>
      <c r="T1024" s="5">
        <v>18700</v>
      </c>
      <c r="U1024" s="6">
        <v>3</v>
      </c>
      <c r="V1024" t="s">
        <v>77</v>
      </c>
      <c r="W1024" s="4">
        <v>46076</v>
      </c>
      <c r="X1024" t="s">
        <v>77</v>
      </c>
      <c r="Y1024" t="s">
        <v>64</v>
      </c>
      <c r="Z1024" t="s">
        <v>96</v>
      </c>
      <c r="AA1024" t="str">
        <f>VLOOKUP(H1024,Departments!$A:$B,2,0)</f>
        <v>Cardiology</v>
      </c>
      <c r="AB1024" t="str">
        <f>VLOOKUP(J1024,Diagnosis_Guide!$A:$B,2,0)</f>
        <v>Hypertension Crisis</v>
      </c>
      <c r="AC1024" s="4" t="str">
        <f>VLOOKUP(J1024,Diagnosis_Guide!$A:$C,3,0)</f>
        <v>Cardiovascular</v>
      </c>
      <c r="AD1024" s="4" t="str">
        <f>VLOOKUP(R1024,Insurance_Plans!$A:$C,3,0)</f>
        <v>Employer</v>
      </c>
      <c r="AE1024" s="13">
        <f t="shared" si="45"/>
        <v>3560</v>
      </c>
      <c r="AF1024" s="13">
        <f t="shared" si="46"/>
        <v>74760</v>
      </c>
      <c r="AG1024" s="4" t="str">
        <f t="shared" si="47"/>
        <v>Medium</v>
      </c>
    </row>
    <row r="1025" spans="1:33">
      <c r="A1025" t="s">
        <v>1740</v>
      </c>
      <c r="B1025" t="s">
        <v>1741</v>
      </c>
      <c r="C1025" s="11">
        <v>46165</v>
      </c>
      <c r="D1025" t="s">
        <v>132</v>
      </c>
      <c r="E1025" t="s">
        <v>56</v>
      </c>
      <c r="F1025" s="4"/>
      <c r="G1025" s="4"/>
      <c r="H1025" t="s">
        <v>138</v>
      </c>
      <c r="I1025" t="s">
        <v>260</v>
      </c>
      <c r="J1025" t="s">
        <v>236</v>
      </c>
      <c r="K1025" t="s">
        <v>60</v>
      </c>
      <c r="L1025" t="s">
        <v>94</v>
      </c>
      <c r="M1025" s="5"/>
      <c r="N1025" s="5"/>
      <c r="O1025" s="5"/>
      <c r="P1025" s="5"/>
      <c r="R1025" t="s">
        <v>141</v>
      </c>
      <c r="S1025" t="s">
        <v>63</v>
      </c>
      <c r="T1025" s="5"/>
      <c r="U1025" s="6"/>
      <c r="V1025" t="s">
        <v>64</v>
      </c>
      <c r="W1025" s="4"/>
      <c r="X1025" t="s">
        <v>65</v>
      </c>
      <c r="Z1025" t="s">
        <v>66</v>
      </c>
      <c r="AA1025" t="str">
        <f>VLOOKUP(H1025,Departments!$A:$B,2,0)</f>
        <v>Pediatrics</v>
      </c>
      <c r="AB1025" t="str">
        <f>VLOOKUP(J1025,Diagnosis_Guide!$A:$B,2,0)</f>
        <v>Neonatal Observation</v>
      </c>
      <c r="AC1025" s="4" t="str">
        <f>VLOOKUP(J1025,Diagnosis_Guide!$A:$C,3,0)</f>
        <v>Pediatric</v>
      </c>
      <c r="AD1025" s="4" t="str">
        <f>VLOOKUP(R1025,Insurance_Plans!$A:$C,3,0)</f>
        <v>Private</v>
      </c>
      <c r="AE1025" s="13" t="str">
        <f t="shared" si="45"/>
        <v/>
      </c>
      <c r="AF1025" s="13" t="str">
        <f t="shared" si="46"/>
        <v/>
      </c>
      <c r="AG1025" s="4" t="str">
        <f t="shared" si="47"/>
        <v>Not Available</v>
      </c>
    </row>
    <row r="1026" spans="1:33">
      <c r="A1026" t="s">
        <v>1742</v>
      </c>
      <c r="B1026" t="s">
        <v>1743</v>
      </c>
      <c r="C1026" s="11">
        <v>46119</v>
      </c>
      <c r="D1026" t="s">
        <v>210</v>
      </c>
      <c r="E1026" t="s">
        <v>70</v>
      </c>
      <c r="F1026" s="4">
        <v>46119</v>
      </c>
      <c r="G1026" s="4">
        <v>46122</v>
      </c>
      <c r="H1026" t="s">
        <v>121</v>
      </c>
      <c r="I1026" t="s">
        <v>174</v>
      </c>
      <c r="J1026" t="s">
        <v>123</v>
      </c>
      <c r="K1026" t="s">
        <v>124</v>
      </c>
      <c r="L1026" t="s">
        <v>74</v>
      </c>
      <c r="M1026" s="5">
        <v>40600</v>
      </c>
      <c r="N1026" s="5">
        <v>3950</v>
      </c>
      <c r="O1026" s="5">
        <v>4900</v>
      </c>
      <c r="P1026" s="5">
        <v>9000</v>
      </c>
      <c r="Q1026" s="13">
        <v>60250</v>
      </c>
      <c r="R1026" t="s">
        <v>62</v>
      </c>
      <c r="S1026" t="s">
        <v>76</v>
      </c>
      <c r="T1026" s="5">
        <v>18480</v>
      </c>
      <c r="U1026" s="6">
        <v>4</v>
      </c>
      <c r="V1026" t="s">
        <v>77</v>
      </c>
      <c r="W1026" s="4">
        <v>46135</v>
      </c>
      <c r="X1026" t="s">
        <v>77</v>
      </c>
      <c r="Y1026" t="s">
        <v>64</v>
      </c>
      <c r="Z1026" t="s">
        <v>78</v>
      </c>
      <c r="AA1026" t="str">
        <f>VLOOKUP(H1026,Departments!$A:$B,2,0)</f>
        <v>Neurology</v>
      </c>
      <c r="AB1026" t="str">
        <f>VLOOKUP(J1026,Diagnosis_Guide!$A:$B,2,0)</f>
        <v>Seizure Episode</v>
      </c>
      <c r="AC1026" s="4" t="str">
        <f>VLOOKUP(J1026,Diagnosis_Guide!$A:$C,3,0)</f>
        <v>Neurological</v>
      </c>
      <c r="AD1026" s="4" t="str">
        <f>VLOOKUP(R1026,Insurance_Plans!$A:$C,3,0)</f>
        <v>Public</v>
      </c>
      <c r="AE1026" s="13">
        <f t="shared" ref="AE1026:AE1089" si="48">IF(Q1026="","",Q1026*0.05)</f>
        <v>3012.5</v>
      </c>
      <c r="AF1026" s="13">
        <f t="shared" ref="AF1026:AF1089" si="49">IF(Q1026="","",Q1026+AE1026)</f>
        <v>63262.5</v>
      </c>
      <c r="AG1026" s="4" t="str">
        <f t="shared" ref="AG1026:AG1089" si="50">IF(U1026="","Not Available",IF(U1026&gt;=4,"High",IF(U1026=3,"Medium","Low")))</f>
        <v>High</v>
      </c>
    </row>
    <row r="1027" spans="1:33">
      <c r="A1027" t="s">
        <v>1744</v>
      </c>
      <c r="B1027" t="s">
        <v>409</v>
      </c>
      <c r="C1027" s="11">
        <v>46063</v>
      </c>
      <c r="D1027" t="s">
        <v>337</v>
      </c>
      <c r="E1027" t="s">
        <v>70</v>
      </c>
      <c r="F1027" s="4">
        <v>46063</v>
      </c>
      <c r="G1027" s="4">
        <v>46064</v>
      </c>
      <c r="H1027" t="s">
        <v>121</v>
      </c>
      <c r="I1027" t="s">
        <v>665</v>
      </c>
      <c r="J1027" t="s">
        <v>252</v>
      </c>
      <c r="K1027" t="s">
        <v>60</v>
      </c>
      <c r="L1027" t="s">
        <v>61</v>
      </c>
      <c r="M1027" s="5">
        <v>72200</v>
      </c>
      <c r="N1027" s="5">
        <v>12050</v>
      </c>
      <c r="O1027" s="5">
        <v>12200</v>
      </c>
      <c r="P1027" s="5">
        <v>3000</v>
      </c>
      <c r="Q1027" s="13">
        <v>100450</v>
      </c>
      <c r="R1027" t="s">
        <v>75</v>
      </c>
      <c r="S1027" t="s">
        <v>76</v>
      </c>
      <c r="T1027" s="5">
        <v>45500</v>
      </c>
      <c r="U1027" s="6">
        <v>4</v>
      </c>
      <c r="V1027" t="s">
        <v>77</v>
      </c>
      <c r="W1027" s="4">
        <v>46084</v>
      </c>
      <c r="X1027" t="s">
        <v>77</v>
      </c>
      <c r="Y1027" t="s">
        <v>64</v>
      </c>
      <c r="Z1027" t="s">
        <v>96</v>
      </c>
      <c r="AA1027" t="str">
        <f>VLOOKUP(H1027,Departments!$A:$B,2,0)</f>
        <v>Neurology</v>
      </c>
      <c r="AB1027" t="str">
        <f>VLOOKUP(J1027,Diagnosis_Guide!$A:$B,2,0)</f>
        <v>Stroke Assessment</v>
      </c>
      <c r="AC1027" s="4" t="str">
        <f>VLOOKUP(J1027,Diagnosis_Guide!$A:$C,3,0)</f>
        <v>Neurological</v>
      </c>
      <c r="AD1027" s="4" t="str">
        <f>VLOOKUP(R1027,Insurance_Plans!$A:$C,3,0)</f>
        <v>Public</v>
      </c>
      <c r="AE1027" s="13">
        <f t="shared" si="48"/>
        <v>5022.5</v>
      </c>
      <c r="AF1027" s="13">
        <f t="shared" si="49"/>
        <v>105472.5</v>
      </c>
      <c r="AG1027" s="4" t="str">
        <f t="shared" si="50"/>
        <v>High</v>
      </c>
    </row>
    <row r="1028" spans="1:33">
      <c r="A1028" t="s">
        <v>1745</v>
      </c>
      <c r="B1028" t="s">
        <v>491</v>
      </c>
      <c r="C1028" s="11">
        <v>46109</v>
      </c>
      <c r="D1028" t="s">
        <v>110</v>
      </c>
      <c r="E1028" t="s">
        <v>70</v>
      </c>
      <c r="F1028" s="4">
        <v>46109</v>
      </c>
      <c r="G1028" s="4">
        <v>46111</v>
      </c>
      <c r="H1028" t="s">
        <v>121</v>
      </c>
      <c r="I1028" t="s">
        <v>665</v>
      </c>
      <c r="J1028" t="s">
        <v>256</v>
      </c>
      <c r="K1028" t="s">
        <v>73</v>
      </c>
      <c r="L1028" t="s">
        <v>74</v>
      </c>
      <c r="M1028" s="5">
        <v>17800</v>
      </c>
      <c r="N1028" s="5">
        <v>1700</v>
      </c>
      <c r="O1028" s="5">
        <v>3150</v>
      </c>
      <c r="P1028" s="5">
        <v>9000</v>
      </c>
      <c r="Q1028" s="13">
        <v>32650</v>
      </c>
      <c r="R1028" t="s">
        <v>141</v>
      </c>
      <c r="S1028" t="s">
        <v>76</v>
      </c>
      <c r="T1028" s="5">
        <v>6100</v>
      </c>
      <c r="U1028" s="6">
        <v>2</v>
      </c>
      <c r="V1028" t="s">
        <v>77</v>
      </c>
      <c r="W1028" s="4">
        <v>46119</v>
      </c>
      <c r="X1028" t="s">
        <v>64</v>
      </c>
      <c r="Y1028" t="s">
        <v>77</v>
      </c>
      <c r="Z1028" t="s">
        <v>96</v>
      </c>
      <c r="AA1028" t="str">
        <f>VLOOKUP(H1028,Departments!$A:$B,2,0)</f>
        <v>Neurology</v>
      </c>
      <c r="AB1028" t="str">
        <f>VLOOKUP(J1028,Diagnosis_Guide!$A:$B,2,0)</f>
        <v>Migraine Complication</v>
      </c>
      <c r="AC1028" s="4" t="str">
        <f>VLOOKUP(J1028,Diagnosis_Guide!$A:$C,3,0)</f>
        <v>Neurological</v>
      </c>
      <c r="AD1028" s="4" t="str">
        <f>VLOOKUP(R1028,Insurance_Plans!$A:$C,3,0)</f>
        <v>Private</v>
      </c>
      <c r="AE1028" s="13">
        <f t="shared" si="48"/>
        <v>1632.5</v>
      </c>
      <c r="AF1028" s="13">
        <f t="shared" si="49"/>
        <v>34282.5</v>
      </c>
      <c r="AG1028" s="4" t="str">
        <f t="shared" si="50"/>
        <v>Low</v>
      </c>
    </row>
    <row r="1029" spans="1:33">
      <c r="A1029" t="s">
        <v>1746</v>
      </c>
      <c r="B1029" t="s">
        <v>567</v>
      </c>
      <c r="C1029" s="11">
        <v>46131</v>
      </c>
      <c r="D1029" t="s">
        <v>298</v>
      </c>
      <c r="E1029" t="s">
        <v>177</v>
      </c>
      <c r="F1029" s="4"/>
      <c r="G1029" s="4"/>
      <c r="H1029" t="s">
        <v>138</v>
      </c>
      <c r="I1029" t="s">
        <v>352</v>
      </c>
      <c r="J1029" t="s">
        <v>140</v>
      </c>
      <c r="K1029" t="s">
        <v>60</v>
      </c>
      <c r="L1029" t="s">
        <v>94</v>
      </c>
      <c r="M1029" s="5"/>
      <c r="N1029" s="5"/>
      <c r="O1029" s="5"/>
      <c r="P1029" s="5"/>
      <c r="R1029" t="s">
        <v>134</v>
      </c>
      <c r="S1029" t="s">
        <v>63</v>
      </c>
      <c r="T1029" s="5"/>
      <c r="U1029" s="6"/>
      <c r="V1029" t="s">
        <v>64</v>
      </c>
      <c r="W1029" s="4"/>
      <c r="X1029" t="s">
        <v>65</v>
      </c>
      <c r="Z1029" t="s">
        <v>66</v>
      </c>
      <c r="AA1029" t="str">
        <f>VLOOKUP(H1029,Departments!$A:$B,2,0)</f>
        <v>Pediatrics</v>
      </c>
      <c r="AB1029" t="str">
        <f>VLOOKUP(J1029,Diagnosis_Guide!$A:$B,2,0)</f>
        <v>Pediatric Asthma</v>
      </c>
      <c r="AC1029" s="4" t="str">
        <f>VLOOKUP(J1029,Diagnosis_Guide!$A:$C,3,0)</f>
        <v>Pediatric</v>
      </c>
      <c r="AD1029" s="4" t="str">
        <f>VLOOKUP(R1029,Insurance_Plans!$A:$C,3,0)</f>
        <v>Community</v>
      </c>
      <c r="AE1029" s="13" t="str">
        <f t="shared" si="48"/>
        <v/>
      </c>
      <c r="AF1029" s="13" t="str">
        <f t="shared" si="49"/>
        <v/>
      </c>
      <c r="AG1029" s="4" t="str">
        <f t="shared" si="50"/>
        <v>Not Available</v>
      </c>
    </row>
    <row r="1030" spans="1:33">
      <c r="A1030" t="s">
        <v>1747</v>
      </c>
      <c r="B1030" t="s">
        <v>573</v>
      </c>
      <c r="C1030" s="11">
        <v>46032</v>
      </c>
      <c r="D1030" t="s">
        <v>120</v>
      </c>
      <c r="E1030" t="s">
        <v>70</v>
      </c>
      <c r="F1030" s="4">
        <v>46033</v>
      </c>
      <c r="G1030" s="4">
        <v>46034</v>
      </c>
      <c r="H1030" t="s">
        <v>138</v>
      </c>
      <c r="I1030" t="s">
        <v>139</v>
      </c>
      <c r="J1030" t="s">
        <v>261</v>
      </c>
      <c r="K1030" t="s">
        <v>60</v>
      </c>
      <c r="L1030" t="s">
        <v>74</v>
      </c>
      <c r="M1030" s="5">
        <v>5400</v>
      </c>
      <c r="N1030" s="5">
        <v>800</v>
      </c>
      <c r="O1030" s="5">
        <v>1200</v>
      </c>
      <c r="P1030" s="5">
        <v>3000</v>
      </c>
      <c r="Q1030" s="13">
        <v>12400</v>
      </c>
      <c r="R1030" t="s">
        <v>85</v>
      </c>
      <c r="S1030" t="s">
        <v>86</v>
      </c>
      <c r="T1030" s="5">
        <v>4000</v>
      </c>
      <c r="U1030" s="6">
        <v>3</v>
      </c>
      <c r="V1030" t="s">
        <v>64</v>
      </c>
      <c r="W1030" s="4"/>
      <c r="X1030" t="s">
        <v>65</v>
      </c>
      <c r="Y1030" t="s">
        <v>64</v>
      </c>
      <c r="Z1030" t="s">
        <v>96</v>
      </c>
      <c r="AA1030" t="str">
        <f>VLOOKUP(H1030,Departments!$A:$B,2,0)</f>
        <v>Pediatrics</v>
      </c>
      <c r="AB1030" t="str">
        <f>VLOOKUP(J1030,Diagnosis_Guide!$A:$B,2,0)</f>
        <v>Child Fever</v>
      </c>
      <c r="AC1030" s="4" t="str">
        <f>VLOOKUP(J1030,Diagnosis_Guide!$A:$C,3,0)</f>
        <v>Pediatric</v>
      </c>
      <c r="AD1030" s="4" t="str">
        <f>VLOOKUP(R1030,Insurance_Plans!$A:$C,3,0)</f>
        <v>Employer</v>
      </c>
      <c r="AE1030" s="13">
        <f t="shared" si="48"/>
        <v>620</v>
      </c>
      <c r="AF1030" s="13">
        <f t="shared" si="49"/>
        <v>13020</v>
      </c>
      <c r="AG1030" s="4" t="str">
        <f t="shared" si="50"/>
        <v>Medium</v>
      </c>
    </row>
    <row r="1031" spans="1:33">
      <c r="A1031" t="s">
        <v>1748</v>
      </c>
      <c r="B1031" t="s">
        <v>713</v>
      </c>
      <c r="C1031" s="11">
        <v>46128</v>
      </c>
      <c r="D1031" t="s">
        <v>469</v>
      </c>
      <c r="E1031" t="s">
        <v>177</v>
      </c>
      <c r="F1031" s="4"/>
      <c r="G1031" s="4"/>
      <c r="H1031" t="s">
        <v>138</v>
      </c>
      <c r="I1031" t="s">
        <v>352</v>
      </c>
      <c r="J1031" t="s">
        <v>140</v>
      </c>
      <c r="K1031" t="s">
        <v>124</v>
      </c>
      <c r="L1031" t="s">
        <v>94</v>
      </c>
      <c r="M1031" s="5"/>
      <c r="N1031" s="5"/>
      <c r="O1031" s="5"/>
      <c r="P1031" s="5"/>
      <c r="R1031" t="s">
        <v>85</v>
      </c>
      <c r="S1031" t="s">
        <v>63</v>
      </c>
      <c r="T1031" s="5"/>
      <c r="U1031" s="6"/>
      <c r="V1031" t="s">
        <v>64</v>
      </c>
      <c r="W1031" s="4"/>
      <c r="X1031" t="s">
        <v>65</v>
      </c>
      <c r="Z1031" t="s">
        <v>66</v>
      </c>
      <c r="AA1031" t="str">
        <f>VLOOKUP(H1031,Departments!$A:$B,2,0)</f>
        <v>Pediatrics</v>
      </c>
      <c r="AB1031" t="str">
        <f>VLOOKUP(J1031,Diagnosis_Guide!$A:$B,2,0)</f>
        <v>Pediatric Asthma</v>
      </c>
      <c r="AC1031" s="4" t="str">
        <f>VLOOKUP(J1031,Diagnosis_Guide!$A:$C,3,0)</f>
        <v>Pediatric</v>
      </c>
      <c r="AD1031" s="4" t="str">
        <f>VLOOKUP(R1031,Insurance_Plans!$A:$C,3,0)</f>
        <v>Employer</v>
      </c>
      <c r="AE1031" s="13" t="str">
        <f t="shared" si="48"/>
        <v/>
      </c>
      <c r="AF1031" s="13" t="str">
        <f t="shared" si="49"/>
        <v/>
      </c>
      <c r="AG1031" s="4" t="str">
        <f t="shared" si="50"/>
        <v>Not Available</v>
      </c>
    </row>
    <row r="1032" spans="1:33">
      <c r="A1032" t="s">
        <v>1749</v>
      </c>
      <c r="B1032" t="s">
        <v>678</v>
      </c>
      <c r="C1032" s="11">
        <v>46129</v>
      </c>
      <c r="D1032" t="s">
        <v>132</v>
      </c>
      <c r="E1032" t="s">
        <v>70</v>
      </c>
      <c r="F1032" s="4">
        <v>46129</v>
      </c>
      <c r="G1032" s="4">
        <v>46136</v>
      </c>
      <c r="H1032" t="s">
        <v>111</v>
      </c>
      <c r="I1032" t="s">
        <v>267</v>
      </c>
      <c r="J1032" t="s">
        <v>113</v>
      </c>
      <c r="K1032" t="s">
        <v>73</v>
      </c>
      <c r="L1032" t="s">
        <v>94</v>
      </c>
      <c r="M1032" s="5">
        <v>23700</v>
      </c>
      <c r="N1032" s="5">
        <v>3400</v>
      </c>
      <c r="O1032" s="5">
        <v>3200</v>
      </c>
      <c r="P1032" s="5">
        <v>31500</v>
      </c>
      <c r="Q1032" s="13">
        <v>63000</v>
      </c>
      <c r="R1032" t="s">
        <v>95</v>
      </c>
      <c r="S1032" t="s">
        <v>63</v>
      </c>
      <c r="T1032" s="5">
        <v>63000</v>
      </c>
      <c r="U1032" s="6">
        <v>3</v>
      </c>
      <c r="V1032" t="s">
        <v>77</v>
      </c>
      <c r="W1032" s="4">
        <v>46152</v>
      </c>
      <c r="X1032" t="s">
        <v>77</v>
      </c>
      <c r="Y1032" t="s">
        <v>64</v>
      </c>
      <c r="Z1032" t="s">
        <v>436</v>
      </c>
      <c r="AA1032" t="str">
        <f>VLOOKUP(H1032,Departments!$A:$B,2,0)</f>
        <v>General Medicine</v>
      </c>
      <c r="AB1032" t="str">
        <f>VLOOKUP(J1032,Diagnosis_Guide!$A:$B,2,0)</f>
        <v>Diabetes Complication</v>
      </c>
      <c r="AC1032" s="4" t="str">
        <f>VLOOKUP(J1032,Diagnosis_Guide!$A:$C,3,0)</f>
        <v>Endocrine/General</v>
      </c>
      <c r="AD1032" s="4" t="str">
        <f>VLOOKUP(R1032,Insurance_Plans!$A:$C,3,0)</f>
        <v>Self-Pay</v>
      </c>
      <c r="AE1032" s="13">
        <f t="shared" si="48"/>
        <v>3150</v>
      </c>
      <c r="AF1032" s="13">
        <f t="shared" si="49"/>
        <v>66150</v>
      </c>
      <c r="AG1032" s="4" t="str">
        <f t="shared" si="50"/>
        <v>Medium</v>
      </c>
    </row>
    <row r="1033" spans="1:33">
      <c r="A1033" t="s">
        <v>1750</v>
      </c>
      <c r="B1033" t="s">
        <v>1496</v>
      </c>
      <c r="C1033" s="11">
        <v>46068</v>
      </c>
      <c r="D1033" t="s">
        <v>173</v>
      </c>
      <c r="E1033" t="s">
        <v>177</v>
      </c>
      <c r="F1033" s="4"/>
      <c r="G1033" s="4"/>
      <c r="H1033" t="s">
        <v>82</v>
      </c>
      <c r="I1033" t="s">
        <v>272</v>
      </c>
      <c r="J1033" t="s">
        <v>156</v>
      </c>
      <c r="K1033" t="s">
        <v>60</v>
      </c>
      <c r="L1033" t="s">
        <v>74</v>
      </c>
      <c r="M1033" s="5"/>
      <c r="N1033" s="5"/>
      <c r="O1033" s="5"/>
      <c r="P1033" s="5"/>
      <c r="R1033" t="s">
        <v>141</v>
      </c>
      <c r="S1033" t="s">
        <v>63</v>
      </c>
      <c r="T1033" s="5"/>
      <c r="U1033" s="6"/>
      <c r="V1033" t="s">
        <v>64</v>
      </c>
      <c r="W1033" s="4"/>
      <c r="X1033" t="s">
        <v>65</v>
      </c>
      <c r="Z1033" t="s">
        <v>66</v>
      </c>
      <c r="AA1033" t="str">
        <f>VLOOKUP(H1033,Departments!$A:$B,2,0)</f>
        <v>Orthopedics</v>
      </c>
      <c r="AB1033" t="str">
        <f>VLOOKUP(J1033,Diagnosis_Guide!$A:$B,2,0)</f>
        <v>Spinal Injury</v>
      </c>
      <c r="AC1033" s="4" t="str">
        <f>VLOOKUP(J1033,Diagnosis_Guide!$A:$C,3,0)</f>
        <v>Musculoskeletal</v>
      </c>
      <c r="AD1033" s="4" t="str">
        <f>VLOOKUP(R1033,Insurance_Plans!$A:$C,3,0)</f>
        <v>Private</v>
      </c>
      <c r="AE1033" s="13" t="str">
        <f t="shared" si="48"/>
        <v/>
      </c>
      <c r="AF1033" s="13" t="str">
        <f t="shared" si="49"/>
        <v/>
      </c>
      <c r="AG1033" s="4" t="str">
        <f t="shared" si="50"/>
        <v>Not Available</v>
      </c>
    </row>
    <row r="1034" spans="1:33">
      <c r="A1034" t="s">
        <v>1751</v>
      </c>
      <c r="B1034" t="s">
        <v>1481</v>
      </c>
      <c r="C1034" s="11">
        <v>46135</v>
      </c>
      <c r="D1034" t="s">
        <v>225</v>
      </c>
      <c r="E1034" t="s">
        <v>70</v>
      </c>
      <c r="F1034" s="4">
        <v>46135</v>
      </c>
      <c r="G1034" s="4">
        <v>46141</v>
      </c>
      <c r="H1034" t="s">
        <v>138</v>
      </c>
      <c r="I1034" t="s">
        <v>139</v>
      </c>
      <c r="J1034" t="s">
        <v>236</v>
      </c>
      <c r="K1034" t="s">
        <v>73</v>
      </c>
      <c r="L1034" t="s">
        <v>61</v>
      </c>
      <c r="M1034" s="5">
        <v>50600</v>
      </c>
      <c r="N1034" s="5">
        <v>8900</v>
      </c>
      <c r="O1034" s="5">
        <v>8250</v>
      </c>
      <c r="P1034" s="5">
        <v>15000</v>
      </c>
      <c r="Q1034" s="13">
        <v>84750</v>
      </c>
      <c r="R1034" t="s">
        <v>141</v>
      </c>
      <c r="S1034" t="s">
        <v>76</v>
      </c>
      <c r="T1034" s="5">
        <v>13910</v>
      </c>
      <c r="U1034" s="6">
        <v>2</v>
      </c>
      <c r="V1034" t="s">
        <v>77</v>
      </c>
      <c r="W1034" s="4">
        <v>46153</v>
      </c>
      <c r="X1034" t="s">
        <v>77</v>
      </c>
      <c r="Y1034" t="s">
        <v>77</v>
      </c>
      <c r="Z1034" t="s">
        <v>436</v>
      </c>
      <c r="AA1034" t="str">
        <f>VLOOKUP(H1034,Departments!$A:$B,2,0)</f>
        <v>Pediatrics</v>
      </c>
      <c r="AB1034" t="str">
        <f>VLOOKUP(J1034,Diagnosis_Guide!$A:$B,2,0)</f>
        <v>Neonatal Observation</v>
      </c>
      <c r="AC1034" s="4" t="str">
        <f>VLOOKUP(J1034,Diagnosis_Guide!$A:$C,3,0)</f>
        <v>Pediatric</v>
      </c>
      <c r="AD1034" s="4" t="str">
        <f>VLOOKUP(R1034,Insurance_Plans!$A:$C,3,0)</f>
        <v>Private</v>
      </c>
      <c r="AE1034" s="13">
        <f t="shared" si="48"/>
        <v>4237.5</v>
      </c>
      <c r="AF1034" s="13">
        <f t="shared" si="49"/>
        <v>88987.5</v>
      </c>
      <c r="AG1034" s="4" t="str">
        <f t="shared" si="50"/>
        <v>Low</v>
      </c>
    </row>
    <row r="1035" spans="1:33">
      <c r="A1035" t="s">
        <v>1752</v>
      </c>
      <c r="B1035" t="s">
        <v>131</v>
      </c>
      <c r="C1035" s="11">
        <v>46059</v>
      </c>
      <c r="D1035" t="s">
        <v>469</v>
      </c>
      <c r="E1035" t="s">
        <v>70</v>
      </c>
      <c r="F1035" s="4">
        <v>46059</v>
      </c>
      <c r="G1035" s="4">
        <v>46061</v>
      </c>
      <c r="H1035" t="s">
        <v>103</v>
      </c>
      <c r="I1035" t="s">
        <v>207</v>
      </c>
      <c r="J1035" t="s">
        <v>145</v>
      </c>
      <c r="K1035" t="s">
        <v>73</v>
      </c>
      <c r="L1035" t="s">
        <v>94</v>
      </c>
      <c r="M1035" s="5">
        <v>31200</v>
      </c>
      <c r="N1035" s="5">
        <v>4200</v>
      </c>
      <c r="O1035" s="5">
        <v>7800</v>
      </c>
      <c r="P1035" s="5">
        <v>5000</v>
      </c>
      <c r="Q1035" s="13">
        <v>49700</v>
      </c>
      <c r="R1035" t="s">
        <v>85</v>
      </c>
      <c r="S1035" t="s">
        <v>76</v>
      </c>
      <c r="T1035" s="5">
        <v>13320</v>
      </c>
      <c r="U1035" s="6">
        <v>4</v>
      </c>
      <c r="V1035" t="s">
        <v>77</v>
      </c>
      <c r="W1035" s="4">
        <v>46081</v>
      </c>
      <c r="X1035" t="s">
        <v>77</v>
      </c>
      <c r="Y1035" t="s">
        <v>64</v>
      </c>
      <c r="Z1035" t="s">
        <v>78</v>
      </c>
      <c r="AA1035" t="str">
        <f>VLOOKUP(H1035,Departments!$A:$B,2,0)</f>
        <v>Nephrology</v>
      </c>
      <c r="AB1035" t="str">
        <f>VLOOKUP(J1035,Diagnosis_Guide!$A:$B,2,0)</f>
        <v>Kidney Stone</v>
      </c>
      <c r="AC1035" s="4" t="str">
        <f>VLOOKUP(J1035,Diagnosis_Guide!$A:$C,3,0)</f>
        <v>Renal</v>
      </c>
      <c r="AD1035" s="4" t="str">
        <f>VLOOKUP(R1035,Insurance_Plans!$A:$C,3,0)</f>
        <v>Employer</v>
      </c>
      <c r="AE1035" s="13">
        <f t="shared" si="48"/>
        <v>2485</v>
      </c>
      <c r="AF1035" s="13">
        <f t="shared" si="49"/>
        <v>52185</v>
      </c>
      <c r="AG1035" s="4" t="str">
        <f t="shared" si="50"/>
        <v>High</v>
      </c>
    </row>
    <row r="1036" spans="1:33">
      <c r="A1036" t="s">
        <v>1753</v>
      </c>
      <c r="B1036" t="s">
        <v>715</v>
      </c>
      <c r="C1036" s="11">
        <v>46104</v>
      </c>
      <c r="D1036" t="s">
        <v>250</v>
      </c>
      <c r="E1036" t="s">
        <v>70</v>
      </c>
      <c r="F1036" s="4">
        <v>46104</v>
      </c>
      <c r="G1036" s="4">
        <v>46106</v>
      </c>
      <c r="H1036" t="s">
        <v>150</v>
      </c>
      <c r="I1036" t="s">
        <v>304</v>
      </c>
      <c r="J1036" t="s">
        <v>229</v>
      </c>
      <c r="K1036" t="s">
        <v>73</v>
      </c>
      <c r="L1036" t="s">
        <v>74</v>
      </c>
      <c r="M1036" s="5">
        <v>39200</v>
      </c>
      <c r="N1036" s="5">
        <v>5550</v>
      </c>
      <c r="O1036" s="5">
        <v>6100</v>
      </c>
      <c r="P1036" s="5">
        <v>7000</v>
      </c>
      <c r="Q1036" s="13">
        <v>59050</v>
      </c>
      <c r="R1036" t="s">
        <v>75</v>
      </c>
      <c r="S1036" t="s">
        <v>76</v>
      </c>
      <c r="T1036" s="5">
        <v>26870</v>
      </c>
      <c r="U1036" s="6">
        <v>5</v>
      </c>
      <c r="V1036" t="s">
        <v>64</v>
      </c>
      <c r="W1036" s="4"/>
      <c r="X1036" t="s">
        <v>65</v>
      </c>
      <c r="Y1036" t="s">
        <v>64</v>
      </c>
      <c r="Z1036" t="s">
        <v>78</v>
      </c>
      <c r="AA1036" t="str">
        <f>VLOOKUP(H1036,Departments!$A:$B,2,0)</f>
        <v>Obstetrics</v>
      </c>
      <c r="AB1036" t="str">
        <f>VLOOKUP(J1036,Diagnosis_Guide!$A:$B,2,0)</f>
        <v>Delivery Care</v>
      </c>
      <c r="AC1036" s="4" t="str">
        <f>VLOOKUP(J1036,Diagnosis_Guide!$A:$C,3,0)</f>
        <v>Maternal Health</v>
      </c>
      <c r="AD1036" s="4" t="str">
        <f>VLOOKUP(R1036,Insurance_Plans!$A:$C,3,0)</f>
        <v>Public</v>
      </c>
      <c r="AE1036" s="13">
        <f t="shared" si="48"/>
        <v>2952.5</v>
      </c>
      <c r="AF1036" s="13">
        <f t="shared" si="49"/>
        <v>62002.5</v>
      </c>
      <c r="AG1036" s="4" t="str">
        <f t="shared" si="50"/>
        <v>High</v>
      </c>
    </row>
    <row r="1037" spans="1:33">
      <c r="A1037" t="s">
        <v>1754</v>
      </c>
      <c r="B1037" t="s">
        <v>1738</v>
      </c>
      <c r="C1037" s="11">
        <v>46080</v>
      </c>
      <c r="D1037" t="s">
        <v>144</v>
      </c>
      <c r="E1037" t="s">
        <v>177</v>
      </c>
      <c r="F1037" s="4"/>
      <c r="G1037" s="4"/>
      <c r="H1037" t="s">
        <v>201</v>
      </c>
      <c r="I1037" t="s">
        <v>280</v>
      </c>
      <c r="J1037" t="s">
        <v>203</v>
      </c>
      <c r="K1037" t="s">
        <v>124</v>
      </c>
      <c r="L1037" t="s">
        <v>94</v>
      </c>
      <c r="M1037" s="5"/>
      <c r="N1037" s="5"/>
      <c r="O1037" s="5"/>
      <c r="P1037" s="5"/>
      <c r="R1037" t="s">
        <v>141</v>
      </c>
      <c r="S1037" t="s">
        <v>63</v>
      </c>
      <c r="T1037" s="5"/>
      <c r="U1037" s="6"/>
      <c r="V1037" t="s">
        <v>64</v>
      </c>
      <c r="W1037" s="4"/>
      <c r="X1037" t="s">
        <v>65</v>
      </c>
      <c r="Z1037" t="s">
        <v>66</v>
      </c>
      <c r="AA1037" t="str">
        <f>VLOOKUP(H1037,Departments!$A:$B,2,0)</f>
        <v>Emergency</v>
      </c>
      <c r="AB1037" t="str">
        <f>VLOOKUP(J1037,Diagnosis_Guide!$A:$B,2,0)</f>
        <v>Trauma Observation</v>
      </c>
      <c r="AC1037" s="4" t="str">
        <f>VLOOKUP(J1037,Diagnosis_Guide!$A:$C,3,0)</f>
        <v>Emergency</v>
      </c>
      <c r="AD1037" s="4" t="str">
        <f>VLOOKUP(R1037,Insurance_Plans!$A:$C,3,0)</f>
        <v>Private</v>
      </c>
      <c r="AE1037" s="13" t="str">
        <f t="shared" si="48"/>
        <v/>
      </c>
      <c r="AF1037" s="13" t="str">
        <f t="shared" si="49"/>
        <v/>
      </c>
      <c r="AG1037" s="4" t="str">
        <f t="shared" si="50"/>
        <v>Not Available</v>
      </c>
    </row>
    <row r="1038" spans="1:33">
      <c r="A1038" t="s">
        <v>1755</v>
      </c>
      <c r="B1038" t="s">
        <v>1311</v>
      </c>
      <c r="C1038" s="11">
        <v>46139</v>
      </c>
      <c r="D1038" t="s">
        <v>469</v>
      </c>
      <c r="E1038" t="s">
        <v>70</v>
      </c>
      <c r="F1038" s="4">
        <v>46139</v>
      </c>
      <c r="G1038" s="4">
        <v>46140</v>
      </c>
      <c r="H1038" t="s">
        <v>150</v>
      </c>
      <c r="I1038" t="s">
        <v>304</v>
      </c>
      <c r="J1038" t="s">
        <v>152</v>
      </c>
      <c r="K1038" t="s">
        <v>60</v>
      </c>
      <c r="L1038" t="s">
        <v>94</v>
      </c>
      <c r="M1038" s="5">
        <v>28800</v>
      </c>
      <c r="N1038" s="5">
        <v>4350</v>
      </c>
      <c r="O1038" s="5">
        <v>3300</v>
      </c>
      <c r="P1038" s="5">
        <v>3500</v>
      </c>
      <c r="Q1038" s="13">
        <v>41150</v>
      </c>
      <c r="R1038" t="s">
        <v>141</v>
      </c>
      <c r="S1038" t="s">
        <v>76</v>
      </c>
      <c r="T1038" s="5">
        <v>7370</v>
      </c>
      <c r="U1038" s="6">
        <v>3</v>
      </c>
      <c r="V1038" t="s">
        <v>77</v>
      </c>
      <c r="W1038" s="4">
        <v>46147</v>
      </c>
      <c r="X1038" t="s">
        <v>64</v>
      </c>
      <c r="Y1038" t="s">
        <v>77</v>
      </c>
      <c r="Z1038" t="s">
        <v>96</v>
      </c>
      <c r="AA1038" t="str">
        <f>VLOOKUP(H1038,Departments!$A:$B,2,0)</f>
        <v>Obstetrics</v>
      </c>
      <c r="AB1038" t="str">
        <f>VLOOKUP(J1038,Diagnosis_Guide!$A:$B,2,0)</f>
        <v>Antenatal Complication</v>
      </c>
      <c r="AC1038" s="4" t="str">
        <f>VLOOKUP(J1038,Diagnosis_Guide!$A:$C,3,0)</f>
        <v>Maternal Health</v>
      </c>
      <c r="AD1038" s="4" t="str">
        <f>VLOOKUP(R1038,Insurance_Plans!$A:$C,3,0)</f>
        <v>Private</v>
      </c>
      <c r="AE1038" s="13">
        <f t="shared" si="48"/>
        <v>2057.5</v>
      </c>
      <c r="AF1038" s="13">
        <f t="shared" si="49"/>
        <v>43207.5</v>
      </c>
      <c r="AG1038" s="4" t="str">
        <f t="shared" si="50"/>
        <v>Medium</v>
      </c>
    </row>
    <row r="1039" spans="1:33">
      <c r="A1039" t="s">
        <v>1756</v>
      </c>
      <c r="B1039" t="s">
        <v>205</v>
      </c>
      <c r="C1039" s="11">
        <v>46059</v>
      </c>
      <c r="D1039" t="s">
        <v>206</v>
      </c>
      <c r="E1039" t="s">
        <v>70</v>
      </c>
      <c r="F1039" s="4">
        <v>46059</v>
      </c>
      <c r="G1039" s="4">
        <v>46063</v>
      </c>
      <c r="H1039" t="s">
        <v>150</v>
      </c>
      <c r="I1039" t="s">
        <v>239</v>
      </c>
      <c r="J1039" t="s">
        <v>152</v>
      </c>
      <c r="K1039" t="s">
        <v>124</v>
      </c>
      <c r="L1039" t="s">
        <v>94</v>
      </c>
      <c r="M1039" s="5">
        <v>27500</v>
      </c>
      <c r="N1039" s="5">
        <v>4250</v>
      </c>
      <c r="O1039" s="5">
        <v>3900</v>
      </c>
      <c r="P1039" s="5">
        <v>14000</v>
      </c>
      <c r="Q1039" s="13">
        <v>51450</v>
      </c>
      <c r="R1039" t="s">
        <v>75</v>
      </c>
      <c r="S1039" t="s">
        <v>76</v>
      </c>
      <c r="T1039" s="5">
        <v>23450</v>
      </c>
      <c r="U1039" s="6">
        <v>3</v>
      </c>
      <c r="V1039" t="s">
        <v>77</v>
      </c>
      <c r="W1039" s="4">
        <v>46082</v>
      </c>
      <c r="X1039" t="s">
        <v>77</v>
      </c>
      <c r="Y1039" t="s">
        <v>64</v>
      </c>
      <c r="Z1039" t="s">
        <v>96</v>
      </c>
      <c r="AA1039" t="str">
        <f>VLOOKUP(H1039,Departments!$A:$B,2,0)</f>
        <v>Obstetrics</v>
      </c>
      <c r="AB1039" t="str">
        <f>VLOOKUP(J1039,Diagnosis_Guide!$A:$B,2,0)</f>
        <v>Antenatal Complication</v>
      </c>
      <c r="AC1039" s="4" t="str">
        <f>VLOOKUP(J1039,Diagnosis_Guide!$A:$C,3,0)</f>
        <v>Maternal Health</v>
      </c>
      <c r="AD1039" s="4" t="str">
        <f>VLOOKUP(R1039,Insurance_Plans!$A:$C,3,0)</f>
        <v>Public</v>
      </c>
      <c r="AE1039" s="13">
        <f t="shared" si="48"/>
        <v>2572.5</v>
      </c>
      <c r="AF1039" s="13">
        <f t="shared" si="49"/>
        <v>54022.5</v>
      </c>
      <c r="AG1039" s="4" t="str">
        <f t="shared" si="50"/>
        <v>Medium</v>
      </c>
    </row>
    <row r="1040" spans="1:33">
      <c r="A1040" t="s">
        <v>1757</v>
      </c>
      <c r="B1040" t="s">
        <v>678</v>
      </c>
      <c r="C1040" s="11">
        <v>46065</v>
      </c>
      <c r="D1040" t="s">
        <v>89</v>
      </c>
      <c r="E1040" t="s">
        <v>70</v>
      </c>
      <c r="F1040" s="4">
        <v>46065</v>
      </c>
      <c r="G1040" s="4">
        <v>46075</v>
      </c>
      <c r="H1040" t="s">
        <v>111</v>
      </c>
      <c r="I1040" t="s">
        <v>116</v>
      </c>
      <c r="J1040" t="s">
        <v>384</v>
      </c>
      <c r="K1040" t="s">
        <v>73</v>
      </c>
      <c r="L1040" t="s">
        <v>61</v>
      </c>
      <c r="M1040" s="5">
        <v>64600</v>
      </c>
      <c r="N1040" s="5">
        <v>6800</v>
      </c>
      <c r="O1040" s="5">
        <v>7800</v>
      </c>
      <c r="P1040" s="5">
        <v>30000</v>
      </c>
      <c r="Q1040" s="13">
        <v>110000</v>
      </c>
      <c r="R1040" t="s">
        <v>62</v>
      </c>
      <c r="S1040" t="s">
        <v>76</v>
      </c>
      <c r="T1040" s="5">
        <v>33400</v>
      </c>
      <c r="U1040" s="6">
        <v>2</v>
      </c>
      <c r="V1040" t="s">
        <v>77</v>
      </c>
      <c r="W1040" s="4">
        <v>46083</v>
      </c>
      <c r="X1040" t="s">
        <v>77</v>
      </c>
      <c r="Y1040" t="s">
        <v>64</v>
      </c>
      <c r="Z1040" t="s">
        <v>96</v>
      </c>
      <c r="AA1040" t="str">
        <f>VLOOKUP(H1040,Departments!$A:$B,2,0)</f>
        <v>General Medicine</v>
      </c>
      <c r="AB1040" t="str">
        <f>VLOOKUP(J1040,Diagnosis_Guide!$A:$B,2,0)</f>
        <v>Severe Infection</v>
      </c>
      <c r="AC1040" s="4" t="str">
        <f>VLOOKUP(J1040,Diagnosis_Guide!$A:$C,3,0)</f>
        <v>Infectious/General</v>
      </c>
      <c r="AD1040" s="4" t="str">
        <f>VLOOKUP(R1040,Insurance_Plans!$A:$C,3,0)</f>
        <v>Public</v>
      </c>
      <c r="AE1040" s="13">
        <f t="shared" si="48"/>
        <v>5500</v>
      </c>
      <c r="AF1040" s="13">
        <f t="shared" si="49"/>
        <v>115500</v>
      </c>
      <c r="AG1040" s="4" t="str">
        <f t="shared" si="50"/>
        <v>Low</v>
      </c>
    </row>
    <row r="1041" spans="1:33">
      <c r="A1041" t="s">
        <v>1758</v>
      </c>
      <c r="B1041" t="s">
        <v>1444</v>
      </c>
      <c r="C1041" s="11">
        <v>46040</v>
      </c>
      <c r="D1041" t="s">
        <v>127</v>
      </c>
      <c r="E1041" t="s">
        <v>70</v>
      </c>
      <c r="F1041" s="4">
        <v>46040</v>
      </c>
      <c r="G1041" s="4">
        <v>46044</v>
      </c>
      <c r="H1041" t="s">
        <v>150</v>
      </c>
      <c r="I1041" t="s">
        <v>228</v>
      </c>
      <c r="J1041" t="s">
        <v>152</v>
      </c>
      <c r="K1041" t="s">
        <v>73</v>
      </c>
      <c r="L1041" t="s">
        <v>74</v>
      </c>
      <c r="M1041" s="5">
        <v>22900</v>
      </c>
      <c r="N1041" s="5">
        <v>2250</v>
      </c>
      <c r="O1041" s="5">
        <v>3100</v>
      </c>
      <c r="P1041" s="5">
        <v>12000</v>
      </c>
      <c r="Q1041" s="13">
        <v>41750</v>
      </c>
      <c r="R1041" t="s">
        <v>75</v>
      </c>
      <c r="S1041" t="s">
        <v>76</v>
      </c>
      <c r="T1041" s="5">
        <v>19090</v>
      </c>
      <c r="U1041" s="6">
        <v>5</v>
      </c>
      <c r="V1041" t="s">
        <v>77</v>
      </c>
      <c r="W1041" s="4">
        <v>46053</v>
      </c>
      <c r="X1041" t="s">
        <v>77</v>
      </c>
      <c r="Y1041" t="s">
        <v>64</v>
      </c>
      <c r="Z1041" t="s">
        <v>219</v>
      </c>
      <c r="AA1041" t="str">
        <f>VLOOKUP(H1041,Departments!$A:$B,2,0)</f>
        <v>Obstetrics</v>
      </c>
      <c r="AB1041" t="str">
        <f>VLOOKUP(J1041,Diagnosis_Guide!$A:$B,2,0)</f>
        <v>Antenatal Complication</v>
      </c>
      <c r="AC1041" s="4" t="str">
        <f>VLOOKUP(J1041,Diagnosis_Guide!$A:$C,3,0)</f>
        <v>Maternal Health</v>
      </c>
      <c r="AD1041" s="4" t="str">
        <f>VLOOKUP(R1041,Insurance_Plans!$A:$C,3,0)</f>
        <v>Public</v>
      </c>
      <c r="AE1041" s="13">
        <f t="shared" si="48"/>
        <v>2087.5</v>
      </c>
      <c r="AF1041" s="13">
        <f t="shared" si="49"/>
        <v>43837.5</v>
      </c>
      <c r="AG1041" s="4" t="str">
        <f t="shared" si="50"/>
        <v>High</v>
      </c>
    </row>
    <row r="1042" spans="1:33">
      <c r="A1042" t="s">
        <v>1759</v>
      </c>
      <c r="B1042" t="s">
        <v>1760</v>
      </c>
      <c r="C1042" s="11">
        <v>46157</v>
      </c>
      <c r="D1042" t="s">
        <v>173</v>
      </c>
      <c r="E1042" t="s">
        <v>70</v>
      </c>
      <c r="F1042" s="4">
        <v>46158</v>
      </c>
      <c r="G1042" s="4">
        <v>46162</v>
      </c>
      <c r="H1042" t="s">
        <v>90</v>
      </c>
      <c r="I1042" t="s">
        <v>133</v>
      </c>
      <c r="J1042" t="s">
        <v>92</v>
      </c>
      <c r="K1042" t="s">
        <v>73</v>
      </c>
      <c r="L1042" t="s">
        <v>94</v>
      </c>
      <c r="M1042" s="5">
        <v>51300</v>
      </c>
      <c r="N1042" s="5">
        <v>5950</v>
      </c>
      <c r="O1042" s="5">
        <v>6600</v>
      </c>
      <c r="P1042" s="5">
        <v>24000</v>
      </c>
      <c r="Q1042" s="13">
        <v>89850</v>
      </c>
      <c r="R1042" t="s">
        <v>75</v>
      </c>
      <c r="S1042" t="s">
        <v>76</v>
      </c>
      <c r="T1042" s="5">
        <v>40730</v>
      </c>
      <c r="U1042" s="6">
        <v>4</v>
      </c>
      <c r="V1042" t="s">
        <v>77</v>
      </c>
      <c r="W1042" s="4">
        <v>46177</v>
      </c>
      <c r="X1042" t="s">
        <v>77</v>
      </c>
      <c r="Y1042" t="s">
        <v>64</v>
      </c>
      <c r="Z1042" t="s">
        <v>436</v>
      </c>
      <c r="AA1042" t="str">
        <f>VLOOKUP(H1042,Departments!$A:$B,2,0)</f>
        <v>Cardiology</v>
      </c>
      <c r="AB1042" t="str">
        <f>VLOOKUP(J1042,Diagnosis_Guide!$A:$B,2,0)</f>
        <v>Heart Failure</v>
      </c>
      <c r="AC1042" s="4" t="str">
        <f>VLOOKUP(J1042,Diagnosis_Guide!$A:$C,3,0)</f>
        <v>Cardiovascular</v>
      </c>
      <c r="AD1042" s="4" t="str">
        <f>VLOOKUP(R1042,Insurance_Plans!$A:$C,3,0)</f>
        <v>Public</v>
      </c>
      <c r="AE1042" s="13">
        <f t="shared" si="48"/>
        <v>4492.5</v>
      </c>
      <c r="AF1042" s="13">
        <f t="shared" si="49"/>
        <v>94342.5</v>
      </c>
      <c r="AG1042" s="4" t="str">
        <f t="shared" si="50"/>
        <v>High</v>
      </c>
    </row>
    <row r="1043" spans="1:33">
      <c r="A1043" t="s">
        <v>1761</v>
      </c>
      <c r="B1043" t="s">
        <v>1469</v>
      </c>
      <c r="C1043" s="11">
        <v>46125</v>
      </c>
      <c r="D1043" t="s">
        <v>132</v>
      </c>
      <c r="E1043" t="s">
        <v>177</v>
      </c>
      <c r="F1043" s="4"/>
      <c r="G1043" s="4"/>
      <c r="H1043" t="s">
        <v>121</v>
      </c>
      <c r="I1043" t="s">
        <v>174</v>
      </c>
      <c r="J1043" t="s">
        <v>252</v>
      </c>
      <c r="K1043" t="s">
        <v>93</v>
      </c>
      <c r="L1043" t="s">
        <v>94</v>
      </c>
      <c r="M1043" s="5"/>
      <c r="N1043" s="5"/>
      <c r="O1043" s="5"/>
      <c r="P1043" s="5"/>
      <c r="R1043" t="s">
        <v>62</v>
      </c>
      <c r="S1043" t="s">
        <v>63</v>
      </c>
      <c r="T1043" s="5"/>
      <c r="U1043" s="6"/>
      <c r="V1043" t="s">
        <v>64</v>
      </c>
      <c r="W1043" s="4"/>
      <c r="X1043" t="s">
        <v>65</v>
      </c>
      <c r="Z1043" t="s">
        <v>66</v>
      </c>
      <c r="AA1043" t="str">
        <f>VLOOKUP(H1043,Departments!$A:$B,2,0)</f>
        <v>Neurology</v>
      </c>
      <c r="AB1043" t="str">
        <f>VLOOKUP(J1043,Diagnosis_Guide!$A:$B,2,0)</f>
        <v>Stroke Assessment</v>
      </c>
      <c r="AC1043" s="4" t="str">
        <f>VLOOKUP(J1043,Diagnosis_Guide!$A:$C,3,0)</f>
        <v>Neurological</v>
      </c>
      <c r="AD1043" s="4" t="str">
        <f>VLOOKUP(R1043,Insurance_Plans!$A:$C,3,0)</f>
        <v>Public</v>
      </c>
      <c r="AE1043" s="13" t="str">
        <f t="shared" si="48"/>
        <v/>
      </c>
      <c r="AF1043" s="13" t="str">
        <f t="shared" si="49"/>
        <v/>
      </c>
      <c r="AG1043" s="4" t="str">
        <f t="shared" si="50"/>
        <v>Not Available</v>
      </c>
    </row>
    <row r="1044" spans="1:33">
      <c r="A1044" t="s">
        <v>1762</v>
      </c>
      <c r="B1044" t="s">
        <v>382</v>
      </c>
      <c r="C1044" s="11">
        <v>46025</v>
      </c>
      <c r="D1044" t="s">
        <v>69</v>
      </c>
      <c r="E1044" t="s">
        <v>70</v>
      </c>
      <c r="F1044" s="4">
        <v>46025</v>
      </c>
      <c r="G1044" s="4">
        <v>46029</v>
      </c>
      <c r="H1044" t="s">
        <v>201</v>
      </c>
      <c r="I1044" t="s">
        <v>421</v>
      </c>
      <c r="J1044" t="s">
        <v>203</v>
      </c>
      <c r="K1044" t="s">
        <v>73</v>
      </c>
      <c r="L1044" t="s">
        <v>74</v>
      </c>
      <c r="M1044" s="5">
        <v>34700</v>
      </c>
      <c r="N1044" s="5">
        <v>3350</v>
      </c>
      <c r="O1044" s="5">
        <v>7450</v>
      </c>
      <c r="P1044" s="5">
        <v>12000</v>
      </c>
      <c r="Q1044" s="13">
        <v>58500</v>
      </c>
      <c r="R1044" t="s">
        <v>106</v>
      </c>
      <c r="S1044" t="s">
        <v>86</v>
      </c>
      <c r="T1044" s="5">
        <v>21180</v>
      </c>
      <c r="U1044" s="6">
        <v>4</v>
      </c>
      <c r="V1044" t="s">
        <v>77</v>
      </c>
      <c r="W1044" s="4">
        <v>46042</v>
      </c>
      <c r="X1044" t="s">
        <v>77</v>
      </c>
      <c r="Y1044" t="s">
        <v>64</v>
      </c>
      <c r="Z1044" t="s">
        <v>78</v>
      </c>
      <c r="AA1044" t="str">
        <f>VLOOKUP(H1044,Departments!$A:$B,2,0)</f>
        <v>Emergency</v>
      </c>
      <c r="AB1044" t="str">
        <f>VLOOKUP(J1044,Diagnosis_Guide!$A:$B,2,0)</f>
        <v>Trauma Observation</v>
      </c>
      <c r="AC1044" s="4" t="str">
        <f>VLOOKUP(J1044,Diagnosis_Guide!$A:$C,3,0)</f>
        <v>Emergency</v>
      </c>
      <c r="AD1044" s="4" t="str">
        <f>VLOOKUP(R1044,Insurance_Plans!$A:$C,3,0)</f>
        <v>Private</v>
      </c>
      <c r="AE1044" s="13">
        <f t="shared" si="48"/>
        <v>2925</v>
      </c>
      <c r="AF1044" s="13">
        <f t="shared" si="49"/>
        <v>61425</v>
      </c>
      <c r="AG1044" s="4" t="str">
        <f t="shared" si="50"/>
        <v>High</v>
      </c>
    </row>
    <row r="1045" spans="1:33">
      <c r="A1045" t="s">
        <v>1763</v>
      </c>
      <c r="B1045" t="s">
        <v>583</v>
      </c>
      <c r="C1045" s="11">
        <v>46062</v>
      </c>
      <c r="D1045" t="s">
        <v>89</v>
      </c>
      <c r="E1045" t="s">
        <v>70</v>
      </c>
      <c r="F1045" s="4">
        <v>46062</v>
      </c>
      <c r="G1045" s="4">
        <v>46069</v>
      </c>
      <c r="H1045" t="s">
        <v>178</v>
      </c>
      <c r="I1045" t="s">
        <v>415</v>
      </c>
      <c r="J1045" t="s">
        <v>180</v>
      </c>
      <c r="K1045" t="s">
        <v>93</v>
      </c>
      <c r="L1045" t="s">
        <v>94</v>
      </c>
      <c r="M1045" s="5">
        <v>77200</v>
      </c>
      <c r="N1045" s="5">
        <v>11300</v>
      </c>
      <c r="O1045" s="5">
        <v>18850</v>
      </c>
      <c r="P1045" s="5">
        <v>42000</v>
      </c>
      <c r="Q1045" s="13">
        <v>150150</v>
      </c>
      <c r="R1045" t="s">
        <v>95</v>
      </c>
      <c r="S1045" t="s">
        <v>63</v>
      </c>
      <c r="T1045" s="5">
        <v>150150</v>
      </c>
      <c r="U1045" s="6">
        <v>2</v>
      </c>
      <c r="V1045" t="s">
        <v>77</v>
      </c>
      <c r="W1045" s="4">
        <v>46089</v>
      </c>
      <c r="X1045" t="s">
        <v>77</v>
      </c>
      <c r="Y1045" t="s">
        <v>64</v>
      </c>
      <c r="Z1045" t="s">
        <v>107</v>
      </c>
      <c r="AA1045" t="str">
        <f>VLOOKUP(H1045,Departments!$A:$B,2,0)</f>
        <v>Surgery</v>
      </c>
      <c r="AB1045" t="str">
        <f>VLOOKUP(J1045,Diagnosis_Guide!$A:$B,2,0)</f>
        <v>Appendicitis Surgery</v>
      </c>
      <c r="AC1045" s="4" t="str">
        <f>VLOOKUP(J1045,Diagnosis_Guide!$A:$C,3,0)</f>
        <v>Surgical</v>
      </c>
      <c r="AD1045" s="4" t="str">
        <f>VLOOKUP(R1045,Insurance_Plans!$A:$C,3,0)</f>
        <v>Self-Pay</v>
      </c>
      <c r="AE1045" s="13">
        <f t="shared" si="48"/>
        <v>7507.5</v>
      </c>
      <c r="AF1045" s="13">
        <f t="shared" si="49"/>
        <v>157657.5</v>
      </c>
      <c r="AG1045" s="4" t="str">
        <f t="shared" si="50"/>
        <v>Low</v>
      </c>
    </row>
    <row r="1046" spans="1:33">
      <c r="A1046" t="s">
        <v>1764</v>
      </c>
      <c r="B1046" t="s">
        <v>936</v>
      </c>
      <c r="C1046" s="11">
        <v>46120</v>
      </c>
      <c r="D1046" t="s">
        <v>69</v>
      </c>
      <c r="E1046" t="s">
        <v>70</v>
      </c>
      <c r="F1046" s="4">
        <v>46120</v>
      </c>
      <c r="G1046" s="4">
        <v>46124</v>
      </c>
      <c r="H1046" t="s">
        <v>57</v>
      </c>
      <c r="I1046" t="s">
        <v>211</v>
      </c>
      <c r="J1046" t="s">
        <v>170</v>
      </c>
      <c r="K1046" t="s">
        <v>124</v>
      </c>
      <c r="L1046" t="s">
        <v>61</v>
      </c>
      <c r="M1046" s="5">
        <v>62500</v>
      </c>
      <c r="N1046" s="5">
        <v>11050</v>
      </c>
      <c r="O1046" s="5">
        <v>9950</v>
      </c>
      <c r="P1046" s="5">
        <v>24000</v>
      </c>
      <c r="Q1046" s="13">
        <v>109500</v>
      </c>
      <c r="R1046" t="s">
        <v>106</v>
      </c>
      <c r="S1046" t="s">
        <v>76</v>
      </c>
      <c r="T1046" s="5">
        <v>39020</v>
      </c>
      <c r="U1046" s="6">
        <v>2</v>
      </c>
      <c r="V1046" t="s">
        <v>77</v>
      </c>
      <c r="W1046" s="4">
        <v>46142</v>
      </c>
      <c r="X1046" t="s">
        <v>77</v>
      </c>
      <c r="Y1046" t="s">
        <v>77</v>
      </c>
      <c r="Z1046" t="s">
        <v>96</v>
      </c>
      <c r="AA1046" t="str">
        <f>VLOOKUP(H1046,Departments!$A:$B,2,0)</f>
        <v>Pulmonology</v>
      </c>
      <c r="AB1046" t="str">
        <f>VLOOKUP(J1046,Diagnosis_Guide!$A:$B,2,0)</f>
        <v>COPD Exacerbation</v>
      </c>
      <c r="AC1046" s="4" t="str">
        <f>VLOOKUP(J1046,Diagnosis_Guide!$A:$C,3,0)</f>
        <v>Respiratory</v>
      </c>
      <c r="AD1046" s="4" t="str">
        <f>VLOOKUP(R1046,Insurance_Plans!$A:$C,3,0)</f>
        <v>Private</v>
      </c>
      <c r="AE1046" s="13">
        <f t="shared" si="48"/>
        <v>5475</v>
      </c>
      <c r="AF1046" s="13">
        <f t="shared" si="49"/>
        <v>114975</v>
      </c>
      <c r="AG1046" s="4" t="str">
        <f t="shared" si="50"/>
        <v>Low</v>
      </c>
    </row>
    <row r="1047" spans="1:33">
      <c r="A1047" t="s">
        <v>1765</v>
      </c>
      <c r="B1047" t="s">
        <v>154</v>
      </c>
      <c r="C1047" s="11">
        <v>46166</v>
      </c>
      <c r="D1047" t="s">
        <v>432</v>
      </c>
      <c r="E1047" t="s">
        <v>70</v>
      </c>
      <c r="F1047" s="4">
        <v>46167</v>
      </c>
      <c r="G1047" s="4">
        <v>46174</v>
      </c>
      <c r="H1047" t="s">
        <v>178</v>
      </c>
      <c r="I1047" t="s">
        <v>339</v>
      </c>
      <c r="J1047" t="s">
        <v>180</v>
      </c>
      <c r="K1047" t="s">
        <v>93</v>
      </c>
      <c r="L1047" t="s">
        <v>61</v>
      </c>
      <c r="M1047" s="5">
        <v>85600</v>
      </c>
      <c r="N1047" s="5">
        <v>9350</v>
      </c>
      <c r="O1047" s="5">
        <v>19900</v>
      </c>
      <c r="P1047" s="5">
        <v>42000</v>
      </c>
      <c r="Q1047" s="13">
        <v>157650</v>
      </c>
      <c r="R1047" t="s">
        <v>95</v>
      </c>
      <c r="S1047" t="s">
        <v>63</v>
      </c>
      <c r="T1047" s="5">
        <v>157650</v>
      </c>
      <c r="U1047" s="6">
        <v>1</v>
      </c>
      <c r="V1047" t="s">
        <v>77</v>
      </c>
      <c r="W1047" s="4">
        <v>46190</v>
      </c>
      <c r="X1047" t="s">
        <v>64</v>
      </c>
      <c r="Y1047" t="s">
        <v>77</v>
      </c>
      <c r="Z1047" t="s">
        <v>78</v>
      </c>
      <c r="AA1047" t="str">
        <f>VLOOKUP(H1047,Departments!$A:$B,2,0)</f>
        <v>Surgery</v>
      </c>
      <c r="AB1047" t="str">
        <f>VLOOKUP(J1047,Diagnosis_Guide!$A:$B,2,0)</f>
        <v>Appendicitis Surgery</v>
      </c>
      <c r="AC1047" s="4" t="str">
        <f>VLOOKUP(J1047,Diagnosis_Guide!$A:$C,3,0)</f>
        <v>Surgical</v>
      </c>
      <c r="AD1047" s="4" t="str">
        <f>VLOOKUP(R1047,Insurance_Plans!$A:$C,3,0)</f>
        <v>Self-Pay</v>
      </c>
      <c r="AE1047" s="13">
        <f t="shared" si="48"/>
        <v>7882.5</v>
      </c>
      <c r="AF1047" s="13">
        <f t="shared" si="49"/>
        <v>165532.5</v>
      </c>
      <c r="AG1047" s="4" t="str">
        <f t="shared" si="50"/>
        <v>Low</v>
      </c>
    </row>
    <row r="1048" spans="1:33">
      <c r="A1048" t="s">
        <v>1766</v>
      </c>
      <c r="B1048" t="s">
        <v>1360</v>
      </c>
      <c r="C1048" s="11">
        <v>46059</v>
      </c>
      <c r="D1048" t="s">
        <v>149</v>
      </c>
      <c r="E1048" t="s">
        <v>70</v>
      </c>
      <c r="F1048" s="4">
        <v>46059</v>
      </c>
      <c r="G1048" s="4">
        <v>46060</v>
      </c>
      <c r="H1048" t="s">
        <v>201</v>
      </c>
      <c r="I1048" t="s">
        <v>515</v>
      </c>
      <c r="J1048" t="s">
        <v>295</v>
      </c>
      <c r="K1048" t="s">
        <v>60</v>
      </c>
      <c r="L1048" t="s">
        <v>61</v>
      </c>
      <c r="M1048" s="5">
        <v>52400</v>
      </c>
      <c r="N1048" s="5">
        <v>6900</v>
      </c>
      <c r="O1048" s="5">
        <v>6550</v>
      </c>
      <c r="P1048" s="5">
        <v>3000</v>
      </c>
      <c r="Q1048" s="13">
        <v>70050</v>
      </c>
      <c r="R1048" t="s">
        <v>141</v>
      </c>
      <c r="S1048" t="s">
        <v>76</v>
      </c>
      <c r="T1048" s="5">
        <v>11710</v>
      </c>
      <c r="U1048" s="6">
        <v>4</v>
      </c>
      <c r="V1048" t="s">
        <v>64</v>
      </c>
      <c r="W1048" s="4"/>
      <c r="X1048" t="s">
        <v>65</v>
      </c>
      <c r="Y1048" t="s">
        <v>64</v>
      </c>
      <c r="Z1048" t="s">
        <v>107</v>
      </c>
      <c r="AA1048" t="str">
        <f>VLOOKUP(H1048,Departments!$A:$B,2,0)</f>
        <v>Emergency</v>
      </c>
      <c r="AB1048" t="str">
        <f>VLOOKUP(J1048,Diagnosis_Guide!$A:$B,2,0)</f>
        <v>Accident Injury</v>
      </c>
      <c r="AC1048" s="4" t="str">
        <f>VLOOKUP(J1048,Diagnosis_Guide!$A:$C,3,0)</f>
        <v>Emergency</v>
      </c>
      <c r="AD1048" s="4" t="str">
        <f>VLOOKUP(R1048,Insurance_Plans!$A:$C,3,0)</f>
        <v>Private</v>
      </c>
      <c r="AE1048" s="13">
        <f t="shared" si="48"/>
        <v>3502.5</v>
      </c>
      <c r="AF1048" s="13">
        <f t="shared" si="49"/>
        <v>73552.5</v>
      </c>
      <c r="AG1048" s="4" t="str">
        <f t="shared" si="50"/>
        <v>High</v>
      </c>
    </row>
    <row r="1049" spans="1:33">
      <c r="A1049" t="s">
        <v>1767</v>
      </c>
      <c r="B1049" t="s">
        <v>907</v>
      </c>
      <c r="C1049" s="11">
        <v>46128</v>
      </c>
      <c r="D1049" t="s">
        <v>55</v>
      </c>
      <c r="E1049" t="s">
        <v>70</v>
      </c>
      <c r="F1049" s="4">
        <v>46128</v>
      </c>
      <c r="G1049" s="4">
        <v>46128</v>
      </c>
      <c r="H1049" t="s">
        <v>121</v>
      </c>
      <c r="I1049" t="s">
        <v>334</v>
      </c>
      <c r="J1049" t="s">
        <v>252</v>
      </c>
      <c r="K1049" t="s">
        <v>60</v>
      </c>
      <c r="L1049" t="s">
        <v>74</v>
      </c>
      <c r="M1049" s="5">
        <v>98200</v>
      </c>
      <c r="N1049" s="5">
        <v>10450</v>
      </c>
      <c r="O1049" s="5">
        <v>15600</v>
      </c>
      <c r="P1049" s="5">
        <v>0</v>
      </c>
      <c r="Q1049" s="13">
        <v>125250</v>
      </c>
      <c r="R1049" t="s">
        <v>141</v>
      </c>
      <c r="S1049" t="s">
        <v>76</v>
      </c>
      <c r="T1049" s="5">
        <v>19990</v>
      </c>
      <c r="U1049" s="6">
        <v>4</v>
      </c>
      <c r="V1049" t="s">
        <v>77</v>
      </c>
      <c r="W1049" s="4">
        <v>46138</v>
      </c>
      <c r="X1049" t="s">
        <v>77</v>
      </c>
      <c r="Y1049" t="s">
        <v>64</v>
      </c>
      <c r="Z1049" t="s">
        <v>78</v>
      </c>
      <c r="AA1049" t="str">
        <f>VLOOKUP(H1049,Departments!$A:$B,2,0)</f>
        <v>Neurology</v>
      </c>
      <c r="AB1049" t="str">
        <f>VLOOKUP(J1049,Diagnosis_Guide!$A:$B,2,0)</f>
        <v>Stroke Assessment</v>
      </c>
      <c r="AC1049" s="4" t="str">
        <f>VLOOKUP(J1049,Diagnosis_Guide!$A:$C,3,0)</f>
        <v>Neurological</v>
      </c>
      <c r="AD1049" s="4" t="str">
        <f>VLOOKUP(R1049,Insurance_Plans!$A:$C,3,0)</f>
        <v>Private</v>
      </c>
      <c r="AE1049" s="13">
        <f t="shared" si="48"/>
        <v>6262.5</v>
      </c>
      <c r="AF1049" s="13">
        <f t="shared" si="49"/>
        <v>131512.5</v>
      </c>
      <c r="AG1049" s="4" t="str">
        <f t="shared" si="50"/>
        <v>High</v>
      </c>
    </row>
    <row r="1050" spans="1:33">
      <c r="A1050" t="s">
        <v>1768</v>
      </c>
      <c r="B1050" t="s">
        <v>1461</v>
      </c>
      <c r="C1050" s="11">
        <v>46091</v>
      </c>
      <c r="D1050" t="s">
        <v>206</v>
      </c>
      <c r="E1050" t="s">
        <v>70</v>
      </c>
      <c r="F1050" s="4">
        <v>46091</v>
      </c>
      <c r="G1050" s="4">
        <v>46092</v>
      </c>
      <c r="H1050" t="s">
        <v>138</v>
      </c>
      <c r="I1050" t="s">
        <v>343</v>
      </c>
      <c r="J1050" t="s">
        <v>261</v>
      </c>
      <c r="K1050" t="s">
        <v>60</v>
      </c>
      <c r="L1050" t="s">
        <v>61</v>
      </c>
      <c r="M1050" s="5">
        <v>4900</v>
      </c>
      <c r="N1050" s="5">
        <v>650</v>
      </c>
      <c r="O1050" s="5">
        <v>600</v>
      </c>
      <c r="P1050" s="5">
        <v>3500</v>
      </c>
      <c r="Q1050" s="13">
        <v>11450</v>
      </c>
      <c r="R1050" t="s">
        <v>106</v>
      </c>
      <c r="S1050" t="s">
        <v>76</v>
      </c>
      <c r="T1050" s="5">
        <v>4710</v>
      </c>
      <c r="U1050" s="6">
        <v>5</v>
      </c>
      <c r="V1050" t="s">
        <v>77</v>
      </c>
      <c r="W1050" s="4">
        <v>46105</v>
      </c>
      <c r="X1050" t="s">
        <v>77</v>
      </c>
      <c r="Y1050" t="s">
        <v>64</v>
      </c>
      <c r="Z1050" t="s">
        <v>107</v>
      </c>
      <c r="AA1050" t="str">
        <f>VLOOKUP(H1050,Departments!$A:$B,2,0)</f>
        <v>Pediatrics</v>
      </c>
      <c r="AB1050" t="str">
        <f>VLOOKUP(J1050,Diagnosis_Guide!$A:$B,2,0)</f>
        <v>Child Fever</v>
      </c>
      <c r="AC1050" s="4" t="str">
        <f>VLOOKUP(J1050,Diagnosis_Guide!$A:$C,3,0)</f>
        <v>Pediatric</v>
      </c>
      <c r="AD1050" s="4" t="str">
        <f>VLOOKUP(R1050,Insurance_Plans!$A:$C,3,0)</f>
        <v>Private</v>
      </c>
      <c r="AE1050" s="13">
        <f t="shared" si="48"/>
        <v>572.5</v>
      </c>
      <c r="AF1050" s="13">
        <f t="shared" si="49"/>
        <v>12022.5</v>
      </c>
      <c r="AG1050" s="4" t="str">
        <f t="shared" si="50"/>
        <v>High</v>
      </c>
    </row>
    <row r="1051" spans="1:33">
      <c r="A1051" t="s">
        <v>1769</v>
      </c>
      <c r="B1051" t="s">
        <v>1770</v>
      </c>
      <c r="C1051" s="11">
        <v>46089</v>
      </c>
      <c r="D1051" t="s">
        <v>110</v>
      </c>
      <c r="E1051" t="s">
        <v>70</v>
      </c>
      <c r="F1051" s="4">
        <v>46089</v>
      </c>
      <c r="G1051" s="4">
        <v>46090</v>
      </c>
      <c r="H1051" t="s">
        <v>111</v>
      </c>
      <c r="I1051" t="s">
        <v>355</v>
      </c>
      <c r="J1051" t="s">
        <v>384</v>
      </c>
      <c r="K1051" t="s">
        <v>60</v>
      </c>
      <c r="L1051" t="s">
        <v>74</v>
      </c>
      <c r="M1051" s="5">
        <v>66900</v>
      </c>
      <c r="N1051" s="5">
        <v>12000</v>
      </c>
      <c r="O1051" s="5">
        <v>11700</v>
      </c>
      <c r="P1051" s="5">
        <v>2500</v>
      </c>
      <c r="Q1051" s="13">
        <v>94600</v>
      </c>
      <c r="R1051" t="s">
        <v>134</v>
      </c>
      <c r="S1051" t="s">
        <v>86</v>
      </c>
      <c r="T1051" s="5">
        <v>52230</v>
      </c>
      <c r="U1051" s="6">
        <v>3</v>
      </c>
      <c r="V1051" t="s">
        <v>77</v>
      </c>
      <c r="W1051" s="4">
        <v>46111</v>
      </c>
      <c r="X1051" t="s">
        <v>64</v>
      </c>
      <c r="Y1051" t="s">
        <v>64</v>
      </c>
      <c r="Z1051" t="s">
        <v>96</v>
      </c>
      <c r="AA1051" t="str">
        <f>VLOOKUP(H1051,Departments!$A:$B,2,0)</f>
        <v>General Medicine</v>
      </c>
      <c r="AB1051" t="str">
        <f>VLOOKUP(J1051,Diagnosis_Guide!$A:$B,2,0)</f>
        <v>Severe Infection</v>
      </c>
      <c r="AC1051" s="4" t="str">
        <f>VLOOKUP(J1051,Diagnosis_Guide!$A:$C,3,0)</f>
        <v>Infectious/General</v>
      </c>
      <c r="AD1051" s="4" t="str">
        <f>VLOOKUP(R1051,Insurance_Plans!$A:$C,3,0)</f>
        <v>Community</v>
      </c>
      <c r="AE1051" s="13">
        <f t="shared" si="48"/>
        <v>4730</v>
      </c>
      <c r="AF1051" s="13">
        <f t="shared" si="49"/>
        <v>99330</v>
      </c>
      <c r="AG1051" s="4" t="str">
        <f t="shared" si="50"/>
        <v>Medium</v>
      </c>
    </row>
    <row r="1052" spans="1:33">
      <c r="A1052" t="s">
        <v>1771</v>
      </c>
      <c r="B1052" t="s">
        <v>1645</v>
      </c>
      <c r="C1052" s="11">
        <v>46045</v>
      </c>
      <c r="D1052" t="s">
        <v>137</v>
      </c>
      <c r="E1052" t="s">
        <v>70</v>
      </c>
      <c r="F1052" s="4">
        <v>46045</v>
      </c>
      <c r="G1052" s="4">
        <v>46045</v>
      </c>
      <c r="H1052" t="s">
        <v>90</v>
      </c>
      <c r="I1052" t="s">
        <v>388</v>
      </c>
      <c r="J1052" t="s">
        <v>197</v>
      </c>
      <c r="K1052" t="s">
        <v>60</v>
      </c>
      <c r="L1052" t="s">
        <v>74</v>
      </c>
      <c r="M1052" s="5">
        <v>18800</v>
      </c>
      <c r="N1052" s="5">
        <v>3200</v>
      </c>
      <c r="O1052" s="5">
        <v>3800</v>
      </c>
      <c r="P1052" s="5">
        <v>0</v>
      </c>
      <c r="Q1052" s="13">
        <v>27300</v>
      </c>
      <c r="R1052" t="s">
        <v>95</v>
      </c>
      <c r="S1052" t="s">
        <v>63</v>
      </c>
      <c r="T1052" s="5">
        <v>27300</v>
      </c>
      <c r="U1052" s="6">
        <v>5</v>
      </c>
      <c r="V1052" t="s">
        <v>64</v>
      </c>
      <c r="W1052" s="4"/>
      <c r="X1052" t="s">
        <v>65</v>
      </c>
      <c r="Y1052" t="s">
        <v>64</v>
      </c>
      <c r="Z1052" t="s">
        <v>107</v>
      </c>
      <c r="AA1052" t="str">
        <f>VLOOKUP(H1052,Departments!$A:$B,2,0)</f>
        <v>Cardiology</v>
      </c>
      <c r="AB1052" t="str">
        <f>VLOOKUP(J1052,Diagnosis_Guide!$A:$B,2,0)</f>
        <v>Chest Pain</v>
      </c>
      <c r="AC1052" s="4" t="str">
        <f>VLOOKUP(J1052,Diagnosis_Guide!$A:$C,3,0)</f>
        <v>Cardiovascular</v>
      </c>
      <c r="AD1052" s="4" t="str">
        <f>VLOOKUP(R1052,Insurance_Plans!$A:$C,3,0)</f>
        <v>Self-Pay</v>
      </c>
      <c r="AE1052" s="13">
        <f t="shared" si="48"/>
        <v>1365</v>
      </c>
      <c r="AF1052" s="13">
        <f t="shared" si="49"/>
        <v>28665</v>
      </c>
      <c r="AG1052" s="4" t="str">
        <f t="shared" si="50"/>
        <v>High</v>
      </c>
    </row>
    <row r="1053" spans="1:33">
      <c r="A1053" t="s">
        <v>1772</v>
      </c>
      <c r="B1053" t="s">
        <v>591</v>
      </c>
      <c r="C1053" s="11">
        <v>46138</v>
      </c>
      <c r="D1053" t="s">
        <v>99</v>
      </c>
      <c r="E1053" t="s">
        <v>70</v>
      </c>
      <c r="F1053" s="4">
        <v>46138</v>
      </c>
      <c r="G1053" s="4">
        <v>46141</v>
      </c>
      <c r="H1053" t="s">
        <v>201</v>
      </c>
      <c r="I1053" t="s">
        <v>327</v>
      </c>
      <c r="J1053" t="s">
        <v>295</v>
      </c>
      <c r="K1053" t="s">
        <v>124</v>
      </c>
      <c r="L1053" t="s">
        <v>61</v>
      </c>
      <c r="M1053" s="5">
        <v>38100</v>
      </c>
      <c r="N1053" s="5">
        <v>4600</v>
      </c>
      <c r="O1053" s="5">
        <v>7750</v>
      </c>
      <c r="P1053" s="5">
        <v>10500</v>
      </c>
      <c r="Q1053" s="13">
        <v>61950</v>
      </c>
      <c r="R1053" t="s">
        <v>95</v>
      </c>
      <c r="S1053" t="s">
        <v>63</v>
      </c>
      <c r="T1053" s="5">
        <v>61950</v>
      </c>
      <c r="U1053" s="6">
        <v>5</v>
      </c>
      <c r="V1053" t="s">
        <v>77</v>
      </c>
      <c r="W1053" s="4">
        <v>46148</v>
      </c>
      <c r="X1053" t="s">
        <v>77</v>
      </c>
      <c r="Y1053" t="s">
        <v>64</v>
      </c>
      <c r="Z1053" t="s">
        <v>96</v>
      </c>
      <c r="AA1053" t="str">
        <f>VLOOKUP(H1053,Departments!$A:$B,2,0)</f>
        <v>Emergency</v>
      </c>
      <c r="AB1053" t="str">
        <f>VLOOKUP(J1053,Diagnosis_Guide!$A:$B,2,0)</f>
        <v>Accident Injury</v>
      </c>
      <c r="AC1053" s="4" t="str">
        <f>VLOOKUP(J1053,Diagnosis_Guide!$A:$C,3,0)</f>
        <v>Emergency</v>
      </c>
      <c r="AD1053" s="4" t="str">
        <f>VLOOKUP(R1053,Insurance_Plans!$A:$C,3,0)</f>
        <v>Self-Pay</v>
      </c>
      <c r="AE1053" s="13">
        <f t="shared" si="48"/>
        <v>3097.5</v>
      </c>
      <c r="AF1053" s="13">
        <f t="shared" si="49"/>
        <v>65047.5</v>
      </c>
      <c r="AG1053" s="4" t="str">
        <f t="shared" si="50"/>
        <v>High</v>
      </c>
    </row>
    <row r="1054" spans="1:33">
      <c r="A1054" t="s">
        <v>1773</v>
      </c>
      <c r="B1054" t="s">
        <v>789</v>
      </c>
      <c r="C1054" s="11">
        <v>46147</v>
      </c>
      <c r="D1054" t="s">
        <v>144</v>
      </c>
      <c r="E1054" t="s">
        <v>70</v>
      </c>
      <c r="F1054" s="4">
        <v>46147</v>
      </c>
      <c r="G1054" s="4">
        <v>46151</v>
      </c>
      <c r="H1054" t="s">
        <v>103</v>
      </c>
      <c r="I1054" t="s">
        <v>104</v>
      </c>
      <c r="J1054" t="s">
        <v>105</v>
      </c>
      <c r="K1054" t="s">
        <v>73</v>
      </c>
      <c r="L1054" t="s">
        <v>94</v>
      </c>
      <c r="M1054" s="5">
        <v>56400</v>
      </c>
      <c r="N1054" s="5">
        <v>7950</v>
      </c>
      <c r="O1054" s="5">
        <v>8900</v>
      </c>
      <c r="P1054" s="5">
        <v>24000</v>
      </c>
      <c r="Q1054" s="13">
        <v>99050</v>
      </c>
      <c r="R1054" t="s">
        <v>106</v>
      </c>
      <c r="S1054" t="s">
        <v>76</v>
      </c>
      <c r="T1054" s="5">
        <v>35370</v>
      </c>
      <c r="U1054" s="6">
        <v>3</v>
      </c>
      <c r="V1054" t="s">
        <v>77</v>
      </c>
      <c r="W1054" s="4">
        <v>46169</v>
      </c>
      <c r="X1054" t="s">
        <v>64</v>
      </c>
      <c r="Y1054" t="s">
        <v>64</v>
      </c>
      <c r="Z1054" t="s">
        <v>96</v>
      </c>
      <c r="AA1054" t="str">
        <f>VLOOKUP(H1054,Departments!$A:$B,2,0)</f>
        <v>Nephrology</v>
      </c>
      <c r="AB1054" t="str">
        <f>VLOOKUP(J1054,Diagnosis_Guide!$A:$B,2,0)</f>
        <v>Dialysis Complication</v>
      </c>
      <c r="AC1054" s="4" t="str">
        <f>VLOOKUP(J1054,Diagnosis_Guide!$A:$C,3,0)</f>
        <v>Renal</v>
      </c>
      <c r="AD1054" s="4" t="str">
        <f>VLOOKUP(R1054,Insurance_Plans!$A:$C,3,0)</f>
        <v>Private</v>
      </c>
      <c r="AE1054" s="13">
        <f t="shared" si="48"/>
        <v>4952.5</v>
      </c>
      <c r="AF1054" s="13">
        <f t="shared" si="49"/>
        <v>104002.5</v>
      </c>
      <c r="AG1054" s="4" t="str">
        <f t="shared" si="50"/>
        <v>Medium</v>
      </c>
    </row>
    <row r="1055" spans="1:33">
      <c r="A1055" t="s">
        <v>1774</v>
      </c>
      <c r="B1055" t="s">
        <v>158</v>
      </c>
      <c r="C1055" s="11">
        <v>46040</v>
      </c>
      <c r="D1055" t="s">
        <v>307</v>
      </c>
      <c r="E1055" t="s">
        <v>70</v>
      </c>
      <c r="F1055" s="4">
        <v>46040</v>
      </c>
      <c r="G1055" s="4">
        <v>46045</v>
      </c>
      <c r="H1055" t="s">
        <v>178</v>
      </c>
      <c r="I1055" t="s">
        <v>415</v>
      </c>
      <c r="J1055" t="s">
        <v>180</v>
      </c>
      <c r="K1055" t="s">
        <v>73</v>
      </c>
      <c r="L1055" t="s">
        <v>74</v>
      </c>
      <c r="M1055" s="5">
        <v>64600</v>
      </c>
      <c r="N1055" s="5">
        <v>9500</v>
      </c>
      <c r="O1055" s="5">
        <v>14350</v>
      </c>
      <c r="P1055" s="5">
        <v>15000</v>
      </c>
      <c r="Q1055" s="13">
        <v>104250</v>
      </c>
      <c r="R1055" t="s">
        <v>85</v>
      </c>
      <c r="S1055" t="s">
        <v>86</v>
      </c>
      <c r="T1055" s="5">
        <v>26960</v>
      </c>
      <c r="U1055" s="6">
        <v>2</v>
      </c>
      <c r="V1055" t="s">
        <v>77</v>
      </c>
      <c r="W1055" s="4">
        <v>46066</v>
      </c>
      <c r="X1055" t="s">
        <v>64</v>
      </c>
      <c r="Y1055" t="s">
        <v>64</v>
      </c>
      <c r="Z1055" t="s">
        <v>78</v>
      </c>
      <c r="AA1055" t="str">
        <f>VLOOKUP(H1055,Departments!$A:$B,2,0)</f>
        <v>Surgery</v>
      </c>
      <c r="AB1055" t="str">
        <f>VLOOKUP(J1055,Diagnosis_Guide!$A:$B,2,0)</f>
        <v>Appendicitis Surgery</v>
      </c>
      <c r="AC1055" s="4" t="str">
        <f>VLOOKUP(J1055,Diagnosis_Guide!$A:$C,3,0)</f>
        <v>Surgical</v>
      </c>
      <c r="AD1055" s="4" t="str">
        <f>VLOOKUP(R1055,Insurance_Plans!$A:$C,3,0)</f>
        <v>Employer</v>
      </c>
      <c r="AE1055" s="13">
        <f t="shared" si="48"/>
        <v>5212.5</v>
      </c>
      <c r="AF1055" s="13">
        <f t="shared" si="49"/>
        <v>109462.5</v>
      </c>
      <c r="AG1055" s="4" t="str">
        <f t="shared" si="50"/>
        <v>Low</v>
      </c>
    </row>
    <row r="1056" spans="1:33">
      <c r="A1056" t="s">
        <v>1775</v>
      </c>
      <c r="B1056" t="s">
        <v>360</v>
      </c>
      <c r="C1056" s="11">
        <v>46055</v>
      </c>
      <c r="D1056" t="s">
        <v>144</v>
      </c>
      <c r="E1056" t="s">
        <v>70</v>
      </c>
      <c r="F1056" s="4">
        <v>46055</v>
      </c>
      <c r="G1056" s="4">
        <v>46057</v>
      </c>
      <c r="H1056" t="s">
        <v>201</v>
      </c>
      <c r="I1056" t="s">
        <v>421</v>
      </c>
      <c r="J1056" t="s">
        <v>281</v>
      </c>
      <c r="K1056" t="s">
        <v>124</v>
      </c>
      <c r="L1056" t="s">
        <v>61</v>
      </c>
      <c r="M1056" s="5">
        <v>8500</v>
      </c>
      <c r="N1056" s="5">
        <v>1500</v>
      </c>
      <c r="O1056" s="5">
        <v>1550</v>
      </c>
      <c r="P1056" s="5">
        <v>12000</v>
      </c>
      <c r="Q1056" s="13">
        <v>24550</v>
      </c>
      <c r="R1056" t="s">
        <v>106</v>
      </c>
      <c r="S1056" t="s">
        <v>76</v>
      </c>
      <c r="T1056" s="5">
        <v>9290</v>
      </c>
      <c r="U1056" s="6">
        <v>4</v>
      </c>
      <c r="V1056" t="s">
        <v>64</v>
      </c>
      <c r="W1056" s="4"/>
      <c r="X1056" t="s">
        <v>65</v>
      </c>
      <c r="Y1056" t="s">
        <v>64</v>
      </c>
      <c r="Z1056" t="s">
        <v>96</v>
      </c>
      <c r="AA1056" t="str">
        <f>VLOOKUP(H1056,Departments!$A:$B,2,0)</f>
        <v>Emergency</v>
      </c>
      <c r="AB1056" t="str">
        <f>VLOOKUP(J1056,Diagnosis_Guide!$A:$B,2,0)</f>
        <v>Food Poisoning</v>
      </c>
      <c r="AC1056" s="4" t="str">
        <f>VLOOKUP(J1056,Diagnosis_Guide!$A:$C,3,0)</f>
        <v>Emergency</v>
      </c>
      <c r="AD1056" s="4" t="str">
        <f>VLOOKUP(R1056,Insurance_Plans!$A:$C,3,0)</f>
        <v>Private</v>
      </c>
      <c r="AE1056" s="13">
        <f t="shared" si="48"/>
        <v>1227.5</v>
      </c>
      <c r="AF1056" s="13">
        <f t="shared" si="49"/>
        <v>25777.5</v>
      </c>
      <c r="AG1056" s="4" t="str">
        <f t="shared" si="50"/>
        <v>High</v>
      </c>
    </row>
    <row r="1057" spans="1:33">
      <c r="A1057" t="s">
        <v>1776</v>
      </c>
      <c r="B1057" t="s">
        <v>976</v>
      </c>
      <c r="C1057" s="11">
        <v>46146</v>
      </c>
      <c r="D1057" t="s">
        <v>110</v>
      </c>
      <c r="E1057" t="s">
        <v>70</v>
      </c>
      <c r="F1057" s="4">
        <v>46146</v>
      </c>
      <c r="G1057" s="4">
        <v>46150</v>
      </c>
      <c r="H1057" t="s">
        <v>90</v>
      </c>
      <c r="I1057" t="s">
        <v>91</v>
      </c>
      <c r="J1057" t="s">
        <v>129</v>
      </c>
      <c r="K1057" t="s">
        <v>124</v>
      </c>
      <c r="L1057" t="s">
        <v>94</v>
      </c>
      <c r="M1057" s="5">
        <v>31300</v>
      </c>
      <c r="N1057" s="5">
        <v>2950</v>
      </c>
      <c r="O1057" s="5">
        <v>7300</v>
      </c>
      <c r="P1057" s="5">
        <v>18000</v>
      </c>
      <c r="Q1057" s="13">
        <v>60750</v>
      </c>
      <c r="R1057" t="s">
        <v>106</v>
      </c>
      <c r="S1057" t="s">
        <v>76</v>
      </c>
      <c r="T1057" s="5">
        <v>21960</v>
      </c>
      <c r="U1057" s="6">
        <v>4</v>
      </c>
      <c r="V1057" t="s">
        <v>77</v>
      </c>
      <c r="W1057" s="4">
        <v>46158</v>
      </c>
      <c r="X1057" t="s">
        <v>64</v>
      </c>
      <c r="Y1057" t="s">
        <v>64</v>
      </c>
      <c r="Z1057" t="s">
        <v>78</v>
      </c>
      <c r="AA1057" t="str">
        <f>VLOOKUP(H1057,Departments!$A:$B,2,0)</f>
        <v>Cardiology</v>
      </c>
      <c r="AB1057" t="str">
        <f>VLOOKUP(J1057,Diagnosis_Guide!$A:$B,2,0)</f>
        <v>Hypertension Crisis</v>
      </c>
      <c r="AC1057" s="4" t="str">
        <f>VLOOKUP(J1057,Diagnosis_Guide!$A:$C,3,0)</f>
        <v>Cardiovascular</v>
      </c>
      <c r="AD1057" s="4" t="str">
        <f>VLOOKUP(R1057,Insurance_Plans!$A:$C,3,0)</f>
        <v>Private</v>
      </c>
      <c r="AE1057" s="13">
        <f t="shared" si="48"/>
        <v>3037.5</v>
      </c>
      <c r="AF1057" s="13">
        <f t="shared" si="49"/>
        <v>63787.5</v>
      </c>
      <c r="AG1057" s="4" t="str">
        <f t="shared" si="50"/>
        <v>High</v>
      </c>
    </row>
    <row r="1058" spans="1:33">
      <c r="A1058" t="s">
        <v>1777</v>
      </c>
      <c r="B1058" t="s">
        <v>1371</v>
      </c>
      <c r="C1058" s="11">
        <v>46156</v>
      </c>
      <c r="D1058" t="s">
        <v>144</v>
      </c>
      <c r="E1058" t="s">
        <v>70</v>
      </c>
      <c r="F1058" s="4">
        <v>46156</v>
      </c>
      <c r="G1058" s="4">
        <v>46162</v>
      </c>
      <c r="H1058" t="s">
        <v>201</v>
      </c>
      <c r="I1058" t="s">
        <v>515</v>
      </c>
      <c r="J1058" t="s">
        <v>295</v>
      </c>
      <c r="K1058" t="s">
        <v>124</v>
      </c>
      <c r="L1058" t="s">
        <v>94</v>
      </c>
      <c r="M1058" s="5">
        <v>37700</v>
      </c>
      <c r="N1058" s="5">
        <v>4450</v>
      </c>
      <c r="O1058" s="5">
        <v>7450</v>
      </c>
      <c r="P1058" s="5">
        <v>15000</v>
      </c>
      <c r="Q1058" s="13">
        <v>65800</v>
      </c>
      <c r="R1058" t="s">
        <v>134</v>
      </c>
      <c r="S1058" t="s">
        <v>86</v>
      </c>
      <c r="T1058" s="5">
        <v>36390</v>
      </c>
      <c r="U1058" s="6">
        <v>3</v>
      </c>
      <c r="V1058" t="s">
        <v>77</v>
      </c>
      <c r="W1058" s="4">
        <v>46181</v>
      </c>
      <c r="X1058" t="s">
        <v>77</v>
      </c>
      <c r="Y1058" t="s">
        <v>64</v>
      </c>
      <c r="Z1058" t="s">
        <v>107</v>
      </c>
      <c r="AA1058" t="str">
        <f>VLOOKUP(H1058,Departments!$A:$B,2,0)</f>
        <v>Emergency</v>
      </c>
      <c r="AB1058" t="str">
        <f>VLOOKUP(J1058,Diagnosis_Guide!$A:$B,2,0)</f>
        <v>Accident Injury</v>
      </c>
      <c r="AC1058" s="4" t="str">
        <f>VLOOKUP(J1058,Diagnosis_Guide!$A:$C,3,0)</f>
        <v>Emergency</v>
      </c>
      <c r="AD1058" s="4" t="str">
        <f>VLOOKUP(R1058,Insurance_Plans!$A:$C,3,0)</f>
        <v>Community</v>
      </c>
      <c r="AE1058" s="13">
        <f t="shared" si="48"/>
        <v>3290</v>
      </c>
      <c r="AF1058" s="13">
        <f t="shared" si="49"/>
        <v>69090</v>
      </c>
      <c r="AG1058" s="4" t="str">
        <f t="shared" si="50"/>
        <v>Medium</v>
      </c>
    </row>
    <row r="1059" spans="1:33">
      <c r="A1059" t="s">
        <v>1778</v>
      </c>
      <c r="B1059" t="s">
        <v>1779</v>
      </c>
      <c r="C1059" s="11">
        <v>46109</v>
      </c>
      <c r="D1059" t="s">
        <v>298</v>
      </c>
      <c r="E1059" t="s">
        <v>70</v>
      </c>
      <c r="F1059" s="4">
        <v>46110</v>
      </c>
      <c r="G1059" s="4">
        <v>46114</v>
      </c>
      <c r="H1059" t="s">
        <v>201</v>
      </c>
      <c r="I1059" t="s">
        <v>515</v>
      </c>
      <c r="J1059" t="s">
        <v>295</v>
      </c>
      <c r="K1059" t="s">
        <v>124</v>
      </c>
      <c r="L1059" t="s">
        <v>74</v>
      </c>
      <c r="M1059" s="5">
        <v>33300</v>
      </c>
      <c r="N1059" s="5">
        <v>4550</v>
      </c>
      <c r="O1059" s="5">
        <v>7750</v>
      </c>
      <c r="P1059" s="5">
        <v>12000</v>
      </c>
      <c r="Q1059" s="13">
        <v>58800</v>
      </c>
      <c r="R1059" t="s">
        <v>106</v>
      </c>
      <c r="S1059" t="s">
        <v>76</v>
      </c>
      <c r="T1059" s="5">
        <v>21280</v>
      </c>
      <c r="U1059" s="6">
        <v>4</v>
      </c>
      <c r="V1059" t="s">
        <v>77</v>
      </c>
      <c r="W1059" s="4">
        <v>46133</v>
      </c>
      <c r="X1059" t="s">
        <v>77</v>
      </c>
      <c r="Y1059" t="s">
        <v>64</v>
      </c>
      <c r="Z1059" t="s">
        <v>96</v>
      </c>
      <c r="AA1059" t="str">
        <f>VLOOKUP(H1059,Departments!$A:$B,2,0)</f>
        <v>Emergency</v>
      </c>
      <c r="AB1059" t="str">
        <f>VLOOKUP(J1059,Diagnosis_Guide!$A:$B,2,0)</f>
        <v>Accident Injury</v>
      </c>
      <c r="AC1059" s="4" t="str">
        <f>VLOOKUP(J1059,Diagnosis_Guide!$A:$C,3,0)</f>
        <v>Emergency</v>
      </c>
      <c r="AD1059" s="4" t="str">
        <f>VLOOKUP(R1059,Insurance_Plans!$A:$C,3,0)</f>
        <v>Private</v>
      </c>
      <c r="AE1059" s="13">
        <f t="shared" si="48"/>
        <v>2940</v>
      </c>
      <c r="AF1059" s="13">
        <f t="shared" si="49"/>
        <v>61740</v>
      </c>
      <c r="AG1059" s="4" t="str">
        <f t="shared" si="50"/>
        <v>High</v>
      </c>
    </row>
    <row r="1060" spans="1:33">
      <c r="A1060" t="s">
        <v>1780</v>
      </c>
      <c r="B1060" t="s">
        <v>326</v>
      </c>
      <c r="C1060" s="11">
        <v>46126</v>
      </c>
      <c r="D1060" t="s">
        <v>439</v>
      </c>
      <c r="E1060" t="s">
        <v>70</v>
      </c>
      <c r="F1060" s="4">
        <v>46126</v>
      </c>
      <c r="G1060" s="4">
        <v>46130</v>
      </c>
      <c r="H1060" t="s">
        <v>103</v>
      </c>
      <c r="I1060" t="s">
        <v>412</v>
      </c>
      <c r="J1060" t="s">
        <v>244</v>
      </c>
      <c r="K1060" t="s">
        <v>73</v>
      </c>
      <c r="L1060" t="s">
        <v>94</v>
      </c>
      <c r="M1060" s="5">
        <v>75200</v>
      </c>
      <c r="N1060" s="5">
        <v>9450</v>
      </c>
      <c r="O1060" s="5">
        <v>12150</v>
      </c>
      <c r="P1060" s="5">
        <v>18000</v>
      </c>
      <c r="Q1060" s="13">
        <v>116000</v>
      </c>
      <c r="R1060" t="s">
        <v>95</v>
      </c>
      <c r="S1060" t="s">
        <v>63</v>
      </c>
      <c r="T1060" s="5">
        <v>116000</v>
      </c>
      <c r="U1060" s="6">
        <v>2</v>
      </c>
      <c r="V1060" t="s">
        <v>77</v>
      </c>
      <c r="W1060" s="4">
        <v>46139</v>
      </c>
      <c r="X1060" t="s">
        <v>64</v>
      </c>
      <c r="Y1060" t="s">
        <v>64</v>
      </c>
      <c r="Z1060" t="s">
        <v>96</v>
      </c>
      <c r="AA1060" t="str">
        <f>VLOOKUP(H1060,Departments!$A:$B,2,0)</f>
        <v>Nephrology</v>
      </c>
      <c r="AB1060" t="str">
        <f>VLOOKUP(J1060,Diagnosis_Guide!$A:$B,2,0)</f>
        <v>Chronic Kidney Disease</v>
      </c>
      <c r="AC1060" s="4" t="str">
        <f>VLOOKUP(J1060,Diagnosis_Guide!$A:$C,3,0)</f>
        <v>Renal</v>
      </c>
      <c r="AD1060" s="4" t="str">
        <f>VLOOKUP(R1060,Insurance_Plans!$A:$C,3,0)</f>
        <v>Self-Pay</v>
      </c>
      <c r="AE1060" s="13">
        <f t="shared" si="48"/>
        <v>5800</v>
      </c>
      <c r="AF1060" s="13">
        <f t="shared" si="49"/>
        <v>121800</v>
      </c>
      <c r="AG1060" s="4" t="str">
        <f t="shared" si="50"/>
        <v>Low</v>
      </c>
    </row>
    <row r="1061" spans="1:33">
      <c r="A1061" t="s">
        <v>1781</v>
      </c>
      <c r="B1061" t="s">
        <v>1782</v>
      </c>
      <c r="C1061" s="11">
        <v>46147</v>
      </c>
      <c r="D1061" t="s">
        <v>419</v>
      </c>
      <c r="E1061" t="s">
        <v>70</v>
      </c>
      <c r="F1061" s="4">
        <v>46148</v>
      </c>
      <c r="G1061" s="4">
        <v>46150</v>
      </c>
      <c r="H1061" t="s">
        <v>138</v>
      </c>
      <c r="I1061" t="s">
        <v>260</v>
      </c>
      <c r="J1061" t="s">
        <v>140</v>
      </c>
      <c r="K1061" t="s">
        <v>73</v>
      </c>
      <c r="L1061" t="s">
        <v>94</v>
      </c>
      <c r="M1061" s="5">
        <v>16900</v>
      </c>
      <c r="N1061" s="5">
        <v>2950</v>
      </c>
      <c r="O1061" s="5">
        <v>2250</v>
      </c>
      <c r="P1061" s="5">
        <v>5000</v>
      </c>
      <c r="Q1061" s="13">
        <v>29600</v>
      </c>
      <c r="R1061" t="s">
        <v>141</v>
      </c>
      <c r="S1061" t="s">
        <v>86</v>
      </c>
      <c r="T1061" s="5">
        <v>5640</v>
      </c>
      <c r="U1061" s="6">
        <v>4</v>
      </c>
      <c r="V1061" t="s">
        <v>64</v>
      </c>
      <c r="W1061" s="4"/>
      <c r="X1061" t="s">
        <v>65</v>
      </c>
      <c r="Y1061" t="s">
        <v>77</v>
      </c>
      <c r="Z1061" t="s">
        <v>78</v>
      </c>
      <c r="AA1061" t="str">
        <f>VLOOKUP(H1061,Departments!$A:$B,2,0)</f>
        <v>Pediatrics</v>
      </c>
      <c r="AB1061" t="str">
        <f>VLOOKUP(J1061,Diagnosis_Guide!$A:$B,2,0)</f>
        <v>Pediatric Asthma</v>
      </c>
      <c r="AC1061" s="4" t="str">
        <f>VLOOKUP(J1061,Diagnosis_Guide!$A:$C,3,0)</f>
        <v>Pediatric</v>
      </c>
      <c r="AD1061" s="4" t="str">
        <f>VLOOKUP(R1061,Insurance_Plans!$A:$C,3,0)</f>
        <v>Private</v>
      </c>
      <c r="AE1061" s="13">
        <f t="shared" si="48"/>
        <v>1480</v>
      </c>
      <c r="AF1061" s="13">
        <f t="shared" si="49"/>
        <v>31080</v>
      </c>
      <c r="AG1061" s="4" t="str">
        <f t="shared" si="50"/>
        <v>High</v>
      </c>
    </row>
    <row r="1062" spans="1:33">
      <c r="A1062" t="s">
        <v>1783</v>
      </c>
      <c r="B1062" t="s">
        <v>1741</v>
      </c>
      <c r="C1062" s="11">
        <v>46135</v>
      </c>
      <c r="D1062" t="s">
        <v>432</v>
      </c>
      <c r="E1062" t="s">
        <v>70</v>
      </c>
      <c r="F1062" s="4">
        <v>46135</v>
      </c>
      <c r="G1062" s="4">
        <v>46135</v>
      </c>
      <c r="H1062" t="s">
        <v>103</v>
      </c>
      <c r="I1062" t="s">
        <v>243</v>
      </c>
      <c r="J1062" t="s">
        <v>105</v>
      </c>
      <c r="K1062" t="s">
        <v>60</v>
      </c>
      <c r="L1062" t="s">
        <v>94</v>
      </c>
      <c r="M1062" s="5">
        <v>62100</v>
      </c>
      <c r="N1062" s="5">
        <v>7400</v>
      </c>
      <c r="O1062" s="5">
        <v>12500</v>
      </c>
      <c r="P1062" s="5">
        <v>0</v>
      </c>
      <c r="Q1062" s="13">
        <v>83800</v>
      </c>
      <c r="R1062" t="s">
        <v>75</v>
      </c>
      <c r="S1062" t="s">
        <v>76</v>
      </c>
      <c r="T1062" s="5">
        <v>38010</v>
      </c>
      <c r="U1062" s="6">
        <v>4</v>
      </c>
      <c r="V1062" t="s">
        <v>77</v>
      </c>
      <c r="W1062" s="4">
        <v>46143</v>
      </c>
      <c r="X1062" t="s">
        <v>77</v>
      </c>
      <c r="Y1062" t="s">
        <v>64</v>
      </c>
      <c r="Z1062" t="s">
        <v>96</v>
      </c>
      <c r="AA1062" t="str">
        <f>VLOOKUP(H1062,Departments!$A:$B,2,0)</f>
        <v>Nephrology</v>
      </c>
      <c r="AB1062" t="str">
        <f>VLOOKUP(J1062,Diagnosis_Guide!$A:$B,2,0)</f>
        <v>Dialysis Complication</v>
      </c>
      <c r="AC1062" s="4" t="str">
        <f>VLOOKUP(J1062,Diagnosis_Guide!$A:$C,3,0)</f>
        <v>Renal</v>
      </c>
      <c r="AD1062" s="4" t="str">
        <f>VLOOKUP(R1062,Insurance_Plans!$A:$C,3,0)</f>
        <v>Public</v>
      </c>
      <c r="AE1062" s="13">
        <f t="shared" si="48"/>
        <v>4190</v>
      </c>
      <c r="AF1062" s="13">
        <f t="shared" si="49"/>
        <v>87990</v>
      </c>
      <c r="AG1062" s="4" t="str">
        <f t="shared" si="50"/>
        <v>High</v>
      </c>
    </row>
    <row r="1063" spans="1:33">
      <c r="A1063" t="s">
        <v>1784</v>
      </c>
      <c r="B1063" t="s">
        <v>377</v>
      </c>
      <c r="C1063" s="11">
        <v>46038</v>
      </c>
      <c r="D1063" t="s">
        <v>110</v>
      </c>
      <c r="E1063" t="s">
        <v>177</v>
      </c>
      <c r="F1063" s="4"/>
      <c r="G1063" s="4"/>
      <c r="H1063" t="s">
        <v>150</v>
      </c>
      <c r="I1063" t="s">
        <v>151</v>
      </c>
      <c r="J1063" t="s">
        <v>152</v>
      </c>
      <c r="K1063" t="s">
        <v>60</v>
      </c>
      <c r="L1063" t="s">
        <v>146</v>
      </c>
      <c r="M1063" s="5"/>
      <c r="N1063" s="5"/>
      <c r="O1063" s="5"/>
      <c r="P1063" s="5"/>
      <c r="R1063" t="s">
        <v>106</v>
      </c>
      <c r="S1063" t="s">
        <v>63</v>
      </c>
      <c r="T1063" s="5"/>
      <c r="U1063" s="6"/>
      <c r="V1063" t="s">
        <v>64</v>
      </c>
      <c r="W1063" s="4"/>
      <c r="X1063" t="s">
        <v>65</v>
      </c>
      <c r="Z1063" t="s">
        <v>66</v>
      </c>
      <c r="AA1063" t="str">
        <f>VLOOKUP(H1063,Departments!$A:$B,2,0)</f>
        <v>Obstetrics</v>
      </c>
      <c r="AB1063" t="str">
        <f>VLOOKUP(J1063,Diagnosis_Guide!$A:$B,2,0)</f>
        <v>Antenatal Complication</v>
      </c>
      <c r="AC1063" s="4" t="str">
        <f>VLOOKUP(J1063,Diagnosis_Guide!$A:$C,3,0)</f>
        <v>Maternal Health</v>
      </c>
      <c r="AD1063" s="4" t="str">
        <f>VLOOKUP(R1063,Insurance_Plans!$A:$C,3,0)</f>
        <v>Private</v>
      </c>
      <c r="AE1063" s="13" t="str">
        <f t="shared" si="48"/>
        <v/>
      </c>
      <c r="AF1063" s="13" t="str">
        <f t="shared" si="49"/>
        <v/>
      </c>
      <c r="AG1063" s="4" t="str">
        <f t="shared" si="50"/>
        <v>Not Available</v>
      </c>
    </row>
    <row r="1064" spans="1:33">
      <c r="A1064" t="s">
        <v>1785</v>
      </c>
      <c r="B1064" t="s">
        <v>1474</v>
      </c>
      <c r="C1064" s="11">
        <v>46122</v>
      </c>
      <c r="D1064" t="s">
        <v>200</v>
      </c>
      <c r="E1064" t="s">
        <v>70</v>
      </c>
      <c r="F1064" s="4">
        <v>46122</v>
      </c>
      <c r="G1064" s="4">
        <v>46122</v>
      </c>
      <c r="H1064" t="s">
        <v>82</v>
      </c>
      <c r="I1064" t="s">
        <v>272</v>
      </c>
      <c r="J1064" t="s">
        <v>84</v>
      </c>
      <c r="K1064" t="s">
        <v>93</v>
      </c>
      <c r="L1064" t="s">
        <v>146</v>
      </c>
      <c r="M1064" s="5">
        <v>6200</v>
      </c>
      <c r="N1064" s="5">
        <v>900</v>
      </c>
      <c r="O1064" s="5">
        <v>1300</v>
      </c>
      <c r="P1064" s="5">
        <v>0</v>
      </c>
      <c r="Q1064" s="13">
        <v>10200</v>
      </c>
      <c r="R1064" t="s">
        <v>75</v>
      </c>
      <c r="S1064" t="s">
        <v>163</v>
      </c>
      <c r="T1064" s="5">
        <v>4890</v>
      </c>
      <c r="U1064" s="6">
        <v>4</v>
      </c>
      <c r="V1064" t="s">
        <v>64</v>
      </c>
      <c r="W1064" s="4"/>
      <c r="X1064" t="s">
        <v>65</v>
      </c>
      <c r="Y1064" t="s">
        <v>64</v>
      </c>
      <c r="Z1064" t="s">
        <v>96</v>
      </c>
      <c r="AA1064" t="str">
        <f>VLOOKUP(H1064,Departments!$A:$B,2,0)</f>
        <v>Orthopedics</v>
      </c>
      <c r="AB1064" t="str">
        <f>VLOOKUP(J1064,Diagnosis_Guide!$A:$B,2,0)</f>
        <v>Joint Pain</v>
      </c>
      <c r="AC1064" s="4" t="str">
        <f>VLOOKUP(J1064,Diagnosis_Guide!$A:$C,3,0)</f>
        <v>Musculoskeletal</v>
      </c>
      <c r="AD1064" s="4" t="str">
        <f>VLOOKUP(R1064,Insurance_Plans!$A:$C,3,0)</f>
        <v>Public</v>
      </c>
      <c r="AE1064" s="13">
        <f t="shared" si="48"/>
        <v>510</v>
      </c>
      <c r="AF1064" s="13">
        <f t="shared" si="49"/>
        <v>10710</v>
      </c>
      <c r="AG1064" s="4" t="str">
        <f t="shared" si="50"/>
        <v>High</v>
      </c>
    </row>
    <row r="1065" spans="1:33">
      <c r="A1065" t="s">
        <v>1786</v>
      </c>
      <c r="B1065" t="s">
        <v>892</v>
      </c>
      <c r="C1065" s="11">
        <v>46145</v>
      </c>
      <c r="D1065" t="s">
        <v>168</v>
      </c>
      <c r="E1065" t="s">
        <v>70</v>
      </c>
      <c r="F1065" s="4">
        <v>46145</v>
      </c>
      <c r="G1065" s="4">
        <v>46151</v>
      </c>
      <c r="H1065" t="s">
        <v>111</v>
      </c>
      <c r="I1065" t="s">
        <v>222</v>
      </c>
      <c r="J1065" t="s">
        <v>113</v>
      </c>
      <c r="K1065" t="s">
        <v>124</v>
      </c>
      <c r="L1065" t="s">
        <v>61</v>
      </c>
      <c r="M1065" s="5">
        <v>29300</v>
      </c>
      <c r="N1065" s="5">
        <v>4900</v>
      </c>
      <c r="O1065" s="5">
        <v>4700</v>
      </c>
      <c r="P1065" s="5">
        <v>27000</v>
      </c>
      <c r="Q1065" s="13">
        <v>66900</v>
      </c>
      <c r="R1065" t="s">
        <v>85</v>
      </c>
      <c r="S1065" t="s">
        <v>76</v>
      </c>
      <c r="T1065" s="5">
        <v>17620</v>
      </c>
      <c r="U1065" s="6">
        <v>3</v>
      </c>
      <c r="V1065" t="s">
        <v>77</v>
      </c>
      <c r="W1065" s="4">
        <v>46164</v>
      </c>
      <c r="X1065" t="s">
        <v>77</v>
      </c>
      <c r="Y1065" t="s">
        <v>64</v>
      </c>
      <c r="Z1065" t="s">
        <v>436</v>
      </c>
      <c r="AA1065" t="str">
        <f>VLOOKUP(H1065,Departments!$A:$B,2,0)</f>
        <v>General Medicine</v>
      </c>
      <c r="AB1065" t="str">
        <f>VLOOKUP(J1065,Diagnosis_Guide!$A:$B,2,0)</f>
        <v>Diabetes Complication</v>
      </c>
      <c r="AC1065" s="4" t="str">
        <f>VLOOKUP(J1065,Diagnosis_Guide!$A:$C,3,0)</f>
        <v>Endocrine/General</v>
      </c>
      <c r="AD1065" s="4" t="str">
        <f>VLOOKUP(R1065,Insurance_Plans!$A:$C,3,0)</f>
        <v>Employer</v>
      </c>
      <c r="AE1065" s="13">
        <f t="shared" si="48"/>
        <v>3345</v>
      </c>
      <c r="AF1065" s="13">
        <f t="shared" si="49"/>
        <v>70245</v>
      </c>
      <c r="AG1065" s="4" t="str">
        <f t="shared" si="50"/>
        <v>Medium</v>
      </c>
    </row>
    <row r="1066" spans="1:33">
      <c r="A1066" t="s">
        <v>1787</v>
      </c>
      <c r="B1066" t="s">
        <v>1788</v>
      </c>
      <c r="C1066" s="11">
        <v>46079</v>
      </c>
      <c r="D1066" t="s">
        <v>307</v>
      </c>
      <c r="E1066" t="s">
        <v>70</v>
      </c>
      <c r="F1066" s="4">
        <v>46079</v>
      </c>
      <c r="G1066" s="4">
        <v>46088</v>
      </c>
      <c r="H1066" t="s">
        <v>82</v>
      </c>
      <c r="I1066" t="s">
        <v>369</v>
      </c>
      <c r="J1066" t="s">
        <v>156</v>
      </c>
      <c r="K1066" t="s">
        <v>124</v>
      </c>
      <c r="L1066" t="s">
        <v>61</v>
      </c>
      <c r="M1066" s="5">
        <v>86500</v>
      </c>
      <c r="N1066" s="5">
        <v>14050</v>
      </c>
      <c r="O1066" s="5">
        <v>18150</v>
      </c>
      <c r="P1066" s="5">
        <v>22500</v>
      </c>
      <c r="Q1066" s="13">
        <v>142000</v>
      </c>
      <c r="R1066" t="s">
        <v>75</v>
      </c>
      <c r="S1066" t="s">
        <v>76</v>
      </c>
      <c r="T1066" s="5">
        <v>64200</v>
      </c>
      <c r="U1066" s="6">
        <v>3</v>
      </c>
      <c r="V1066" t="s">
        <v>77</v>
      </c>
      <c r="W1066" s="4">
        <v>46105</v>
      </c>
      <c r="X1066" t="s">
        <v>77</v>
      </c>
      <c r="Y1066" t="s">
        <v>64</v>
      </c>
      <c r="Z1066" t="s">
        <v>78</v>
      </c>
      <c r="AA1066" t="str">
        <f>VLOOKUP(H1066,Departments!$A:$B,2,0)</f>
        <v>Orthopedics</v>
      </c>
      <c r="AB1066" t="str">
        <f>VLOOKUP(J1066,Diagnosis_Guide!$A:$B,2,0)</f>
        <v>Spinal Injury</v>
      </c>
      <c r="AC1066" s="4" t="str">
        <f>VLOOKUP(J1066,Diagnosis_Guide!$A:$C,3,0)</f>
        <v>Musculoskeletal</v>
      </c>
      <c r="AD1066" s="4" t="str">
        <f>VLOOKUP(R1066,Insurance_Plans!$A:$C,3,0)</f>
        <v>Public</v>
      </c>
      <c r="AE1066" s="13">
        <f t="shared" si="48"/>
        <v>7100</v>
      </c>
      <c r="AF1066" s="13">
        <f t="shared" si="49"/>
        <v>149100</v>
      </c>
      <c r="AG1066" s="4" t="str">
        <f t="shared" si="50"/>
        <v>Medium</v>
      </c>
    </row>
    <row r="1067" spans="1:33">
      <c r="A1067" t="s">
        <v>1789</v>
      </c>
      <c r="B1067" t="s">
        <v>401</v>
      </c>
      <c r="C1067" s="11">
        <v>46160</v>
      </c>
      <c r="D1067" t="s">
        <v>469</v>
      </c>
      <c r="E1067" t="s">
        <v>70</v>
      </c>
      <c r="F1067" s="4">
        <v>46160</v>
      </c>
      <c r="G1067" s="4">
        <v>46160</v>
      </c>
      <c r="H1067" t="s">
        <v>103</v>
      </c>
      <c r="I1067" t="s">
        <v>412</v>
      </c>
      <c r="J1067" t="s">
        <v>105</v>
      </c>
      <c r="K1067" t="s">
        <v>60</v>
      </c>
      <c r="L1067" t="s">
        <v>94</v>
      </c>
      <c r="M1067" s="5">
        <v>42800</v>
      </c>
      <c r="N1067" s="5">
        <v>5400</v>
      </c>
      <c r="O1067" s="5">
        <v>7100</v>
      </c>
      <c r="P1067" s="5">
        <v>0</v>
      </c>
      <c r="Q1067" s="13">
        <v>56500</v>
      </c>
      <c r="R1067" t="s">
        <v>85</v>
      </c>
      <c r="S1067" t="s">
        <v>86</v>
      </c>
      <c r="T1067" s="5">
        <v>15020</v>
      </c>
      <c r="U1067" s="6">
        <v>3</v>
      </c>
      <c r="V1067" t="s">
        <v>77</v>
      </c>
      <c r="W1067" s="4">
        <v>46172</v>
      </c>
      <c r="X1067" t="s">
        <v>64</v>
      </c>
      <c r="Y1067" t="s">
        <v>64</v>
      </c>
      <c r="Z1067" t="s">
        <v>78</v>
      </c>
      <c r="AA1067" t="str">
        <f>VLOOKUP(H1067,Departments!$A:$B,2,0)</f>
        <v>Nephrology</v>
      </c>
      <c r="AB1067" t="str">
        <f>VLOOKUP(J1067,Diagnosis_Guide!$A:$B,2,0)</f>
        <v>Dialysis Complication</v>
      </c>
      <c r="AC1067" s="4" t="str">
        <f>VLOOKUP(J1067,Diagnosis_Guide!$A:$C,3,0)</f>
        <v>Renal</v>
      </c>
      <c r="AD1067" s="4" t="str">
        <f>VLOOKUP(R1067,Insurance_Plans!$A:$C,3,0)</f>
        <v>Employer</v>
      </c>
      <c r="AE1067" s="13">
        <f t="shared" si="48"/>
        <v>2825</v>
      </c>
      <c r="AF1067" s="13">
        <f t="shared" si="49"/>
        <v>59325</v>
      </c>
      <c r="AG1067" s="4" t="str">
        <f t="shared" si="50"/>
        <v>Medium</v>
      </c>
    </row>
    <row r="1068" spans="1:33">
      <c r="A1068" t="s">
        <v>1790</v>
      </c>
      <c r="B1068" t="s">
        <v>176</v>
      </c>
      <c r="C1068" s="11">
        <v>46114</v>
      </c>
      <c r="D1068" t="s">
        <v>200</v>
      </c>
      <c r="E1068" t="s">
        <v>70</v>
      </c>
      <c r="F1068" s="4">
        <v>46115</v>
      </c>
      <c r="G1068" s="4">
        <v>46120</v>
      </c>
      <c r="H1068" t="s">
        <v>111</v>
      </c>
      <c r="I1068" t="s">
        <v>116</v>
      </c>
      <c r="J1068" t="s">
        <v>113</v>
      </c>
      <c r="K1068" t="s">
        <v>124</v>
      </c>
      <c r="L1068" t="s">
        <v>61</v>
      </c>
      <c r="M1068" s="5">
        <v>23800</v>
      </c>
      <c r="N1068" s="5">
        <v>3200</v>
      </c>
      <c r="O1068" s="5">
        <v>3150</v>
      </c>
      <c r="P1068" s="5">
        <v>30000</v>
      </c>
      <c r="Q1068" s="13">
        <v>60950</v>
      </c>
      <c r="R1068" t="s">
        <v>85</v>
      </c>
      <c r="S1068" t="s">
        <v>76</v>
      </c>
      <c r="T1068" s="5">
        <v>16140</v>
      </c>
      <c r="U1068" s="6">
        <v>3</v>
      </c>
      <c r="V1068" t="s">
        <v>77</v>
      </c>
      <c r="W1068" s="4">
        <v>46130</v>
      </c>
      <c r="X1068" t="s">
        <v>64</v>
      </c>
      <c r="Y1068" t="s">
        <v>64</v>
      </c>
      <c r="Z1068" t="s">
        <v>436</v>
      </c>
      <c r="AA1068" t="str">
        <f>VLOOKUP(H1068,Departments!$A:$B,2,0)</f>
        <v>General Medicine</v>
      </c>
      <c r="AB1068" t="str">
        <f>VLOOKUP(J1068,Diagnosis_Guide!$A:$B,2,0)</f>
        <v>Diabetes Complication</v>
      </c>
      <c r="AC1068" s="4" t="str">
        <f>VLOOKUP(J1068,Diagnosis_Guide!$A:$C,3,0)</f>
        <v>Endocrine/General</v>
      </c>
      <c r="AD1068" s="4" t="str">
        <f>VLOOKUP(R1068,Insurance_Plans!$A:$C,3,0)</f>
        <v>Employer</v>
      </c>
      <c r="AE1068" s="13">
        <f t="shared" si="48"/>
        <v>3047.5</v>
      </c>
      <c r="AF1068" s="13">
        <f t="shared" si="49"/>
        <v>63997.5</v>
      </c>
      <c r="AG1068" s="4" t="str">
        <f t="shared" si="50"/>
        <v>Medium</v>
      </c>
    </row>
    <row r="1069" spans="1:33">
      <c r="A1069" t="s">
        <v>1791</v>
      </c>
      <c r="B1069" t="s">
        <v>1020</v>
      </c>
      <c r="C1069" s="11">
        <v>46157</v>
      </c>
      <c r="D1069" t="s">
        <v>469</v>
      </c>
      <c r="E1069" t="s">
        <v>70</v>
      </c>
      <c r="F1069" s="4">
        <v>46158</v>
      </c>
      <c r="G1069" s="4">
        <v>46158</v>
      </c>
      <c r="H1069" t="s">
        <v>111</v>
      </c>
      <c r="I1069" t="s">
        <v>112</v>
      </c>
      <c r="J1069" t="s">
        <v>117</v>
      </c>
      <c r="K1069" t="s">
        <v>73</v>
      </c>
      <c r="L1069" t="s">
        <v>61</v>
      </c>
      <c r="M1069" s="5">
        <v>7200</v>
      </c>
      <c r="N1069" s="5">
        <v>1050</v>
      </c>
      <c r="O1069" s="5">
        <v>1300</v>
      </c>
      <c r="P1069" s="5">
        <v>0</v>
      </c>
      <c r="Q1069" s="13">
        <v>10350</v>
      </c>
      <c r="R1069" t="s">
        <v>75</v>
      </c>
      <c r="S1069" t="s">
        <v>76</v>
      </c>
      <c r="T1069" s="5">
        <v>4960</v>
      </c>
      <c r="U1069" s="6">
        <v>4</v>
      </c>
      <c r="V1069" t="s">
        <v>64</v>
      </c>
      <c r="W1069" s="4"/>
      <c r="X1069" t="s">
        <v>65</v>
      </c>
      <c r="Y1069" t="s">
        <v>77</v>
      </c>
      <c r="Z1069" t="s">
        <v>78</v>
      </c>
      <c r="AA1069" t="str">
        <f>VLOOKUP(H1069,Departments!$A:$B,2,0)</f>
        <v>General Medicine</v>
      </c>
      <c r="AB1069" t="str">
        <f>VLOOKUP(J1069,Diagnosis_Guide!$A:$B,2,0)</f>
        <v>Fever Investigation</v>
      </c>
      <c r="AC1069" s="4" t="str">
        <f>VLOOKUP(J1069,Diagnosis_Guide!$A:$C,3,0)</f>
        <v>Infectious/General</v>
      </c>
      <c r="AD1069" s="4" t="str">
        <f>VLOOKUP(R1069,Insurance_Plans!$A:$C,3,0)</f>
        <v>Public</v>
      </c>
      <c r="AE1069" s="13">
        <f t="shared" si="48"/>
        <v>517.5</v>
      </c>
      <c r="AF1069" s="13">
        <f t="shared" si="49"/>
        <v>10867.5</v>
      </c>
      <c r="AG1069" s="4" t="str">
        <f t="shared" si="50"/>
        <v>High</v>
      </c>
    </row>
    <row r="1070" spans="1:33">
      <c r="A1070" t="s">
        <v>1792</v>
      </c>
      <c r="B1070" t="s">
        <v>483</v>
      </c>
      <c r="C1070" s="11">
        <v>46030</v>
      </c>
      <c r="D1070" t="s">
        <v>259</v>
      </c>
      <c r="E1070" t="s">
        <v>70</v>
      </c>
      <c r="F1070" s="4">
        <v>46031</v>
      </c>
      <c r="G1070" s="4">
        <v>46033</v>
      </c>
      <c r="H1070" t="s">
        <v>150</v>
      </c>
      <c r="I1070" t="s">
        <v>304</v>
      </c>
      <c r="J1070" t="s">
        <v>229</v>
      </c>
      <c r="K1070" t="s">
        <v>73</v>
      </c>
      <c r="L1070" t="s">
        <v>94</v>
      </c>
      <c r="M1070" s="5">
        <v>40600</v>
      </c>
      <c r="N1070" s="5">
        <v>6350</v>
      </c>
      <c r="O1070" s="5">
        <v>6500</v>
      </c>
      <c r="P1070" s="5">
        <v>9000</v>
      </c>
      <c r="Q1070" s="13">
        <v>63650</v>
      </c>
      <c r="R1070" t="s">
        <v>75</v>
      </c>
      <c r="S1070" t="s">
        <v>76</v>
      </c>
      <c r="T1070" s="5">
        <v>28940</v>
      </c>
      <c r="U1070" s="6">
        <v>5</v>
      </c>
      <c r="V1070" t="s">
        <v>64</v>
      </c>
      <c r="W1070" s="4"/>
      <c r="X1070" t="s">
        <v>65</v>
      </c>
      <c r="Y1070" t="s">
        <v>64</v>
      </c>
      <c r="Z1070" t="s">
        <v>78</v>
      </c>
      <c r="AA1070" t="str">
        <f>VLOOKUP(H1070,Departments!$A:$B,2,0)</f>
        <v>Obstetrics</v>
      </c>
      <c r="AB1070" t="str">
        <f>VLOOKUP(J1070,Diagnosis_Guide!$A:$B,2,0)</f>
        <v>Delivery Care</v>
      </c>
      <c r="AC1070" s="4" t="str">
        <f>VLOOKUP(J1070,Diagnosis_Guide!$A:$C,3,0)</f>
        <v>Maternal Health</v>
      </c>
      <c r="AD1070" s="4" t="str">
        <f>VLOOKUP(R1070,Insurance_Plans!$A:$C,3,0)</f>
        <v>Public</v>
      </c>
      <c r="AE1070" s="13">
        <f t="shared" si="48"/>
        <v>3182.5</v>
      </c>
      <c r="AF1070" s="13">
        <f t="shared" si="49"/>
        <v>66832.5</v>
      </c>
      <c r="AG1070" s="4" t="str">
        <f t="shared" si="50"/>
        <v>High</v>
      </c>
    </row>
    <row r="1071" spans="1:33">
      <c r="A1071" t="s">
        <v>1793</v>
      </c>
      <c r="B1071" t="s">
        <v>553</v>
      </c>
      <c r="C1071" s="11">
        <v>46023</v>
      </c>
      <c r="D1071" t="s">
        <v>210</v>
      </c>
      <c r="E1071" t="s">
        <v>70</v>
      </c>
      <c r="F1071" s="4">
        <v>46023</v>
      </c>
      <c r="G1071" s="4">
        <v>46023</v>
      </c>
      <c r="H1071" t="s">
        <v>103</v>
      </c>
      <c r="I1071" t="s">
        <v>214</v>
      </c>
      <c r="J1071" t="s">
        <v>105</v>
      </c>
      <c r="K1071" t="s">
        <v>60</v>
      </c>
      <c r="L1071" t="s">
        <v>74</v>
      </c>
      <c r="M1071" s="5">
        <v>78100</v>
      </c>
      <c r="N1071" s="5">
        <v>9700</v>
      </c>
      <c r="O1071" s="5">
        <v>10200</v>
      </c>
      <c r="P1071" s="5">
        <v>0</v>
      </c>
      <c r="Q1071" s="13">
        <v>98800</v>
      </c>
      <c r="R1071" t="s">
        <v>85</v>
      </c>
      <c r="S1071" t="s">
        <v>76</v>
      </c>
      <c r="T1071" s="5">
        <v>25600</v>
      </c>
      <c r="U1071" s="6"/>
      <c r="V1071" t="s">
        <v>77</v>
      </c>
      <c r="W1071" s="4">
        <v>46034</v>
      </c>
      <c r="X1071" t="s">
        <v>77</v>
      </c>
      <c r="Y1071" t="s">
        <v>64</v>
      </c>
      <c r="Z1071" t="s">
        <v>78</v>
      </c>
      <c r="AA1071" t="str">
        <f>VLOOKUP(H1071,Departments!$A:$B,2,0)</f>
        <v>Nephrology</v>
      </c>
      <c r="AB1071" t="str">
        <f>VLOOKUP(J1071,Diagnosis_Guide!$A:$B,2,0)</f>
        <v>Dialysis Complication</v>
      </c>
      <c r="AC1071" s="4" t="str">
        <f>VLOOKUP(J1071,Diagnosis_Guide!$A:$C,3,0)</f>
        <v>Renal</v>
      </c>
      <c r="AD1071" s="4" t="str">
        <f>VLOOKUP(R1071,Insurance_Plans!$A:$C,3,0)</f>
        <v>Employer</v>
      </c>
      <c r="AE1071" s="13">
        <f t="shared" si="48"/>
        <v>4940</v>
      </c>
      <c r="AF1071" s="13">
        <f t="shared" si="49"/>
        <v>103740</v>
      </c>
      <c r="AG1071" s="4" t="str">
        <f t="shared" si="50"/>
        <v>Not Available</v>
      </c>
    </row>
    <row r="1072" spans="1:33">
      <c r="A1072" t="s">
        <v>1794</v>
      </c>
      <c r="B1072" t="s">
        <v>317</v>
      </c>
      <c r="C1072" s="11">
        <v>46117</v>
      </c>
      <c r="D1072" t="s">
        <v>69</v>
      </c>
      <c r="E1072" t="s">
        <v>70</v>
      </c>
      <c r="F1072" s="4">
        <v>46117</v>
      </c>
      <c r="G1072" s="4">
        <v>46119</v>
      </c>
      <c r="H1072" t="s">
        <v>138</v>
      </c>
      <c r="I1072" t="s">
        <v>139</v>
      </c>
      <c r="J1072" t="s">
        <v>261</v>
      </c>
      <c r="K1072" t="s">
        <v>73</v>
      </c>
      <c r="L1072" t="s">
        <v>61</v>
      </c>
      <c r="M1072" s="5">
        <v>5100</v>
      </c>
      <c r="N1072" s="5">
        <v>850</v>
      </c>
      <c r="O1072" s="5">
        <v>500</v>
      </c>
      <c r="P1072" s="5">
        <v>6000</v>
      </c>
      <c r="Q1072" s="13">
        <v>14450</v>
      </c>
      <c r="R1072" t="s">
        <v>95</v>
      </c>
      <c r="S1072" t="s">
        <v>63</v>
      </c>
      <c r="T1072" s="5">
        <v>14450</v>
      </c>
      <c r="U1072" s="6">
        <v>4</v>
      </c>
      <c r="V1072" t="s">
        <v>64</v>
      </c>
      <c r="W1072" s="4"/>
      <c r="X1072" t="s">
        <v>65</v>
      </c>
      <c r="Y1072" t="s">
        <v>64</v>
      </c>
      <c r="Z1072" t="s">
        <v>96</v>
      </c>
      <c r="AA1072" t="str">
        <f>VLOOKUP(H1072,Departments!$A:$B,2,0)</f>
        <v>Pediatrics</v>
      </c>
      <c r="AB1072" t="str">
        <f>VLOOKUP(J1072,Diagnosis_Guide!$A:$B,2,0)</f>
        <v>Child Fever</v>
      </c>
      <c r="AC1072" s="4" t="str">
        <f>VLOOKUP(J1072,Diagnosis_Guide!$A:$C,3,0)</f>
        <v>Pediatric</v>
      </c>
      <c r="AD1072" s="4" t="str">
        <f>VLOOKUP(R1072,Insurance_Plans!$A:$C,3,0)</f>
        <v>Self-Pay</v>
      </c>
      <c r="AE1072" s="13">
        <f t="shared" si="48"/>
        <v>722.5</v>
      </c>
      <c r="AF1072" s="13">
        <f t="shared" si="49"/>
        <v>15172.5</v>
      </c>
      <c r="AG1072" s="4" t="str">
        <f t="shared" si="50"/>
        <v>High</v>
      </c>
    </row>
    <row r="1073" spans="1:33">
      <c r="A1073" t="s">
        <v>1795</v>
      </c>
      <c r="B1073" t="s">
        <v>414</v>
      </c>
      <c r="C1073" s="11">
        <v>46070</v>
      </c>
      <c r="D1073" t="s">
        <v>298</v>
      </c>
      <c r="E1073" t="s">
        <v>70</v>
      </c>
      <c r="F1073" s="4">
        <v>46070</v>
      </c>
      <c r="G1073" s="4">
        <v>46074</v>
      </c>
      <c r="H1073" t="s">
        <v>82</v>
      </c>
      <c r="I1073" t="s">
        <v>272</v>
      </c>
      <c r="J1073" t="s">
        <v>291</v>
      </c>
      <c r="K1073" t="s">
        <v>73</v>
      </c>
      <c r="L1073" t="s">
        <v>61</v>
      </c>
      <c r="M1073" s="5">
        <v>37900</v>
      </c>
      <c r="N1073" s="5">
        <v>3050</v>
      </c>
      <c r="O1073" s="5">
        <v>4350</v>
      </c>
      <c r="P1073" s="5">
        <v>10000</v>
      </c>
      <c r="Q1073" s="13">
        <v>57100</v>
      </c>
      <c r="R1073" t="s">
        <v>75</v>
      </c>
      <c r="S1073" t="s">
        <v>76</v>
      </c>
      <c r="T1073" s="5">
        <v>25990</v>
      </c>
      <c r="U1073" s="6">
        <v>4</v>
      </c>
      <c r="V1073" t="s">
        <v>77</v>
      </c>
      <c r="W1073" s="4">
        <v>46087</v>
      </c>
      <c r="X1073" t="s">
        <v>77</v>
      </c>
      <c r="Y1073" t="s">
        <v>64</v>
      </c>
      <c r="Z1073" t="s">
        <v>96</v>
      </c>
      <c r="AA1073" t="str">
        <f>VLOOKUP(H1073,Departments!$A:$B,2,0)</f>
        <v>Orthopedics</v>
      </c>
      <c r="AB1073" t="str">
        <f>VLOOKUP(J1073,Diagnosis_Guide!$A:$B,2,0)</f>
        <v>Fracture Repair</v>
      </c>
      <c r="AC1073" s="4" t="str">
        <f>VLOOKUP(J1073,Diagnosis_Guide!$A:$C,3,0)</f>
        <v>Musculoskeletal</v>
      </c>
      <c r="AD1073" s="4" t="str">
        <f>VLOOKUP(R1073,Insurance_Plans!$A:$C,3,0)</f>
        <v>Public</v>
      </c>
      <c r="AE1073" s="13">
        <f t="shared" si="48"/>
        <v>2855</v>
      </c>
      <c r="AF1073" s="13">
        <f t="shared" si="49"/>
        <v>59955</v>
      </c>
      <c r="AG1073" s="4" t="str">
        <f t="shared" si="50"/>
        <v>High</v>
      </c>
    </row>
    <row r="1074" spans="1:33">
      <c r="A1074" t="s">
        <v>1796</v>
      </c>
      <c r="B1074" t="s">
        <v>1669</v>
      </c>
      <c r="C1074" s="11">
        <v>46169</v>
      </c>
      <c r="D1074" t="s">
        <v>363</v>
      </c>
      <c r="E1074" t="s">
        <v>70</v>
      </c>
      <c r="F1074" s="4">
        <v>46169</v>
      </c>
      <c r="G1074" s="4">
        <v>46172</v>
      </c>
      <c r="H1074" t="s">
        <v>150</v>
      </c>
      <c r="I1074" t="s">
        <v>239</v>
      </c>
      <c r="J1074" t="s">
        <v>229</v>
      </c>
      <c r="K1074" t="s">
        <v>73</v>
      </c>
      <c r="L1074" t="s">
        <v>94</v>
      </c>
      <c r="M1074" s="5">
        <v>29900</v>
      </c>
      <c r="N1074" s="5">
        <v>5350</v>
      </c>
      <c r="O1074" s="5">
        <v>6550</v>
      </c>
      <c r="P1074" s="5">
        <v>18000</v>
      </c>
      <c r="Q1074" s="13">
        <v>61600</v>
      </c>
      <c r="R1074" t="s">
        <v>85</v>
      </c>
      <c r="S1074" t="s">
        <v>76</v>
      </c>
      <c r="T1074" s="5">
        <v>16300</v>
      </c>
      <c r="U1074" s="6">
        <v>5</v>
      </c>
      <c r="V1074" t="s">
        <v>64</v>
      </c>
      <c r="W1074" s="4"/>
      <c r="X1074" t="s">
        <v>65</v>
      </c>
      <c r="Y1074" t="s">
        <v>64</v>
      </c>
      <c r="Z1074" t="s">
        <v>107</v>
      </c>
      <c r="AA1074" t="str">
        <f>VLOOKUP(H1074,Departments!$A:$B,2,0)</f>
        <v>Obstetrics</v>
      </c>
      <c r="AB1074" t="str">
        <f>VLOOKUP(J1074,Diagnosis_Guide!$A:$B,2,0)</f>
        <v>Delivery Care</v>
      </c>
      <c r="AC1074" s="4" t="str">
        <f>VLOOKUP(J1074,Diagnosis_Guide!$A:$C,3,0)</f>
        <v>Maternal Health</v>
      </c>
      <c r="AD1074" s="4" t="str">
        <f>VLOOKUP(R1074,Insurance_Plans!$A:$C,3,0)</f>
        <v>Employer</v>
      </c>
      <c r="AE1074" s="13">
        <f t="shared" si="48"/>
        <v>3080</v>
      </c>
      <c r="AF1074" s="13">
        <f t="shared" si="49"/>
        <v>64680</v>
      </c>
      <c r="AG1074" s="4" t="str">
        <f t="shared" si="50"/>
        <v>High</v>
      </c>
    </row>
    <row r="1075" spans="1:33">
      <c r="A1075" t="s">
        <v>1797</v>
      </c>
      <c r="B1075" t="s">
        <v>1798</v>
      </c>
      <c r="C1075" s="11">
        <v>46148</v>
      </c>
      <c r="D1075" t="s">
        <v>210</v>
      </c>
      <c r="E1075" t="s">
        <v>70</v>
      </c>
      <c r="F1075" s="4">
        <v>46148</v>
      </c>
      <c r="G1075" s="4">
        <v>46153</v>
      </c>
      <c r="H1075" t="s">
        <v>90</v>
      </c>
      <c r="I1075" t="s">
        <v>162</v>
      </c>
      <c r="J1075" t="s">
        <v>197</v>
      </c>
      <c r="K1075" t="s">
        <v>93</v>
      </c>
      <c r="L1075" t="s">
        <v>94</v>
      </c>
      <c r="M1075" s="5">
        <v>19700</v>
      </c>
      <c r="N1075" s="5">
        <v>3500</v>
      </c>
      <c r="O1075" s="5">
        <v>3550</v>
      </c>
      <c r="P1075" s="5">
        <v>30000</v>
      </c>
      <c r="Q1075" s="13">
        <v>57950</v>
      </c>
      <c r="R1075" t="s">
        <v>62</v>
      </c>
      <c r="S1075" t="s">
        <v>76</v>
      </c>
      <c r="T1075" s="5">
        <v>17790</v>
      </c>
      <c r="U1075" s="6">
        <v>4</v>
      </c>
      <c r="V1075" t="s">
        <v>64</v>
      </c>
      <c r="W1075" s="4"/>
      <c r="X1075" t="s">
        <v>65</v>
      </c>
      <c r="Y1075" t="s">
        <v>64</v>
      </c>
      <c r="Z1075" t="s">
        <v>96</v>
      </c>
      <c r="AA1075" t="str">
        <f>VLOOKUP(H1075,Departments!$A:$B,2,0)</f>
        <v>Cardiology</v>
      </c>
      <c r="AB1075" t="str">
        <f>VLOOKUP(J1075,Diagnosis_Guide!$A:$B,2,0)</f>
        <v>Chest Pain</v>
      </c>
      <c r="AC1075" s="4" t="str">
        <f>VLOOKUP(J1075,Diagnosis_Guide!$A:$C,3,0)</f>
        <v>Cardiovascular</v>
      </c>
      <c r="AD1075" s="4" t="str">
        <f>VLOOKUP(R1075,Insurance_Plans!$A:$C,3,0)</f>
        <v>Public</v>
      </c>
      <c r="AE1075" s="13">
        <f t="shared" si="48"/>
        <v>2897.5</v>
      </c>
      <c r="AF1075" s="13">
        <f t="shared" si="49"/>
        <v>60847.5</v>
      </c>
      <c r="AG1075" s="4" t="str">
        <f t="shared" si="50"/>
        <v>High</v>
      </c>
    </row>
    <row r="1076" spans="1:33">
      <c r="A1076" t="s">
        <v>1799</v>
      </c>
      <c r="B1076" t="s">
        <v>479</v>
      </c>
      <c r="C1076" s="11">
        <v>46161</v>
      </c>
      <c r="D1076" t="s">
        <v>55</v>
      </c>
      <c r="E1076" t="s">
        <v>70</v>
      </c>
      <c r="F1076" s="4">
        <v>46161</v>
      </c>
      <c r="G1076" s="4">
        <v>46164</v>
      </c>
      <c r="H1076" t="s">
        <v>138</v>
      </c>
      <c r="I1076" t="s">
        <v>235</v>
      </c>
      <c r="J1076" t="s">
        <v>236</v>
      </c>
      <c r="K1076" t="s">
        <v>73</v>
      </c>
      <c r="L1076" t="s">
        <v>94</v>
      </c>
      <c r="M1076" s="5">
        <v>29600</v>
      </c>
      <c r="N1076" s="5">
        <v>4800</v>
      </c>
      <c r="O1076" s="5">
        <v>4550</v>
      </c>
      <c r="P1076" s="5">
        <v>18000</v>
      </c>
      <c r="Q1076" s="13">
        <v>57950</v>
      </c>
      <c r="R1076" t="s">
        <v>95</v>
      </c>
      <c r="S1076" t="s">
        <v>63</v>
      </c>
      <c r="T1076" s="5">
        <v>57950</v>
      </c>
      <c r="U1076" s="6">
        <v>3</v>
      </c>
      <c r="V1076" t="s">
        <v>77</v>
      </c>
      <c r="W1076" s="4">
        <v>46180</v>
      </c>
      <c r="X1076" t="s">
        <v>77</v>
      </c>
      <c r="Y1076" t="s">
        <v>77</v>
      </c>
      <c r="Z1076" t="s">
        <v>96</v>
      </c>
      <c r="AA1076" t="str">
        <f>VLOOKUP(H1076,Departments!$A:$B,2,0)</f>
        <v>Pediatrics</v>
      </c>
      <c r="AB1076" t="str">
        <f>VLOOKUP(J1076,Diagnosis_Guide!$A:$B,2,0)</f>
        <v>Neonatal Observation</v>
      </c>
      <c r="AC1076" s="4" t="str">
        <f>VLOOKUP(J1076,Diagnosis_Guide!$A:$C,3,0)</f>
        <v>Pediatric</v>
      </c>
      <c r="AD1076" s="4" t="str">
        <f>VLOOKUP(R1076,Insurance_Plans!$A:$C,3,0)</f>
        <v>Self-Pay</v>
      </c>
      <c r="AE1076" s="13">
        <f t="shared" si="48"/>
        <v>2897.5</v>
      </c>
      <c r="AF1076" s="13">
        <f t="shared" si="49"/>
        <v>60847.5</v>
      </c>
      <c r="AG1076" s="4" t="str">
        <f t="shared" si="50"/>
        <v>Medium</v>
      </c>
    </row>
    <row r="1077" spans="1:33">
      <c r="A1077" t="s">
        <v>1800</v>
      </c>
      <c r="B1077" t="s">
        <v>1801</v>
      </c>
      <c r="C1077" s="11">
        <v>46065</v>
      </c>
      <c r="D1077" t="s">
        <v>161</v>
      </c>
      <c r="E1077" t="s">
        <v>70</v>
      </c>
      <c r="F1077" s="4">
        <v>46066</v>
      </c>
      <c r="G1077" s="4">
        <v>46067</v>
      </c>
      <c r="H1077" t="s">
        <v>111</v>
      </c>
      <c r="I1077" t="s">
        <v>397</v>
      </c>
      <c r="J1077" t="s">
        <v>117</v>
      </c>
      <c r="K1077" t="s">
        <v>124</v>
      </c>
      <c r="L1077" t="s">
        <v>74</v>
      </c>
      <c r="M1077" s="5">
        <v>4800</v>
      </c>
      <c r="N1077" s="5">
        <v>800</v>
      </c>
      <c r="O1077" s="5">
        <v>950</v>
      </c>
      <c r="P1077" s="5">
        <v>4500</v>
      </c>
      <c r="Q1077" s="13">
        <v>13050</v>
      </c>
      <c r="R1077" t="s">
        <v>75</v>
      </c>
      <c r="S1077" t="s">
        <v>76</v>
      </c>
      <c r="T1077" s="5">
        <v>6170</v>
      </c>
      <c r="U1077" s="6">
        <v>4</v>
      </c>
      <c r="V1077" t="s">
        <v>64</v>
      </c>
      <c r="W1077" s="4"/>
      <c r="X1077" t="s">
        <v>65</v>
      </c>
      <c r="Y1077" t="s">
        <v>77</v>
      </c>
      <c r="Z1077" t="s">
        <v>96</v>
      </c>
      <c r="AA1077" t="str">
        <f>VLOOKUP(H1077,Departments!$A:$B,2,0)</f>
        <v>General Medicine</v>
      </c>
      <c r="AB1077" t="str">
        <f>VLOOKUP(J1077,Diagnosis_Guide!$A:$B,2,0)</f>
        <v>Fever Investigation</v>
      </c>
      <c r="AC1077" s="4" t="str">
        <f>VLOOKUP(J1077,Diagnosis_Guide!$A:$C,3,0)</f>
        <v>Infectious/General</v>
      </c>
      <c r="AD1077" s="4" t="str">
        <f>VLOOKUP(R1077,Insurance_Plans!$A:$C,3,0)</f>
        <v>Public</v>
      </c>
      <c r="AE1077" s="13">
        <f t="shared" si="48"/>
        <v>652.5</v>
      </c>
      <c r="AF1077" s="13">
        <f t="shared" si="49"/>
        <v>13702.5</v>
      </c>
      <c r="AG1077" s="4" t="str">
        <f t="shared" si="50"/>
        <v>High</v>
      </c>
    </row>
    <row r="1078" spans="1:33">
      <c r="A1078" t="s">
        <v>1802</v>
      </c>
      <c r="B1078" t="s">
        <v>1803</v>
      </c>
      <c r="C1078" s="11">
        <v>46038</v>
      </c>
      <c r="D1078" t="s">
        <v>363</v>
      </c>
      <c r="E1078" t="s">
        <v>70</v>
      </c>
      <c r="F1078" s="4">
        <v>46038</v>
      </c>
      <c r="G1078" s="4">
        <v>46041</v>
      </c>
      <c r="H1078" t="s">
        <v>201</v>
      </c>
      <c r="I1078" t="s">
        <v>280</v>
      </c>
      <c r="J1078" t="s">
        <v>295</v>
      </c>
      <c r="K1078" t="s">
        <v>124</v>
      </c>
      <c r="L1078" t="s">
        <v>94</v>
      </c>
      <c r="M1078" s="5">
        <v>51500</v>
      </c>
      <c r="N1078" s="5">
        <v>6300</v>
      </c>
      <c r="O1078" s="5">
        <v>6600</v>
      </c>
      <c r="P1078" s="5">
        <v>7500</v>
      </c>
      <c r="Q1078" s="13">
        <v>72900</v>
      </c>
      <c r="R1078" t="s">
        <v>95</v>
      </c>
      <c r="S1078" t="s">
        <v>63</v>
      </c>
      <c r="T1078" s="5">
        <v>72900</v>
      </c>
      <c r="U1078" s="6">
        <v>4</v>
      </c>
      <c r="V1078" t="s">
        <v>77</v>
      </c>
      <c r="W1078" s="4">
        <v>46060</v>
      </c>
      <c r="X1078" t="s">
        <v>77</v>
      </c>
      <c r="Y1078" t="s">
        <v>64</v>
      </c>
      <c r="Z1078" t="s">
        <v>219</v>
      </c>
      <c r="AA1078" t="str">
        <f>VLOOKUP(H1078,Departments!$A:$B,2,0)</f>
        <v>Emergency</v>
      </c>
      <c r="AB1078" t="str">
        <f>VLOOKUP(J1078,Diagnosis_Guide!$A:$B,2,0)</f>
        <v>Accident Injury</v>
      </c>
      <c r="AC1078" s="4" t="str">
        <f>VLOOKUP(J1078,Diagnosis_Guide!$A:$C,3,0)</f>
        <v>Emergency</v>
      </c>
      <c r="AD1078" s="4" t="str">
        <f>VLOOKUP(R1078,Insurance_Plans!$A:$C,3,0)</f>
        <v>Self-Pay</v>
      </c>
      <c r="AE1078" s="13">
        <f t="shared" si="48"/>
        <v>3645</v>
      </c>
      <c r="AF1078" s="13">
        <f t="shared" si="49"/>
        <v>76545</v>
      </c>
      <c r="AG1078" s="4" t="str">
        <f t="shared" si="50"/>
        <v>High</v>
      </c>
    </row>
    <row r="1079" spans="1:33">
      <c r="A1079" t="s">
        <v>1804</v>
      </c>
      <c r="B1079" t="s">
        <v>1234</v>
      </c>
      <c r="C1079" s="11">
        <v>46034</v>
      </c>
      <c r="D1079" t="s">
        <v>120</v>
      </c>
      <c r="E1079" t="s">
        <v>70</v>
      </c>
      <c r="F1079" s="4">
        <v>46034</v>
      </c>
      <c r="G1079" s="4">
        <v>46037</v>
      </c>
      <c r="H1079" t="s">
        <v>103</v>
      </c>
      <c r="I1079" t="s">
        <v>412</v>
      </c>
      <c r="J1079" t="s">
        <v>244</v>
      </c>
      <c r="K1079" t="s">
        <v>73</v>
      </c>
      <c r="L1079" t="s">
        <v>61</v>
      </c>
      <c r="M1079" s="5">
        <v>75600</v>
      </c>
      <c r="N1079" s="5">
        <v>9100</v>
      </c>
      <c r="O1079" s="5">
        <v>8700</v>
      </c>
      <c r="P1079" s="5">
        <v>9000</v>
      </c>
      <c r="Q1079" s="13">
        <v>103600</v>
      </c>
      <c r="R1079" t="s">
        <v>141</v>
      </c>
      <c r="S1079" t="s">
        <v>76</v>
      </c>
      <c r="T1079" s="5">
        <v>16740</v>
      </c>
      <c r="U1079" s="6">
        <v>4</v>
      </c>
      <c r="V1079" t="s">
        <v>77</v>
      </c>
      <c r="W1079" s="4">
        <v>46057</v>
      </c>
      <c r="X1079" t="s">
        <v>77</v>
      </c>
      <c r="Y1079" t="s">
        <v>64</v>
      </c>
      <c r="Z1079" t="s">
        <v>78</v>
      </c>
      <c r="AA1079" t="str">
        <f>VLOOKUP(H1079,Departments!$A:$B,2,0)</f>
        <v>Nephrology</v>
      </c>
      <c r="AB1079" t="str">
        <f>VLOOKUP(J1079,Diagnosis_Guide!$A:$B,2,0)</f>
        <v>Chronic Kidney Disease</v>
      </c>
      <c r="AC1079" s="4" t="str">
        <f>VLOOKUP(J1079,Diagnosis_Guide!$A:$C,3,0)</f>
        <v>Renal</v>
      </c>
      <c r="AD1079" s="4" t="str">
        <f>VLOOKUP(R1079,Insurance_Plans!$A:$C,3,0)</f>
        <v>Private</v>
      </c>
      <c r="AE1079" s="13">
        <f t="shared" si="48"/>
        <v>5180</v>
      </c>
      <c r="AF1079" s="13">
        <f t="shared" si="49"/>
        <v>108780</v>
      </c>
      <c r="AG1079" s="4" t="str">
        <f t="shared" si="50"/>
        <v>High</v>
      </c>
    </row>
    <row r="1080" spans="1:33">
      <c r="A1080" t="s">
        <v>1805</v>
      </c>
      <c r="B1080" t="s">
        <v>1437</v>
      </c>
      <c r="C1080" s="11">
        <v>46142</v>
      </c>
      <c r="D1080" t="s">
        <v>81</v>
      </c>
      <c r="E1080" t="s">
        <v>56</v>
      </c>
      <c r="F1080" s="4"/>
      <c r="G1080" s="4"/>
      <c r="H1080" t="s">
        <v>201</v>
      </c>
      <c r="I1080" t="s">
        <v>327</v>
      </c>
      <c r="J1080" t="s">
        <v>203</v>
      </c>
      <c r="K1080" t="s">
        <v>73</v>
      </c>
      <c r="L1080" t="s">
        <v>94</v>
      </c>
      <c r="M1080" s="5"/>
      <c r="N1080" s="5"/>
      <c r="O1080" s="5"/>
      <c r="P1080" s="5"/>
      <c r="R1080" t="s">
        <v>95</v>
      </c>
      <c r="S1080" t="s">
        <v>63</v>
      </c>
      <c r="T1080" s="5"/>
      <c r="U1080" s="6"/>
      <c r="V1080" t="s">
        <v>64</v>
      </c>
      <c r="W1080" s="4"/>
      <c r="X1080" t="s">
        <v>65</v>
      </c>
      <c r="Z1080" t="s">
        <v>66</v>
      </c>
      <c r="AA1080" t="str">
        <f>VLOOKUP(H1080,Departments!$A:$B,2,0)</f>
        <v>Emergency</v>
      </c>
      <c r="AB1080" t="str">
        <f>VLOOKUP(J1080,Diagnosis_Guide!$A:$B,2,0)</f>
        <v>Trauma Observation</v>
      </c>
      <c r="AC1080" s="4" t="str">
        <f>VLOOKUP(J1080,Diagnosis_Guide!$A:$C,3,0)</f>
        <v>Emergency</v>
      </c>
      <c r="AD1080" s="4" t="str">
        <f>VLOOKUP(R1080,Insurance_Plans!$A:$C,3,0)</f>
        <v>Self-Pay</v>
      </c>
      <c r="AE1080" s="13" t="str">
        <f t="shared" si="48"/>
        <v/>
      </c>
      <c r="AF1080" s="13" t="str">
        <f t="shared" si="49"/>
        <v/>
      </c>
      <c r="AG1080" s="4" t="str">
        <f t="shared" si="50"/>
        <v>Not Available</v>
      </c>
    </row>
    <row r="1081" spans="1:33">
      <c r="A1081" t="s">
        <v>1806</v>
      </c>
      <c r="B1081" t="s">
        <v>1695</v>
      </c>
      <c r="C1081" s="11">
        <v>46052</v>
      </c>
      <c r="D1081" t="s">
        <v>363</v>
      </c>
      <c r="E1081" t="s">
        <v>70</v>
      </c>
      <c r="F1081" s="4">
        <v>46052</v>
      </c>
      <c r="G1081" s="4">
        <v>46061</v>
      </c>
      <c r="H1081" t="s">
        <v>57</v>
      </c>
      <c r="J1081" t="s">
        <v>59</v>
      </c>
      <c r="K1081" t="s">
        <v>124</v>
      </c>
      <c r="L1081" t="s">
        <v>61</v>
      </c>
      <c r="M1081" s="5">
        <v>36000</v>
      </c>
      <c r="N1081" s="5">
        <v>5800</v>
      </c>
      <c r="O1081" s="5">
        <v>8000</v>
      </c>
      <c r="P1081" s="5">
        <v>27000</v>
      </c>
      <c r="Q1081" s="13">
        <v>78800</v>
      </c>
      <c r="R1081" t="s">
        <v>95</v>
      </c>
      <c r="S1081" t="s">
        <v>63</v>
      </c>
      <c r="T1081" s="5">
        <v>78800</v>
      </c>
      <c r="U1081" s="6">
        <v>3</v>
      </c>
      <c r="V1081" t="s">
        <v>77</v>
      </c>
      <c r="W1081" s="4">
        <v>46076</v>
      </c>
      <c r="X1081" t="s">
        <v>77</v>
      </c>
      <c r="Y1081" t="s">
        <v>64</v>
      </c>
      <c r="Z1081" t="s">
        <v>96</v>
      </c>
      <c r="AA1081" t="str">
        <f>VLOOKUP(H1081,Departments!$A:$B,2,0)</f>
        <v>Pulmonology</v>
      </c>
      <c r="AB1081" t="str">
        <f>VLOOKUP(J1081,Diagnosis_Guide!$A:$B,2,0)</f>
        <v>Pneumonia</v>
      </c>
      <c r="AC1081" s="4" t="str">
        <f>VLOOKUP(J1081,Diagnosis_Guide!$A:$C,3,0)</f>
        <v>Respiratory</v>
      </c>
      <c r="AD1081" s="4" t="str">
        <f>VLOOKUP(R1081,Insurance_Plans!$A:$C,3,0)</f>
        <v>Self-Pay</v>
      </c>
      <c r="AE1081" s="13">
        <f t="shared" si="48"/>
        <v>3940</v>
      </c>
      <c r="AF1081" s="13">
        <f t="shared" si="49"/>
        <v>82740</v>
      </c>
      <c r="AG1081" s="4" t="str">
        <f t="shared" si="50"/>
        <v>Medium</v>
      </c>
    </row>
    <row r="1082" spans="1:33">
      <c r="A1082" t="s">
        <v>1807</v>
      </c>
      <c r="B1082" t="s">
        <v>602</v>
      </c>
      <c r="C1082" s="11">
        <v>46116</v>
      </c>
      <c r="D1082" t="s">
        <v>234</v>
      </c>
      <c r="E1082" t="s">
        <v>56</v>
      </c>
      <c r="F1082" s="4"/>
      <c r="G1082" s="4"/>
      <c r="H1082" t="s">
        <v>103</v>
      </c>
      <c r="I1082" t="s">
        <v>243</v>
      </c>
      <c r="J1082" t="s">
        <v>244</v>
      </c>
      <c r="K1082" t="s">
        <v>73</v>
      </c>
      <c r="L1082" t="s">
        <v>61</v>
      </c>
      <c r="M1082" s="5"/>
      <c r="N1082" s="5"/>
      <c r="O1082" s="5"/>
      <c r="P1082" s="5"/>
      <c r="R1082" t="s">
        <v>95</v>
      </c>
      <c r="S1082" t="s">
        <v>63</v>
      </c>
      <c r="T1082" s="5"/>
      <c r="U1082" s="6"/>
      <c r="V1082" t="s">
        <v>64</v>
      </c>
      <c r="W1082" s="4"/>
      <c r="X1082" t="s">
        <v>65</v>
      </c>
      <c r="Z1082" t="s">
        <v>66</v>
      </c>
      <c r="AA1082" t="str">
        <f>VLOOKUP(H1082,Departments!$A:$B,2,0)</f>
        <v>Nephrology</v>
      </c>
      <c r="AB1082" t="str">
        <f>VLOOKUP(J1082,Diagnosis_Guide!$A:$B,2,0)</f>
        <v>Chronic Kidney Disease</v>
      </c>
      <c r="AC1082" s="4" t="str">
        <f>VLOOKUP(J1082,Diagnosis_Guide!$A:$C,3,0)</f>
        <v>Renal</v>
      </c>
      <c r="AD1082" s="4" t="str">
        <f>VLOOKUP(R1082,Insurance_Plans!$A:$C,3,0)</f>
        <v>Self-Pay</v>
      </c>
      <c r="AE1082" s="13" t="str">
        <f t="shared" si="48"/>
        <v/>
      </c>
      <c r="AF1082" s="13" t="str">
        <f t="shared" si="49"/>
        <v/>
      </c>
      <c r="AG1082" s="4" t="str">
        <f t="shared" si="50"/>
        <v>Not Available</v>
      </c>
    </row>
    <row r="1083" spans="1:33">
      <c r="A1083" t="s">
        <v>1808</v>
      </c>
      <c r="B1083" t="s">
        <v>88</v>
      </c>
      <c r="C1083" s="11">
        <v>46042</v>
      </c>
      <c r="D1083" t="s">
        <v>210</v>
      </c>
      <c r="E1083" t="s">
        <v>70</v>
      </c>
      <c r="F1083" s="4">
        <v>46042</v>
      </c>
      <c r="G1083" s="4">
        <v>46043</v>
      </c>
      <c r="H1083" t="s">
        <v>121</v>
      </c>
      <c r="I1083" t="s">
        <v>334</v>
      </c>
      <c r="J1083" t="s">
        <v>256</v>
      </c>
      <c r="K1083" t="s">
        <v>60</v>
      </c>
      <c r="L1083" t="s">
        <v>61</v>
      </c>
      <c r="M1083" s="5">
        <v>15500</v>
      </c>
      <c r="N1083" s="5">
        <v>2600</v>
      </c>
      <c r="O1083" s="5">
        <v>1700</v>
      </c>
      <c r="P1083" s="5">
        <v>4500</v>
      </c>
      <c r="Q1083" s="13">
        <v>25300</v>
      </c>
      <c r="R1083" t="s">
        <v>141</v>
      </c>
      <c r="S1083" t="s">
        <v>76</v>
      </c>
      <c r="T1083" s="5">
        <v>5000</v>
      </c>
      <c r="U1083" s="6">
        <v>3</v>
      </c>
      <c r="V1083" t="s">
        <v>77</v>
      </c>
      <c r="W1083" s="4">
        <v>46052</v>
      </c>
      <c r="X1083" t="s">
        <v>64</v>
      </c>
      <c r="Y1083" t="s">
        <v>64</v>
      </c>
      <c r="Z1083" t="s">
        <v>96</v>
      </c>
      <c r="AA1083" t="str">
        <f>VLOOKUP(H1083,Departments!$A:$B,2,0)</f>
        <v>Neurology</v>
      </c>
      <c r="AB1083" t="str">
        <f>VLOOKUP(J1083,Diagnosis_Guide!$A:$B,2,0)</f>
        <v>Migraine Complication</v>
      </c>
      <c r="AC1083" s="4" t="str">
        <f>VLOOKUP(J1083,Diagnosis_Guide!$A:$C,3,0)</f>
        <v>Neurological</v>
      </c>
      <c r="AD1083" s="4" t="str">
        <f>VLOOKUP(R1083,Insurance_Plans!$A:$C,3,0)</f>
        <v>Private</v>
      </c>
      <c r="AE1083" s="13">
        <f t="shared" si="48"/>
        <v>1265</v>
      </c>
      <c r="AF1083" s="13">
        <f t="shared" si="49"/>
        <v>26565</v>
      </c>
      <c r="AG1083" s="4" t="str">
        <f t="shared" si="50"/>
        <v>Medium</v>
      </c>
    </row>
    <row r="1084" spans="1:33">
      <c r="A1084" t="s">
        <v>1809</v>
      </c>
      <c r="B1084" t="s">
        <v>1810</v>
      </c>
      <c r="C1084" s="11">
        <v>46056</v>
      </c>
      <c r="D1084" t="s">
        <v>99</v>
      </c>
      <c r="E1084" t="s">
        <v>56</v>
      </c>
      <c r="F1084" s="4"/>
      <c r="G1084" s="4"/>
      <c r="H1084" t="s">
        <v>57</v>
      </c>
      <c r="I1084" t="s">
        <v>169</v>
      </c>
      <c r="J1084" t="s">
        <v>170</v>
      </c>
      <c r="K1084" t="s">
        <v>73</v>
      </c>
      <c r="L1084" t="s">
        <v>94</v>
      </c>
      <c r="M1084" s="5"/>
      <c r="N1084" s="5"/>
      <c r="O1084" s="5"/>
      <c r="P1084" s="5"/>
      <c r="R1084" t="s">
        <v>75</v>
      </c>
      <c r="S1084" t="s">
        <v>63</v>
      </c>
      <c r="T1084" s="5"/>
      <c r="U1084" s="6"/>
      <c r="V1084" t="s">
        <v>64</v>
      </c>
      <c r="W1084" s="4"/>
      <c r="X1084" t="s">
        <v>65</v>
      </c>
      <c r="Z1084" t="s">
        <v>66</v>
      </c>
      <c r="AA1084" t="str">
        <f>VLOOKUP(H1084,Departments!$A:$B,2,0)</f>
        <v>Pulmonology</v>
      </c>
      <c r="AB1084" t="str">
        <f>VLOOKUP(J1084,Diagnosis_Guide!$A:$B,2,0)</f>
        <v>COPD Exacerbation</v>
      </c>
      <c r="AC1084" s="4" t="str">
        <f>VLOOKUP(J1084,Diagnosis_Guide!$A:$C,3,0)</f>
        <v>Respiratory</v>
      </c>
      <c r="AD1084" s="4" t="str">
        <f>VLOOKUP(R1084,Insurance_Plans!$A:$C,3,0)</f>
        <v>Public</v>
      </c>
      <c r="AE1084" s="13" t="str">
        <f t="shared" si="48"/>
        <v/>
      </c>
      <c r="AF1084" s="13" t="str">
        <f t="shared" si="49"/>
        <v/>
      </c>
      <c r="AG1084" s="4" t="str">
        <f t="shared" si="50"/>
        <v>Not Available</v>
      </c>
    </row>
    <row r="1085" spans="1:33">
      <c r="A1085" t="s">
        <v>1811</v>
      </c>
      <c r="B1085" t="s">
        <v>1369</v>
      </c>
      <c r="C1085" s="11">
        <v>46046</v>
      </c>
      <c r="D1085" t="s">
        <v>217</v>
      </c>
      <c r="E1085" t="s">
        <v>70</v>
      </c>
      <c r="F1085" s="4">
        <v>46046</v>
      </c>
      <c r="G1085" s="4">
        <v>46049</v>
      </c>
      <c r="H1085" t="s">
        <v>111</v>
      </c>
      <c r="I1085" t="s">
        <v>116</v>
      </c>
      <c r="J1085" t="s">
        <v>113</v>
      </c>
      <c r="K1085" t="s">
        <v>73</v>
      </c>
      <c r="L1085" t="s">
        <v>94</v>
      </c>
      <c r="M1085" s="5">
        <v>22400</v>
      </c>
      <c r="N1085" s="5">
        <v>3800</v>
      </c>
      <c r="O1085" s="5">
        <v>4500</v>
      </c>
      <c r="P1085" s="5">
        <v>9000</v>
      </c>
      <c r="Q1085" s="13">
        <v>40500</v>
      </c>
      <c r="R1085" t="s">
        <v>95</v>
      </c>
      <c r="S1085" t="s">
        <v>63</v>
      </c>
      <c r="T1085" s="5">
        <v>40500</v>
      </c>
      <c r="U1085" s="6">
        <v>5</v>
      </c>
      <c r="V1085" t="s">
        <v>64</v>
      </c>
      <c r="W1085" s="4"/>
      <c r="X1085" t="s">
        <v>65</v>
      </c>
      <c r="Y1085" t="s">
        <v>64</v>
      </c>
      <c r="Z1085" t="s">
        <v>436</v>
      </c>
      <c r="AA1085" t="str">
        <f>VLOOKUP(H1085,Departments!$A:$B,2,0)</f>
        <v>General Medicine</v>
      </c>
      <c r="AB1085" t="str">
        <f>VLOOKUP(J1085,Diagnosis_Guide!$A:$B,2,0)</f>
        <v>Diabetes Complication</v>
      </c>
      <c r="AC1085" s="4" t="str">
        <f>VLOOKUP(J1085,Diagnosis_Guide!$A:$C,3,0)</f>
        <v>Endocrine/General</v>
      </c>
      <c r="AD1085" s="4" t="str">
        <f>VLOOKUP(R1085,Insurance_Plans!$A:$C,3,0)</f>
        <v>Self-Pay</v>
      </c>
      <c r="AE1085" s="13">
        <f t="shared" si="48"/>
        <v>2025</v>
      </c>
      <c r="AF1085" s="13">
        <f t="shared" si="49"/>
        <v>42525</v>
      </c>
      <c r="AG1085" s="4" t="str">
        <f t="shared" si="50"/>
        <v>High</v>
      </c>
    </row>
    <row r="1086" spans="1:33">
      <c r="A1086" t="s">
        <v>1812</v>
      </c>
      <c r="B1086" t="s">
        <v>394</v>
      </c>
      <c r="C1086" s="11">
        <v>46057</v>
      </c>
      <c r="D1086" t="s">
        <v>234</v>
      </c>
      <c r="E1086" t="s">
        <v>255</v>
      </c>
      <c r="F1086" s="4"/>
      <c r="G1086" s="4"/>
      <c r="H1086" t="s">
        <v>57</v>
      </c>
      <c r="I1086" t="s">
        <v>211</v>
      </c>
      <c r="J1086" t="s">
        <v>170</v>
      </c>
      <c r="K1086" t="s">
        <v>124</v>
      </c>
      <c r="L1086" t="s">
        <v>74</v>
      </c>
      <c r="M1086" s="5"/>
      <c r="N1086" s="5"/>
      <c r="O1086" s="5"/>
      <c r="P1086" s="5"/>
      <c r="R1086" t="s">
        <v>85</v>
      </c>
      <c r="S1086" t="s">
        <v>63</v>
      </c>
      <c r="T1086" s="5"/>
      <c r="U1086" s="6"/>
      <c r="V1086" t="s">
        <v>64</v>
      </c>
      <c r="W1086" s="4"/>
      <c r="X1086" t="s">
        <v>65</v>
      </c>
      <c r="Z1086" t="s">
        <v>66</v>
      </c>
      <c r="AA1086" t="str">
        <f>VLOOKUP(H1086,Departments!$A:$B,2,0)</f>
        <v>Pulmonology</v>
      </c>
      <c r="AB1086" t="str">
        <f>VLOOKUP(J1086,Diagnosis_Guide!$A:$B,2,0)</f>
        <v>COPD Exacerbation</v>
      </c>
      <c r="AC1086" s="4" t="str">
        <f>VLOOKUP(J1086,Diagnosis_Guide!$A:$C,3,0)</f>
        <v>Respiratory</v>
      </c>
      <c r="AD1086" s="4" t="str">
        <f>VLOOKUP(R1086,Insurance_Plans!$A:$C,3,0)</f>
        <v>Employer</v>
      </c>
      <c r="AE1086" s="13" t="str">
        <f t="shared" si="48"/>
        <v/>
      </c>
      <c r="AF1086" s="13" t="str">
        <f t="shared" si="49"/>
        <v/>
      </c>
      <c r="AG1086" s="4" t="str">
        <f t="shared" si="50"/>
        <v>Not Available</v>
      </c>
    </row>
    <row r="1087" spans="1:33">
      <c r="A1087" t="s">
        <v>1813</v>
      </c>
      <c r="B1087" t="s">
        <v>357</v>
      </c>
      <c r="C1087" s="11">
        <v>46049</v>
      </c>
      <c r="D1087" t="s">
        <v>234</v>
      </c>
      <c r="E1087" t="s">
        <v>70</v>
      </c>
      <c r="F1087" s="4">
        <v>46049</v>
      </c>
      <c r="G1087" s="4">
        <v>46057</v>
      </c>
      <c r="H1087" t="s">
        <v>103</v>
      </c>
      <c r="I1087" t="s">
        <v>243</v>
      </c>
      <c r="J1087" t="s">
        <v>244</v>
      </c>
      <c r="K1087" t="s">
        <v>73</v>
      </c>
      <c r="L1087" t="s">
        <v>74</v>
      </c>
      <c r="M1087" s="5">
        <v>59700</v>
      </c>
      <c r="N1087" s="5">
        <v>9300</v>
      </c>
      <c r="O1087" s="5">
        <v>13500</v>
      </c>
      <c r="P1087" s="5">
        <v>36000</v>
      </c>
      <c r="Q1087" s="13">
        <v>120300</v>
      </c>
      <c r="R1087" t="s">
        <v>75</v>
      </c>
      <c r="S1087" t="s">
        <v>76</v>
      </c>
      <c r="T1087" s="5">
        <v>54430</v>
      </c>
      <c r="U1087" s="6">
        <v>4</v>
      </c>
      <c r="V1087" t="s">
        <v>64</v>
      </c>
      <c r="W1087" s="4"/>
      <c r="X1087" t="s">
        <v>65</v>
      </c>
      <c r="Y1087" t="s">
        <v>64</v>
      </c>
      <c r="Z1087" t="s">
        <v>96</v>
      </c>
      <c r="AA1087" t="str">
        <f>VLOOKUP(H1087,Departments!$A:$B,2,0)</f>
        <v>Nephrology</v>
      </c>
      <c r="AB1087" t="str">
        <f>VLOOKUP(J1087,Diagnosis_Guide!$A:$B,2,0)</f>
        <v>Chronic Kidney Disease</v>
      </c>
      <c r="AC1087" s="4" t="str">
        <f>VLOOKUP(J1087,Diagnosis_Guide!$A:$C,3,0)</f>
        <v>Renal</v>
      </c>
      <c r="AD1087" s="4" t="str">
        <f>VLOOKUP(R1087,Insurance_Plans!$A:$C,3,0)</f>
        <v>Public</v>
      </c>
      <c r="AE1087" s="13">
        <f t="shared" si="48"/>
        <v>6015</v>
      </c>
      <c r="AF1087" s="13">
        <f t="shared" si="49"/>
        <v>126315</v>
      </c>
      <c r="AG1087" s="4" t="str">
        <f t="shared" si="50"/>
        <v>High</v>
      </c>
    </row>
    <row r="1088" spans="1:33">
      <c r="A1088" t="s">
        <v>1814</v>
      </c>
      <c r="B1088" t="s">
        <v>976</v>
      </c>
      <c r="C1088" s="11">
        <v>46150</v>
      </c>
      <c r="D1088" t="s">
        <v>294</v>
      </c>
      <c r="E1088" t="s">
        <v>70</v>
      </c>
      <c r="F1088" s="4">
        <v>46150</v>
      </c>
      <c r="G1088" s="4">
        <v>46154</v>
      </c>
      <c r="H1088" t="s">
        <v>103</v>
      </c>
      <c r="I1088" t="s">
        <v>412</v>
      </c>
      <c r="J1088" t="s">
        <v>105</v>
      </c>
      <c r="K1088" t="s">
        <v>124</v>
      </c>
      <c r="L1088" t="s">
        <v>94</v>
      </c>
      <c r="M1088" s="5">
        <v>52000</v>
      </c>
      <c r="N1088" s="5">
        <v>5600</v>
      </c>
      <c r="O1088" s="5">
        <v>12050</v>
      </c>
      <c r="P1088" s="5">
        <v>10000</v>
      </c>
      <c r="Q1088" s="13">
        <v>80850</v>
      </c>
      <c r="R1088" t="s">
        <v>95</v>
      </c>
      <c r="S1088" t="s">
        <v>63</v>
      </c>
      <c r="T1088" s="5">
        <v>80850</v>
      </c>
      <c r="U1088" s="6"/>
      <c r="V1088" t="s">
        <v>77</v>
      </c>
      <c r="W1088" s="4">
        <v>46171</v>
      </c>
      <c r="X1088" t="s">
        <v>64</v>
      </c>
      <c r="Y1088" t="s">
        <v>64</v>
      </c>
      <c r="Z1088" t="s">
        <v>107</v>
      </c>
      <c r="AA1088" t="str">
        <f>VLOOKUP(H1088,Departments!$A:$B,2,0)</f>
        <v>Nephrology</v>
      </c>
      <c r="AB1088" t="str">
        <f>VLOOKUP(J1088,Diagnosis_Guide!$A:$B,2,0)</f>
        <v>Dialysis Complication</v>
      </c>
      <c r="AC1088" s="4" t="str">
        <f>VLOOKUP(J1088,Diagnosis_Guide!$A:$C,3,0)</f>
        <v>Renal</v>
      </c>
      <c r="AD1088" s="4" t="str">
        <f>VLOOKUP(R1088,Insurance_Plans!$A:$C,3,0)</f>
        <v>Self-Pay</v>
      </c>
      <c r="AE1088" s="13">
        <f t="shared" si="48"/>
        <v>4042.5</v>
      </c>
      <c r="AF1088" s="13">
        <f t="shared" si="49"/>
        <v>84892.5</v>
      </c>
      <c r="AG1088" s="4" t="str">
        <f t="shared" si="50"/>
        <v>Not Available</v>
      </c>
    </row>
    <row r="1089" spans="1:33">
      <c r="A1089" t="s">
        <v>1815</v>
      </c>
      <c r="B1089" t="s">
        <v>411</v>
      </c>
      <c r="C1089" s="11">
        <v>46162</v>
      </c>
      <c r="D1089" t="s">
        <v>168</v>
      </c>
      <c r="E1089" t="s">
        <v>70</v>
      </c>
      <c r="F1089" s="4">
        <v>46162</v>
      </c>
      <c r="G1089" s="4">
        <v>46162</v>
      </c>
      <c r="H1089" t="s">
        <v>57</v>
      </c>
      <c r="I1089" t="s">
        <v>71</v>
      </c>
      <c r="J1089" t="s">
        <v>170</v>
      </c>
      <c r="K1089" t="s">
        <v>60</v>
      </c>
      <c r="L1089" t="s">
        <v>146</v>
      </c>
      <c r="M1089" s="5">
        <v>55500</v>
      </c>
      <c r="N1089" s="5">
        <v>9600</v>
      </c>
      <c r="O1089" s="5">
        <v>13850</v>
      </c>
      <c r="P1089" s="5">
        <v>0</v>
      </c>
      <c r="Q1089" s="13">
        <v>80750</v>
      </c>
      <c r="R1089" t="s">
        <v>141</v>
      </c>
      <c r="S1089" t="s">
        <v>76</v>
      </c>
      <c r="T1089" s="5">
        <v>13310</v>
      </c>
      <c r="U1089" s="6">
        <v>4</v>
      </c>
      <c r="V1089" t="s">
        <v>77</v>
      </c>
      <c r="W1089" s="4">
        <v>46172</v>
      </c>
      <c r="X1089" t="s">
        <v>77</v>
      </c>
      <c r="Y1089" t="s">
        <v>64</v>
      </c>
      <c r="Z1089" t="s">
        <v>107</v>
      </c>
      <c r="AA1089" t="str">
        <f>VLOOKUP(H1089,Departments!$A:$B,2,0)</f>
        <v>Pulmonology</v>
      </c>
      <c r="AB1089" t="str">
        <f>VLOOKUP(J1089,Diagnosis_Guide!$A:$B,2,0)</f>
        <v>COPD Exacerbation</v>
      </c>
      <c r="AC1089" s="4" t="str">
        <f>VLOOKUP(J1089,Diagnosis_Guide!$A:$C,3,0)</f>
        <v>Respiratory</v>
      </c>
      <c r="AD1089" s="4" t="str">
        <f>VLOOKUP(R1089,Insurance_Plans!$A:$C,3,0)</f>
        <v>Private</v>
      </c>
      <c r="AE1089" s="13">
        <f t="shared" si="48"/>
        <v>4037.5</v>
      </c>
      <c r="AF1089" s="13">
        <f t="shared" si="49"/>
        <v>84787.5</v>
      </c>
      <c r="AG1089" s="4" t="str">
        <f t="shared" si="50"/>
        <v>High</v>
      </c>
    </row>
    <row r="1090" spans="1:33">
      <c r="A1090" t="s">
        <v>1816</v>
      </c>
      <c r="B1090" t="s">
        <v>1158</v>
      </c>
      <c r="C1090" s="11">
        <v>46096</v>
      </c>
      <c r="D1090" t="s">
        <v>307</v>
      </c>
      <c r="E1090" t="s">
        <v>70</v>
      </c>
      <c r="F1090" s="4">
        <v>46096</v>
      </c>
      <c r="G1090" s="4">
        <v>46100</v>
      </c>
      <c r="H1090" t="s">
        <v>90</v>
      </c>
      <c r="I1090" t="s">
        <v>128</v>
      </c>
      <c r="J1090" t="s">
        <v>197</v>
      </c>
      <c r="K1090" t="s">
        <v>73</v>
      </c>
      <c r="L1090" t="s">
        <v>61</v>
      </c>
      <c r="M1090" s="5">
        <v>19500</v>
      </c>
      <c r="N1090" s="5">
        <v>2300</v>
      </c>
      <c r="O1090" s="5">
        <v>3450</v>
      </c>
      <c r="P1090" s="5">
        <v>24000</v>
      </c>
      <c r="Q1090" s="13">
        <v>51250</v>
      </c>
      <c r="R1090" t="s">
        <v>62</v>
      </c>
      <c r="S1090" t="s">
        <v>76</v>
      </c>
      <c r="T1090" s="5">
        <v>15780</v>
      </c>
      <c r="U1090" s="6">
        <v>4</v>
      </c>
      <c r="V1090" t="s">
        <v>64</v>
      </c>
      <c r="W1090" s="4"/>
      <c r="X1090" t="s">
        <v>65</v>
      </c>
      <c r="Y1090" t="s">
        <v>64</v>
      </c>
      <c r="Z1090" t="s">
        <v>96</v>
      </c>
      <c r="AA1090" t="str">
        <f>VLOOKUP(H1090,Departments!$A:$B,2,0)</f>
        <v>Cardiology</v>
      </c>
      <c r="AB1090" t="str">
        <f>VLOOKUP(J1090,Diagnosis_Guide!$A:$B,2,0)</f>
        <v>Chest Pain</v>
      </c>
      <c r="AC1090" s="4" t="str">
        <f>VLOOKUP(J1090,Diagnosis_Guide!$A:$C,3,0)</f>
        <v>Cardiovascular</v>
      </c>
      <c r="AD1090" s="4" t="str">
        <f>VLOOKUP(R1090,Insurance_Plans!$A:$C,3,0)</f>
        <v>Public</v>
      </c>
      <c r="AE1090" s="13">
        <f t="shared" ref="AE1090:AE1153" si="51">IF(Q1090="","",Q1090*0.05)</f>
        <v>2562.5</v>
      </c>
      <c r="AF1090" s="13">
        <f t="shared" ref="AF1090:AF1153" si="52">IF(Q1090="","",Q1090+AE1090)</f>
        <v>53812.5</v>
      </c>
      <c r="AG1090" s="4" t="str">
        <f t="shared" ref="AG1090:AG1153" si="53">IF(U1090="","Not Available",IF(U1090&gt;=4,"High",IF(U1090=3,"Medium","Low")))</f>
        <v>High</v>
      </c>
    </row>
    <row r="1091" spans="1:33">
      <c r="A1091" t="s">
        <v>1817</v>
      </c>
      <c r="B1091" t="s">
        <v>604</v>
      </c>
      <c r="C1091" s="11">
        <v>46071</v>
      </c>
      <c r="D1091" t="s">
        <v>161</v>
      </c>
      <c r="E1091" t="s">
        <v>70</v>
      </c>
      <c r="F1091" s="4">
        <v>46072</v>
      </c>
      <c r="G1091" s="4">
        <v>46072</v>
      </c>
      <c r="H1091" t="s">
        <v>178</v>
      </c>
      <c r="I1091" t="s">
        <v>339</v>
      </c>
      <c r="J1091" t="s">
        <v>180</v>
      </c>
      <c r="K1091" t="s">
        <v>60</v>
      </c>
      <c r="L1091" t="s">
        <v>94</v>
      </c>
      <c r="M1091" s="5">
        <v>77300</v>
      </c>
      <c r="N1091" s="5">
        <v>11950</v>
      </c>
      <c r="O1091" s="5">
        <v>17250</v>
      </c>
      <c r="P1091" s="5">
        <v>0</v>
      </c>
      <c r="Q1091" s="13">
        <v>107300</v>
      </c>
      <c r="R1091" t="s">
        <v>106</v>
      </c>
      <c r="S1091" t="s">
        <v>76</v>
      </c>
      <c r="T1091" s="5">
        <v>38260</v>
      </c>
      <c r="U1091" s="6">
        <v>4</v>
      </c>
      <c r="V1091" t="s">
        <v>64</v>
      </c>
      <c r="W1091" s="4"/>
      <c r="X1091" t="s">
        <v>65</v>
      </c>
      <c r="Y1091" t="s">
        <v>64</v>
      </c>
      <c r="Z1091" t="s">
        <v>78</v>
      </c>
      <c r="AA1091" t="str">
        <f>VLOOKUP(H1091,Departments!$A:$B,2,0)</f>
        <v>Surgery</v>
      </c>
      <c r="AB1091" t="str">
        <f>VLOOKUP(J1091,Diagnosis_Guide!$A:$B,2,0)</f>
        <v>Appendicitis Surgery</v>
      </c>
      <c r="AC1091" s="4" t="str">
        <f>VLOOKUP(J1091,Diagnosis_Guide!$A:$C,3,0)</f>
        <v>Surgical</v>
      </c>
      <c r="AD1091" s="4" t="str">
        <f>VLOOKUP(R1091,Insurance_Plans!$A:$C,3,0)</f>
        <v>Private</v>
      </c>
      <c r="AE1091" s="13">
        <f t="shared" si="51"/>
        <v>5365</v>
      </c>
      <c r="AF1091" s="13">
        <f t="shared" si="52"/>
        <v>112665</v>
      </c>
      <c r="AG1091" s="4" t="str">
        <f t="shared" si="53"/>
        <v>High</v>
      </c>
    </row>
    <row r="1092" spans="1:33">
      <c r="A1092" t="s">
        <v>1818</v>
      </c>
      <c r="B1092" t="s">
        <v>721</v>
      </c>
      <c r="C1092" s="11">
        <v>46122</v>
      </c>
      <c r="D1092" t="s">
        <v>225</v>
      </c>
      <c r="E1092" t="s">
        <v>70</v>
      </c>
      <c r="F1092" s="4">
        <v>46122</v>
      </c>
      <c r="G1092" s="4">
        <v>46125</v>
      </c>
      <c r="H1092" t="s">
        <v>121</v>
      </c>
      <c r="I1092" t="s">
        <v>251</v>
      </c>
      <c r="J1092" t="s">
        <v>123</v>
      </c>
      <c r="K1092" t="s">
        <v>124</v>
      </c>
      <c r="L1092" t="s">
        <v>74</v>
      </c>
      <c r="M1092" s="5">
        <v>50400</v>
      </c>
      <c r="N1092" s="5">
        <v>6300</v>
      </c>
      <c r="O1092" s="5">
        <v>5850</v>
      </c>
      <c r="P1092" s="5">
        <v>7500</v>
      </c>
      <c r="Q1092" s="13">
        <v>72050</v>
      </c>
      <c r="R1092" t="s">
        <v>106</v>
      </c>
      <c r="S1092" t="s">
        <v>76</v>
      </c>
      <c r="T1092" s="5">
        <v>25920</v>
      </c>
      <c r="U1092" s="6">
        <v>3</v>
      </c>
      <c r="V1092" t="s">
        <v>77</v>
      </c>
      <c r="W1092" s="4">
        <v>46146</v>
      </c>
      <c r="X1092" t="s">
        <v>64</v>
      </c>
      <c r="Y1092" t="s">
        <v>64</v>
      </c>
      <c r="Z1092" t="s">
        <v>96</v>
      </c>
      <c r="AA1092" t="str">
        <f>VLOOKUP(H1092,Departments!$A:$B,2,0)</f>
        <v>Neurology</v>
      </c>
      <c r="AB1092" t="str">
        <f>VLOOKUP(J1092,Diagnosis_Guide!$A:$B,2,0)</f>
        <v>Seizure Episode</v>
      </c>
      <c r="AC1092" s="4" t="str">
        <f>VLOOKUP(J1092,Diagnosis_Guide!$A:$C,3,0)</f>
        <v>Neurological</v>
      </c>
      <c r="AD1092" s="4" t="str">
        <f>VLOOKUP(R1092,Insurance_Plans!$A:$C,3,0)</f>
        <v>Private</v>
      </c>
      <c r="AE1092" s="13">
        <f t="shared" si="51"/>
        <v>3602.5</v>
      </c>
      <c r="AF1092" s="13">
        <f t="shared" si="52"/>
        <v>75652.5</v>
      </c>
      <c r="AG1092" s="4" t="str">
        <f t="shared" si="53"/>
        <v>Medium</v>
      </c>
    </row>
    <row r="1093" spans="1:33">
      <c r="A1093" t="s">
        <v>1819</v>
      </c>
      <c r="B1093" t="s">
        <v>1125</v>
      </c>
      <c r="C1093" s="11">
        <v>46081</v>
      </c>
      <c r="D1093" t="s">
        <v>161</v>
      </c>
      <c r="E1093" t="s">
        <v>70</v>
      </c>
      <c r="F1093" s="4">
        <v>46081</v>
      </c>
      <c r="G1093" s="4">
        <v>46081</v>
      </c>
      <c r="H1093" t="s">
        <v>121</v>
      </c>
      <c r="I1093" t="s">
        <v>665</v>
      </c>
      <c r="J1093" t="s">
        <v>256</v>
      </c>
      <c r="K1093" t="s">
        <v>60</v>
      </c>
      <c r="L1093" t="s">
        <v>94</v>
      </c>
      <c r="M1093" s="5">
        <v>19100</v>
      </c>
      <c r="N1093" s="5">
        <v>2050</v>
      </c>
      <c r="O1093" s="5">
        <v>2650</v>
      </c>
      <c r="P1093" s="5">
        <v>0</v>
      </c>
      <c r="Q1093" s="13">
        <v>24800</v>
      </c>
      <c r="R1093" t="s">
        <v>95</v>
      </c>
      <c r="S1093" t="s">
        <v>63</v>
      </c>
      <c r="T1093" s="5">
        <v>24800</v>
      </c>
      <c r="U1093" s="6">
        <v>5</v>
      </c>
      <c r="V1093" t="s">
        <v>64</v>
      </c>
      <c r="W1093" s="4"/>
      <c r="X1093" t="s">
        <v>65</v>
      </c>
      <c r="Y1093" t="s">
        <v>64</v>
      </c>
      <c r="Z1093" t="s">
        <v>78</v>
      </c>
      <c r="AA1093" t="str">
        <f>VLOOKUP(H1093,Departments!$A:$B,2,0)</f>
        <v>Neurology</v>
      </c>
      <c r="AB1093" t="str">
        <f>VLOOKUP(J1093,Diagnosis_Guide!$A:$B,2,0)</f>
        <v>Migraine Complication</v>
      </c>
      <c r="AC1093" s="4" t="str">
        <f>VLOOKUP(J1093,Diagnosis_Guide!$A:$C,3,0)</f>
        <v>Neurological</v>
      </c>
      <c r="AD1093" s="4" t="str">
        <f>VLOOKUP(R1093,Insurance_Plans!$A:$C,3,0)</f>
        <v>Self-Pay</v>
      </c>
      <c r="AE1093" s="13">
        <f t="shared" si="51"/>
        <v>1240</v>
      </c>
      <c r="AF1093" s="13">
        <f t="shared" si="52"/>
        <v>26040</v>
      </c>
      <c r="AG1093" s="4" t="str">
        <f t="shared" si="53"/>
        <v>High</v>
      </c>
    </row>
    <row r="1094" spans="1:33">
      <c r="A1094" t="s">
        <v>1820</v>
      </c>
      <c r="B1094" t="s">
        <v>994</v>
      </c>
      <c r="C1094" s="11">
        <v>46154</v>
      </c>
      <c r="D1094" t="s">
        <v>210</v>
      </c>
      <c r="E1094" t="s">
        <v>70</v>
      </c>
      <c r="F1094" s="4">
        <v>46155</v>
      </c>
      <c r="G1094" s="4">
        <v>46157</v>
      </c>
      <c r="H1094" t="s">
        <v>201</v>
      </c>
      <c r="I1094" t="s">
        <v>202</v>
      </c>
      <c r="J1094" t="s">
        <v>203</v>
      </c>
      <c r="K1094" t="s">
        <v>124</v>
      </c>
      <c r="L1094" t="s">
        <v>94</v>
      </c>
      <c r="M1094" s="5">
        <v>40400</v>
      </c>
      <c r="N1094" s="5">
        <v>6300</v>
      </c>
      <c r="O1094" s="5">
        <v>4950</v>
      </c>
      <c r="P1094" s="5">
        <v>7000</v>
      </c>
      <c r="Q1094" s="13">
        <v>61150</v>
      </c>
      <c r="R1094" t="s">
        <v>75</v>
      </c>
      <c r="S1094" t="s">
        <v>76</v>
      </c>
      <c r="T1094" s="5">
        <v>27820</v>
      </c>
      <c r="U1094" s="6">
        <v>4</v>
      </c>
      <c r="V1094" t="s">
        <v>64</v>
      </c>
      <c r="W1094" s="4"/>
      <c r="X1094" t="s">
        <v>65</v>
      </c>
      <c r="Y1094" t="s">
        <v>64</v>
      </c>
      <c r="Z1094" t="s">
        <v>78</v>
      </c>
      <c r="AA1094" t="str">
        <f>VLOOKUP(H1094,Departments!$A:$B,2,0)</f>
        <v>Emergency</v>
      </c>
      <c r="AB1094" t="str">
        <f>VLOOKUP(J1094,Diagnosis_Guide!$A:$B,2,0)</f>
        <v>Trauma Observation</v>
      </c>
      <c r="AC1094" s="4" t="str">
        <f>VLOOKUP(J1094,Diagnosis_Guide!$A:$C,3,0)</f>
        <v>Emergency</v>
      </c>
      <c r="AD1094" s="4" t="str">
        <f>VLOOKUP(R1094,Insurance_Plans!$A:$C,3,0)</f>
        <v>Public</v>
      </c>
      <c r="AE1094" s="13">
        <f t="shared" si="51"/>
        <v>3057.5</v>
      </c>
      <c r="AF1094" s="13">
        <f t="shared" si="52"/>
        <v>64207.5</v>
      </c>
      <c r="AG1094" s="4" t="str">
        <f t="shared" si="53"/>
        <v>High</v>
      </c>
    </row>
    <row r="1095" spans="1:33">
      <c r="A1095" t="s">
        <v>1821</v>
      </c>
      <c r="B1095" t="s">
        <v>696</v>
      </c>
      <c r="C1095" s="11">
        <v>46026</v>
      </c>
      <c r="D1095" t="s">
        <v>234</v>
      </c>
      <c r="E1095" t="s">
        <v>70</v>
      </c>
      <c r="F1095" s="4">
        <v>46026</v>
      </c>
      <c r="G1095" s="4">
        <v>46027</v>
      </c>
      <c r="H1095" t="s">
        <v>121</v>
      </c>
      <c r="I1095" t="s">
        <v>386</v>
      </c>
      <c r="J1095" t="s">
        <v>252</v>
      </c>
      <c r="K1095" t="s">
        <v>60</v>
      </c>
      <c r="L1095" t="s">
        <v>146</v>
      </c>
      <c r="M1095" s="5">
        <v>72200</v>
      </c>
      <c r="N1095" s="5">
        <v>10700</v>
      </c>
      <c r="O1095" s="5">
        <v>11150</v>
      </c>
      <c r="P1095" s="5">
        <v>4500</v>
      </c>
      <c r="Q1095" s="13">
        <v>101050</v>
      </c>
      <c r="R1095" t="s">
        <v>141</v>
      </c>
      <c r="S1095" t="s">
        <v>76</v>
      </c>
      <c r="T1095" s="5">
        <v>16360</v>
      </c>
      <c r="U1095" s="6">
        <v>4</v>
      </c>
      <c r="V1095" t="s">
        <v>77</v>
      </c>
      <c r="W1095" s="4">
        <v>46036</v>
      </c>
      <c r="X1095" t="s">
        <v>77</v>
      </c>
      <c r="Y1095" t="s">
        <v>64</v>
      </c>
      <c r="Z1095" t="s">
        <v>436</v>
      </c>
      <c r="AA1095" t="str">
        <f>VLOOKUP(H1095,Departments!$A:$B,2,0)</f>
        <v>Neurology</v>
      </c>
      <c r="AB1095" t="str">
        <f>VLOOKUP(J1095,Diagnosis_Guide!$A:$B,2,0)</f>
        <v>Stroke Assessment</v>
      </c>
      <c r="AC1095" s="4" t="str">
        <f>VLOOKUP(J1095,Diagnosis_Guide!$A:$C,3,0)</f>
        <v>Neurological</v>
      </c>
      <c r="AD1095" s="4" t="str">
        <f>VLOOKUP(R1095,Insurance_Plans!$A:$C,3,0)</f>
        <v>Private</v>
      </c>
      <c r="AE1095" s="13">
        <f t="shared" si="51"/>
        <v>5052.5</v>
      </c>
      <c r="AF1095" s="13">
        <f t="shared" si="52"/>
        <v>106102.5</v>
      </c>
      <c r="AG1095" s="4" t="str">
        <f t="shared" si="53"/>
        <v>High</v>
      </c>
    </row>
    <row r="1096" spans="1:33">
      <c r="A1096" t="s">
        <v>1822</v>
      </c>
      <c r="B1096" t="s">
        <v>892</v>
      </c>
      <c r="C1096" s="11">
        <v>46070</v>
      </c>
      <c r="D1096" t="s">
        <v>259</v>
      </c>
      <c r="E1096" t="s">
        <v>70</v>
      </c>
      <c r="F1096" s="4">
        <v>46070</v>
      </c>
      <c r="G1096" s="4">
        <v>46070</v>
      </c>
      <c r="H1096" t="s">
        <v>111</v>
      </c>
      <c r="I1096" t="s">
        <v>355</v>
      </c>
      <c r="J1096" t="s">
        <v>113</v>
      </c>
      <c r="K1096" t="s">
        <v>60</v>
      </c>
      <c r="L1096" t="s">
        <v>94</v>
      </c>
      <c r="M1096" s="5">
        <v>22800</v>
      </c>
      <c r="N1096" s="5">
        <v>4050</v>
      </c>
      <c r="O1096" s="5">
        <v>3150</v>
      </c>
      <c r="P1096" s="5">
        <v>0</v>
      </c>
      <c r="Q1096" s="13">
        <v>31500</v>
      </c>
      <c r="R1096" t="s">
        <v>106</v>
      </c>
      <c r="S1096" t="s">
        <v>76</v>
      </c>
      <c r="T1096" s="5">
        <v>11720</v>
      </c>
      <c r="U1096" s="6">
        <v>5</v>
      </c>
      <c r="V1096" t="s">
        <v>64</v>
      </c>
      <c r="W1096" s="4"/>
      <c r="X1096" t="s">
        <v>65</v>
      </c>
      <c r="Y1096" t="s">
        <v>64</v>
      </c>
      <c r="Z1096" t="s">
        <v>219</v>
      </c>
      <c r="AA1096" t="str">
        <f>VLOOKUP(H1096,Departments!$A:$B,2,0)</f>
        <v>General Medicine</v>
      </c>
      <c r="AB1096" t="str">
        <f>VLOOKUP(J1096,Diagnosis_Guide!$A:$B,2,0)</f>
        <v>Diabetes Complication</v>
      </c>
      <c r="AC1096" s="4" t="str">
        <f>VLOOKUP(J1096,Diagnosis_Guide!$A:$C,3,0)</f>
        <v>Endocrine/General</v>
      </c>
      <c r="AD1096" s="4" t="str">
        <f>VLOOKUP(R1096,Insurance_Plans!$A:$C,3,0)</f>
        <v>Private</v>
      </c>
      <c r="AE1096" s="13">
        <f t="shared" si="51"/>
        <v>1575</v>
      </c>
      <c r="AF1096" s="13">
        <f t="shared" si="52"/>
        <v>33075</v>
      </c>
      <c r="AG1096" s="4" t="str">
        <f t="shared" si="53"/>
        <v>High</v>
      </c>
    </row>
    <row r="1097" spans="1:33">
      <c r="A1097" t="s">
        <v>1823</v>
      </c>
      <c r="B1097" t="s">
        <v>1824</v>
      </c>
      <c r="C1097" s="11">
        <v>46055</v>
      </c>
      <c r="D1097" t="s">
        <v>284</v>
      </c>
      <c r="E1097" t="s">
        <v>70</v>
      </c>
      <c r="F1097" s="4">
        <v>46056</v>
      </c>
      <c r="G1097" s="4">
        <v>46064</v>
      </c>
      <c r="H1097" t="s">
        <v>103</v>
      </c>
      <c r="I1097" t="s">
        <v>243</v>
      </c>
      <c r="J1097" t="s">
        <v>105</v>
      </c>
      <c r="K1097" t="s">
        <v>124</v>
      </c>
      <c r="L1097" t="s">
        <v>94</v>
      </c>
      <c r="M1097" s="5">
        <v>51700</v>
      </c>
      <c r="N1097" s="5">
        <v>4500</v>
      </c>
      <c r="O1097" s="5">
        <v>11700</v>
      </c>
      <c r="P1097" s="5">
        <v>24000</v>
      </c>
      <c r="Q1097" s="13">
        <v>93700</v>
      </c>
      <c r="R1097" t="s">
        <v>95</v>
      </c>
      <c r="S1097" t="s">
        <v>63</v>
      </c>
      <c r="T1097" s="5">
        <v>93700</v>
      </c>
      <c r="U1097" s="6">
        <v>2</v>
      </c>
      <c r="V1097" t="s">
        <v>77</v>
      </c>
      <c r="W1097" s="4">
        <v>46076</v>
      </c>
      <c r="X1097" t="s">
        <v>77</v>
      </c>
      <c r="Y1097" t="s">
        <v>77</v>
      </c>
      <c r="Z1097" t="s">
        <v>96</v>
      </c>
      <c r="AA1097" t="str">
        <f>VLOOKUP(H1097,Departments!$A:$B,2,0)</f>
        <v>Nephrology</v>
      </c>
      <c r="AB1097" t="str">
        <f>VLOOKUP(J1097,Diagnosis_Guide!$A:$B,2,0)</f>
        <v>Dialysis Complication</v>
      </c>
      <c r="AC1097" s="4" t="str">
        <f>VLOOKUP(J1097,Diagnosis_Guide!$A:$C,3,0)</f>
        <v>Renal</v>
      </c>
      <c r="AD1097" s="4" t="str">
        <f>VLOOKUP(R1097,Insurance_Plans!$A:$C,3,0)</f>
        <v>Self-Pay</v>
      </c>
      <c r="AE1097" s="13">
        <f t="shared" si="51"/>
        <v>4685</v>
      </c>
      <c r="AF1097" s="13">
        <f t="shared" si="52"/>
        <v>98385</v>
      </c>
      <c r="AG1097" s="4" t="str">
        <f t="shared" si="53"/>
        <v>Low</v>
      </c>
    </row>
    <row r="1098" spans="1:33">
      <c r="A1098" t="s">
        <v>1825</v>
      </c>
      <c r="B1098" t="s">
        <v>1562</v>
      </c>
      <c r="C1098" s="11">
        <v>46079</v>
      </c>
      <c r="D1098" t="s">
        <v>225</v>
      </c>
      <c r="E1098" t="s">
        <v>70</v>
      </c>
      <c r="F1098" s="4">
        <v>46079</v>
      </c>
      <c r="G1098" s="4">
        <v>46079</v>
      </c>
      <c r="H1098" t="s">
        <v>121</v>
      </c>
      <c r="I1098" t="s">
        <v>251</v>
      </c>
      <c r="J1098" t="s">
        <v>256</v>
      </c>
      <c r="K1098" t="s">
        <v>60</v>
      </c>
      <c r="L1098" t="s">
        <v>61</v>
      </c>
      <c r="M1098" s="5">
        <v>19000</v>
      </c>
      <c r="N1098" s="5">
        <v>3150</v>
      </c>
      <c r="O1098" s="5">
        <v>3000</v>
      </c>
      <c r="P1098" s="5">
        <v>0</v>
      </c>
      <c r="Q1098" s="13">
        <v>27150</v>
      </c>
      <c r="R1098" t="s">
        <v>106</v>
      </c>
      <c r="S1098" t="s">
        <v>76</v>
      </c>
      <c r="T1098" s="5">
        <v>10200</v>
      </c>
      <c r="U1098" s="6">
        <v>5</v>
      </c>
      <c r="V1098" t="s">
        <v>77</v>
      </c>
      <c r="W1098" s="4">
        <v>46100</v>
      </c>
      <c r="X1098" t="s">
        <v>77</v>
      </c>
      <c r="Y1098" t="s">
        <v>64</v>
      </c>
      <c r="Z1098" t="s">
        <v>96</v>
      </c>
      <c r="AA1098" t="str">
        <f>VLOOKUP(H1098,Departments!$A:$B,2,0)</f>
        <v>Neurology</v>
      </c>
      <c r="AB1098" t="str">
        <f>VLOOKUP(J1098,Diagnosis_Guide!$A:$B,2,0)</f>
        <v>Migraine Complication</v>
      </c>
      <c r="AC1098" s="4" t="str">
        <f>VLOOKUP(J1098,Diagnosis_Guide!$A:$C,3,0)</f>
        <v>Neurological</v>
      </c>
      <c r="AD1098" s="4" t="str">
        <f>VLOOKUP(R1098,Insurance_Plans!$A:$C,3,0)</f>
        <v>Private</v>
      </c>
      <c r="AE1098" s="13">
        <f t="shared" si="51"/>
        <v>1357.5</v>
      </c>
      <c r="AF1098" s="13">
        <f t="shared" si="52"/>
        <v>28507.5</v>
      </c>
      <c r="AG1098" s="4" t="str">
        <f t="shared" si="53"/>
        <v>High</v>
      </c>
    </row>
    <row r="1099" spans="1:33">
      <c r="A1099" t="s">
        <v>1826</v>
      </c>
      <c r="B1099" t="s">
        <v>1091</v>
      </c>
      <c r="C1099" s="11">
        <v>46138</v>
      </c>
      <c r="D1099" t="s">
        <v>110</v>
      </c>
      <c r="E1099" t="s">
        <v>314</v>
      </c>
      <c r="F1099" s="4"/>
      <c r="G1099" s="4"/>
      <c r="H1099" t="s">
        <v>201</v>
      </c>
      <c r="I1099" t="s">
        <v>280</v>
      </c>
      <c r="J1099" t="s">
        <v>203</v>
      </c>
      <c r="K1099" t="s">
        <v>73</v>
      </c>
      <c r="L1099" t="s">
        <v>94</v>
      </c>
      <c r="M1099" s="5"/>
      <c r="N1099" s="5"/>
      <c r="O1099" s="5"/>
      <c r="P1099" s="5"/>
      <c r="R1099" t="s">
        <v>134</v>
      </c>
      <c r="S1099" t="s">
        <v>63</v>
      </c>
      <c r="T1099" s="5"/>
      <c r="U1099" s="6"/>
      <c r="V1099" t="s">
        <v>64</v>
      </c>
      <c r="W1099" s="4"/>
      <c r="X1099" t="s">
        <v>65</v>
      </c>
      <c r="Z1099" t="s">
        <v>66</v>
      </c>
      <c r="AA1099" t="str">
        <f>VLOOKUP(H1099,Departments!$A:$B,2,0)</f>
        <v>Emergency</v>
      </c>
      <c r="AB1099" t="str">
        <f>VLOOKUP(J1099,Diagnosis_Guide!$A:$B,2,0)</f>
        <v>Trauma Observation</v>
      </c>
      <c r="AC1099" s="4" t="str">
        <f>VLOOKUP(J1099,Diagnosis_Guide!$A:$C,3,0)</f>
        <v>Emergency</v>
      </c>
      <c r="AD1099" s="4" t="str">
        <f>VLOOKUP(R1099,Insurance_Plans!$A:$C,3,0)</f>
        <v>Community</v>
      </c>
      <c r="AE1099" s="13" t="str">
        <f t="shared" si="51"/>
        <v/>
      </c>
      <c r="AF1099" s="13" t="str">
        <f t="shared" si="52"/>
        <v/>
      </c>
      <c r="AG1099" s="4" t="str">
        <f t="shared" si="53"/>
        <v>Not Available</v>
      </c>
    </row>
    <row r="1100" spans="1:33">
      <c r="A1100" t="s">
        <v>1827</v>
      </c>
      <c r="B1100" t="s">
        <v>1587</v>
      </c>
      <c r="C1100" s="11">
        <v>46150</v>
      </c>
      <c r="D1100" t="s">
        <v>149</v>
      </c>
      <c r="E1100" t="s">
        <v>314</v>
      </c>
      <c r="F1100" s="4"/>
      <c r="G1100" s="4"/>
      <c r="H1100" t="s">
        <v>82</v>
      </c>
      <c r="I1100" t="s">
        <v>331</v>
      </c>
      <c r="J1100" t="s">
        <v>84</v>
      </c>
      <c r="K1100" t="s">
        <v>73</v>
      </c>
      <c r="L1100" t="s">
        <v>94</v>
      </c>
      <c r="M1100" s="5"/>
      <c r="N1100" s="5"/>
      <c r="O1100" s="5"/>
      <c r="P1100" s="5"/>
      <c r="R1100" t="s">
        <v>95</v>
      </c>
      <c r="S1100" t="s">
        <v>63</v>
      </c>
      <c r="T1100" s="5"/>
      <c r="U1100" s="6"/>
      <c r="V1100" t="s">
        <v>64</v>
      </c>
      <c r="W1100" s="4"/>
      <c r="X1100" t="s">
        <v>65</v>
      </c>
      <c r="Z1100" t="s">
        <v>66</v>
      </c>
      <c r="AA1100" t="str">
        <f>VLOOKUP(H1100,Departments!$A:$B,2,0)</f>
        <v>Orthopedics</v>
      </c>
      <c r="AB1100" t="str">
        <f>VLOOKUP(J1100,Diagnosis_Guide!$A:$B,2,0)</f>
        <v>Joint Pain</v>
      </c>
      <c r="AC1100" s="4" t="str">
        <f>VLOOKUP(J1100,Diagnosis_Guide!$A:$C,3,0)</f>
        <v>Musculoskeletal</v>
      </c>
      <c r="AD1100" s="4" t="str">
        <f>VLOOKUP(R1100,Insurance_Plans!$A:$C,3,0)</f>
        <v>Self-Pay</v>
      </c>
      <c r="AE1100" s="13" t="str">
        <f t="shared" si="51"/>
        <v/>
      </c>
      <c r="AF1100" s="13" t="str">
        <f t="shared" si="52"/>
        <v/>
      </c>
      <c r="AG1100" s="4" t="str">
        <f t="shared" si="53"/>
        <v>Not Available</v>
      </c>
    </row>
    <row r="1101" spans="1:33">
      <c r="A1101" t="s">
        <v>1828</v>
      </c>
      <c r="B1101" t="s">
        <v>1362</v>
      </c>
      <c r="C1101" s="11">
        <v>46154</v>
      </c>
      <c r="D1101" t="s">
        <v>439</v>
      </c>
      <c r="E1101" t="s">
        <v>177</v>
      </c>
      <c r="F1101" s="4"/>
      <c r="G1101" s="4"/>
      <c r="H1101" t="s">
        <v>121</v>
      </c>
      <c r="I1101" t="s">
        <v>174</v>
      </c>
      <c r="J1101" t="s">
        <v>252</v>
      </c>
      <c r="K1101" t="s">
        <v>93</v>
      </c>
      <c r="L1101" t="s">
        <v>94</v>
      </c>
      <c r="M1101" s="5"/>
      <c r="N1101" s="5"/>
      <c r="O1101" s="5"/>
      <c r="P1101" s="5"/>
      <c r="R1101" t="s">
        <v>106</v>
      </c>
      <c r="S1101" t="s">
        <v>63</v>
      </c>
      <c r="T1101" s="5"/>
      <c r="U1101" s="6"/>
      <c r="V1101" t="s">
        <v>64</v>
      </c>
      <c r="W1101" s="4"/>
      <c r="X1101" t="s">
        <v>65</v>
      </c>
      <c r="Z1101" t="s">
        <v>66</v>
      </c>
      <c r="AA1101" t="str">
        <f>VLOOKUP(H1101,Departments!$A:$B,2,0)</f>
        <v>Neurology</v>
      </c>
      <c r="AB1101" t="str">
        <f>VLOOKUP(J1101,Diagnosis_Guide!$A:$B,2,0)</f>
        <v>Stroke Assessment</v>
      </c>
      <c r="AC1101" s="4" t="str">
        <f>VLOOKUP(J1101,Diagnosis_Guide!$A:$C,3,0)</f>
        <v>Neurological</v>
      </c>
      <c r="AD1101" s="4" t="str">
        <f>VLOOKUP(R1101,Insurance_Plans!$A:$C,3,0)</f>
        <v>Private</v>
      </c>
      <c r="AE1101" s="13" t="str">
        <f t="shared" si="51"/>
        <v/>
      </c>
      <c r="AF1101" s="13" t="str">
        <f t="shared" si="52"/>
        <v/>
      </c>
      <c r="AG1101" s="4" t="str">
        <f t="shared" si="53"/>
        <v>Not Available</v>
      </c>
    </row>
    <row r="1102" spans="1:33">
      <c r="A1102" t="s">
        <v>1829</v>
      </c>
      <c r="B1102" t="s">
        <v>631</v>
      </c>
      <c r="C1102" s="11">
        <v>46062</v>
      </c>
      <c r="D1102" t="s">
        <v>383</v>
      </c>
      <c r="E1102" t="s">
        <v>70</v>
      </c>
      <c r="F1102" s="4">
        <v>46062</v>
      </c>
      <c r="G1102" s="4">
        <v>46065</v>
      </c>
      <c r="H1102" t="s">
        <v>82</v>
      </c>
      <c r="J1102" t="s">
        <v>291</v>
      </c>
      <c r="K1102" t="s">
        <v>73</v>
      </c>
      <c r="L1102" t="s">
        <v>94</v>
      </c>
      <c r="M1102" s="5">
        <v>47200</v>
      </c>
      <c r="N1102" s="5">
        <v>8250</v>
      </c>
      <c r="O1102" s="5">
        <v>6200</v>
      </c>
      <c r="P1102" s="5">
        <v>7500</v>
      </c>
      <c r="Q1102" s="13">
        <v>70950</v>
      </c>
      <c r="R1102" t="s">
        <v>75</v>
      </c>
      <c r="S1102" t="s">
        <v>76</v>
      </c>
      <c r="T1102" s="5">
        <v>32230</v>
      </c>
      <c r="U1102" s="6">
        <v>5</v>
      </c>
      <c r="V1102" t="s">
        <v>64</v>
      </c>
      <c r="W1102" s="4"/>
      <c r="X1102" t="s">
        <v>65</v>
      </c>
      <c r="Y1102" t="s">
        <v>64</v>
      </c>
      <c r="Z1102" t="s">
        <v>107</v>
      </c>
      <c r="AA1102" t="str">
        <f>VLOOKUP(H1102,Departments!$A:$B,2,0)</f>
        <v>Orthopedics</v>
      </c>
      <c r="AB1102" t="str">
        <f>VLOOKUP(J1102,Diagnosis_Guide!$A:$B,2,0)</f>
        <v>Fracture Repair</v>
      </c>
      <c r="AC1102" s="4" t="str">
        <f>VLOOKUP(J1102,Diagnosis_Guide!$A:$C,3,0)</f>
        <v>Musculoskeletal</v>
      </c>
      <c r="AD1102" s="4" t="str">
        <f>VLOOKUP(R1102,Insurance_Plans!$A:$C,3,0)</f>
        <v>Public</v>
      </c>
      <c r="AE1102" s="13">
        <f t="shared" si="51"/>
        <v>3547.5</v>
      </c>
      <c r="AF1102" s="13">
        <f t="shared" si="52"/>
        <v>74497.5</v>
      </c>
      <c r="AG1102" s="4" t="str">
        <f t="shared" si="53"/>
        <v>High</v>
      </c>
    </row>
    <row r="1103" spans="1:33">
      <c r="A1103" t="s">
        <v>1830</v>
      </c>
      <c r="B1103" t="s">
        <v>1831</v>
      </c>
      <c r="C1103" s="11">
        <v>46157</v>
      </c>
      <c r="D1103" t="s">
        <v>363</v>
      </c>
      <c r="E1103" t="s">
        <v>70</v>
      </c>
      <c r="F1103" s="4">
        <v>46158</v>
      </c>
      <c r="G1103" s="4">
        <v>46158</v>
      </c>
      <c r="H1103" t="s">
        <v>150</v>
      </c>
      <c r="I1103" t="s">
        <v>247</v>
      </c>
      <c r="J1103" t="s">
        <v>152</v>
      </c>
      <c r="K1103" t="s">
        <v>60</v>
      </c>
      <c r="L1103" t="s">
        <v>74</v>
      </c>
      <c r="M1103" s="5">
        <v>23400</v>
      </c>
      <c r="N1103" s="5">
        <v>2400</v>
      </c>
      <c r="O1103" s="5">
        <v>3700</v>
      </c>
      <c r="P1103" s="5">
        <v>0</v>
      </c>
      <c r="Q1103" s="13">
        <v>30500</v>
      </c>
      <c r="R1103" t="s">
        <v>95</v>
      </c>
      <c r="S1103" t="s">
        <v>63</v>
      </c>
      <c r="T1103" s="5">
        <v>30500</v>
      </c>
      <c r="U1103" s="6"/>
      <c r="V1103" t="s">
        <v>64</v>
      </c>
      <c r="W1103" s="4"/>
      <c r="X1103" t="s">
        <v>65</v>
      </c>
      <c r="Y1103" t="s">
        <v>64</v>
      </c>
      <c r="Z1103" t="s">
        <v>436</v>
      </c>
      <c r="AA1103" t="str">
        <f>VLOOKUP(H1103,Departments!$A:$B,2,0)</f>
        <v>Obstetrics</v>
      </c>
      <c r="AB1103" t="str">
        <f>VLOOKUP(J1103,Diagnosis_Guide!$A:$B,2,0)</f>
        <v>Antenatal Complication</v>
      </c>
      <c r="AC1103" s="4" t="str">
        <f>VLOOKUP(J1103,Diagnosis_Guide!$A:$C,3,0)</f>
        <v>Maternal Health</v>
      </c>
      <c r="AD1103" s="4" t="str">
        <f>VLOOKUP(R1103,Insurance_Plans!$A:$C,3,0)</f>
        <v>Self-Pay</v>
      </c>
      <c r="AE1103" s="13">
        <f t="shared" si="51"/>
        <v>1525</v>
      </c>
      <c r="AF1103" s="13">
        <f t="shared" si="52"/>
        <v>32025</v>
      </c>
      <c r="AG1103" s="4" t="str">
        <f t="shared" si="53"/>
        <v>Not Available</v>
      </c>
    </row>
    <row r="1104" spans="1:33">
      <c r="A1104" t="s">
        <v>1832</v>
      </c>
      <c r="B1104" t="s">
        <v>1833</v>
      </c>
      <c r="C1104" s="11">
        <v>46069</v>
      </c>
      <c r="D1104" t="s">
        <v>469</v>
      </c>
      <c r="E1104" t="s">
        <v>70</v>
      </c>
      <c r="F1104" s="4">
        <v>46070</v>
      </c>
      <c r="G1104" s="4">
        <v>46077</v>
      </c>
      <c r="H1104" t="s">
        <v>150</v>
      </c>
      <c r="I1104" t="s">
        <v>304</v>
      </c>
      <c r="J1104" t="s">
        <v>188</v>
      </c>
      <c r="K1104" t="s">
        <v>124</v>
      </c>
      <c r="L1104" t="s">
        <v>61</v>
      </c>
      <c r="M1104" s="5">
        <v>109500</v>
      </c>
      <c r="N1104" s="5">
        <v>17100</v>
      </c>
      <c r="O1104" s="5">
        <v>13150</v>
      </c>
      <c r="P1104" s="5">
        <v>24500</v>
      </c>
      <c r="Q1104" s="13">
        <v>165450</v>
      </c>
      <c r="R1104" t="s">
        <v>95</v>
      </c>
      <c r="S1104" t="s">
        <v>63</v>
      </c>
      <c r="T1104" s="5">
        <v>165450</v>
      </c>
      <c r="U1104" s="6">
        <v>3</v>
      </c>
      <c r="V1104" t="s">
        <v>77</v>
      </c>
      <c r="W1104" s="4">
        <v>46087</v>
      </c>
      <c r="X1104" t="s">
        <v>77</v>
      </c>
      <c r="Y1104" t="s">
        <v>77</v>
      </c>
      <c r="Z1104" t="s">
        <v>96</v>
      </c>
      <c r="AA1104" t="str">
        <f>VLOOKUP(H1104,Departments!$A:$B,2,0)</f>
        <v>Obstetrics</v>
      </c>
      <c r="AB1104" t="str">
        <f>VLOOKUP(J1104,Diagnosis_Guide!$A:$B,2,0)</f>
        <v>Emergency C-Section</v>
      </c>
      <c r="AC1104" s="4" t="str">
        <f>VLOOKUP(J1104,Diagnosis_Guide!$A:$C,3,0)</f>
        <v>Maternal Health</v>
      </c>
      <c r="AD1104" s="4" t="str">
        <f>VLOOKUP(R1104,Insurance_Plans!$A:$C,3,0)</f>
        <v>Self-Pay</v>
      </c>
      <c r="AE1104" s="13">
        <f t="shared" si="51"/>
        <v>8272.5</v>
      </c>
      <c r="AF1104" s="13">
        <f t="shared" si="52"/>
        <v>173722.5</v>
      </c>
      <c r="AG1104" s="4" t="str">
        <f t="shared" si="53"/>
        <v>Medium</v>
      </c>
    </row>
    <row r="1105" spans="1:33">
      <c r="A1105" t="s">
        <v>1834</v>
      </c>
      <c r="B1105" t="s">
        <v>664</v>
      </c>
      <c r="C1105" s="11">
        <v>46124</v>
      </c>
      <c r="D1105" t="s">
        <v>120</v>
      </c>
      <c r="E1105" t="s">
        <v>70</v>
      </c>
      <c r="F1105" s="4">
        <v>46124</v>
      </c>
      <c r="G1105" s="4">
        <v>46130</v>
      </c>
      <c r="H1105" t="s">
        <v>150</v>
      </c>
      <c r="I1105" t="s">
        <v>228</v>
      </c>
      <c r="J1105" t="s">
        <v>188</v>
      </c>
      <c r="K1105" t="s">
        <v>93</v>
      </c>
      <c r="L1105" t="s">
        <v>61</v>
      </c>
      <c r="M1105" s="5">
        <v>71100</v>
      </c>
      <c r="N1105" s="5">
        <v>8100</v>
      </c>
      <c r="O1105" s="5">
        <v>15750</v>
      </c>
      <c r="P1105" s="5">
        <v>21000</v>
      </c>
      <c r="Q1105" s="13">
        <v>117450</v>
      </c>
      <c r="R1105" t="s">
        <v>85</v>
      </c>
      <c r="S1105" t="s">
        <v>163</v>
      </c>
      <c r="T1105" s="5">
        <v>30260</v>
      </c>
      <c r="U1105" s="6">
        <v>5</v>
      </c>
      <c r="V1105" t="s">
        <v>77</v>
      </c>
      <c r="W1105" s="4">
        <v>46145</v>
      </c>
      <c r="X1105" t="s">
        <v>77</v>
      </c>
      <c r="Y1105" t="s">
        <v>64</v>
      </c>
      <c r="Z1105" t="s">
        <v>96</v>
      </c>
      <c r="AA1105" t="str">
        <f>VLOOKUP(H1105,Departments!$A:$B,2,0)</f>
        <v>Obstetrics</v>
      </c>
      <c r="AB1105" t="str">
        <f>VLOOKUP(J1105,Diagnosis_Guide!$A:$B,2,0)</f>
        <v>Emergency C-Section</v>
      </c>
      <c r="AC1105" s="4" t="str">
        <f>VLOOKUP(J1105,Diagnosis_Guide!$A:$C,3,0)</f>
        <v>Maternal Health</v>
      </c>
      <c r="AD1105" s="4" t="str">
        <f>VLOOKUP(R1105,Insurance_Plans!$A:$C,3,0)</f>
        <v>Employer</v>
      </c>
      <c r="AE1105" s="13">
        <f t="shared" si="51"/>
        <v>5872.5</v>
      </c>
      <c r="AF1105" s="13">
        <f t="shared" si="52"/>
        <v>123322.5</v>
      </c>
      <c r="AG1105" s="4" t="str">
        <f t="shared" si="53"/>
        <v>High</v>
      </c>
    </row>
    <row r="1106" spans="1:33">
      <c r="A1106" t="s">
        <v>1835</v>
      </c>
      <c r="B1106" t="s">
        <v>771</v>
      </c>
      <c r="C1106" s="11">
        <v>46045</v>
      </c>
      <c r="D1106" t="s">
        <v>132</v>
      </c>
      <c r="E1106" t="s">
        <v>70</v>
      </c>
      <c r="F1106" s="4">
        <v>46046</v>
      </c>
      <c r="G1106" s="4">
        <v>46048</v>
      </c>
      <c r="H1106" t="s">
        <v>138</v>
      </c>
      <c r="I1106" t="s">
        <v>139</v>
      </c>
      <c r="J1106" t="s">
        <v>140</v>
      </c>
      <c r="K1106" t="s">
        <v>124</v>
      </c>
      <c r="L1106" t="s">
        <v>146</v>
      </c>
      <c r="M1106" s="5">
        <v>11800</v>
      </c>
      <c r="N1106" s="5">
        <v>1750</v>
      </c>
      <c r="O1106" s="5">
        <v>2450</v>
      </c>
      <c r="P1106" s="5">
        <v>12000</v>
      </c>
      <c r="Q1106" s="13">
        <v>30000</v>
      </c>
      <c r="R1106" t="s">
        <v>106</v>
      </c>
      <c r="S1106" t="s">
        <v>76</v>
      </c>
      <c r="T1106" s="5">
        <v>11200</v>
      </c>
      <c r="U1106" s="6">
        <v>4</v>
      </c>
      <c r="V1106" t="s">
        <v>64</v>
      </c>
      <c r="W1106" s="4"/>
      <c r="X1106" t="s">
        <v>65</v>
      </c>
      <c r="Y1106" t="s">
        <v>64</v>
      </c>
      <c r="Z1106" t="s">
        <v>96</v>
      </c>
      <c r="AA1106" t="str">
        <f>VLOOKUP(H1106,Departments!$A:$B,2,0)</f>
        <v>Pediatrics</v>
      </c>
      <c r="AB1106" t="str">
        <f>VLOOKUP(J1106,Diagnosis_Guide!$A:$B,2,0)</f>
        <v>Pediatric Asthma</v>
      </c>
      <c r="AC1106" s="4" t="str">
        <f>VLOOKUP(J1106,Diagnosis_Guide!$A:$C,3,0)</f>
        <v>Pediatric</v>
      </c>
      <c r="AD1106" s="4" t="str">
        <f>VLOOKUP(R1106,Insurance_Plans!$A:$C,3,0)</f>
        <v>Private</v>
      </c>
      <c r="AE1106" s="13">
        <f t="shared" si="51"/>
        <v>1500</v>
      </c>
      <c r="AF1106" s="13">
        <f t="shared" si="52"/>
        <v>31500</v>
      </c>
      <c r="AG1106" s="4" t="str">
        <f t="shared" si="53"/>
        <v>High</v>
      </c>
    </row>
    <row r="1107" spans="1:33">
      <c r="A1107" t="s">
        <v>1836</v>
      </c>
      <c r="B1107" t="s">
        <v>809</v>
      </c>
      <c r="C1107" s="11">
        <v>46127</v>
      </c>
      <c r="D1107" t="s">
        <v>363</v>
      </c>
      <c r="E1107" t="s">
        <v>70</v>
      </c>
      <c r="F1107" s="4">
        <v>46128</v>
      </c>
      <c r="G1107" s="4">
        <v>46135</v>
      </c>
      <c r="H1107" t="s">
        <v>201</v>
      </c>
      <c r="I1107" t="s">
        <v>449</v>
      </c>
      <c r="J1107" t="s">
        <v>295</v>
      </c>
      <c r="K1107" t="s">
        <v>124</v>
      </c>
      <c r="L1107" t="s">
        <v>74</v>
      </c>
      <c r="M1107" s="5">
        <v>45600</v>
      </c>
      <c r="N1107" s="5">
        <v>4600</v>
      </c>
      <c r="O1107" s="5">
        <v>9950</v>
      </c>
      <c r="P1107" s="5">
        <v>31500</v>
      </c>
      <c r="Q1107" s="13">
        <v>92450</v>
      </c>
      <c r="R1107" t="s">
        <v>75</v>
      </c>
      <c r="S1107" t="s">
        <v>86</v>
      </c>
      <c r="T1107" s="5">
        <v>41900</v>
      </c>
      <c r="U1107" s="6">
        <v>4</v>
      </c>
      <c r="V1107" t="s">
        <v>77</v>
      </c>
      <c r="W1107" s="4">
        <v>46149</v>
      </c>
      <c r="X1107" t="s">
        <v>77</v>
      </c>
      <c r="Y1107" t="s">
        <v>64</v>
      </c>
      <c r="Z1107" t="s">
        <v>107</v>
      </c>
      <c r="AA1107" t="str">
        <f>VLOOKUP(H1107,Departments!$A:$B,2,0)</f>
        <v>Emergency</v>
      </c>
      <c r="AB1107" t="str">
        <f>VLOOKUP(J1107,Diagnosis_Guide!$A:$B,2,0)</f>
        <v>Accident Injury</v>
      </c>
      <c r="AC1107" s="4" t="str">
        <f>VLOOKUP(J1107,Diagnosis_Guide!$A:$C,3,0)</f>
        <v>Emergency</v>
      </c>
      <c r="AD1107" s="4" t="str">
        <f>VLOOKUP(R1107,Insurance_Plans!$A:$C,3,0)</f>
        <v>Public</v>
      </c>
      <c r="AE1107" s="13">
        <f t="shared" si="51"/>
        <v>4622.5</v>
      </c>
      <c r="AF1107" s="13">
        <f t="shared" si="52"/>
        <v>97072.5</v>
      </c>
      <c r="AG1107" s="4" t="str">
        <f t="shared" si="53"/>
        <v>High</v>
      </c>
    </row>
    <row r="1108" spans="1:33">
      <c r="A1108" t="s">
        <v>1837</v>
      </c>
      <c r="B1108" t="s">
        <v>1838</v>
      </c>
      <c r="C1108" s="11">
        <v>46133</v>
      </c>
      <c r="D1108" t="s">
        <v>307</v>
      </c>
      <c r="E1108" t="s">
        <v>70</v>
      </c>
      <c r="F1108" s="4">
        <v>46134</v>
      </c>
      <c r="G1108" s="4">
        <v>46138</v>
      </c>
      <c r="H1108" t="s">
        <v>150</v>
      </c>
      <c r="I1108" t="s">
        <v>151</v>
      </c>
      <c r="J1108" t="s">
        <v>229</v>
      </c>
      <c r="K1108" t="s">
        <v>73</v>
      </c>
      <c r="L1108" t="s">
        <v>61</v>
      </c>
      <c r="M1108" s="5">
        <v>45000</v>
      </c>
      <c r="N1108" s="5">
        <v>3750</v>
      </c>
      <c r="O1108" s="5">
        <v>5000</v>
      </c>
      <c r="P1108" s="5">
        <v>12000</v>
      </c>
      <c r="Q1108" s="13">
        <v>68250</v>
      </c>
      <c r="R1108" t="s">
        <v>85</v>
      </c>
      <c r="S1108" t="s">
        <v>76</v>
      </c>
      <c r="T1108" s="5">
        <v>17960</v>
      </c>
      <c r="U1108" s="6">
        <v>5</v>
      </c>
      <c r="V1108" t="s">
        <v>77</v>
      </c>
      <c r="W1108" s="4">
        <v>46145</v>
      </c>
      <c r="X1108" t="s">
        <v>77</v>
      </c>
      <c r="Y1108" t="s">
        <v>64</v>
      </c>
      <c r="Z1108" t="s">
        <v>96</v>
      </c>
      <c r="AA1108" t="str">
        <f>VLOOKUP(H1108,Departments!$A:$B,2,0)</f>
        <v>Obstetrics</v>
      </c>
      <c r="AB1108" t="str">
        <f>VLOOKUP(J1108,Diagnosis_Guide!$A:$B,2,0)</f>
        <v>Delivery Care</v>
      </c>
      <c r="AC1108" s="4" t="str">
        <f>VLOOKUP(J1108,Diagnosis_Guide!$A:$C,3,0)</f>
        <v>Maternal Health</v>
      </c>
      <c r="AD1108" s="4" t="str">
        <f>VLOOKUP(R1108,Insurance_Plans!$A:$C,3,0)</f>
        <v>Employer</v>
      </c>
      <c r="AE1108" s="13">
        <f t="shared" si="51"/>
        <v>3412.5</v>
      </c>
      <c r="AF1108" s="13">
        <f t="shared" si="52"/>
        <v>71662.5</v>
      </c>
      <c r="AG1108" s="4" t="str">
        <f t="shared" si="53"/>
        <v>High</v>
      </c>
    </row>
    <row r="1109" spans="1:33">
      <c r="A1109" t="s">
        <v>1839</v>
      </c>
      <c r="B1109" t="s">
        <v>926</v>
      </c>
      <c r="C1109" s="11">
        <v>46023</v>
      </c>
      <c r="D1109" t="s">
        <v>284</v>
      </c>
      <c r="E1109" t="s">
        <v>70</v>
      </c>
      <c r="F1109" s="4">
        <v>46023</v>
      </c>
      <c r="G1109" s="4">
        <v>46027</v>
      </c>
      <c r="H1109" t="s">
        <v>57</v>
      </c>
      <c r="I1109" t="s">
        <v>100</v>
      </c>
      <c r="J1109" t="s">
        <v>59</v>
      </c>
      <c r="K1109" t="s">
        <v>93</v>
      </c>
      <c r="L1109" t="s">
        <v>94</v>
      </c>
      <c r="M1109" s="5">
        <v>50300</v>
      </c>
      <c r="N1109" s="5">
        <v>4100</v>
      </c>
      <c r="O1109" s="5">
        <v>11350</v>
      </c>
      <c r="P1109" s="5">
        <v>24000</v>
      </c>
      <c r="Q1109" s="13">
        <v>91750</v>
      </c>
      <c r="R1109" t="s">
        <v>85</v>
      </c>
      <c r="S1109" t="s">
        <v>76</v>
      </c>
      <c r="T1109" s="5">
        <v>23840</v>
      </c>
      <c r="U1109" s="6">
        <v>3</v>
      </c>
      <c r="V1109" t="s">
        <v>64</v>
      </c>
      <c r="W1109" s="4"/>
      <c r="X1109" t="s">
        <v>65</v>
      </c>
      <c r="Y1109" t="s">
        <v>64</v>
      </c>
      <c r="Z1109" t="s">
        <v>78</v>
      </c>
      <c r="AA1109" t="str">
        <f>VLOOKUP(H1109,Departments!$A:$B,2,0)</f>
        <v>Pulmonology</v>
      </c>
      <c r="AB1109" t="str">
        <f>VLOOKUP(J1109,Diagnosis_Guide!$A:$B,2,0)</f>
        <v>Pneumonia</v>
      </c>
      <c r="AC1109" s="4" t="str">
        <f>VLOOKUP(J1109,Diagnosis_Guide!$A:$C,3,0)</f>
        <v>Respiratory</v>
      </c>
      <c r="AD1109" s="4" t="str">
        <f>VLOOKUP(R1109,Insurance_Plans!$A:$C,3,0)</f>
        <v>Employer</v>
      </c>
      <c r="AE1109" s="13">
        <f t="shared" si="51"/>
        <v>4587.5</v>
      </c>
      <c r="AF1109" s="13">
        <f t="shared" si="52"/>
        <v>96337.5</v>
      </c>
      <c r="AG1109" s="4" t="str">
        <f t="shared" si="53"/>
        <v>Medium</v>
      </c>
    </row>
    <row r="1110" spans="1:33">
      <c r="A1110" t="s">
        <v>1840</v>
      </c>
      <c r="B1110" t="s">
        <v>851</v>
      </c>
      <c r="C1110" s="11">
        <v>46172</v>
      </c>
      <c r="D1110" t="s">
        <v>439</v>
      </c>
      <c r="E1110" t="s">
        <v>70</v>
      </c>
      <c r="F1110" s="4">
        <v>46172</v>
      </c>
      <c r="G1110" s="4">
        <v>46172</v>
      </c>
      <c r="H1110" t="s">
        <v>82</v>
      </c>
      <c r="I1110" t="s">
        <v>194</v>
      </c>
      <c r="J1110" t="s">
        <v>291</v>
      </c>
      <c r="K1110" t="s">
        <v>60</v>
      </c>
      <c r="L1110" t="s">
        <v>61</v>
      </c>
      <c r="M1110" s="5">
        <v>32500</v>
      </c>
      <c r="N1110" s="5">
        <v>5200</v>
      </c>
      <c r="O1110" s="5">
        <v>6000</v>
      </c>
      <c r="P1110" s="5">
        <v>0</v>
      </c>
      <c r="Q1110" s="13">
        <v>45500</v>
      </c>
      <c r="R1110" t="s">
        <v>141</v>
      </c>
      <c r="S1110" t="s">
        <v>76</v>
      </c>
      <c r="T1110" s="5">
        <v>8030</v>
      </c>
      <c r="U1110" s="6">
        <v>5</v>
      </c>
      <c r="V1110" t="s">
        <v>77</v>
      </c>
      <c r="W1110" s="4">
        <v>46184</v>
      </c>
      <c r="X1110" t="s">
        <v>77</v>
      </c>
      <c r="Y1110" t="s">
        <v>64</v>
      </c>
      <c r="Z1110" t="s">
        <v>78</v>
      </c>
      <c r="AA1110" t="str">
        <f>VLOOKUP(H1110,Departments!$A:$B,2,0)</f>
        <v>Orthopedics</v>
      </c>
      <c r="AB1110" t="str">
        <f>VLOOKUP(J1110,Diagnosis_Guide!$A:$B,2,0)</f>
        <v>Fracture Repair</v>
      </c>
      <c r="AC1110" s="4" t="str">
        <f>VLOOKUP(J1110,Diagnosis_Guide!$A:$C,3,0)</f>
        <v>Musculoskeletal</v>
      </c>
      <c r="AD1110" s="4" t="str">
        <f>VLOOKUP(R1110,Insurance_Plans!$A:$C,3,0)</f>
        <v>Private</v>
      </c>
      <c r="AE1110" s="13">
        <f t="shared" si="51"/>
        <v>2275</v>
      </c>
      <c r="AF1110" s="13">
        <f t="shared" si="52"/>
        <v>47775</v>
      </c>
      <c r="AG1110" s="4" t="str">
        <f t="shared" si="53"/>
        <v>High</v>
      </c>
    </row>
    <row r="1111" spans="1:33">
      <c r="A1111" t="s">
        <v>1841</v>
      </c>
      <c r="B1111" t="s">
        <v>1842</v>
      </c>
      <c r="C1111" s="11">
        <v>46108</v>
      </c>
      <c r="D1111" t="s">
        <v>206</v>
      </c>
      <c r="E1111" t="s">
        <v>314</v>
      </c>
      <c r="F1111" s="4"/>
      <c r="G1111" s="4"/>
      <c r="H1111" t="s">
        <v>90</v>
      </c>
      <c r="I1111" t="s">
        <v>388</v>
      </c>
      <c r="J1111" t="s">
        <v>197</v>
      </c>
      <c r="K1111" t="s">
        <v>73</v>
      </c>
      <c r="L1111" t="s">
        <v>94</v>
      </c>
      <c r="M1111" s="5"/>
      <c r="N1111" s="5"/>
      <c r="O1111" s="5"/>
      <c r="P1111" s="5"/>
      <c r="R1111" t="s">
        <v>106</v>
      </c>
      <c r="S1111" t="s">
        <v>63</v>
      </c>
      <c r="T1111" s="5"/>
      <c r="U1111" s="6"/>
      <c r="V1111" t="s">
        <v>64</v>
      </c>
      <c r="W1111" s="4"/>
      <c r="X1111" t="s">
        <v>65</v>
      </c>
      <c r="Z1111" t="s">
        <v>66</v>
      </c>
      <c r="AA1111" t="str">
        <f>VLOOKUP(H1111,Departments!$A:$B,2,0)</f>
        <v>Cardiology</v>
      </c>
      <c r="AB1111" t="str">
        <f>VLOOKUP(J1111,Diagnosis_Guide!$A:$B,2,0)</f>
        <v>Chest Pain</v>
      </c>
      <c r="AC1111" s="4" t="str">
        <f>VLOOKUP(J1111,Diagnosis_Guide!$A:$C,3,0)</f>
        <v>Cardiovascular</v>
      </c>
      <c r="AD1111" s="4" t="str">
        <f>VLOOKUP(R1111,Insurance_Plans!$A:$C,3,0)</f>
        <v>Private</v>
      </c>
      <c r="AE1111" s="13" t="str">
        <f t="shared" si="51"/>
        <v/>
      </c>
      <c r="AF1111" s="13" t="str">
        <f t="shared" si="52"/>
        <v/>
      </c>
      <c r="AG1111" s="4" t="str">
        <f t="shared" si="53"/>
        <v>Not Available</v>
      </c>
    </row>
    <row r="1112" spans="1:33">
      <c r="A1112" t="s">
        <v>1843</v>
      </c>
      <c r="B1112" t="s">
        <v>1556</v>
      </c>
      <c r="C1112" s="11">
        <v>46131</v>
      </c>
      <c r="D1112" t="s">
        <v>337</v>
      </c>
      <c r="E1112" t="s">
        <v>70</v>
      </c>
      <c r="F1112" s="4">
        <v>46132</v>
      </c>
      <c r="G1112" s="4">
        <v>46135</v>
      </c>
      <c r="H1112" t="s">
        <v>90</v>
      </c>
      <c r="I1112" t="s">
        <v>133</v>
      </c>
      <c r="J1112" t="s">
        <v>197</v>
      </c>
      <c r="K1112" t="s">
        <v>73</v>
      </c>
      <c r="L1112" t="s">
        <v>74</v>
      </c>
      <c r="M1112" s="5">
        <v>20300</v>
      </c>
      <c r="N1112" s="5">
        <v>1700</v>
      </c>
      <c r="O1112" s="5">
        <v>4350</v>
      </c>
      <c r="P1112" s="5">
        <v>10500</v>
      </c>
      <c r="Q1112" s="13">
        <v>38850</v>
      </c>
      <c r="R1112" t="s">
        <v>85</v>
      </c>
      <c r="S1112" t="s">
        <v>76</v>
      </c>
      <c r="T1112" s="5">
        <v>10610</v>
      </c>
      <c r="U1112" s="6">
        <v>4</v>
      </c>
      <c r="V1112" t="s">
        <v>64</v>
      </c>
      <c r="W1112" s="4"/>
      <c r="X1112" t="s">
        <v>65</v>
      </c>
      <c r="Y1112" t="s">
        <v>64</v>
      </c>
      <c r="Z1112" t="s">
        <v>107</v>
      </c>
      <c r="AA1112" t="str">
        <f>VLOOKUP(H1112,Departments!$A:$B,2,0)</f>
        <v>Cardiology</v>
      </c>
      <c r="AB1112" t="str">
        <f>VLOOKUP(J1112,Diagnosis_Guide!$A:$B,2,0)</f>
        <v>Chest Pain</v>
      </c>
      <c r="AC1112" s="4" t="str">
        <f>VLOOKUP(J1112,Diagnosis_Guide!$A:$C,3,0)</f>
        <v>Cardiovascular</v>
      </c>
      <c r="AD1112" s="4" t="str">
        <f>VLOOKUP(R1112,Insurance_Plans!$A:$C,3,0)</f>
        <v>Employer</v>
      </c>
      <c r="AE1112" s="13">
        <f t="shared" si="51"/>
        <v>1942.5</v>
      </c>
      <c r="AF1112" s="13">
        <f t="shared" si="52"/>
        <v>40792.5</v>
      </c>
      <c r="AG1112" s="4" t="str">
        <f t="shared" si="53"/>
        <v>High</v>
      </c>
    </row>
    <row r="1113" spans="1:33">
      <c r="A1113" t="s">
        <v>1844</v>
      </c>
      <c r="B1113" t="s">
        <v>1158</v>
      </c>
      <c r="C1113" s="11">
        <v>46093</v>
      </c>
      <c r="D1113" t="s">
        <v>55</v>
      </c>
      <c r="E1113" t="s">
        <v>70</v>
      </c>
      <c r="F1113" s="4">
        <v>46094</v>
      </c>
      <c r="G1113" s="4">
        <v>46094</v>
      </c>
      <c r="H1113" t="s">
        <v>201</v>
      </c>
      <c r="I1113" t="s">
        <v>202</v>
      </c>
      <c r="J1113" t="s">
        <v>281</v>
      </c>
      <c r="K1113" t="s">
        <v>124</v>
      </c>
      <c r="L1113" t="s">
        <v>74</v>
      </c>
      <c r="M1113" s="5">
        <v>7700</v>
      </c>
      <c r="N1113" s="5">
        <v>900</v>
      </c>
      <c r="O1113" s="5">
        <v>1200</v>
      </c>
      <c r="P1113" s="5">
        <v>0</v>
      </c>
      <c r="Q1113" s="13">
        <v>12300</v>
      </c>
      <c r="R1113" t="s">
        <v>95</v>
      </c>
      <c r="S1113" t="s">
        <v>63</v>
      </c>
      <c r="T1113" s="5">
        <v>12300</v>
      </c>
      <c r="U1113" s="6">
        <v>5</v>
      </c>
      <c r="V1113" t="s">
        <v>77</v>
      </c>
      <c r="W1113" s="4">
        <v>46106</v>
      </c>
      <c r="X1113" t="s">
        <v>77</v>
      </c>
      <c r="Y1113" t="s">
        <v>64</v>
      </c>
      <c r="Z1113" t="s">
        <v>96</v>
      </c>
      <c r="AA1113" t="str">
        <f>VLOOKUP(H1113,Departments!$A:$B,2,0)</f>
        <v>Emergency</v>
      </c>
      <c r="AB1113" t="str">
        <f>VLOOKUP(J1113,Diagnosis_Guide!$A:$B,2,0)</f>
        <v>Food Poisoning</v>
      </c>
      <c r="AC1113" s="4" t="str">
        <f>VLOOKUP(J1113,Diagnosis_Guide!$A:$C,3,0)</f>
        <v>Emergency</v>
      </c>
      <c r="AD1113" s="4" t="str">
        <f>VLOOKUP(R1113,Insurance_Plans!$A:$C,3,0)</f>
        <v>Self-Pay</v>
      </c>
      <c r="AE1113" s="13">
        <f t="shared" si="51"/>
        <v>615</v>
      </c>
      <c r="AF1113" s="13">
        <f t="shared" si="52"/>
        <v>12915</v>
      </c>
      <c r="AG1113" s="4" t="str">
        <f t="shared" si="53"/>
        <v>High</v>
      </c>
    </row>
    <row r="1114" spans="1:33">
      <c r="A1114" t="s">
        <v>1845</v>
      </c>
      <c r="B1114" t="s">
        <v>1491</v>
      </c>
      <c r="C1114" s="11">
        <v>46084</v>
      </c>
      <c r="D1114" t="s">
        <v>55</v>
      </c>
      <c r="E1114" t="s">
        <v>56</v>
      </c>
      <c r="F1114" s="4"/>
      <c r="G1114" s="4"/>
      <c r="H1114" t="s">
        <v>121</v>
      </c>
      <c r="I1114" t="s">
        <v>122</v>
      </c>
      <c r="J1114" t="s">
        <v>256</v>
      </c>
      <c r="K1114" t="s">
        <v>73</v>
      </c>
      <c r="L1114" t="s">
        <v>94</v>
      </c>
      <c r="M1114" s="5"/>
      <c r="N1114" s="5"/>
      <c r="O1114" s="5"/>
      <c r="P1114" s="5"/>
      <c r="R1114" t="s">
        <v>106</v>
      </c>
      <c r="S1114" t="s">
        <v>63</v>
      </c>
      <c r="T1114" s="5"/>
      <c r="U1114" s="6"/>
      <c r="V1114" t="s">
        <v>64</v>
      </c>
      <c r="W1114" s="4"/>
      <c r="X1114" t="s">
        <v>65</v>
      </c>
      <c r="Z1114" t="s">
        <v>66</v>
      </c>
      <c r="AA1114" t="str">
        <f>VLOOKUP(H1114,Departments!$A:$B,2,0)</f>
        <v>Neurology</v>
      </c>
      <c r="AB1114" t="str">
        <f>VLOOKUP(J1114,Diagnosis_Guide!$A:$B,2,0)</f>
        <v>Migraine Complication</v>
      </c>
      <c r="AC1114" s="4" t="str">
        <f>VLOOKUP(J1114,Diagnosis_Guide!$A:$C,3,0)</f>
        <v>Neurological</v>
      </c>
      <c r="AD1114" s="4" t="str">
        <f>VLOOKUP(R1114,Insurance_Plans!$A:$C,3,0)</f>
        <v>Private</v>
      </c>
      <c r="AE1114" s="13" t="str">
        <f t="shared" si="51"/>
        <v/>
      </c>
      <c r="AF1114" s="13" t="str">
        <f t="shared" si="52"/>
        <v/>
      </c>
      <c r="AG1114" s="4" t="str">
        <f t="shared" si="53"/>
        <v>Not Available</v>
      </c>
    </row>
    <row r="1115" spans="1:33">
      <c r="A1115" t="s">
        <v>1846</v>
      </c>
      <c r="B1115" t="s">
        <v>1219</v>
      </c>
      <c r="C1115" s="11">
        <v>46084</v>
      </c>
      <c r="D1115" t="s">
        <v>266</v>
      </c>
      <c r="E1115" t="s">
        <v>70</v>
      </c>
      <c r="F1115" s="4">
        <v>46084</v>
      </c>
      <c r="G1115" s="4">
        <v>46087</v>
      </c>
      <c r="H1115" t="s">
        <v>90</v>
      </c>
      <c r="J1115" t="s">
        <v>92</v>
      </c>
      <c r="K1115" t="s">
        <v>73</v>
      </c>
      <c r="L1115" t="s">
        <v>94</v>
      </c>
      <c r="M1115" s="5">
        <v>56700</v>
      </c>
      <c r="N1115" s="5">
        <v>8000</v>
      </c>
      <c r="O1115" s="5">
        <v>8350</v>
      </c>
      <c r="P1115" s="5">
        <v>9000</v>
      </c>
      <c r="Q1115" s="13">
        <v>83250</v>
      </c>
      <c r="R1115" t="s">
        <v>85</v>
      </c>
      <c r="S1115" t="s">
        <v>76</v>
      </c>
      <c r="T1115" s="5">
        <v>21710</v>
      </c>
      <c r="U1115" s="6">
        <v>2</v>
      </c>
      <c r="V1115" t="s">
        <v>77</v>
      </c>
      <c r="W1115" s="4">
        <v>46106</v>
      </c>
      <c r="X1115" t="s">
        <v>64</v>
      </c>
      <c r="Y1115" t="s">
        <v>64</v>
      </c>
      <c r="Z1115" t="s">
        <v>78</v>
      </c>
      <c r="AA1115" t="str">
        <f>VLOOKUP(H1115,Departments!$A:$B,2,0)</f>
        <v>Cardiology</v>
      </c>
      <c r="AB1115" t="str">
        <f>VLOOKUP(J1115,Diagnosis_Guide!$A:$B,2,0)</f>
        <v>Heart Failure</v>
      </c>
      <c r="AC1115" s="4" t="str">
        <f>VLOOKUP(J1115,Diagnosis_Guide!$A:$C,3,0)</f>
        <v>Cardiovascular</v>
      </c>
      <c r="AD1115" s="4" t="str">
        <f>VLOOKUP(R1115,Insurance_Plans!$A:$C,3,0)</f>
        <v>Employer</v>
      </c>
      <c r="AE1115" s="13">
        <f t="shared" si="51"/>
        <v>4162.5</v>
      </c>
      <c r="AF1115" s="13">
        <f t="shared" si="52"/>
        <v>87412.5</v>
      </c>
      <c r="AG1115" s="4" t="str">
        <f t="shared" si="53"/>
        <v>Low</v>
      </c>
    </row>
    <row r="1116" spans="1:33">
      <c r="A1116" t="s">
        <v>1847</v>
      </c>
      <c r="B1116" t="s">
        <v>661</v>
      </c>
      <c r="C1116" s="11">
        <v>46171</v>
      </c>
      <c r="D1116" t="s">
        <v>127</v>
      </c>
      <c r="E1116" t="s">
        <v>70</v>
      </c>
      <c r="F1116" s="4">
        <v>46172</v>
      </c>
      <c r="G1116" s="4">
        <v>46172</v>
      </c>
      <c r="H1116" t="s">
        <v>138</v>
      </c>
      <c r="I1116" t="s">
        <v>235</v>
      </c>
      <c r="J1116" t="s">
        <v>261</v>
      </c>
      <c r="K1116" t="s">
        <v>60</v>
      </c>
      <c r="L1116" t="s">
        <v>74</v>
      </c>
      <c r="M1116" s="5">
        <v>6700</v>
      </c>
      <c r="N1116" s="5">
        <v>1100</v>
      </c>
      <c r="O1116" s="5">
        <v>700</v>
      </c>
      <c r="P1116" s="5">
        <v>0</v>
      </c>
      <c r="Q1116" s="13">
        <v>9500</v>
      </c>
      <c r="R1116" t="s">
        <v>75</v>
      </c>
      <c r="S1116" t="s">
        <v>76</v>
      </c>
      <c r="T1116" s="5">
        <v>4580</v>
      </c>
      <c r="U1116" s="6">
        <v>4</v>
      </c>
      <c r="V1116" t="s">
        <v>64</v>
      </c>
      <c r="W1116" s="4"/>
      <c r="X1116" t="s">
        <v>65</v>
      </c>
      <c r="Y1116" t="s">
        <v>64</v>
      </c>
      <c r="Z1116" t="s">
        <v>78</v>
      </c>
      <c r="AA1116" t="str">
        <f>VLOOKUP(H1116,Departments!$A:$B,2,0)</f>
        <v>Pediatrics</v>
      </c>
      <c r="AB1116" t="str">
        <f>VLOOKUP(J1116,Diagnosis_Guide!$A:$B,2,0)</f>
        <v>Child Fever</v>
      </c>
      <c r="AC1116" s="4" t="str">
        <f>VLOOKUP(J1116,Diagnosis_Guide!$A:$C,3,0)</f>
        <v>Pediatric</v>
      </c>
      <c r="AD1116" s="4" t="str">
        <f>VLOOKUP(R1116,Insurance_Plans!$A:$C,3,0)</f>
        <v>Public</v>
      </c>
      <c r="AE1116" s="13">
        <f t="shared" si="51"/>
        <v>475</v>
      </c>
      <c r="AF1116" s="13">
        <f t="shared" si="52"/>
        <v>9975</v>
      </c>
      <c r="AG1116" s="4" t="str">
        <f t="shared" si="53"/>
        <v>High</v>
      </c>
    </row>
    <row r="1117" spans="1:33">
      <c r="A1117" t="s">
        <v>1848</v>
      </c>
      <c r="B1117" t="s">
        <v>453</v>
      </c>
      <c r="C1117" s="11">
        <v>46049</v>
      </c>
      <c r="D1117" t="s">
        <v>99</v>
      </c>
      <c r="E1117" t="s">
        <v>70</v>
      </c>
      <c r="F1117" s="4">
        <v>46050</v>
      </c>
      <c r="G1117" s="4">
        <v>46057</v>
      </c>
      <c r="H1117" t="s">
        <v>201</v>
      </c>
      <c r="I1117" t="s">
        <v>327</v>
      </c>
      <c r="J1117" t="s">
        <v>203</v>
      </c>
      <c r="K1117" t="s">
        <v>73</v>
      </c>
      <c r="L1117" t="s">
        <v>74</v>
      </c>
      <c r="M1117" s="5">
        <v>43800</v>
      </c>
      <c r="N1117" s="5">
        <v>5550</v>
      </c>
      <c r="O1117" s="5">
        <v>8650</v>
      </c>
      <c r="P1117" s="5">
        <v>24500</v>
      </c>
      <c r="Q1117" s="13">
        <v>83500</v>
      </c>
      <c r="R1117" t="s">
        <v>95</v>
      </c>
      <c r="S1117" t="s">
        <v>63</v>
      </c>
      <c r="T1117" s="5">
        <v>83500</v>
      </c>
      <c r="U1117" s="6">
        <v>3</v>
      </c>
      <c r="V1117" t="s">
        <v>64</v>
      </c>
      <c r="W1117" s="4"/>
      <c r="X1117" t="s">
        <v>65</v>
      </c>
      <c r="Y1117" t="s">
        <v>64</v>
      </c>
      <c r="Z1117" t="s">
        <v>96</v>
      </c>
      <c r="AA1117" t="str">
        <f>VLOOKUP(H1117,Departments!$A:$B,2,0)</f>
        <v>Emergency</v>
      </c>
      <c r="AB1117" t="str">
        <f>VLOOKUP(J1117,Diagnosis_Guide!$A:$B,2,0)</f>
        <v>Trauma Observation</v>
      </c>
      <c r="AC1117" s="4" t="str">
        <f>VLOOKUP(J1117,Diagnosis_Guide!$A:$C,3,0)</f>
        <v>Emergency</v>
      </c>
      <c r="AD1117" s="4" t="str">
        <f>VLOOKUP(R1117,Insurance_Plans!$A:$C,3,0)</f>
        <v>Self-Pay</v>
      </c>
      <c r="AE1117" s="13">
        <f t="shared" si="51"/>
        <v>4175</v>
      </c>
      <c r="AF1117" s="13">
        <f t="shared" si="52"/>
        <v>87675</v>
      </c>
      <c r="AG1117" s="4" t="str">
        <f t="shared" si="53"/>
        <v>Medium</v>
      </c>
    </row>
    <row r="1118" spans="1:33">
      <c r="A1118" t="s">
        <v>1849</v>
      </c>
      <c r="B1118" t="s">
        <v>401</v>
      </c>
      <c r="C1118" s="11">
        <v>46144</v>
      </c>
      <c r="D1118" t="s">
        <v>206</v>
      </c>
      <c r="E1118" t="s">
        <v>70</v>
      </c>
      <c r="F1118" s="4">
        <v>46144</v>
      </c>
      <c r="G1118" s="4">
        <v>46145</v>
      </c>
      <c r="H1118" t="s">
        <v>150</v>
      </c>
      <c r="I1118" t="s">
        <v>239</v>
      </c>
      <c r="J1118" t="s">
        <v>229</v>
      </c>
      <c r="K1118" t="s">
        <v>60</v>
      </c>
      <c r="L1118" t="s">
        <v>61</v>
      </c>
      <c r="M1118" s="5">
        <v>32500</v>
      </c>
      <c r="N1118" s="5">
        <v>4650</v>
      </c>
      <c r="O1118" s="5">
        <v>5400</v>
      </c>
      <c r="P1118" s="5">
        <v>4500</v>
      </c>
      <c r="Q1118" s="13">
        <v>48850</v>
      </c>
      <c r="R1118" t="s">
        <v>95</v>
      </c>
      <c r="S1118" t="s">
        <v>63</v>
      </c>
      <c r="T1118" s="5">
        <v>48850</v>
      </c>
      <c r="U1118" s="6">
        <v>5</v>
      </c>
      <c r="V1118" t="s">
        <v>77</v>
      </c>
      <c r="W1118" s="4">
        <v>46165</v>
      </c>
      <c r="X1118" t="s">
        <v>77</v>
      </c>
      <c r="Y1118" t="s">
        <v>64</v>
      </c>
      <c r="Z1118" t="s">
        <v>96</v>
      </c>
      <c r="AA1118" t="str">
        <f>VLOOKUP(H1118,Departments!$A:$B,2,0)</f>
        <v>Obstetrics</v>
      </c>
      <c r="AB1118" t="str">
        <f>VLOOKUP(J1118,Diagnosis_Guide!$A:$B,2,0)</f>
        <v>Delivery Care</v>
      </c>
      <c r="AC1118" s="4" t="str">
        <f>VLOOKUP(J1118,Diagnosis_Guide!$A:$C,3,0)</f>
        <v>Maternal Health</v>
      </c>
      <c r="AD1118" s="4" t="str">
        <f>VLOOKUP(R1118,Insurance_Plans!$A:$C,3,0)</f>
        <v>Self-Pay</v>
      </c>
      <c r="AE1118" s="13">
        <f t="shared" si="51"/>
        <v>2442.5</v>
      </c>
      <c r="AF1118" s="13">
        <f t="shared" si="52"/>
        <v>51292.5</v>
      </c>
      <c r="AG1118" s="4" t="str">
        <f t="shared" si="53"/>
        <v>High</v>
      </c>
    </row>
    <row r="1119" spans="1:33">
      <c r="A1119" t="s">
        <v>1850</v>
      </c>
      <c r="B1119" t="s">
        <v>721</v>
      </c>
      <c r="C1119" s="11">
        <v>46028</v>
      </c>
      <c r="D1119" t="s">
        <v>439</v>
      </c>
      <c r="E1119" t="s">
        <v>70</v>
      </c>
      <c r="F1119" s="4">
        <v>46028</v>
      </c>
      <c r="G1119" s="4">
        <v>46034</v>
      </c>
      <c r="H1119" t="s">
        <v>178</v>
      </c>
      <c r="I1119" t="s">
        <v>462</v>
      </c>
      <c r="J1119" t="s">
        <v>180</v>
      </c>
      <c r="K1119" t="s">
        <v>93</v>
      </c>
      <c r="L1119" t="s">
        <v>94</v>
      </c>
      <c r="M1119" s="5">
        <v>75900</v>
      </c>
      <c r="N1119" s="5">
        <v>7650</v>
      </c>
      <c r="O1119" s="5">
        <v>11500</v>
      </c>
      <c r="P1119" s="5">
        <v>21000</v>
      </c>
      <c r="Q1119" s="13">
        <v>118550</v>
      </c>
      <c r="R1119" t="s">
        <v>85</v>
      </c>
      <c r="S1119" t="s">
        <v>76</v>
      </c>
      <c r="T1119" s="5">
        <v>30540</v>
      </c>
      <c r="U1119" s="6">
        <v>3</v>
      </c>
      <c r="V1119" t="s">
        <v>77</v>
      </c>
      <c r="W1119" s="4">
        <v>46047</v>
      </c>
      <c r="X1119" t="s">
        <v>77</v>
      </c>
      <c r="Y1119" t="s">
        <v>64</v>
      </c>
      <c r="Z1119" t="s">
        <v>107</v>
      </c>
      <c r="AA1119" t="str">
        <f>VLOOKUP(H1119,Departments!$A:$B,2,0)</f>
        <v>Surgery</v>
      </c>
      <c r="AB1119" t="str">
        <f>VLOOKUP(J1119,Diagnosis_Guide!$A:$B,2,0)</f>
        <v>Appendicitis Surgery</v>
      </c>
      <c r="AC1119" s="4" t="str">
        <f>VLOOKUP(J1119,Diagnosis_Guide!$A:$C,3,0)</f>
        <v>Surgical</v>
      </c>
      <c r="AD1119" s="4" t="str">
        <f>VLOOKUP(R1119,Insurance_Plans!$A:$C,3,0)</f>
        <v>Employer</v>
      </c>
      <c r="AE1119" s="13">
        <f t="shared" si="51"/>
        <v>5927.5</v>
      </c>
      <c r="AF1119" s="13">
        <f t="shared" si="52"/>
        <v>124477.5</v>
      </c>
      <c r="AG1119" s="4" t="str">
        <f t="shared" si="53"/>
        <v>Medium</v>
      </c>
    </row>
    <row r="1120" spans="1:33">
      <c r="A1120" t="s">
        <v>1851</v>
      </c>
      <c r="B1120" t="s">
        <v>1852</v>
      </c>
      <c r="C1120" s="11">
        <v>46161</v>
      </c>
      <c r="D1120" t="s">
        <v>330</v>
      </c>
      <c r="E1120" t="s">
        <v>70</v>
      </c>
      <c r="F1120" s="4">
        <v>46161</v>
      </c>
      <c r="G1120" s="4">
        <v>46161</v>
      </c>
      <c r="H1120" t="s">
        <v>121</v>
      </c>
      <c r="I1120" t="s">
        <v>122</v>
      </c>
      <c r="J1120" t="s">
        <v>252</v>
      </c>
      <c r="K1120" t="s">
        <v>60</v>
      </c>
      <c r="L1120" t="s">
        <v>94</v>
      </c>
      <c r="M1120" s="5">
        <v>65800</v>
      </c>
      <c r="N1120" s="5">
        <v>9500</v>
      </c>
      <c r="O1120" s="5">
        <v>11700</v>
      </c>
      <c r="P1120" s="5">
        <v>0</v>
      </c>
      <c r="Q1120" s="13">
        <v>88000</v>
      </c>
      <c r="R1120" t="s">
        <v>106</v>
      </c>
      <c r="S1120" t="s">
        <v>76</v>
      </c>
      <c r="T1120" s="5">
        <v>31500</v>
      </c>
      <c r="U1120" s="6">
        <v>4</v>
      </c>
      <c r="V1120" t="s">
        <v>77</v>
      </c>
      <c r="W1120" s="4">
        <v>46171</v>
      </c>
      <c r="X1120" t="s">
        <v>64</v>
      </c>
      <c r="Y1120" t="s">
        <v>64</v>
      </c>
      <c r="Z1120" t="s">
        <v>78</v>
      </c>
      <c r="AA1120" t="str">
        <f>VLOOKUP(H1120,Departments!$A:$B,2,0)</f>
        <v>Neurology</v>
      </c>
      <c r="AB1120" t="str">
        <f>VLOOKUP(J1120,Diagnosis_Guide!$A:$B,2,0)</f>
        <v>Stroke Assessment</v>
      </c>
      <c r="AC1120" s="4" t="str">
        <f>VLOOKUP(J1120,Diagnosis_Guide!$A:$C,3,0)</f>
        <v>Neurological</v>
      </c>
      <c r="AD1120" s="4" t="str">
        <f>VLOOKUP(R1120,Insurance_Plans!$A:$C,3,0)</f>
        <v>Private</v>
      </c>
      <c r="AE1120" s="13">
        <f t="shared" si="51"/>
        <v>4400</v>
      </c>
      <c r="AF1120" s="13">
        <f t="shared" si="52"/>
        <v>92400</v>
      </c>
      <c r="AG1120" s="4" t="str">
        <f t="shared" si="53"/>
        <v>High</v>
      </c>
    </row>
    <row r="1121" spans="1:33">
      <c r="A1121" t="s">
        <v>1853</v>
      </c>
      <c r="B1121" t="s">
        <v>1592</v>
      </c>
      <c r="C1121" s="11">
        <v>46034</v>
      </c>
      <c r="D1121" t="s">
        <v>250</v>
      </c>
      <c r="E1121" t="s">
        <v>70</v>
      </c>
      <c r="F1121" s="4">
        <v>46034</v>
      </c>
      <c r="G1121" s="4">
        <v>46034</v>
      </c>
      <c r="H1121" t="s">
        <v>138</v>
      </c>
      <c r="I1121" t="s">
        <v>343</v>
      </c>
      <c r="J1121" t="s">
        <v>140</v>
      </c>
      <c r="K1121" t="s">
        <v>60</v>
      </c>
      <c r="L1121" t="s">
        <v>74</v>
      </c>
      <c r="M1121" s="5">
        <v>18500</v>
      </c>
      <c r="N1121" s="5">
        <v>2450</v>
      </c>
      <c r="O1121" s="5">
        <v>3950</v>
      </c>
      <c r="P1121" s="5">
        <v>0</v>
      </c>
      <c r="Q1121" s="13">
        <v>26700</v>
      </c>
      <c r="R1121" t="s">
        <v>95</v>
      </c>
      <c r="S1121" t="s">
        <v>63</v>
      </c>
      <c r="T1121" s="5">
        <v>26700</v>
      </c>
      <c r="U1121" s="6">
        <v>4</v>
      </c>
      <c r="V1121" t="s">
        <v>77</v>
      </c>
      <c r="W1121" s="4">
        <v>46049</v>
      </c>
      <c r="X1121" t="s">
        <v>64</v>
      </c>
      <c r="Y1121" t="s">
        <v>64</v>
      </c>
      <c r="Z1121" t="s">
        <v>96</v>
      </c>
      <c r="AA1121" t="str">
        <f>VLOOKUP(H1121,Departments!$A:$B,2,0)</f>
        <v>Pediatrics</v>
      </c>
      <c r="AB1121" t="str">
        <f>VLOOKUP(J1121,Diagnosis_Guide!$A:$B,2,0)</f>
        <v>Pediatric Asthma</v>
      </c>
      <c r="AC1121" s="4" t="str">
        <f>VLOOKUP(J1121,Diagnosis_Guide!$A:$C,3,0)</f>
        <v>Pediatric</v>
      </c>
      <c r="AD1121" s="4" t="str">
        <f>VLOOKUP(R1121,Insurance_Plans!$A:$C,3,0)</f>
        <v>Self-Pay</v>
      </c>
      <c r="AE1121" s="13">
        <f t="shared" si="51"/>
        <v>1335</v>
      </c>
      <c r="AF1121" s="13">
        <f t="shared" si="52"/>
        <v>28035</v>
      </c>
      <c r="AG1121" s="4" t="str">
        <f t="shared" si="53"/>
        <v>High</v>
      </c>
    </row>
    <row r="1122" spans="1:33">
      <c r="A1122" t="s">
        <v>1854</v>
      </c>
      <c r="B1122" t="s">
        <v>805</v>
      </c>
      <c r="C1122" s="11">
        <v>46095</v>
      </c>
      <c r="D1122" t="s">
        <v>120</v>
      </c>
      <c r="E1122" t="s">
        <v>56</v>
      </c>
      <c r="F1122" s="4"/>
      <c r="G1122" s="4"/>
      <c r="H1122" t="s">
        <v>201</v>
      </c>
      <c r="I1122" t="s">
        <v>327</v>
      </c>
      <c r="J1122" t="s">
        <v>295</v>
      </c>
      <c r="K1122" t="s">
        <v>124</v>
      </c>
      <c r="L1122" t="s">
        <v>94</v>
      </c>
      <c r="M1122" s="5"/>
      <c r="N1122" s="5"/>
      <c r="O1122" s="5"/>
      <c r="P1122" s="5"/>
      <c r="R1122" t="s">
        <v>106</v>
      </c>
      <c r="S1122" t="s">
        <v>63</v>
      </c>
      <c r="T1122" s="5"/>
      <c r="U1122" s="6"/>
      <c r="V1122" t="s">
        <v>64</v>
      </c>
      <c r="W1122" s="4"/>
      <c r="X1122" t="s">
        <v>65</v>
      </c>
      <c r="Z1122" t="s">
        <v>66</v>
      </c>
      <c r="AA1122" t="str">
        <f>VLOOKUP(H1122,Departments!$A:$B,2,0)</f>
        <v>Emergency</v>
      </c>
      <c r="AB1122" t="str">
        <f>VLOOKUP(J1122,Diagnosis_Guide!$A:$B,2,0)</f>
        <v>Accident Injury</v>
      </c>
      <c r="AC1122" s="4" t="str">
        <f>VLOOKUP(J1122,Diagnosis_Guide!$A:$C,3,0)</f>
        <v>Emergency</v>
      </c>
      <c r="AD1122" s="4" t="str">
        <f>VLOOKUP(R1122,Insurance_Plans!$A:$C,3,0)</f>
        <v>Private</v>
      </c>
      <c r="AE1122" s="13" t="str">
        <f t="shared" si="51"/>
        <v/>
      </c>
      <c r="AF1122" s="13" t="str">
        <f t="shared" si="52"/>
        <v/>
      </c>
      <c r="AG1122" s="4" t="str">
        <f t="shared" si="53"/>
        <v>Not Available</v>
      </c>
    </row>
    <row r="1123" spans="1:33">
      <c r="A1123" t="s">
        <v>1855</v>
      </c>
      <c r="B1123" t="s">
        <v>274</v>
      </c>
      <c r="C1123" s="11">
        <v>46152</v>
      </c>
      <c r="D1123" t="s">
        <v>363</v>
      </c>
      <c r="E1123" t="s">
        <v>314</v>
      </c>
      <c r="F1123" s="4"/>
      <c r="G1123" s="4"/>
      <c r="H1123" t="s">
        <v>150</v>
      </c>
      <c r="I1123" t="s">
        <v>239</v>
      </c>
      <c r="J1123" t="s">
        <v>188</v>
      </c>
      <c r="K1123" t="s">
        <v>124</v>
      </c>
      <c r="L1123" t="s">
        <v>61</v>
      </c>
      <c r="M1123" s="5"/>
      <c r="N1123" s="5"/>
      <c r="O1123" s="5"/>
      <c r="P1123" s="5"/>
      <c r="R1123" t="s">
        <v>85</v>
      </c>
      <c r="S1123" t="s">
        <v>63</v>
      </c>
      <c r="T1123" s="5"/>
      <c r="U1123" s="6"/>
      <c r="V1123" t="s">
        <v>64</v>
      </c>
      <c r="W1123" s="4"/>
      <c r="X1123" t="s">
        <v>65</v>
      </c>
      <c r="Z1123" t="s">
        <v>66</v>
      </c>
      <c r="AA1123" t="str">
        <f>VLOOKUP(H1123,Departments!$A:$B,2,0)</f>
        <v>Obstetrics</v>
      </c>
      <c r="AB1123" t="str">
        <f>VLOOKUP(J1123,Diagnosis_Guide!$A:$B,2,0)</f>
        <v>Emergency C-Section</v>
      </c>
      <c r="AC1123" s="4" t="str">
        <f>VLOOKUP(J1123,Diagnosis_Guide!$A:$C,3,0)</f>
        <v>Maternal Health</v>
      </c>
      <c r="AD1123" s="4" t="str">
        <f>VLOOKUP(R1123,Insurance_Plans!$A:$C,3,0)</f>
        <v>Employer</v>
      </c>
      <c r="AE1123" s="13" t="str">
        <f t="shared" si="51"/>
        <v/>
      </c>
      <c r="AF1123" s="13" t="str">
        <f t="shared" si="52"/>
        <v/>
      </c>
      <c r="AG1123" s="4" t="str">
        <f t="shared" si="53"/>
        <v>Not Available</v>
      </c>
    </row>
    <row r="1124" spans="1:33">
      <c r="A1124" t="s">
        <v>1856</v>
      </c>
      <c r="B1124" t="s">
        <v>1320</v>
      </c>
      <c r="C1124" s="11">
        <v>46151</v>
      </c>
      <c r="D1124" t="s">
        <v>200</v>
      </c>
      <c r="E1124" t="s">
        <v>177</v>
      </c>
      <c r="F1124" s="4"/>
      <c r="G1124" s="4"/>
      <c r="H1124" t="s">
        <v>138</v>
      </c>
      <c r="I1124" t="s">
        <v>444</v>
      </c>
      <c r="J1124" t="s">
        <v>140</v>
      </c>
      <c r="K1124" t="s">
        <v>124</v>
      </c>
      <c r="L1124" t="s">
        <v>94</v>
      </c>
      <c r="M1124" s="5"/>
      <c r="N1124" s="5"/>
      <c r="O1124" s="5"/>
      <c r="P1124" s="5"/>
      <c r="R1124" t="s">
        <v>62</v>
      </c>
      <c r="S1124" t="s">
        <v>63</v>
      </c>
      <c r="T1124" s="5"/>
      <c r="U1124" s="6"/>
      <c r="V1124" t="s">
        <v>64</v>
      </c>
      <c r="W1124" s="4"/>
      <c r="X1124" t="s">
        <v>65</v>
      </c>
      <c r="Z1124" t="s">
        <v>66</v>
      </c>
      <c r="AA1124" t="str">
        <f>VLOOKUP(H1124,Departments!$A:$B,2,0)</f>
        <v>Pediatrics</v>
      </c>
      <c r="AB1124" t="str">
        <f>VLOOKUP(J1124,Diagnosis_Guide!$A:$B,2,0)</f>
        <v>Pediatric Asthma</v>
      </c>
      <c r="AC1124" s="4" t="str">
        <f>VLOOKUP(J1124,Diagnosis_Guide!$A:$C,3,0)</f>
        <v>Pediatric</v>
      </c>
      <c r="AD1124" s="4" t="str">
        <f>VLOOKUP(R1124,Insurance_Plans!$A:$C,3,0)</f>
        <v>Public</v>
      </c>
      <c r="AE1124" s="13" t="str">
        <f t="shared" si="51"/>
        <v/>
      </c>
      <c r="AF1124" s="13" t="str">
        <f t="shared" si="52"/>
        <v/>
      </c>
      <c r="AG1124" s="4" t="str">
        <f t="shared" si="53"/>
        <v>Not Available</v>
      </c>
    </row>
    <row r="1125" spans="1:33">
      <c r="A1125" t="s">
        <v>1857</v>
      </c>
      <c r="B1125" t="s">
        <v>1200</v>
      </c>
      <c r="C1125" s="11">
        <v>46078</v>
      </c>
      <c r="D1125" t="s">
        <v>99</v>
      </c>
      <c r="E1125" t="s">
        <v>177</v>
      </c>
      <c r="F1125" s="4"/>
      <c r="G1125" s="4"/>
      <c r="H1125" t="s">
        <v>201</v>
      </c>
      <c r="I1125" t="s">
        <v>515</v>
      </c>
      <c r="J1125" t="s">
        <v>203</v>
      </c>
      <c r="K1125" t="s">
        <v>124</v>
      </c>
      <c r="L1125" t="s">
        <v>94</v>
      </c>
      <c r="M1125" s="5"/>
      <c r="N1125" s="5"/>
      <c r="O1125" s="5"/>
      <c r="P1125" s="5"/>
      <c r="R1125" t="s">
        <v>141</v>
      </c>
      <c r="S1125" t="s">
        <v>63</v>
      </c>
      <c r="T1125" s="5"/>
      <c r="U1125" s="6"/>
      <c r="V1125" t="s">
        <v>64</v>
      </c>
      <c r="W1125" s="4"/>
      <c r="X1125" t="s">
        <v>65</v>
      </c>
      <c r="Z1125" t="s">
        <v>66</v>
      </c>
      <c r="AA1125" t="str">
        <f>VLOOKUP(H1125,Departments!$A:$B,2,0)</f>
        <v>Emergency</v>
      </c>
      <c r="AB1125" t="str">
        <f>VLOOKUP(J1125,Diagnosis_Guide!$A:$B,2,0)</f>
        <v>Trauma Observation</v>
      </c>
      <c r="AC1125" s="4" t="str">
        <f>VLOOKUP(J1125,Diagnosis_Guide!$A:$C,3,0)</f>
        <v>Emergency</v>
      </c>
      <c r="AD1125" s="4" t="str">
        <f>VLOOKUP(R1125,Insurance_Plans!$A:$C,3,0)</f>
        <v>Private</v>
      </c>
      <c r="AE1125" s="13" t="str">
        <f t="shared" si="51"/>
        <v/>
      </c>
      <c r="AF1125" s="13" t="str">
        <f t="shared" si="52"/>
        <v/>
      </c>
      <c r="AG1125" s="4" t="str">
        <f t="shared" si="53"/>
        <v>Not Available</v>
      </c>
    </row>
    <row r="1126" spans="1:33">
      <c r="A1126" t="s">
        <v>1858</v>
      </c>
      <c r="B1126" t="s">
        <v>872</v>
      </c>
      <c r="C1126" s="11">
        <v>46110</v>
      </c>
      <c r="D1126" t="s">
        <v>110</v>
      </c>
      <c r="E1126" t="s">
        <v>70</v>
      </c>
      <c r="F1126" s="4">
        <v>46110</v>
      </c>
      <c r="G1126" s="4">
        <v>46114</v>
      </c>
      <c r="H1126" t="s">
        <v>90</v>
      </c>
      <c r="I1126" t="s">
        <v>299</v>
      </c>
      <c r="J1126" t="s">
        <v>197</v>
      </c>
      <c r="K1126" t="s">
        <v>124</v>
      </c>
      <c r="L1126" t="s">
        <v>61</v>
      </c>
      <c r="M1126" s="5">
        <v>22000</v>
      </c>
      <c r="N1126" s="5">
        <v>3750</v>
      </c>
      <c r="O1126" s="5">
        <v>4200</v>
      </c>
      <c r="P1126" s="5">
        <v>24000</v>
      </c>
      <c r="Q1126" s="13">
        <v>55450</v>
      </c>
      <c r="R1126" t="s">
        <v>85</v>
      </c>
      <c r="S1126" t="s">
        <v>76</v>
      </c>
      <c r="T1126" s="5">
        <v>14760</v>
      </c>
      <c r="U1126" s="6">
        <v>3</v>
      </c>
      <c r="V1126" t="s">
        <v>77</v>
      </c>
      <c r="W1126" s="4">
        <v>46121</v>
      </c>
      <c r="X1126" t="s">
        <v>64</v>
      </c>
      <c r="Y1126" t="s">
        <v>64</v>
      </c>
      <c r="Z1126" t="s">
        <v>96</v>
      </c>
      <c r="AA1126" t="str">
        <f>VLOOKUP(H1126,Departments!$A:$B,2,0)</f>
        <v>Cardiology</v>
      </c>
      <c r="AB1126" t="str">
        <f>VLOOKUP(J1126,Diagnosis_Guide!$A:$B,2,0)</f>
        <v>Chest Pain</v>
      </c>
      <c r="AC1126" s="4" t="str">
        <f>VLOOKUP(J1126,Diagnosis_Guide!$A:$C,3,0)</f>
        <v>Cardiovascular</v>
      </c>
      <c r="AD1126" s="4" t="str">
        <f>VLOOKUP(R1126,Insurance_Plans!$A:$C,3,0)</f>
        <v>Employer</v>
      </c>
      <c r="AE1126" s="13">
        <f t="shared" si="51"/>
        <v>2772.5</v>
      </c>
      <c r="AF1126" s="13">
        <f t="shared" si="52"/>
        <v>58222.5</v>
      </c>
      <c r="AG1126" s="4" t="str">
        <f t="shared" si="53"/>
        <v>Medium</v>
      </c>
    </row>
    <row r="1127" spans="1:33">
      <c r="A1127" t="s">
        <v>1859</v>
      </c>
      <c r="B1127" t="s">
        <v>392</v>
      </c>
      <c r="C1127" s="11">
        <v>46053</v>
      </c>
      <c r="D1127" t="s">
        <v>149</v>
      </c>
      <c r="E1127" t="s">
        <v>314</v>
      </c>
      <c r="F1127" s="4"/>
      <c r="G1127" s="4"/>
      <c r="H1127" t="s">
        <v>90</v>
      </c>
      <c r="I1127" t="s">
        <v>133</v>
      </c>
      <c r="J1127" t="s">
        <v>92</v>
      </c>
      <c r="K1127" t="s">
        <v>124</v>
      </c>
      <c r="L1127" t="s">
        <v>94</v>
      </c>
      <c r="M1127" s="5"/>
      <c r="N1127" s="5"/>
      <c r="O1127" s="5"/>
      <c r="P1127" s="5"/>
      <c r="R1127" t="s">
        <v>106</v>
      </c>
      <c r="S1127" t="s">
        <v>63</v>
      </c>
      <c r="T1127" s="5"/>
      <c r="U1127" s="6"/>
      <c r="V1127" t="s">
        <v>64</v>
      </c>
      <c r="W1127" s="4"/>
      <c r="X1127" t="s">
        <v>65</v>
      </c>
      <c r="Z1127" t="s">
        <v>66</v>
      </c>
      <c r="AA1127" t="str">
        <f>VLOOKUP(H1127,Departments!$A:$B,2,0)</f>
        <v>Cardiology</v>
      </c>
      <c r="AB1127" t="str">
        <f>VLOOKUP(J1127,Diagnosis_Guide!$A:$B,2,0)</f>
        <v>Heart Failure</v>
      </c>
      <c r="AC1127" s="4" t="str">
        <f>VLOOKUP(J1127,Diagnosis_Guide!$A:$C,3,0)</f>
        <v>Cardiovascular</v>
      </c>
      <c r="AD1127" s="4" t="str">
        <f>VLOOKUP(R1127,Insurance_Plans!$A:$C,3,0)</f>
        <v>Private</v>
      </c>
      <c r="AE1127" s="13" t="str">
        <f t="shared" si="51"/>
        <v/>
      </c>
      <c r="AF1127" s="13" t="str">
        <f t="shared" si="52"/>
        <v/>
      </c>
      <c r="AG1127" s="4" t="str">
        <f t="shared" si="53"/>
        <v>Not Available</v>
      </c>
    </row>
    <row r="1128" spans="1:33">
      <c r="A1128" t="s">
        <v>1860</v>
      </c>
      <c r="B1128" t="s">
        <v>1861</v>
      </c>
      <c r="C1128" s="11">
        <v>46114</v>
      </c>
      <c r="D1128" t="s">
        <v>69</v>
      </c>
      <c r="E1128" t="s">
        <v>70</v>
      </c>
      <c r="F1128" s="4">
        <v>46114</v>
      </c>
      <c r="G1128" s="4">
        <v>46123</v>
      </c>
      <c r="H1128" t="s">
        <v>90</v>
      </c>
      <c r="I1128" t="s">
        <v>91</v>
      </c>
      <c r="J1128" t="s">
        <v>92</v>
      </c>
      <c r="K1128" t="s">
        <v>93</v>
      </c>
      <c r="L1128" t="s">
        <v>61</v>
      </c>
      <c r="M1128" s="5">
        <v>62000</v>
      </c>
      <c r="N1128" s="5">
        <v>8250</v>
      </c>
      <c r="O1128" s="5">
        <v>12700</v>
      </c>
      <c r="P1128" s="5">
        <v>40500</v>
      </c>
      <c r="Q1128" s="13">
        <v>124650</v>
      </c>
      <c r="R1128" t="s">
        <v>62</v>
      </c>
      <c r="S1128" t="s">
        <v>76</v>
      </c>
      <c r="T1128" s="5">
        <v>37800</v>
      </c>
      <c r="U1128" s="6">
        <v>4</v>
      </c>
      <c r="V1128" t="s">
        <v>77</v>
      </c>
      <c r="W1128" s="4">
        <v>46143</v>
      </c>
      <c r="X1128" t="s">
        <v>77</v>
      </c>
      <c r="Y1128" t="s">
        <v>64</v>
      </c>
      <c r="Z1128" t="s">
        <v>436</v>
      </c>
      <c r="AA1128" t="str">
        <f>VLOOKUP(H1128,Departments!$A:$B,2,0)</f>
        <v>Cardiology</v>
      </c>
      <c r="AB1128" t="str">
        <f>VLOOKUP(J1128,Diagnosis_Guide!$A:$B,2,0)</f>
        <v>Heart Failure</v>
      </c>
      <c r="AC1128" s="4" t="str">
        <f>VLOOKUP(J1128,Diagnosis_Guide!$A:$C,3,0)</f>
        <v>Cardiovascular</v>
      </c>
      <c r="AD1128" s="4" t="str">
        <f>VLOOKUP(R1128,Insurance_Plans!$A:$C,3,0)</f>
        <v>Public</v>
      </c>
      <c r="AE1128" s="13">
        <f t="shared" si="51"/>
        <v>6232.5</v>
      </c>
      <c r="AF1128" s="13">
        <f t="shared" si="52"/>
        <v>130882.5</v>
      </c>
      <c r="AG1128" s="4" t="str">
        <f t="shared" si="53"/>
        <v>High</v>
      </c>
    </row>
    <row r="1129" spans="1:33">
      <c r="A1129" t="s">
        <v>1862</v>
      </c>
      <c r="B1129" t="s">
        <v>1863</v>
      </c>
      <c r="C1129" s="11">
        <v>46114</v>
      </c>
      <c r="D1129" t="s">
        <v>266</v>
      </c>
      <c r="E1129" t="s">
        <v>70</v>
      </c>
      <c r="F1129" s="4">
        <v>46114</v>
      </c>
      <c r="G1129" s="4">
        <v>46115</v>
      </c>
      <c r="H1129" t="s">
        <v>82</v>
      </c>
      <c r="I1129" t="s">
        <v>83</v>
      </c>
      <c r="J1129" t="s">
        <v>84</v>
      </c>
      <c r="K1129" t="s">
        <v>124</v>
      </c>
      <c r="L1129" t="s">
        <v>94</v>
      </c>
      <c r="M1129" s="5">
        <v>7700</v>
      </c>
      <c r="N1129" s="5">
        <v>850</v>
      </c>
      <c r="O1129" s="5">
        <v>1400</v>
      </c>
      <c r="P1129" s="5">
        <v>2500</v>
      </c>
      <c r="Q1129" s="13">
        <v>14250</v>
      </c>
      <c r="R1129" t="s">
        <v>106</v>
      </c>
      <c r="S1129" t="s">
        <v>76</v>
      </c>
      <c r="T1129" s="5">
        <v>5690</v>
      </c>
      <c r="U1129" s="6">
        <v>5</v>
      </c>
      <c r="V1129" t="s">
        <v>77</v>
      </c>
      <c r="W1129" s="4">
        <v>46124</v>
      </c>
      <c r="X1129" t="s">
        <v>64</v>
      </c>
      <c r="Y1129" t="s">
        <v>64</v>
      </c>
      <c r="Z1129" t="s">
        <v>78</v>
      </c>
      <c r="AA1129" t="str">
        <f>VLOOKUP(H1129,Departments!$A:$B,2,0)</f>
        <v>Orthopedics</v>
      </c>
      <c r="AB1129" t="str">
        <f>VLOOKUP(J1129,Diagnosis_Guide!$A:$B,2,0)</f>
        <v>Joint Pain</v>
      </c>
      <c r="AC1129" s="4" t="str">
        <f>VLOOKUP(J1129,Diagnosis_Guide!$A:$C,3,0)</f>
        <v>Musculoskeletal</v>
      </c>
      <c r="AD1129" s="4" t="str">
        <f>VLOOKUP(R1129,Insurance_Plans!$A:$C,3,0)</f>
        <v>Private</v>
      </c>
      <c r="AE1129" s="13">
        <f t="shared" si="51"/>
        <v>712.5</v>
      </c>
      <c r="AF1129" s="13">
        <f t="shared" si="52"/>
        <v>14962.5</v>
      </c>
      <c r="AG1129" s="4" t="str">
        <f t="shared" si="53"/>
        <v>High</v>
      </c>
    </row>
    <row r="1130" spans="1:33">
      <c r="A1130" t="s">
        <v>1864</v>
      </c>
      <c r="B1130" t="s">
        <v>762</v>
      </c>
      <c r="C1130" s="11">
        <v>46115</v>
      </c>
      <c r="D1130" t="s">
        <v>89</v>
      </c>
      <c r="E1130" t="s">
        <v>70</v>
      </c>
      <c r="F1130" s="4">
        <v>46115</v>
      </c>
      <c r="G1130" s="4">
        <v>46124</v>
      </c>
      <c r="H1130" t="s">
        <v>138</v>
      </c>
      <c r="I1130" t="s">
        <v>260</v>
      </c>
      <c r="J1130" t="s">
        <v>236</v>
      </c>
      <c r="K1130" t="s">
        <v>124</v>
      </c>
      <c r="L1130" t="s">
        <v>94</v>
      </c>
      <c r="M1130" s="5">
        <v>35100</v>
      </c>
      <c r="N1130" s="5">
        <v>3650</v>
      </c>
      <c r="O1130" s="5">
        <v>8450</v>
      </c>
      <c r="P1130" s="5">
        <v>22500</v>
      </c>
      <c r="Q1130" s="13">
        <v>72200</v>
      </c>
      <c r="R1130" t="s">
        <v>85</v>
      </c>
      <c r="S1130" t="s">
        <v>76</v>
      </c>
      <c r="T1130" s="5">
        <v>18950</v>
      </c>
      <c r="U1130" s="6">
        <v>3</v>
      </c>
      <c r="V1130" t="s">
        <v>64</v>
      </c>
      <c r="W1130" s="4"/>
      <c r="X1130" t="s">
        <v>65</v>
      </c>
      <c r="Y1130" t="s">
        <v>64</v>
      </c>
      <c r="Z1130" t="s">
        <v>78</v>
      </c>
      <c r="AA1130" t="str">
        <f>VLOOKUP(H1130,Departments!$A:$B,2,0)</f>
        <v>Pediatrics</v>
      </c>
      <c r="AB1130" t="str">
        <f>VLOOKUP(J1130,Diagnosis_Guide!$A:$B,2,0)</f>
        <v>Neonatal Observation</v>
      </c>
      <c r="AC1130" s="4" t="str">
        <f>VLOOKUP(J1130,Diagnosis_Guide!$A:$C,3,0)</f>
        <v>Pediatric</v>
      </c>
      <c r="AD1130" s="4" t="str">
        <f>VLOOKUP(R1130,Insurance_Plans!$A:$C,3,0)</f>
        <v>Employer</v>
      </c>
      <c r="AE1130" s="13">
        <f t="shared" si="51"/>
        <v>3610</v>
      </c>
      <c r="AF1130" s="13">
        <f t="shared" si="52"/>
        <v>75810</v>
      </c>
      <c r="AG1130" s="4" t="str">
        <f t="shared" si="53"/>
        <v>Medium</v>
      </c>
    </row>
    <row r="1131" spans="1:33">
      <c r="A1131" t="s">
        <v>1865</v>
      </c>
      <c r="B1131" t="s">
        <v>1542</v>
      </c>
      <c r="C1131" s="11">
        <v>46172</v>
      </c>
      <c r="D1131" t="s">
        <v>294</v>
      </c>
      <c r="E1131" t="s">
        <v>70</v>
      </c>
      <c r="F1131" s="4">
        <v>46172</v>
      </c>
      <c r="G1131" s="4">
        <v>46178</v>
      </c>
      <c r="H1131" t="s">
        <v>138</v>
      </c>
      <c r="I1131" t="s">
        <v>352</v>
      </c>
      <c r="J1131" t="s">
        <v>236</v>
      </c>
      <c r="K1131" t="s">
        <v>73</v>
      </c>
      <c r="L1131" t="s">
        <v>61</v>
      </c>
      <c r="M1131" s="5">
        <v>28800</v>
      </c>
      <c r="N1131" s="5">
        <v>5000</v>
      </c>
      <c r="O1131" s="5">
        <v>4650</v>
      </c>
      <c r="P1131" s="5">
        <v>21000</v>
      </c>
      <c r="Q1131" s="13">
        <v>61250</v>
      </c>
      <c r="R1131" t="s">
        <v>106</v>
      </c>
      <c r="S1131" t="s">
        <v>76</v>
      </c>
      <c r="T1131" s="5">
        <v>22140</v>
      </c>
      <c r="U1131" s="6">
        <v>3</v>
      </c>
      <c r="V1131" t="s">
        <v>77</v>
      </c>
      <c r="W1131" s="4">
        <v>46197</v>
      </c>
      <c r="X1131" t="s">
        <v>64</v>
      </c>
      <c r="Y1131" t="s">
        <v>64</v>
      </c>
      <c r="Z1131" t="s">
        <v>96</v>
      </c>
      <c r="AA1131" t="str">
        <f>VLOOKUP(H1131,Departments!$A:$B,2,0)</f>
        <v>Pediatrics</v>
      </c>
      <c r="AB1131" t="str">
        <f>VLOOKUP(J1131,Diagnosis_Guide!$A:$B,2,0)</f>
        <v>Neonatal Observation</v>
      </c>
      <c r="AC1131" s="4" t="str">
        <f>VLOOKUP(J1131,Diagnosis_Guide!$A:$C,3,0)</f>
        <v>Pediatric</v>
      </c>
      <c r="AD1131" s="4" t="str">
        <f>VLOOKUP(R1131,Insurance_Plans!$A:$C,3,0)</f>
        <v>Private</v>
      </c>
      <c r="AE1131" s="13">
        <f t="shared" si="51"/>
        <v>3062.5</v>
      </c>
      <c r="AF1131" s="13">
        <f t="shared" si="52"/>
        <v>64312.5</v>
      </c>
      <c r="AG1131" s="4" t="str">
        <f t="shared" si="53"/>
        <v>Medium</v>
      </c>
    </row>
    <row r="1132" spans="1:33">
      <c r="A1132" t="s">
        <v>1866</v>
      </c>
      <c r="B1132" t="s">
        <v>736</v>
      </c>
      <c r="C1132" s="11">
        <v>46099</v>
      </c>
      <c r="D1132" t="s">
        <v>266</v>
      </c>
      <c r="E1132" t="s">
        <v>70</v>
      </c>
      <c r="F1132" s="4">
        <v>46099</v>
      </c>
      <c r="G1132" s="4">
        <v>46106</v>
      </c>
      <c r="H1132" t="s">
        <v>178</v>
      </c>
      <c r="I1132" t="s">
        <v>179</v>
      </c>
      <c r="J1132" t="s">
        <v>180</v>
      </c>
      <c r="K1132" t="s">
        <v>93</v>
      </c>
      <c r="L1132" t="s">
        <v>94</v>
      </c>
      <c r="M1132" s="5">
        <v>89400</v>
      </c>
      <c r="N1132" s="5">
        <v>8200</v>
      </c>
      <c r="O1132" s="5">
        <v>11850</v>
      </c>
      <c r="P1132" s="5">
        <v>31500</v>
      </c>
      <c r="Q1132" s="13">
        <v>141950</v>
      </c>
      <c r="R1132" t="s">
        <v>75</v>
      </c>
      <c r="S1132" t="s">
        <v>76</v>
      </c>
      <c r="T1132" s="5">
        <v>64180</v>
      </c>
      <c r="U1132" s="6">
        <v>4</v>
      </c>
      <c r="V1132" t="s">
        <v>77</v>
      </c>
      <c r="W1132" s="4">
        <v>46125</v>
      </c>
      <c r="X1132" t="s">
        <v>77</v>
      </c>
      <c r="Y1132" t="s">
        <v>64</v>
      </c>
      <c r="Z1132" t="s">
        <v>78</v>
      </c>
      <c r="AA1132" t="str">
        <f>VLOOKUP(H1132,Departments!$A:$B,2,0)</f>
        <v>Surgery</v>
      </c>
      <c r="AB1132" t="str">
        <f>VLOOKUP(J1132,Diagnosis_Guide!$A:$B,2,0)</f>
        <v>Appendicitis Surgery</v>
      </c>
      <c r="AC1132" s="4" t="str">
        <f>VLOOKUP(J1132,Diagnosis_Guide!$A:$C,3,0)</f>
        <v>Surgical</v>
      </c>
      <c r="AD1132" s="4" t="str">
        <f>VLOOKUP(R1132,Insurance_Plans!$A:$C,3,0)</f>
        <v>Public</v>
      </c>
      <c r="AE1132" s="13">
        <f t="shared" si="51"/>
        <v>7097.5</v>
      </c>
      <c r="AF1132" s="13">
        <f t="shared" si="52"/>
        <v>149047.5</v>
      </c>
      <c r="AG1132" s="4" t="str">
        <f t="shared" si="53"/>
        <v>High</v>
      </c>
    </row>
    <row r="1133" spans="1:33">
      <c r="A1133" t="s">
        <v>1867</v>
      </c>
      <c r="B1133" t="s">
        <v>968</v>
      </c>
      <c r="C1133" s="11">
        <v>46168</v>
      </c>
      <c r="D1133" t="s">
        <v>183</v>
      </c>
      <c r="E1133" t="s">
        <v>56</v>
      </c>
      <c r="F1133" s="4"/>
      <c r="G1133" s="4"/>
      <c r="H1133" t="s">
        <v>138</v>
      </c>
      <c r="I1133" t="s">
        <v>352</v>
      </c>
      <c r="J1133" t="s">
        <v>236</v>
      </c>
      <c r="K1133" t="s">
        <v>124</v>
      </c>
      <c r="L1133" t="s">
        <v>61</v>
      </c>
      <c r="M1133" s="5"/>
      <c r="N1133" s="5"/>
      <c r="O1133" s="5"/>
      <c r="P1133" s="5"/>
      <c r="R1133" t="s">
        <v>85</v>
      </c>
      <c r="S1133" t="s">
        <v>63</v>
      </c>
      <c r="T1133" s="5"/>
      <c r="U1133" s="6"/>
      <c r="V1133" t="s">
        <v>64</v>
      </c>
      <c r="W1133" s="4"/>
      <c r="X1133" t="s">
        <v>65</v>
      </c>
      <c r="Z1133" t="s">
        <v>66</v>
      </c>
      <c r="AA1133" t="str">
        <f>VLOOKUP(H1133,Departments!$A:$B,2,0)</f>
        <v>Pediatrics</v>
      </c>
      <c r="AB1133" t="str">
        <f>VLOOKUP(J1133,Diagnosis_Guide!$A:$B,2,0)</f>
        <v>Neonatal Observation</v>
      </c>
      <c r="AC1133" s="4" t="str">
        <f>VLOOKUP(J1133,Diagnosis_Guide!$A:$C,3,0)</f>
        <v>Pediatric</v>
      </c>
      <c r="AD1133" s="4" t="str">
        <f>VLOOKUP(R1133,Insurance_Plans!$A:$C,3,0)</f>
        <v>Employer</v>
      </c>
      <c r="AE1133" s="13" t="str">
        <f t="shared" si="51"/>
        <v/>
      </c>
      <c r="AF1133" s="13" t="str">
        <f t="shared" si="52"/>
        <v/>
      </c>
      <c r="AG1133" s="4" t="str">
        <f t="shared" si="53"/>
        <v>Not Available</v>
      </c>
    </row>
    <row r="1134" spans="1:33">
      <c r="A1134" t="s">
        <v>1868</v>
      </c>
      <c r="B1134" t="s">
        <v>278</v>
      </c>
      <c r="C1134" s="11">
        <v>46110</v>
      </c>
      <c r="D1134" t="s">
        <v>183</v>
      </c>
      <c r="E1134" t="s">
        <v>70</v>
      </c>
      <c r="F1134" s="4">
        <v>46110</v>
      </c>
      <c r="G1134" s="4">
        <v>46111</v>
      </c>
      <c r="H1134" t="s">
        <v>82</v>
      </c>
      <c r="I1134" t="s">
        <v>83</v>
      </c>
      <c r="J1134" t="s">
        <v>291</v>
      </c>
      <c r="K1134" t="s">
        <v>60</v>
      </c>
      <c r="L1134" t="s">
        <v>94</v>
      </c>
      <c r="M1134" s="5">
        <v>33700</v>
      </c>
      <c r="N1134" s="5">
        <v>3600</v>
      </c>
      <c r="O1134" s="5">
        <v>7100</v>
      </c>
      <c r="P1134" s="5">
        <v>2500</v>
      </c>
      <c r="Q1134" s="13">
        <v>48700</v>
      </c>
      <c r="R1134" t="s">
        <v>106</v>
      </c>
      <c r="S1134" t="s">
        <v>76</v>
      </c>
      <c r="T1134" s="5">
        <v>17740</v>
      </c>
      <c r="U1134" s="6">
        <v>4</v>
      </c>
      <c r="V1134" t="s">
        <v>77</v>
      </c>
      <c r="W1134" s="4">
        <v>46130</v>
      </c>
      <c r="X1134" t="s">
        <v>64</v>
      </c>
      <c r="Y1134" t="s">
        <v>64</v>
      </c>
      <c r="Z1134" t="s">
        <v>96</v>
      </c>
      <c r="AA1134" t="str">
        <f>VLOOKUP(H1134,Departments!$A:$B,2,0)</f>
        <v>Orthopedics</v>
      </c>
      <c r="AB1134" t="str">
        <f>VLOOKUP(J1134,Diagnosis_Guide!$A:$B,2,0)</f>
        <v>Fracture Repair</v>
      </c>
      <c r="AC1134" s="4" t="str">
        <f>VLOOKUP(J1134,Diagnosis_Guide!$A:$C,3,0)</f>
        <v>Musculoskeletal</v>
      </c>
      <c r="AD1134" s="4" t="str">
        <f>VLOOKUP(R1134,Insurance_Plans!$A:$C,3,0)</f>
        <v>Private</v>
      </c>
      <c r="AE1134" s="13">
        <f t="shared" si="51"/>
        <v>2435</v>
      </c>
      <c r="AF1134" s="13">
        <f t="shared" si="52"/>
        <v>51135</v>
      </c>
      <c r="AG1134" s="4" t="str">
        <f t="shared" si="53"/>
        <v>High</v>
      </c>
    </row>
    <row r="1135" spans="1:33">
      <c r="A1135" t="s">
        <v>1869</v>
      </c>
      <c r="B1135" t="s">
        <v>1870</v>
      </c>
      <c r="C1135" s="11">
        <v>46093</v>
      </c>
      <c r="D1135" t="s">
        <v>137</v>
      </c>
      <c r="E1135" t="s">
        <v>56</v>
      </c>
      <c r="F1135" s="4"/>
      <c r="G1135" s="4"/>
      <c r="H1135" t="s">
        <v>103</v>
      </c>
      <c r="I1135" t="s">
        <v>104</v>
      </c>
      <c r="J1135" t="s">
        <v>244</v>
      </c>
      <c r="K1135" t="s">
        <v>60</v>
      </c>
      <c r="L1135" t="s">
        <v>74</v>
      </c>
      <c r="M1135" s="5"/>
      <c r="N1135" s="5"/>
      <c r="O1135" s="5"/>
      <c r="P1135" s="5"/>
      <c r="R1135" t="s">
        <v>141</v>
      </c>
      <c r="S1135" t="s">
        <v>63</v>
      </c>
      <c r="T1135" s="5"/>
      <c r="U1135" s="6"/>
      <c r="V1135" t="s">
        <v>64</v>
      </c>
      <c r="W1135" s="4"/>
      <c r="X1135" t="s">
        <v>65</v>
      </c>
      <c r="Z1135" t="s">
        <v>66</v>
      </c>
      <c r="AA1135" t="str">
        <f>VLOOKUP(H1135,Departments!$A:$B,2,0)</f>
        <v>Nephrology</v>
      </c>
      <c r="AB1135" t="str">
        <f>VLOOKUP(J1135,Diagnosis_Guide!$A:$B,2,0)</f>
        <v>Chronic Kidney Disease</v>
      </c>
      <c r="AC1135" s="4" t="str">
        <f>VLOOKUP(J1135,Diagnosis_Guide!$A:$C,3,0)</f>
        <v>Renal</v>
      </c>
      <c r="AD1135" s="4" t="str">
        <f>VLOOKUP(R1135,Insurance_Plans!$A:$C,3,0)</f>
        <v>Private</v>
      </c>
      <c r="AE1135" s="13" t="str">
        <f t="shared" si="51"/>
        <v/>
      </c>
      <c r="AF1135" s="13" t="str">
        <f t="shared" si="52"/>
        <v/>
      </c>
      <c r="AG1135" s="4" t="str">
        <f t="shared" si="53"/>
        <v>Not Available</v>
      </c>
    </row>
    <row r="1136" spans="1:33">
      <c r="A1136" t="s">
        <v>1871</v>
      </c>
      <c r="B1136" t="s">
        <v>635</v>
      </c>
      <c r="C1136" s="11">
        <v>46113</v>
      </c>
      <c r="D1136" t="s">
        <v>149</v>
      </c>
      <c r="E1136" t="s">
        <v>56</v>
      </c>
      <c r="F1136" s="4"/>
      <c r="G1136" s="4"/>
      <c r="H1136" t="s">
        <v>138</v>
      </c>
      <c r="I1136" t="s">
        <v>352</v>
      </c>
      <c r="J1136" t="s">
        <v>261</v>
      </c>
      <c r="K1136" t="s">
        <v>73</v>
      </c>
      <c r="L1136" t="s">
        <v>61</v>
      </c>
      <c r="M1136" s="5"/>
      <c r="N1136" s="5"/>
      <c r="O1136" s="5"/>
      <c r="P1136" s="5"/>
      <c r="R1136" t="s">
        <v>75</v>
      </c>
      <c r="S1136" t="s">
        <v>63</v>
      </c>
      <c r="T1136" s="5"/>
      <c r="U1136" s="6"/>
      <c r="V1136" t="s">
        <v>64</v>
      </c>
      <c r="W1136" s="4"/>
      <c r="X1136" t="s">
        <v>65</v>
      </c>
      <c r="Z1136" t="s">
        <v>66</v>
      </c>
      <c r="AA1136" t="str">
        <f>VLOOKUP(H1136,Departments!$A:$B,2,0)</f>
        <v>Pediatrics</v>
      </c>
      <c r="AB1136" t="str">
        <f>VLOOKUP(J1136,Diagnosis_Guide!$A:$B,2,0)</f>
        <v>Child Fever</v>
      </c>
      <c r="AC1136" s="4" t="str">
        <f>VLOOKUP(J1136,Diagnosis_Guide!$A:$C,3,0)</f>
        <v>Pediatric</v>
      </c>
      <c r="AD1136" s="4" t="str">
        <f>VLOOKUP(R1136,Insurance_Plans!$A:$C,3,0)</f>
        <v>Public</v>
      </c>
      <c r="AE1136" s="13" t="str">
        <f t="shared" si="51"/>
        <v/>
      </c>
      <c r="AF1136" s="13" t="str">
        <f t="shared" si="52"/>
        <v/>
      </c>
      <c r="AG1136" s="4" t="str">
        <f t="shared" si="53"/>
        <v>Not Available</v>
      </c>
    </row>
    <row r="1137" spans="1:33">
      <c r="A1137" t="s">
        <v>1872</v>
      </c>
      <c r="B1137" t="s">
        <v>429</v>
      </c>
      <c r="C1137" s="11">
        <v>46077</v>
      </c>
      <c r="D1137" t="s">
        <v>210</v>
      </c>
      <c r="E1137" t="s">
        <v>314</v>
      </c>
      <c r="F1137" s="4"/>
      <c r="G1137" s="4"/>
      <c r="H1137" t="s">
        <v>201</v>
      </c>
      <c r="I1137" t="s">
        <v>515</v>
      </c>
      <c r="J1137" t="s">
        <v>281</v>
      </c>
      <c r="K1137" t="s">
        <v>60</v>
      </c>
      <c r="L1137" t="s">
        <v>94</v>
      </c>
      <c r="M1137" s="5"/>
      <c r="N1137" s="5"/>
      <c r="O1137" s="5"/>
      <c r="P1137" s="5"/>
      <c r="R1137" t="s">
        <v>85</v>
      </c>
      <c r="S1137" t="s">
        <v>63</v>
      </c>
      <c r="T1137" s="5"/>
      <c r="U1137" s="6"/>
      <c r="V1137" t="s">
        <v>64</v>
      </c>
      <c r="W1137" s="4"/>
      <c r="X1137" t="s">
        <v>65</v>
      </c>
      <c r="Z1137" t="s">
        <v>66</v>
      </c>
      <c r="AA1137" t="str">
        <f>VLOOKUP(H1137,Departments!$A:$B,2,0)</f>
        <v>Emergency</v>
      </c>
      <c r="AB1137" t="str">
        <f>VLOOKUP(J1137,Diagnosis_Guide!$A:$B,2,0)</f>
        <v>Food Poisoning</v>
      </c>
      <c r="AC1137" s="4" t="str">
        <f>VLOOKUP(J1137,Diagnosis_Guide!$A:$C,3,0)</f>
        <v>Emergency</v>
      </c>
      <c r="AD1137" s="4" t="str">
        <f>VLOOKUP(R1137,Insurance_Plans!$A:$C,3,0)</f>
        <v>Employer</v>
      </c>
      <c r="AE1137" s="13" t="str">
        <f t="shared" si="51"/>
        <v/>
      </c>
      <c r="AF1137" s="13" t="str">
        <f t="shared" si="52"/>
        <v/>
      </c>
      <c r="AG1137" s="4" t="str">
        <f t="shared" si="53"/>
        <v>Not Available</v>
      </c>
    </row>
    <row r="1138" spans="1:33">
      <c r="A1138" t="s">
        <v>1873</v>
      </c>
      <c r="B1138" t="s">
        <v>396</v>
      </c>
      <c r="C1138" s="11">
        <v>46114</v>
      </c>
      <c r="D1138" t="s">
        <v>120</v>
      </c>
      <c r="E1138" t="s">
        <v>177</v>
      </c>
      <c r="F1138" s="4"/>
      <c r="G1138" s="4"/>
      <c r="H1138" t="s">
        <v>90</v>
      </c>
      <c r="I1138" t="s">
        <v>133</v>
      </c>
      <c r="J1138" t="s">
        <v>92</v>
      </c>
      <c r="K1138" t="s">
        <v>124</v>
      </c>
      <c r="L1138" t="s">
        <v>61</v>
      </c>
      <c r="M1138" s="5"/>
      <c r="N1138" s="5"/>
      <c r="O1138" s="5"/>
      <c r="P1138" s="5"/>
      <c r="R1138" t="s">
        <v>95</v>
      </c>
      <c r="S1138" t="s">
        <v>63</v>
      </c>
      <c r="T1138" s="5"/>
      <c r="U1138" s="6"/>
      <c r="V1138" t="s">
        <v>64</v>
      </c>
      <c r="W1138" s="4"/>
      <c r="X1138" t="s">
        <v>65</v>
      </c>
      <c r="Z1138" t="s">
        <v>66</v>
      </c>
      <c r="AA1138" t="str">
        <f>VLOOKUP(H1138,Departments!$A:$B,2,0)</f>
        <v>Cardiology</v>
      </c>
      <c r="AB1138" t="str">
        <f>VLOOKUP(J1138,Diagnosis_Guide!$A:$B,2,0)</f>
        <v>Heart Failure</v>
      </c>
      <c r="AC1138" s="4" t="str">
        <f>VLOOKUP(J1138,Diagnosis_Guide!$A:$C,3,0)</f>
        <v>Cardiovascular</v>
      </c>
      <c r="AD1138" s="4" t="str">
        <f>VLOOKUP(R1138,Insurance_Plans!$A:$C,3,0)</f>
        <v>Self-Pay</v>
      </c>
      <c r="AE1138" s="13" t="str">
        <f t="shared" si="51"/>
        <v/>
      </c>
      <c r="AF1138" s="13" t="str">
        <f t="shared" si="52"/>
        <v/>
      </c>
      <c r="AG1138" s="4" t="str">
        <f t="shared" si="53"/>
        <v>Not Available</v>
      </c>
    </row>
    <row r="1139" spans="1:33">
      <c r="A1139" t="s">
        <v>1874</v>
      </c>
      <c r="B1139" t="s">
        <v>1875</v>
      </c>
      <c r="C1139" s="11">
        <v>46098</v>
      </c>
      <c r="D1139" t="s">
        <v>69</v>
      </c>
      <c r="E1139" t="s">
        <v>70</v>
      </c>
      <c r="F1139" s="4">
        <v>46099</v>
      </c>
      <c r="G1139" s="4">
        <v>46100</v>
      </c>
      <c r="H1139" t="s">
        <v>57</v>
      </c>
      <c r="I1139" t="s">
        <v>100</v>
      </c>
      <c r="J1139" t="s">
        <v>170</v>
      </c>
      <c r="K1139" t="s">
        <v>60</v>
      </c>
      <c r="L1139" t="s">
        <v>74</v>
      </c>
      <c r="M1139" s="5">
        <v>47400</v>
      </c>
      <c r="N1139" s="5">
        <v>7200</v>
      </c>
      <c r="O1139" s="5">
        <v>8000</v>
      </c>
      <c r="P1139" s="5">
        <v>3000</v>
      </c>
      <c r="Q1139" s="13">
        <v>67600</v>
      </c>
      <c r="R1139" t="s">
        <v>75</v>
      </c>
      <c r="S1139" t="s">
        <v>76</v>
      </c>
      <c r="T1139" s="5">
        <v>30720</v>
      </c>
      <c r="U1139" s="6">
        <v>5</v>
      </c>
      <c r="V1139" t="s">
        <v>64</v>
      </c>
      <c r="W1139" s="4"/>
      <c r="X1139" t="s">
        <v>65</v>
      </c>
      <c r="Y1139" t="s">
        <v>64</v>
      </c>
      <c r="Z1139" t="s">
        <v>78</v>
      </c>
      <c r="AA1139" t="str">
        <f>VLOOKUP(H1139,Departments!$A:$B,2,0)</f>
        <v>Pulmonology</v>
      </c>
      <c r="AB1139" t="str">
        <f>VLOOKUP(J1139,Diagnosis_Guide!$A:$B,2,0)</f>
        <v>COPD Exacerbation</v>
      </c>
      <c r="AC1139" s="4" t="str">
        <f>VLOOKUP(J1139,Diagnosis_Guide!$A:$C,3,0)</f>
        <v>Respiratory</v>
      </c>
      <c r="AD1139" s="4" t="str">
        <f>VLOOKUP(R1139,Insurance_Plans!$A:$C,3,0)</f>
        <v>Public</v>
      </c>
      <c r="AE1139" s="13">
        <f t="shared" si="51"/>
        <v>3380</v>
      </c>
      <c r="AF1139" s="13">
        <f t="shared" si="52"/>
        <v>70980</v>
      </c>
      <c r="AG1139" s="4" t="str">
        <f t="shared" si="53"/>
        <v>High</v>
      </c>
    </row>
    <row r="1140" spans="1:33">
      <c r="A1140" t="s">
        <v>1876</v>
      </c>
      <c r="B1140" t="s">
        <v>373</v>
      </c>
      <c r="C1140" s="11">
        <v>46112</v>
      </c>
      <c r="D1140" t="s">
        <v>225</v>
      </c>
      <c r="E1140" t="s">
        <v>70</v>
      </c>
      <c r="F1140" s="4">
        <v>46112</v>
      </c>
      <c r="G1140" s="4">
        <v>46115</v>
      </c>
      <c r="H1140" t="s">
        <v>201</v>
      </c>
      <c r="I1140" t="s">
        <v>280</v>
      </c>
      <c r="J1140" t="s">
        <v>281</v>
      </c>
      <c r="K1140" t="s">
        <v>73</v>
      </c>
      <c r="L1140" t="s">
        <v>61</v>
      </c>
      <c r="M1140" s="5">
        <v>5800</v>
      </c>
      <c r="N1140" s="5">
        <v>500</v>
      </c>
      <c r="O1140" s="5">
        <v>950</v>
      </c>
      <c r="P1140" s="5">
        <v>7500</v>
      </c>
      <c r="Q1140" s="13">
        <v>15750</v>
      </c>
      <c r="R1140" t="s">
        <v>75</v>
      </c>
      <c r="S1140" t="s">
        <v>76</v>
      </c>
      <c r="T1140" s="5">
        <v>7390</v>
      </c>
      <c r="U1140" s="6">
        <v>4</v>
      </c>
      <c r="V1140" t="s">
        <v>64</v>
      </c>
      <c r="W1140" s="4"/>
      <c r="X1140" t="s">
        <v>65</v>
      </c>
      <c r="Y1140" t="s">
        <v>64</v>
      </c>
      <c r="Z1140" t="s">
        <v>78</v>
      </c>
      <c r="AA1140" t="str">
        <f>VLOOKUP(H1140,Departments!$A:$B,2,0)</f>
        <v>Emergency</v>
      </c>
      <c r="AB1140" t="str">
        <f>VLOOKUP(J1140,Diagnosis_Guide!$A:$B,2,0)</f>
        <v>Food Poisoning</v>
      </c>
      <c r="AC1140" s="4" t="str">
        <f>VLOOKUP(J1140,Diagnosis_Guide!$A:$C,3,0)</f>
        <v>Emergency</v>
      </c>
      <c r="AD1140" s="4" t="str">
        <f>VLOOKUP(R1140,Insurance_Plans!$A:$C,3,0)</f>
        <v>Public</v>
      </c>
      <c r="AE1140" s="13">
        <f t="shared" si="51"/>
        <v>787.5</v>
      </c>
      <c r="AF1140" s="13">
        <f t="shared" si="52"/>
        <v>16537.5</v>
      </c>
      <c r="AG1140" s="4" t="str">
        <f t="shared" si="53"/>
        <v>High</v>
      </c>
    </row>
    <row r="1141" spans="1:33">
      <c r="A1141" t="s">
        <v>1877</v>
      </c>
      <c r="B1141" t="s">
        <v>1878</v>
      </c>
      <c r="C1141" s="11">
        <v>46137</v>
      </c>
      <c r="D1141" t="s">
        <v>469</v>
      </c>
      <c r="E1141" t="s">
        <v>177</v>
      </c>
      <c r="F1141" s="4"/>
      <c r="G1141" s="4"/>
      <c r="H1141" t="s">
        <v>138</v>
      </c>
      <c r="I1141" t="s">
        <v>139</v>
      </c>
      <c r="J1141" t="s">
        <v>261</v>
      </c>
      <c r="K1141" t="s">
        <v>93</v>
      </c>
      <c r="L1141" t="s">
        <v>61</v>
      </c>
      <c r="M1141" s="5"/>
      <c r="N1141" s="5"/>
      <c r="O1141" s="5"/>
      <c r="P1141" s="5"/>
      <c r="R1141" t="s">
        <v>95</v>
      </c>
      <c r="S1141" t="s">
        <v>63</v>
      </c>
      <c r="T1141" s="5"/>
      <c r="U1141" s="6"/>
      <c r="V1141" t="s">
        <v>64</v>
      </c>
      <c r="W1141" s="4"/>
      <c r="X1141" t="s">
        <v>65</v>
      </c>
      <c r="Z1141" t="s">
        <v>66</v>
      </c>
      <c r="AA1141" t="str">
        <f>VLOOKUP(H1141,Departments!$A:$B,2,0)</f>
        <v>Pediatrics</v>
      </c>
      <c r="AB1141" t="str">
        <f>VLOOKUP(J1141,Diagnosis_Guide!$A:$B,2,0)</f>
        <v>Child Fever</v>
      </c>
      <c r="AC1141" s="4" t="str">
        <f>VLOOKUP(J1141,Diagnosis_Guide!$A:$C,3,0)</f>
        <v>Pediatric</v>
      </c>
      <c r="AD1141" s="4" t="str">
        <f>VLOOKUP(R1141,Insurance_Plans!$A:$C,3,0)</f>
        <v>Self-Pay</v>
      </c>
      <c r="AE1141" s="13" t="str">
        <f t="shared" si="51"/>
        <v/>
      </c>
      <c r="AF1141" s="13" t="str">
        <f t="shared" si="52"/>
        <v/>
      </c>
      <c r="AG1141" s="4" t="str">
        <f t="shared" si="53"/>
        <v>Not Available</v>
      </c>
    </row>
    <row r="1142" spans="1:33">
      <c r="A1142" t="s">
        <v>1879</v>
      </c>
      <c r="B1142" t="s">
        <v>524</v>
      </c>
      <c r="C1142" s="11">
        <v>46138</v>
      </c>
      <c r="D1142" t="s">
        <v>419</v>
      </c>
      <c r="E1142" t="s">
        <v>70</v>
      </c>
      <c r="F1142" s="4">
        <v>46139</v>
      </c>
      <c r="G1142" s="4">
        <v>46139</v>
      </c>
      <c r="H1142" t="s">
        <v>103</v>
      </c>
      <c r="I1142" t="s">
        <v>364</v>
      </c>
      <c r="J1142" t="s">
        <v>145</v>
      </c>
      <c r="K1142" t="s">
        <v>60</v>
      </c>
      <c r="L1142" t="s">
        <v>74</v>
      </c>
      <c r="M1142" s="5">
        <v>35300</v>
      </c>
      <c r="N1142" s="5">
        <v>5950</v>
      </c>
      <c r="O1142" s="5">
        <v>7800</v>
      </c>
      <c r="P1142" s="5">
        <v>0</v>
      </c>
      <c r="Q1142" s="13">
        <v>49850</v>
      </c>
      <c r="R1142" t="s">
        <v>95</v>
      </c>
      <c r="S1142" t="s">
        <v>63</v>
      </c>
      <c r="T1142" s="5">
        <v>49850</v>
      </c>
      <c r="U1142" s="6">
        <v>3</v>
      </c>
      <c r="V1142" t="s">
        <v>64</v>
      </c>
      <c r="W1142" s="4"/>
      <c r="X1142" t="s">
        <v>65</v>
      </c>
      <c r="Y1142" t="s">
        <v>64</v>
      </c>
      <c r="Z1142" t="s">
        <v>96</v>
      </c>
      <c r="AA1142" t="str">
        <f>VLOOKUP(H1142,Departments!$A:$B,2,0)</f>
        <v>Nephrology</v>
      </c>
      <c r="AB1142" t="str">
        <f>VLOOKUP(J1142,Diagnosis_Guide!$A:$B,2,0)</f>
        <v>Kidney Stone</v>
      </c>
      <c r="AC1142" s="4" t="str">
        <f>VLOOKUP(J1142,Diagnosis_Guide!$A:$C,3,0)</f>
        <v>Renal</v>
      </c>
      <c r="AD1142" s="4" t="str">
        <f>VLOOKUP(R1142,Insurance_Plans!$A:$C,3,0)</f>
        <v>Self-Pay</v>
      </c>
      <c r="AE1142" s="13">
        <f t="shared" si="51"/>
        <v>2492.5</v>
      </c>
      <c r="AF1142" s="13">
        <f t="shared" si="52"/>
        <v>52342.5</v>
      </c>
      <c r="AG1142" s="4" t="str">
        <f t="shared" si="53"/>
        <v>Medium</v>
      </c>
    </row>
    <row r="1143" spans="1:33">
      <c r="A1143" t="s">
        <v>1880</v>
      </c>
      <c r="B1143" t="s">
        <v>892</v>
      </c>
      <c r="C1143" s="11">
        <v>46101</v>
      </c>
      <c r="D1143" t="s">
        <v>206</v>
      </c>
      <c r="E1143" t="s">
        <v>70</v>
      </c>
      <c r="F1143" s="4">
        <v>46101</v>
      </c>
      <c r="G1143" s="4">
        <v>46105</v>
      </c>
      <c r="H1143" t="s">
        <v>57</v>
      </c>
      <c r="I1143" t="s">
        <v>58</v>
      </c>
      <c r="J1143" t="s">
        <v>59</v>
      </c>
      <c r="K1143" t="s">
        <v>73</v>
      </c>
      <c r="L1143" t="s">
        <v>61</v>
      </c>
      <c r="M1143" s="5">
        <v>44800</v>
      </c>
      <c r="N1143" s="5">
        <v>6250</v>
      </c>
      <c r="O1143" s="5">
        <v>8850</v>
      </c>
      <c r="P1143" s="5">
        <v>24000</v>
      </c>
      <c r="Q1143" s="13">
        <v>86400</v>
      </c>
      <c r="R1143" t="s">
        <v>75</v>
      </c>
      <c r="S1143" t="s">
        <v>76</v>
      </c>
      <c r="T1143" s="5">
        <v>39180</v>
      </c>
      <c r="U1143" s="6">
        <v>4</v>
      </c>
      <c r="V1143" t="s">
        <v>77</v>
      </c>
      <c r="W1143" s="4">
        <v>46125</v>
      </c>
      <c r="X1143" t="s">
        <v>64</v>
      </c>
      <c r="Y1143" t="s">
        <v>64</v>
      </c>
      <c r="Z1143" t="s">
        <v>96</v>
      </c>
      <c r="AA1143" t="str">
        <f>VLOOKUP(H1143,Departments!$A:$B,2,0)</f>
        <v>Pulmonology</v>
      </c>
      <c r="AB1143" t="str">
        <f>VLOOKUP(J1143,Diagnosis_Guide!$A:$B,2,0)</f>
        <v>Pneumonia</v>
      </c>
      <c r="AC1143" s="4" t="str">
        <f>VLOOKUP(J1143,Diagnosis_Guide!$A:$C,3,0)</f>
        <v>Respiratory</v>
      </c>
      <c r="AD1143" s="4" t="str">
        <f>VLOOKUP(R1143,Insurance_Plans!$A:$C,3,0)</f>
        <v>Public</v>
      </c>
      <c r="AE1143" s="13">
        <f t="shared" si="51"/>
        <v>4320</v>
      </c>
      <c r="AF1143" s="13">
        <f t="shared" si="52"/>
        <v>90720</v>
      </c>
      <c r="AG1143" s="4" t="str">
        <f t="shared" si="53"/>
        <v>High</v>
      </c>
    </row>
    <row r="1144" spans="1:33">
      <c r="A1144" t="s">
        <v>1881</v>
      </c>
      <c r="B1144" t="s">
        <v>453</v>
      </c>
      <c r="C1144" s="11">
        <v>46078</v>
      </c>
      <c r="D1144" t="s">
        <v>144</v>
      </c>
      <c r="E1144" t="s">
        <v>70</v>
      </c>
      <c r="F1144" s="4">
        <v>46078</v>
      </c>
      <c r="G1144" s="4">
        <v>46080</v>
      </c>
      <c r="H1144" t="s">
        <v>178</v>
      </c>
      <c r="I1144" t="s">
        <v>218</v>
      </c>
      <c r="J1144" t="s">
        <v>180</v>
      </c>
      <c r="K1144" t="s">
        <v>93</v>
      </c>
      <c r="L1144" t="s">
        <v>74</v>
      </c>
      <c r="M1144" s="5">
        <v>55500</v>
      </c>
      <c r="N1144" s="5">
        <v>6000</v>
      </c>
      <c r="O1144" s="5">
        <v>13400</v>
      </c>
      <c r="P1144" s="5">
        <v>9000</v>
      </c>
      <c r="Q1144" s="13">
        <v>85400</v>
      </c>
      <c r="R1144" t="s">
        <v>95</v>
      </c>
      <c r="S1144" t="s">
        <v>63</v>
      </c>
      <c r="T1144" s="5">
        <v>85400</v>
      </c>
      <c r="U1144" s="6">
        <v>4</v>
      </c>
      <c r="V1144" t="s">
        <v>77</v>
      </c>
      <c r="W1144" s="4">
        <v>46087</v>
      </c>
      <c r="X1144" t="s">
        <v>64</v>
      </c>
      <c r="Y1144" t="s">
        <v>64</v>
      </c>
      <c r="Z1144" t="s">
        <v>436</v>
      </c>
      <c r="AA1144" t="str">
        <f>VLOOKUP(H1144,Departments!$A:$B,2,0)</f>
        <v>Surgery</v>
      </c>
      <c r="AB1144" t="str">
        <f>VLOOKUP(J1144,Diagnosis_Guide!$A:$B,2,0)</f>
        <v>Appendicitis Surgery</v>
      </c>
      <c r="AC1144" s="4" t="str">
        <f>VLOOKUP(J1144,Diagnosis_Guide!$A:$C,3,0)</f>
        <v>Surgical</v>
      </c>
      <c r="AD1144" s="4" t="str">
        <f>VLOOKUP(R1144,Insurance_Plans!$A:$C,3,0)</f>
        <v>Self-Pay</v>
      </c>
      <c r="AE1144" s="13">
        <f t="shared" si="51"/>
        <v>4270</v>
      </c>
      <c r="AF1144" s="13">
        <f t="shared" si="52"/>
        <v>89670</v>
      </c>
      <c r="AG1144" s="4" t="str">
        <f t="shared" si="53"/>
        <v>High</v>
      </c>
    </row>
    <row r="1145" spans="1:33">
      <c r="A1145" t="s">
        <v>1882</v>
      </c>
      <c r="B1145" t="s">
        <v>1320</v>
      </c>
      <c r="C1145" s="11">
        <v>46160</v>
      </c>
      <c r="D1145" t="s">
        <v>298</v>
      </c>
      <c r="E1145" t="s">
        <v>70</v>
      </c>
      <c r="F1145" s="4">
        <v>46160</v>
      </c>
      <c r="G1145" s="4">
        <v>46167</v>
      </c>
      <c r="H1145" t="s">
        <v>121</v>
      </c>
      <c r="I1145" t="s">
        <v>386</v>
      </c>
      <c r="J1145" t="s">
        <v>252</v>
      </c>
      <c r="K1145" t="s">
        <v>124</v>
      </c>
      <c r="L1145" t="s">
        <v>61</v>
      </c>
      <c r="M1145" s="5">
        <v>53500</v>
      </c>
      <c r="N1145" s="5">
        <v>5400</v>
      </c>
      <c r="O1145" s="5">
        <v>9250</v>
      </c>
      <c r="P1145" s="5">
        <v>42000</v>
      </c>
      <c r="Q1145" s="13">
        <v>112650</v>
      </c>
      <c r="R1145" t="s">
        <v>95</v>
      </c>
      <c r="S1145" t="s">
        <v>63</v>
      </c>
      <c r="T1145" s="5">
        <v>112650</v>
      </c>
      <c r="U1145" s="6">
        <v>4</v>
      </c>
      <c r="V1145" t="s">
        <v>77</v>
      </c>
      <c r="W1145" s="4">
        <v>46180</v>
      </c>
      <c r="X1145" t="s">
        <v>77</v>
      </c>
      <c r="Y1145" t="s">
        <v>77</v>
      </c>
      <c r="Z1145" t="s">
        <v>107</v>
      </c>
      <c r="AA1145" t="str">
        <f>VLOOKUP(H1145,Departments!$A:$B,2,0)</f>
        <v>Neurology</v>
      </c>
      <c r="AB1145" t="str">
        <f>VLOOKUP(J1145,Diagnosis_Guide!$A:$B,2,0)</f>
        <v>Stroke Assessment</v>
      </c>
      <c r="AC1145" s="4" t="str">
        <f>VLOOKUP(J1145,Diagnosis_Guide!$A:$C,3,0)</f>
        <v>Neurological</v>
      </c>
      <c r="AD1145" s="4" t="str">
        <f>VLOOKUP(R1145,Insurance_Plans!$A:$C,3,0)</f>
        <v>Self-Pay</v>
      </c>
      <c r="AE1145" s="13">
        <f t="shared" si="51"/>
        <v>5632.5</v>
      </c>
      <c r="AF1145" s="13">
        <f t="shared" si="52"/>
        <v>118282.5</v>
      </c>
      <c r="AG1145" s="4" t="str">
        <f t="shared" si="53"/>
        <v>High</v>
      </c>
    </row>
    <row r="1146" spans="1:33">
      <c r="A1146" t="s">
        <v>1883</v>
      </c>
      <c r="B1146" t="s">
        <v>1572</v>
      </c>
      <c r="C1146" s="11">
        <v>46090</v>
      </c>
      <c r="D1146" t="s">
        <v>149</v>
      </c>
      <c r="E1146" t="s">
        <v>70</v>
      </c>
      <c r="F1146" s="4">
        <v>46090</v>
      </c>
      <c r="G1146" s="4">
        <v>46093</v>
      </c>
      <c r="H1146" t="s">
        <v>138</v>
      </c>
      <c r="I1146" t="s">
        <v>343</v>
      </c>
      <c r="J1146" t="s">
        <v>261</v>
      </c>
      <c r="K1146" t="s">
        <v>73</v>
      </c>
      <c r="L1146" t="s">
        <v>94</v>
      </c>
      <c r="M1146" s="5">
        <v>6000</v>
      </c>
      <c r="N1146" s="5">
        <v>750</v>
      </c>
      <c r="O1146" s="5">
        <v>950</v>
      </c>
      <c r="P1146" s="5">
        <v>10500</v>
      </c>
      <c r="Q1146" s="13">
        <v>20000</v>
      </c>
      <c r="R1146" t="s">
        <v>95</v>
      </c>
      <c r="S1146" t="s">
        <v>63</v>
      </c>
      <c r="T1146" s="5">
        <v>20000</v>
      </c>
      <c r="U1146" s="6">
        <v>3</v>
      </c>
      <c r="V1146" t="s">
        <v>64</v>
      </c>
      <c r="W1146" s="4"/>
      <c r="X1146" t="s">
        <v>65</v>
      </c>
      <c r="Y1146" t="s">
        <v>64</v>
      </c>
      <c r="Z1146" t="s">
        <v>96</v>
      </c>
      <c r="AA1146" t="str">
        <f>VLOOKUP(H1146,Departments!$A:$B,2,0)</f>
        <v>Pediatrics</v>
      </c>
      <c r="AB1146" t="str">
        <f>VLOOKUP(J1146,Diagnosis_Guide!$A:$B,2,0)</f>
        <v>Child Fever</v>
      </c>
      <c r="AC1146" s="4" t="str">
        <f>VLOOKUP(J1146,Diagnosis_Guide!$A:$C,3,0)</f>
        <v>Pediatric</v>
      </c>
      <c r="AD1146" s="4" t="str">
        <f>VLOOKUP(R1146,Insurance_Plans!$A:$C,3,0)</f>
        <v>Self-Pay</v>
      </c>
      <c r="AE1146" s="13">
        <f t="shared" si="51"/>
        <v>1000</v>
      </c>
      <c r="AF1146" s="13">
        <f t="shared" si="52"/>
        <v>21000</v>
      </c>
      <c r="AG1146" s="4" t="str">
        <f t="shared" si="53"/>
        <v>Medium</v>
      </c>
    </row>
    <row r="1147" spans="1:33">
      <c r="A1147" t="s">
        <v>1884</v>
      </c>
      <c r="B1147" t="s">
        <v>1127</v>
      </c>
      <c r="C1147" s="11">
        <v>46088</v>
      </c>
      <c r="D1147" t="s">
        <v>144</v>
      </c>
      <c r="E1147" t="s">
        <v>70</v>
      </c>
      <c r="F1147" s="4">
        <v>46089</v>
      </c>
      <c r="G1147" s="4">
        <v>46089</v>
      </c>
      <c r="H1147" t="s">
        <v>103</v>
      </c>
      <c r="I1147" t="s">
        <v>364</v>
      </c>
      <c r="J1147" t="s">
        <v>105</v>
      </c>
      <c r="K1147" t="s">
        <v>60</v>
      </c>
      <c r="L1147" t="s">
        <v>61</v>
      </c>
      <c r="M1147" s="5">
        <v>68400</v>
      </c>
      <c r="N1147" s="5">
        <v>10950</v>
      </c>
      <c r="O1147" s="5">
        <v>8650</v>
      </c>
      <c r="P1147" s="5">
        <v>0</v>
      </c>
      <c r="Q1147" s="13">
        <v>88800</v>
      </c>
      <c r="R1147" t="s">
        <v>75</v>
      </c>
      <c r="S1147" t="s">
        <v>76</v>
      </c>
      <c r="T1147" s="5">
        <v>40260</v>
      </c>
      <c r="U1147" s="6">
        <v>4</v>
      </c>
      <c r="V1147" t="s">
        <v>64</v>
      </c>
      <c r="W1147" s="4"/>
      <c r="X1147" t="s">
        <v>65</v>
      </c>
      <c r="Y1147" t="s">
        <v>64</v>
      </c>
      <c r="Z1147" t="s">
        <v>107</v>
      </c>
      <c r="AA1147" t="str">
        <f>VLOOKUP(H1147,Departments!$A:$B,2,0)</f>
        <v>Nephrology</v>
      </c>
      <c r="AB1147" t="str">
        <f>VLOOKUP(J1147,Diagnosis_Guide!$A:$B,2,0)</f>
        <v>Dialysis Complication</v>
      </c>
      <c r="AC1147" s="4" t="str">
        <f>VLOOKUP(J1147,Diagnosis_Guide!$A:$C,3,0)</f>
        <v>Renal</v>
      </c>
      <c r="AD1147" s="4" t="str">
        <f>VLOOKUP(R1147,Insurance_Plans!$A:$C,3,0)</f>
        <v>Public</v>
      </c>
      <c r="AE1147" s="13">
        <f t="shared" si="51"/>
        <v>4440</v>
      </c>
      <c r="AF1147" s="13">
        <f t="shared" si="52"/>
        <v>93240</v>
      </c>
      <c r="AG1147" s="4" t="str">
        <f t="shared" si="53"/>
        <v>High</v>
      </c>
    </row>
    <row r="1148" spans="1:33">
      <c r="A1148" t="s">
        <v>1885</v>
      </c>
      <c r="B1148" t="s">
        <v>1141</v>
      </c>
      <c r="C1148" s="11">
        <v>46111</v>
      </c>
      <c r="D1148" t="s">
        <v>120</v>
      </c>
      <c r="E1148" t="s">
        <v>70</v>
      </c>
      <c r="F1148" s="4">
        <v>46111</v>
      </c>
      <c r="G1148" s="4">
        <v>46118</v>
      </c>
      <c r="H1148" t="s">
        <v>121</v>
      </c>
      <c r="I1148" t="s">
        <v>665</v>
      </c>
      <c r="J1148" t="s">
        <v>252</v>
      </c>
      <c r="K1148" t="s">
        <v>73</v>
      </c>
      <c r="L1148" t="s">
        <v>61</v>
      </c>
      <c r="M1148" s="5">
        <v>63800</v>
      </c>
      <c r="N1148" s="5">
        <v>5400</v>
      </c>
      <c r="O1148" s="5">
        <v>7200</v>
      </c>
      <c r="P1148" s="5">
        <v>24500</v>
      </c>
      <c r="Q1148" s="13">
        <v>101900</v>
      </c>
      <c r="R1148" t="s">
        <v>134</v>
      </c>
      <c r="S1148" t="s">
        <v>86</v>
      </c>
      <c r="T1148" s="5">
        <v>56250</v>
      </c>
      <c r="U1148" s="6">
        <v>4</v>
      </c>
      <c r="V1148" t="s">
        <v>64</v>
      </c>
      <c r="W1148" s="4"/>
      <c r="X1148" t="s">
        <v>65</v>
      </c>
      <c r="Y1148" t="s">
        <v>64</v>
      </c>
      <c r="Z1148" t="s">
        <v>96</v>
      </c>
      <c r="AA1148" t="str">
        <f>VLOOKUP(H1148,Departments!$A:$B,2,0)</f>
        <v>Neurology</v>
      </c>
      <c r="AB1148" t="str">
        <f>VLOOKUP(J1148,Diagnosis_Guide!$A:$B,2,0)</f>
        <v>Stroke Assessment</v>
      </c>
      <c r="AC1148" s="4" t="str">
        <f>VLOOKUP(J1148,Diagnosis_Guide!$A:$C,3,0)</f>
        <v>Neurological</v>
      </c>
      <c r="AD1148" s="4" t="str">
        <f>VLOOKUP(R1148,Insurance_Plans!$A:$C,3,0)</f>
        <v>Community</v>
      </c>
      <c r="AE1148" s="13">
        <f t="shared" si="51"/>
        <v>5095</v>
      </c>
      <c r="AF1148" s="13">
        <f t="shared" si="52"/>
        <v>106995</v>
      </c>
      <c r="AG1148" s="4" t="str">
        <f t="shared" si="53"/>
        <v>High</v>
      </c>
    </row>
    <row r="1149" spans="1:33">
      <c r="A1149" t="s">
        <v>1886</v>
      </c>
      <c r="B1149" t="s">
        <v>1100</v>
      </c>
      <c r="C1149" s="11">
        <v>46076</v>
      </c>
      <c r="D1149" t="s">
        <v>69</v>
      </c>
      <c r="E1149" t="s">
        <v>70</v>
      </c>
      <c r="F1149" s="4">
        <v>46076</v>
      </c>
      <c r="G1149" s="4">
        <v>46076</v>
      </c>
      <c r="H1149" t="s">
        <v>57</v>
      </c>
      <c r="I1149" t="s">
        <v>71</v>
      </c>
      <c r="J1149" t="s">
        <v>170</v>
      </c>
      <c r="K1149" t="s">
        <v>60</v>
      </c>
      <c r="L1149" t="s">
        <v>146</v>
      </c>
      <c r="M1149" s="5">
        <v>53100</v>
      </c>
      <c r="N1149" s="5">
        <v>5650</v>
      </c>
      <c r="O1149" s="5">
        <v>8950</v>
      </c>
      <c r="P1149" s="5">
        <v>0</v>
      </c>
      <c r="Q1149" s="13">
        <v>69500</v>
      </c>
      <c r="R1149" t="s">
        <v>95</v>
      </c>
      <c r="S1149" t="s">
        <v>63</v>
      </c>
      <c r="T1149" s="5">
        <v>69500</v>
      </c>
      <c r="U1149" s="6">
        <v>5</v>
      </c>
      <c r="V1149" t="s">
        <v>77</v>
      </c>
      <c r="W1149" s="4">
        <v>46097</v>
      </c>
      <c r="X1149" t="s">
        <v>77</v>
      </c>
      <c r="Y1149" t="s">
        <v>64</v>
      </c>
      <c r="Z1149" t="s">
        <v>78</v>
      </c>
      <c r="AA1149" t="str">
        <f>VLOOKUP(H1149,Departments!$A:$B,2,0)</f>
        <v>Pulmonology</v>
      </c>
      <c r="AB1149" t="str">
        <f>VLOOKUP(J1149,Diagnosis_Guide!$A:$B,2,0)</f>
        <v>COPD Exacerbation</v>
      </c>
      <c r="AC1149" s="4" t="str">
        <f>VLOOKUP(J1149,Diagnosis_Guide!$A:$C,3,0)</f>
        <v>Respiratory</v>
      </c>
      <c r="AD1149" s="4" t="str">
        <f>VLOOKUP(R1149,Insurance_Plans!$A:$C,3,0)</f>
        <v>Self-Pay</v>
      </c>
      <c r="AE1149" s="13">
        <f t="shared" si="51"/>
        <v>3475</v>
      </c>
      <c r="AF1149" s="13">
        <f t="shared" si="52"/>
        <v>72975</v>
      </c>
      <c r="AG1149" s="4" t="str">
        <f t="shared" si="53"/>
        <v>High</v>
      </c>
    </row>
    <row r="1150" spans="1:33">
      <c r="A1150" t="s">
        <v>1887</v>
      </c>
      <c r="B1150" t="s">
        <v>286</v>
      </c>
      <c r="C1150" s="11">
        <v>46132</v>
      </c>
      <c r="D1150" t="s">
        <v>81</v>
      </c>
      <c r="E1150" t="s">
        <v>191</v>
      </c>
      <c r="F1150" s="4"/>
      <c r="G1150" s="4"/>
      <c r="H1150" t="s">
        <v>111</v>
      </c>
      <c r="I1150" t="s">
        <v>397</v>
      </c>
      <c r="J1150" t="s">
        <v>384</v>
      </c>
      <c r="K1150" t="s">
        <v>60</v>
      </c>
      <c r="L1150" t="s">
        <v>146</v>
      </c>
      <c r="M1150" s="5"/>
      <c r="N1150" s="5"/>
      <c r="O1150" s="5"/>
      <c r="P1150" s="5"/>
      <c r="R1150" t="s">
        <v>75</v>
      </c>
      <c r="S1150" t="s">
        <v>63</v>
      </c>
      <c r="T1150" s="5"/>
      <c r="U1150" s="6"/>
      <c r="V1150" t="s">
        <v>64</v>
      </c>
      <c r="W1150" s="4"/>
      <c r="X1150" t="s">
        <v>65</v>
      </c>
      <c r="Z1150" t="s">
        <v>66</v>
      </c>
      <c r="AA1150" t="str">
        <f>VLOOKUP(H1150,Departments!$A:$B,2,0)</f>
        <v>General Medicine</v>
      </c>
      <c r="AB1150" t="str">
        <f>VLOOKUP(J1150,Diagnosis_Guide!$A:$B,2,0)</f>
        <v>Severe Infection</v>
      </c>
      <c r="AC1150" s="4" t="str">
        <f>VLOOKUP(J1150,Diagnosis_Guide!$A:$C,3,0)</f>
        <v>Infectious/General</v>
      </c>
      <c r="AD1150" s="4" t="str">
        <f>VLOOKUP(R1150,Insurance_Plans!$A:$C,3,0)</f>
        <v>Public</v>
      </c>
      <c r="AE1150" s="13" t="str">
        <f t="shared" si="51"/>
        <v/>
      </c>
      <c r="AF1150" s="13" t="str">
        <f t="shared" si="52"/>
        <v/>
      </c>
      <c r="AG1150" s="4" t="str">
        <f t="shared" si="53"/>
        <v>Not Available</v>
      </c>
    </row>
    <row r="1151" spans="1:33">
      <c r="A1151" t="s">
        <v>1888</v>
      </c>
      <c r="B1151" t="s">
        <v>1889</v>
      </c>
      <c r="C1151" s="11">
        <v>46116</v>
      </c>
      <c r="D1151" t="s">
        <v>330</v>
      </c>
      <c r="E1151" t="s">
        <v>70</v>
      </c>
      <c r="F1151" s="4">
        <v>46116</v>
      </c>
      <c r="G1151" s="4">
        <v>46124</v>
      </c>
      <c r="H1151" t="s">
        <v>178</v>
      </c>
      <c r="I1151" t="s">
        <v>415</v>
      </c>
      <c r="J1151" t="s">
        <v>340</v>
      </c>
      <c r="K1151" t="s">
        <v>73</v>
      </c>
      <c r="L1151" t="s">
        <v>61</v>
      </c>
      <c r="M1151" s="5">
        <v>75100</v>
      </c>
      <c r="N1151" s="5">
        <v>8150</v>
      </c>
      <c r="O1151" s="5">
        <v>16550</v>
      </c>
      <c r="P1151" s="5">
        <v>24000</v>
      </c>
      <c r="Q1151" s="13">
        <v>124600</v>
      </c>
      <c r="R1151" t="s">
        <v>95</v>
      </c>
      <c r="S1151" t="s">
        <v>63</v>
      </c>
      <c r="T1151" s="5">
        <v>124600</v>
      </c>
      <c r="U1151" s="6">
        <v>3</v>
      </c>
      <c r="V1151" t="s">
        <v>77</v>
      </c>
      <c r="W1151" s="4">
        <v>46138</v>
      </c>
      <c r="X1151" t="s">
        <v>77</v>
      </c>
      <c r="Y1151" t="s">
        <v>64</v>
      </c>
      <c r="Z1151" t="s">
        <v>96</v>
      </c>
      <c r="AA1151" t="str">
        <f>VLOOKUP(H1151,Departments!$A:$B,2,0)</f>
        <v>Surgery</v>
      </c>
      <c r="AB1151" t="str">
        <f>VLOOKUP(J1151,Diagnosis_Guide!$A:$B,2,0)</f>
        <v>Post-Operative Infection</v>
      </c>
      <c r="AC1151" s="4" t="str">
        <f>VLOOKUP(J1151,Diagnosis_Guide!$A:$C,3,0)</f>
        <v>Surgical</v>
      </c>
      <c r="AD1151" s="4" t="str">
        <f>VLOOKUP(R1151,Insurance_Plans!$A:$C,3,0)</f>
        <v>Self-Pay</v>
      </c>
      <c r="AE1151" s="13">
        <f t="shared" si="51"/>
        <v>6230</v>
      </c>
      <c r="AF1151" s="13">
        <f t="shared" si="52"/>
        <v>130830</v>
      </c>
      <c r="AG1151" s="4" t="str">
        <f t="shared" si="53"/>
        <v>Medium</v>
      </c>
    </row>
    <row r="1152" spans="1:33">
      <c r="A1152" t="s">
        <v>1890</v>
      </c>
      <c r="B1152" t="s">
        <v>1248</v>
      </c>
      <c r="C1152" s="11">
        <v>46112</v>
      </c>
      <c r="D1152" t="s">
        <v>439</v>
      </c>
      <c r="E1152" t="s">
        <v>70</v>
      </c>
      <c r="F1152" s="4">
        <v>46113</v>
      </c>
      <c r="G1152" s="4">
        <v>46113</v>
      </c>
      <c r="H1152" t="s">
        <v>82</v>
      </c>
      <c r="I1152" t="s">
        <v>155</v>
      </c>
      <c r="J1152" t="s">
        <v>84</v>
      </c>
      <c r="K1152" t="s">
        <v>60</v>
      </c>
      <c r="L1152" t="s">
        <v>61</v>
      </c>
      <c r="M1152" s="5">
        <v>8200</v>
      </c>
      <c r="N1152" s="5">
        <v>850</v>
      </c>
      <c r="O1152" s="5">
        <v>1200</v>
      </c>
      <c r="P1152" s="5">
        <v>0</v>
      </c>
      <c r="Q1152" s="13">
        <v>12750</v>
      </c>
      <c r="R1152" t="s">
        <v>106</v>
      </c>
      <c r="S1152" t="s">
        <v>76</v>
      </c>
      <c r="T1152" s="5">
        <v>5160</v>
      </c>
      <c r="U1152" s="6">
        <v>5</v>
      </c>
      <c r="V1152" t="s">
        <v>64</v>
      </c>
      <c r="W1152" s="4"/>
      <c r="X1152" t="s">
        <v>65</v>
      </c>
      <c r="Y1152" t="s">
        <v>64</v>
      </c>
      <c r="Z1152" t="s">
        <v>107</v>
      </c>
      <c r="AA1152" t="str">
        <f>VLOOKUP(H1152,Departments!$A:$B,2,0)</f>
        <v>Orthopedics</v>
      </c>
      <c r="AB1152" t="str">
        <f>VLOOKUP(J1152,Diagnosis_Guide!$A:$B,2,0)</f>
        <v>Joint Pain</v>
      </c>
      <c r="AC1152" s="4" t="str">
        <f>VLOOKUP(J1152,Diagnosis_Guide!$A:$C,3,0)</f>
        <v>Musculoskeletal</v>
      </c>
      <c r="AD1152" s="4" t="str">
        <f>VLOOKUP(R1152,Insurance_Plans!$A:$C,3,0)</f>
        <v>Private</v>
      </c>
      <c r="AE1152" s="13">
        <f t="shared" si="51"/>
        <v>637.5</v>
      </c>
      <c r="AF1152" s="13">
        <f t="shared" si="52"/>
        <v>13387.5</v>
      </c>
      <c r="AG1152" s="4" t="str">
        <f t="shared" si="53"/>
        <v>High</v>
      </c>
    </row>
    <row r="1153" spans="1:33">
      <c r="A1153" t="s">
        <v>1891</v>
      </c>
      <c r="B1153" t="s">
        <v>1870</v>
      </c>
      <c r="C1153" s="11">
        <v>46134</v>
      </c>
      <c r="D1153" t="s">
        <v>284</v>
      </c>
      <c r="E1153" t="s">
        <v>70</v>
      </c>
      <c r="F1153" s="4">
        <v>46134</v>
      </c>
      <c r="G1153" s="4">
        <v>46136</v>
      </c>
      <c r="H1153" t="s">
        <v>90</v>
      </c>
      <c r="I1153" t="s">
        <v>162</v>
      </c>
      <c r="J1153" t="s">
        <v>197</v>
      </c>
      <c r="K1153" t="s">
        <v>73</v>
      </c>
      <c r="L1153" t="s">
        <v>74</v>
      </c>
      <c r="M1153" s="5">
        <v>26300</v>
      </c>
      <c r="N1153" s="5">
        <v>4650</v>
      </c>
      <c r="O1153" s="5">
        <v>2950</v>
      </c>
      <c r="P1153" s="5">
        <v>12000</v>
      </c>
      <c r="Q1153" s="13">
        <v>47100</v>
      </c>
      <c r="R1153" t="s">
        <v>75</v>
      </c>
      <c r="S1153" t="s">
        <v>76</v>
      </c>
      <c r="T1153" s="5">
        <v>21490</v>
      </c>
      <c r="U1153" s="6">
        <v>4</v>
      </c>
      <c r="V1153" t="s">
        <v>64</v>
      </c>
      <c r="W1153" s="4"/>
      <c r="X1153" t="s">
        <v>65</v>
      </c>
      <c r="Y1153" t="s">
        <v>64</v>
      </c>
      <c r="Z1153" t="s">
        <v>107</v>
      </c>
      <c r="AA1153" t="str">
        <f>VLOOKUP(H1153,Departments!$A:$B,2,0)</f>
        <v>Cardiology</v>
      </c>
      <c r="AB1153" t="str">
        <f>VLOOKUP(J1153,Diagnosis_Guide!$A:$B,2,0)</f>
        <v>Chest Pain</v>
      </c>
      <c r="AC1153" s="4" t="str">
        <f>VLOOKUP(J1153,Diagnosis_Guide!$A:$C,3,0)</f>
        <v>Cardiovascular</v>
      </c>
      <c r="AD1153" s="4" t="str">
        <f>VLOOKUP(R1153,Insurance_Plans!$A:$C,3,0)</f>
        <v>Public</v>
      </c>
      <c r="AE1153" s="13">
        <f t="shared" si="51"/>
        <v>2355</v>
      </c>
      <c r="AF1153" s="13">
        <f t="shared" si="52"/>
        <v>49455</v>
      </c>
      <c r="AG1153" s="4" t="str">
        <f t="shared" si="53"/>
        <v>High</v>
      </c>
    </row>
    <row r="1154" spans="1:33">
      <c r="A1154" t="s">
        <v>1892</v>
      </c>
      <c r="B1154" t="s">
        <v>495</v>
      </c>
      <c r="C1154" s="11">
        <v>46092</v>
      </c>
      <c r="D1154" t="s">
        <v>337</v>
      </c>
      <c r="E1154" t="s">
        <v>70</v>
      </c>
      <c r="F1154" s="4">
        <v>46093</v>
      </c>
      <c r="G1154" s="4">
        <v>46094</v>
      </c>
      <c r="H1154" t="s">
        <v>90</v>
      </c>
      <c r="I1154" t="s">
        <v>162</v>
      </c>
      <c r="J1154" t="s">
        <v>197</v>
      </c>
      <c r="K1154" t="s">
        <v>124</v>
      </c>
      <c r="L1154" t="s">
        <v>146</v>
      </c>
      <c r="M1154" s="5">
        <v>21600</v>
      </c>
      <c r="N1154" s="5">
        <v>3000</v>
      </c>
      <c r="O1154" s="5">
        <v>2750</v>
      </c>
      <c r="P1154" s="5">
        <v>2500</v>
      </c>
      <c r="Q1154" s="13">
        <v>31050</v>
      </c>
      <c r="R1154" t="s">
        <v>95</v>
      </c>
      <c r="S1154" t="s">
        <v>63</v>
      </c>
      <c r="T1154" s="5">
        <v>31050</v>
      </c>
      <c r="U1154" s="6">
        <v>5</v>
      </c>
      <c r="V1154" t="s">
        <v>77</v>
      </c>
      <c r="W1154" s="4">
        <v>46103</v>
      </c>
      <c r="X1154" t="s">
        <v>77</v>
      </c>
      <c r="Y1154" t="s">
        <v>64</v>
      </c>
      <c r="Z1154" t="s">
        <v>78</v>
      </c>
      <c r="AA1154" t="str">
        <f>VLOOKUP(H1154,Departments!$A:$B,2,0)</f>
        <v>Cardiology</v>
      </c>
      <c r="AB1154" t="str">
        <f>VLOOKUP(J1154,Diagnosis_Guide!$A:$B,2,0)</f>
        <v>Chest Pain</v>
      </c>
      <c r="AC1154" s="4" t="str">
        <f>VLOOKUP(J1154,Diagnosis_Guide!$A:$C,3,0)</f>
        <v>Cardiovascular</v>
      </c>
      <c r="AD1154" s="4" t="str">
        <f>VLOOKUP(R1154,Insurance_Plans!$A:$C,3,0)</f>
        <v>Self-Pay</v>
      </c>
      <c r="AE1154" s="13">
        <f t="shared" ref="AE1154:AE1217" si="54">IF(Q1154="","",Q1154*0.05)</f>
        <v>1552.5</v>
      </c>
      <c r="AF1154" s="13">
        <f t="shared" ref="AF1154:AF1217" si="55">IF(Q1154="","",Q1154+AE1154)</f>
        <v>32602.5</v>
      </c>
      <c r="AG1154" s="4" t="str">
        <f t="shared" ref="AG1154:AG1217" si="56">IF(U1154="","Not Available",IF(U1154&gt;=4,"High",IF(U1154=3,"Medium","Low")))</f>
        <v>High</v>
      </c>
    </row>
    <row r="1155" spans="1:33">
      <c r="A1155" t="s">
        <v>1893</v>
      </c>
      <c r="B1155" t="s">
        <v>1894</v>
      </c>
      <c r="C1155" s="11">
        <v>46031</v>
      </c>
      <c r="D1155" t="s">
        <v>206</v>
      </c>
      <c r="E1155" t="s">
        <v>314</v>
      </c>
      <c r="F1155" s="4"/>
      <c r="G1155" s="4"/>
      <c r="H1155" t="s">
        <v>138</v>
      </c>
      <c r="I1155" t="s">
        <v>260</v>
      </c>
      <c r="J1155" t="s">
        <v>236</v>
      </c>
      <c r="K1155" t="s">
        <v>60</v>
      </c>
      <c r="L1155" t="s">
        <v>94</v>
      </c>
      <c r="M1155" s="5"/>
      <c r="N1155" s="5"/>
      <c r="O1155" s="5"/>
      <c r="P1155" s="5"/>
      <c r="R1155" t="s">
        <v>95</v>
      </c>
      <c r="S1155" t="s">
        <v>63</v>
      </c>
      <c r="T1155" s="5"/>
      <c r="U1155" s="6"/>
      <c r="V1155" t="s">
        <v>64</v>
      </c>
      <c r="W1155" s="4"/>
      <c r="X1155" t="s">
        <v>65</v>
      </c>
      <c r="Z1155" t="s">
        <v>66</v>
      </c>
      <c r="AA1155" t="str">
        <f>VLOOKUP(H1155,Departments!$A:$B,2,0)</f>
        <v>Pediatrics</v>
      </c>
      <c r="AB1155" t="str">
        <f>VLOOKUP(J1155,Diagnosis_Guide!$A:$B,2,0)</f>
        <v>Neonatal Observation</v>
      </c>
      <c r="AC1155" s="4" t="str">
        <f>VLOOKUP(J1155,Diagnosis_Guide!$A:$C,3,0)</f>
        <v>Pediatric</v>
      </c>
      <c r="AD1155" s="4" t="str">
        <f>VLOOKUP(R1155,Insurance_Plans!$A:$C,3,0)</f>
        <v>Self-Pay</v>
      </c>
      <c r="AE1155" s="13" t="str">
        <f t="shared" si="54"/>
        <v/>
      </c>
      <c r="AF1155" s="13" t="str">
        <f t="shared" si="55"/>
        <v/>
      </c>
      <c r="AG1155" s="4" t="str">
        <f t="shared" si="56"/>
        <v>Not Available</v>
      </c>
    </row>
    <row r="1156" spans="1:33">
      <c r="A1156" t="s">
        <v>1895</v>
      </c>
      <c r="B1156" t="s">
        <v>131</v>
      </c>
      <c r="C1156" s="11">
        <v>46048</v>
      </c>
      <c r="D1156" t="s">
        <v>99</v>
      </c>
      <c r="E1156" t="s">
        <v>70</v>
      </c>
      <c r="F1156" s="4">
        <v>46048</v>
      </c>
      <c r="G1156" s="4">
        <v>46048</v>
      </c>
      <c r="H1156" t="s">
        <v>90</v>
      </c>
      <c r="I1156" t="s">
        <v>162</v>
      </c>
      <c r="J1156" t="s">
        <v>92</v>
      </c>
      <c r="K1156" t="s">
        <v>60</v>
      </c>
      <c r="L1156" t="s">
        <v>74</v>
      </c>
      <c r="M1156" s="5">
        <v>43500</v>
      </c>
      <c r="N1156" s="5">
        <v>4850</v>
      </c>
      <c r="O1156" s="5">
        <v>8950</v>
      </c>
      <c r="P1156" s="5">
        <v>0</v>
      </c>
      <c r="Q1156" s="13">
        <v>58500</v>
      </c>
      <c r="R1156" t="s">
        <v>106</v>
      </c>
      <c r="S1156" t="s">
        <v>76</v>
      </c>
      <c r="T1156" s="5">
        <v>21180</v>
      </c>
      <c r="U1156" s="6">
        <v>5</v>
      </c>
      <c r="V1156" t="s">
        <v>77</v>
      </c>
      <c r="W1156" s="4">
        <v>46068</v>
      </c>
      <c r="X1156" t="s">
        <v>77</v>
      </c>
      <c r="Y1156" t="s">
        <v>64</v>
      </c>
      <c r="Z1156" t="s">
        <v>96</v>
      </c>
      <c r="AA1156" t="str">
        <f>VLOOKUP(H1156,Departments!$A:$B,2,0)</f>
        <v>Cardiology</v>
      </c>
      <c r="AB1156" t="str">
        <f>VLOOKUP(J1156,Diagnosis_Guide!$A:$B,2,0)</f>
        <v>Heart Failure</v>
      </c>
      <c r="AC1156" s="4" t="str">
        <f>VLOOKUP(J1156,Diagnosis_Guide!$A:$C,3,0)</f>
        <v>Cardiovascular</v>
      </c>
      <c r="AD1156" s="4" t="str">
        <f>VLOOKUP(R1156,Insurance_Plans!$A:$C,3,0)</f>
        <v>Private</v>
      </c>
      <c r="AE1156" s="13">
        <f t="shared" si="54"/>
        <v>2925</v>
      </c>
      <c r="AF1156" s="13">
        <f t="shared" si="55"/>
        <v>61425</v>
      </c>
      <c r="AG1156" s="4" t="str">
        <f t="shared" si="56"/>
        <v>High</v>
      </c>
    </row>
    <row r="1157" spans="1:33">
      <c r="A1157" t="s">
        <v>1896</v>
      </c>
      <c r="B1157" t="s">
        <v>1863</v>
      </c>
      <c r="C1157" s="11">
        <v>46060</v>
      </c>
      <c r="D1157" t="s">
        <v>137</v>
      </c>
      <c r="E1157" t="s">
        <v>70</v>
      </c>
      <c r="F1157" s="4">
        <v>46060</v>
      </c>
      <c r="G1157" s="4">
        <v>46066</v>
      </c>
      <c r="H1157" t="s">
        <v>90</v>
      </c>
      <c r="I1157" t="s">
        <v>299</v>
      </c>
      <c r="J1157" t="s">
        <v>92</v>
      </c>
      <c r="K1157" t="s">
        <v>93</v>
      </c>
      <c r="L1157" t="s">
        <v>61</v>
      </c>
      <c r="M1157" s="5">
        <v>59900</v>
      </c>
      <c r="N1157" s="5">
        <v>5800</v>
      </c>
      <c r="O1157" s="5">
        <v>14050</v>
      </c>
      <c r="P1157" s="5">
        <v>18000</v>
      </c>
      <c r="Q1157" s="13">
        <v>99250</v>
      </c>
      <c r="R1157" t="s">
        <v>95</v>
      </c>
      <c r="S1157" t="s">
        <v>63</v>
      </c>
      <c r="T1157" s="5">
        <v>99250</v>
      </c>
      <c r="U1157" s="6">
        <v>4</v>
      </c>
      <c r="V1157" t="s">
        <v>64</v>
      </c>
      <c r="W1157" s="4"/>
      <c r="X1157" t="s">
        <v>65</v>
      </c>
      <c r="Y1157" t="s">
        <v>64</v>
      </c>
      <c r="Z1157" t="s">
        <v>78</v>
      </c>
      <c r="AA1157" t="str">
        <f>VLOOKUP(H1157,Departments!$A:$B,2,0)</f>
        <v>Cardiology</v>
      </c>
      <c r="AB1157" t="str">
        <f>VLOOKUP(J1157,Diagnosis_Guide!$A:$B,2,0)</f>
        <v>Heart Failure</v>
      </c>
      <c r="AC1157" s="4" t="str">
        <f>VLOOKUP(J1157,Diagnosis_Guide!$A:$C,3,0)</f>
        <v>Cardiovascular</v>
      </c>
      <c r="AD1157" s="4" t="str">
        <f>VLOOKUP(R1157,Insurance_Plans!$A:$C,3,0)</f>
        <v>Self-Pay</v>
      </c>
      <c r="AE1157" s="13">
        <f t="shared" si="54"/>
        <v>4962.5</v>
      </c>
      <c r="AF1157" s="13">
        <f t="shared" si="55"/>
        <v>104212.5</v>
      </c>
      <c r="AG1157" s="4" t="str">
        <f t="shared" si="56"/>
        <v>High</v>
      </c>
    </row>
    <row r="1158" spans="1:33">
      <c r="A1158" t="s">
        <v>1897</v>
      </c>
      <c r="B1158" t="s">
        <v>583</v>
      </c>
      <c r="C1158" s="11">
        <v>46118</v>
      </c>
      <c r="D1158" t="s">
        <v>120</v>
      </c>
      <c r="E1158" t="s">
        <v>70</v>
      </c>
      <c r="F1158" s="4">
        <v>46118</v>
      </c>
      <c r="G1158" s="4">
        <v>46122</v>
      </c>
      <c r="H1158" t="s">
        <v>178</v>
      </c>
      <c r="I1158" t="s">
        <v>622</v>
      </c>
      <c r="J1158" t="s">
        <v>358</v>
      </c>
      <c r="K1158" t="s">
        <v>73</v>
      </c>
      <c r="L1158" t="s">
        <v>146</v>
      </c>
      <c r="M1158" s="5">
        <v>36300</v>
      </c>
      <c r="N1158" s="5">
        <v>5450</v>
      </c>
      <c r="O1158" s="5">
        <v>8950</v>
      </c>
      <c r="P1158" s="5">
        <v>14000</v>
      </c>
      <c r="Q1158" s="13">
        <v>66200</v>
      </c>
      <c r="R1158" t="s">
        <v>95</v>
      </c>
      <c r="S1158" t="s">
        <v>63</v>
      </c>
      <c r="T1158" s="5">
        <v>66200</v>
      </c>
      <c r="U1158" s="6">
        <v>5</v>
      </c>
      <c r="V1158" t="s">
        <v>64</v>
      </c>
      <c r="W1158" s="4"/>
      <c r="X1158" t="s">
        <v>65</v>
      </c>
      <c r="Y1158" t="s">
        <v>64</v>
      </c>
      <c r="Z1158" t="s">
        <v>96</v>
      </c>
      <c r="AA1158" t="str">
        <f>VLOOKUP(H1158,Departments!$A:$B,2,0)</f>
        <v>Surgery</v>
      </c>
      <c r="AB1158" t="str">
        <f>VLOOKUP(J1158,Diagnosis_Guide!$A:$B,2,0)</f>
        <v>Gallbladder Surgery</v>
      </c>
      <c r="AC1158" s="4" t="str">
        <f>VLOOKUP(J1158,Diagnosis_Guide!$A:$C,3,0)</f>
        <v>Surgical</v>
      </c>
      <c r="AD1158" s="4" t="str">
        <f>VLOOKUP(R1158,Insurance_Plans!$A:$C,3,0)</f>
        <v>Self-Pay</v>
      </c>
      <c r="AE1158" s="13">
        <f t="shared" si="54"/>
        <v>3310</v>
      </c>
      <c r="AF1158" s="13">
        <f t="shared" si="55"/>
        <v>69510</v>
      </c>
      <c r="AG1158" s="4" t="str">
        <f t="shared" si="56"/>
        <v>High</v>
      </c>
    </row>
    <row r="1159" spans="1:33">
      <c r="A1159" t="s">
        <v>1898</v>
      </c>
      <c r="B1159" t="s">
        <v>434</v>
      </c>
      <c r="C1159" s="11">
        <v>46030</v>
      </c>
      <c r="D1159" t="s">
        <v>337</v>
      </c>
      <c r="E1159" t="s">
        <v>70</v>
      </c>
      <c r="F1159" s="4">
        <v>46030</v>
      </c>
      <c r="G1159" s="4">
        <v>46031</v>
      </c>
      <c r="H1159" t="s">
        <v>111</v>
      </c>
      <c r="I1159" t="s">
        <v>222</v>
      </c>
      <c r="J1159" t="s">
        <v>117</v>
      </c>
      <c r="K1159" t="s">
        <v>60</v>
      </c>
      <c r="L1159" t="s">
        <v>74</v>
      </c>
      <c r="M1159" s="5">
        <v>7400</v>
      </c>
      <c r="N1159" s="5">
        <v>850</v>
      </c>
      <c r="O1159" s="5">
        <v>950</v>
      </c>
      <c r="P1159" s="5">
        <v>3500</v>
      </c>
      <c r="Q1159" s="13">
        <v>13700</v>
      </c>
      <c r="R1159" t="s">
        <v>141</v>
      </c>
      <c r="S1159" t="s">
        <v>76</v>
      </c>
      <c r="T1159" s="5">
        <v>3260</v>
      </c>
      <c r="U1159" s="6"/>
      <c r="V1159" t="s">
        <v>64</v>
      </c>
      <c r="W1159" s="4"/>
      <c r="X1159" t="s">
        <v>65</v>
      </c>
      <c r="Y1159" t="s">
        <v>64</v>
      </c>
      <c r="Z1159" t="s">
        <v>96</v>
      </c>
      <c r="AA1159" t="str">
        <f>VLOOKUP(H1159,Departments!$A:$B,2,0)</f>
        <v>General Medicine</v>
      </c>
      <c r="AB1159" t="str">
        <f>VLOOKUP(J1159,Diagnosis_Guide!$A:$B,2,0)</f>
        <v>Fever Investigation</v>
      </c>
      <c r="AC1159" s="4" t="str">
        <f>VLOOKUP(J1159,Diagnosis_Guide!$A:$C,3,0)</f>
        <v>Infectious/General</v>
      </c>
      <c r="AD1159" s="4" t="str">
        <f>VLOOKUP(R1159,Insurance_Plans!$A:$C,3,0)</f>
        <v>Private</v>
      </c>
      <c r="AE1159" s="13">
        <f t="shared" si="54"/>
        <v>685</v>
      </c>
      <c r="AF1159" s="13">
        <f t="shared" si="55"/>
        <v>14385</v>
      </c>
      <c r="AG1159" s="4" t="str">
        <f t="shared" si="56"/>
        <v>Not Available</v>
      </c>
    </row>
    <row r="1160" spans="1:33">
      <c r="A1160" t="s">
        <v>1899</v>
      </c>
      <c r="B1160" t="s">
        <v>988</v>
      </c>
      <c r="C1160" s="11">
        <v>46069</v>
      </c>
      <c r="D1160" t="s">
        <v>132</v>
      </c>
      <c r="E1160" t="s">
        <v>70</v>
      </c>
      <c r="F1160" s="4">
        <v>46069</v>
      </c>
      <c r="G1160" s="4">
        <v>46073</v>
      </c>
      <c r="H1160" t="s">
        <v>111</v>
      </c>
      <c r="I1160" t="s">
        <v>116</v>
      </c>
      <c r="J1160" t="s">
        <v>384</v>
      </c>
      <c r="K1160" t="s">
        <v>124</v>
      </c>
      <c r="L1160" t="s">
        <v>74</v>
      </c>
      <c r="M1160" s="5">
        <v>80900</v>
      </c>
      <c r="N1160" s="5">
        <v>11800</v>
      </c>
      <c r="O1160" s="5">
        <v>17650</v>
      </c>
      <c r="P1160" s="5">
        <v>10000</v>
      </c>
      <c r="Q1160" s="13">
        <v>121150</v>
      </c>
      <c r="R1160" t="s">
        <v>75</v>
      </c>
      <c r="S1160" t="s">
        <v>76</v>
      </c>
      <c r="T1160" s="5">
        <v>54820</v>
      </c>
      <c r="U1160" s="6">
        <v>4</v>
      </c>
      <c r="V1160" t="s">
        <v>77</v>
      </c>
      <c r="W1160" s="4">
        <v>46081</v>
      </c>
      <c r="X1160" t="s">
        <v>77</v>
      </c>
      <c r="Y1160" t="s">
        <v>64</v>
      </c>
      <c r="Z1160" t="s">
        <v>96</v>
      </c>
      <c r="AA1160" t="str">
        <f>VLOOKUP(H1160,Departments!$A:$B,2,0)</f>
        <v>General Medicine</v>
      </c>
      <c r="AB1160" t="str">
        <f>VLOOKUP(J1160,Diagnosis_Guide!$A:$B,2,0)</f>
        <v>Severe Infection</v>
      </c>
      <c r="AC1160" s="4" t="str">
        <f>VLOOKUP(J1160,Diagnosis_Guide!$A:$C,3,0)</f>
        <v>Infectious/General</v>
      </c>
      <c r="AD1160" s="4" t="str">
        <f>VLOOKUP(R1160,Insurance_Plans!$A:$C,3,0)</f>
        <v>Public</v>
      </c>
      <c r="AE1160" s="13">
        <f t="shared" si="54"/>
        <v>6057.5</v>
      </c>
      <c r="AF1160" s="13">
        <f t="shared" si="55"/>
        <v>127207.5</v>
      </c>
      <c r="AG1160" s="4" t="str">
        <f t="shared" si="56"/>
        <v>High</v>
      </c>
    </row>
    <row r="1161" spans="1:33">
      <c r="A1161" t="s">
        <v>1900</v>
      </c>
      <c r="B1161" t="s">
        <v>1170</v>
      </c>
      <c r="C1161" s="11">
        <v>46142</v>
      </c>
      <c r="D1161" t="s">
        <v>225</v>
      </c>
      <c r="E1161" t="s">
        <v>56</v>
      </c>
      <c r="F1161" s="4"/>
      <c r="G1161" s="4"/>
      <c r="H1161" t="s">
        <v>150</v>
      </c>
      <c r="I1161" t="s">
        <v>304</v>
      </c>
      <c r="J1161" t="s">
        <v>188</v>
      </c>
      <c r="K1161" t="s">
        <v>73</v>
      </c>
      <c r="L1161" t="s">
        <v>74</v>
      </c>
      <c r="M1161" s="5"/>
      <c r="N1161" s="5"/>
      <c r="O1161" s="5"/>
      <c r="P1161" s="5"/>
      <c r="R1161" t="s">
        <v>106</v>
      </c>
      <c r="S1161" t="s">
        <v>63</v>
      </c>
      <c r="T1161" s="5"/>
      <c r="U1161" s="6"/>
      <c r="V1161" t="s">
        <v>64</v>
      </c>
      <c r="W1161" s="4"/>
      <c r="X1161" t="s">
        <v>65</v>
      </c>
      <c r="Z1161" t="s">
        <v>66</v>
      </c>
      <c r="AA1161" t="str">
        <f>VLOOKUP(H1161,Departments!$A:$B,2,0)</f>
        <v>Obstetrics</v>
      </c>
      <c r="AB1161" t="str">
        <f>VLOOKUP(J1161,Diagnosis_Guide!$A:$B,2,0)</f>
        <v>Emergency C-Section</v>
      </c>
      <c r="AC1161" s="4" t="str">
        <f>VLOOKUP(J1161,Diagnosis_Guide!$A:$C,3,0)</f>
        <v>Maternal Health</v>
      </c>
      <c r="AD1161" s="4" t="str">
        <f>VLOOKUP(R1161,Insurance_Plans!$A:$C,3,0)</f>
        <v>Private</v>
      </c>
      <c r="AE1161" s="13" t="str">
        <f t="shared" si="54"/>
        <v/>
      </c>
      <c r="AF1161" s="13" t="str">
        <f t="shared" si="55"/>
        <v/>
      </c>
      <c r="AG1161" s="4" t="str">
        <f t="shared" si="56"/>
        <v>Not Available</v>
      </c>
    </row>
    <row r="1162" spans="1:33">
      <c r="A1162" t="s">
        <v>1901</v>
      </c>
      <c r="B1162" t="s">
        <v>322</v>
      </c>
      <c r="C1162" s="11">
        <v>46157</v>
      </c>
      <c r="D1162" t="s">
        <v>266</v>
      </c>
      <c r="E1162" t="s">
        <v>314</v>
      </c>
      <c r="F1162" s="4"/>
      <c r="G1162" s="4"/>
      <c r="H1162" t="s">
        <v>90</v>
      </c>
      <c r="I1162" t="s">
        <v>299</v>
      </c>
      <c r="J1162" t="s">
        <v>92</v>
      </c>
      <c r="K1162" t="s">
        <v>124</v>
      </c>
      <c r="L1162" t="s">
        <v>61</v>
      </c>
      <c r="M1162" s="5"/>
      <c r="N1162" s="5"/>
      <c r="O1162" s="5"/>
      <c r="P1162" s="5"/>
      <c r="R1162" t="s">
        <v>62</v>
      </c>
      <c r="S1162" t="s">
        <v>63</v>
      </c>
      <c r="T1162" s="5"/>
      <c r="U1162" s="6"/>
      <c r="V1162" t="s">
        <v>64</v>
      </c>
      <c r="W1162" s="4"/>
      <c r="X1162" t="s">
        <v>65</v>
      </c>
      <c r="Z1162" t="s">
        <v>66</v>
      </c>
      <c r="AA1162" t="str">
        <f>VLOOKUP(H1162,Departments!$A:$B,2,0)</f>
        <v>Cardiology</v>
      </c>
      <c r="AB1162" t="str">
        <f>VLOOKUP(J1162,Diagnosis_Guide!$A:$B,2,0)</f>
        <v>Heart Failure</v>
      </c>
      <c r="AC1162" s="4" t="str">
        <f>VLOOKUP(J1162,Diagnosis_Guide!$A:$C,3,0)</f>
        <v>Cardiovascular</v>
      </c>
      <c r="AD1162" s="4" t="str">
        <f>VLOOKUP(R1162,Insurance_Plans!$A:$C,3,0)</f>
        <v>Public</v>
      </c>
      <c r="AE1162" s="13" t="str">
        <f t="shared" si="54"/>
        <v/>
      </c>
      <c r="AF1162" s="13" t="str">
        <f t="shared" si="55"/>
        <v/>
      </c>
      <c r="AG1162" s="4" t="str">
        <f t="shared" si="56"/>
        <v>Not Available</v>
      </c>
    </row>
    <row r="1163" spans="1:33">
      <c r="A1163" t="s">
        <v>1902</v>
      </c>
      <c r="B1163" t="s">
        <v>1903</v>
      </c>
      <c r="C1163" s="11">
        <v>46152</v>
      </c>
      <c r="D1163" t="s">
        <v>217</v>
      </c>
      <c r="E1163" t="s">
        <v>70</v>
      </c>
      <c r="F1163" s="4">
        <v>46153</v>
      </c>
      <c r="G1163" s="4">
        <v>46153</v>
      </c>
      <c r="H1163" t="s">
        <v>121</v>
      </c>
      <c r="I1163" t="s">
        <v>174</v>
      </c>
      <c r="J1163" t="s">
        <v>256</v>
      </c>
      <c r="K1163" t="s">
        <v>60</v>
      </c>
      <c r="L1163" t="s">
        <v>94</v>
      </c>
      <c r="M1163" s="5">
        <v>15400</v>
      </c>
      <c r="N1163" s="5">
        <v>1700</v>
      </c>
      <c r="O1163" s="5">
        <v>2900</v>
      </c>
      <c r="P1163" s="5">
        <v>0</v>
      </c>
      <c r="Q1163" s="13">
        <v>21800</v>
      </c>
      <c r="R1163" t="s">
        <v>106</v>
      </c>
      <c r="S1163" t="s">
        <v>86</v>
      </c>
      <c r="T1163" s="5">
        <v>8330</v>
      </c>
      <c r="U1163" s="6">
        <v>5</v>
      </c>
      <c r="V1163" t="s">
        <v>64</v>
      </c>
      <c r="W1163" s="4"/>
      <c r="X1163" t="s">
        <v>65</v>
      </c>
      <c r="Y1163" t="s">
        <v>64</v>
      </c>
      <c r="Z1163" t="s">
        <v>96</v>
      </c>
      <c r="AA1163" t="str">
        <f>VLOOKUP(H1163,Departments!$A:$B,2,0)</f>
        <v>Neurology</v>
      </c>
      <c r="AB1163" t="str">
        <f>VLOOKUP(J1163,Diagnosis_Guide!$A:$B,2,0)</f>
        <v>Migraine Complication</v>
      </c>
      <c r="AC1163" s="4" t="str">
        <f>VLOOKUP(J1163,Diagnosis_Guide!$A:$C,3,0)</f>
        <v>Neurological</v>
      </c>
      <c r="AD1163" s="4" t="str">
        <f>VLOOKUP(R1163,Insurance_Plans!$A:$C,3,0)</f>
        <v>Private</v>
      </c>
      <c r="AE1163" s="13">
        <f t="shared" si="54"/>
        <v>1090</v>
      </c>
      <c r="AF1163" s="13">
        <f t="shared" si="55"/>
        <v>22890</v>
      </c>
      <c r="AG1163" s="4" t="str">
        <f t="shared" si="56"/>
        <v>High</v>
      </c>
    </row>
    <row r="1164" spans="1:33">
      <c r="A1164" t="s">
        <v>1904</v>
      </c>
      <c r="B1164" t="s">
        <v>567</v>
      </c>
      <c r="C1164" s="11">
        <v>46168</v>
      </c>
      <c r="D1164" t="s">
        <v>383</v>
      </c>
      <c r="E1164" t="s">
        <v>70</v>
      </c>
      <c r="F1164" s="4">
        <v>46168</v>
      </c>
      <c r="G1164" s="4">
        <v>46176</v>
      </c>
      <c r="H1164" t="s">
        <v>111</v>
      </c>
      <c r="I1164" t="s">
        <v>116</v>
      </c>
      <c r="J1164" t="s">
        <v>384</v>
      </c>
      <c r="K1164" t="s">
        <v>124</v>
      </c>
      <c r="L1164" t="s">
        <v>94</v>
      </c>
      <c r="M1164" s="5">
        <v>49900</v>
      </c>
      <c r="N1164" s="5">
        <v>6100</v>
      </c>
      <c r="O1164" s="5">
        <v>10600</v>
      </c>
      <c r="P1164" s="5">
        <v>48000</v>
      </c>
      <c r="Q1164" s="13">
        <v>115400</v>
      </c>
      <c r="R1164" t="s">
        <v>141</v>
      </c>
      <c r="S1164" t="s">
        <v>76</v>
      </c>
      <c r="T1164" s="5">
        <v>18510</v>
      </c>
      <c r="U1164" s="6">
        <v>3</v>
      </c>
      <c r="V1164" t="s">
        <v>77</v>
      </c>
      <c r="W1164" s="4">
        <v>46184</v>
      </c>
      <c r="X1164" t="s">
        <v>77</v>
      </c>
      <c r="Y1164" t="s">
        <v>64</v>
      </c>
      <c r="Z1164" t="s">
        <v>96</v>
      </c>
      <c r="AA1164" t="str">
        <f>VLOOKUP(H1164,Departments!$A:$B,2,0)</f>
        <v>General Medicine</v>
      </c>
      <c r="AB1164" t="str">
        <f>VLOOKUP(J1164,Diagnosis_Guide!$A:$B,2,0)</f>
        <v>Severe Infection</v>
      </c>
      <c r="AC1164" s="4" t="str">
        <f>VLOOKUP(J1164,Diagnosis_Guide!$A:$C,3,0)</f>
        <v>Infectious/General</v>
      </c>
      <c r="AD1164" s="4" t="str">
        <f>VLOOKUP(R1164,Insurance_Plans!$A:$C,3,0)</f>
        <v>Private</v>
      </c>
      <c r="AE1164" s="13">
        <f t="shared" si="54"/>
        <v>5770</v>
      </c>
      <c r="AF1164" s="13">
        <f t="shared" si="55"/>
        <v>121170</v>
      </c>
      <c r="AG1164" s="4" t="str">
        <f t="shared" si="56"/>
        <v>Medium</v>
      </c>
    </row>
    <row r="1165" spans="1:33">
      <c r="A1165" t="s">
        <v>1905</v>
      </c>
      <c r="B1165" t="s">
        <v>1906</v>
      </c>
      <c r="C1165" s="11">
        <v>46108</v>
      </c>
      <c r="D1165" t="s">
        <v>337</v>
      </c>
      <c r="E1165" t="s">
        <v>70</v>
      </c>
      <c r="F1165" s="4">
        <v>46109</v>
      </c>
      <c r="G1165" s="4">
        <v>46114</v>
      </c>
      <c r="H1165" t="s">
        <v>178</v>
      </c>
      <c r="I1165" t="s">
        <v>218</v>
      </c>
      <c r="J1165" t="s">
        <v>180</v>
      </c>
      <c r="K1165" t="s">
        <v>93</v>
      </c>
      <c r="L1165" t="s">
        <v>94</v>
      </c>
      <c r="M1165" s="5">
        <v>77400</v>
      </c>
      <c r="N1165" s="5">
        <v>10950</v>
      </c>
      <c r="O1165" s="5">
        <v>8450</v>
      </c>
      <c r="P1165" s="5">
        <v>22500</v>
      </c>
      <c r="Q1165" s="13">
        <v>120800</v>
      </c>
      <c r="R1165" t="s">
        <v>62</v>
      </c>
      <c r="S1165" t="s">
        <v>76</v>
      </c>
      <c r="T1165" s="5">
        <v>36640</v>
      </c>
      <c r="U1165" s="6">
        <v>5</v>
      </c>
      <c r="V1165" t="s">
        <v>77</v>
      </c>
      <c r="W1165" s="4">
        <v>46123</v>
      </c>
      <c r="X1165" t="s">
        <v>77</v>
      </c>
      <c r="Y1165" t="s">
        <v>64</v>
      </c>
      <c r="Z1165" t="s">
        <v>78</v>
      </c>
      <c r="AA1165" t="str">
        <f>VLOOKUP(H1165,Departments!$A:$B,2,0)</f>
        <v>Surgery</v>
      </c>
      <c r="AB1165" t="str">
        <f>VLOOKUP(J1165,Diagnosis_Guide!$A:$B,2,0)</f>
        <v>Appendicitis Surgery</v>
      </c>
      <c r="AC1165" s="4" t="str">
        <f>VLOOKUP(J1165,Diagnosis_Guide!$A:$C,3,0)</f>
        <v>Surgical</v>
      </c>
      <c r="AD1165" s="4" t="str">
        <f>VLOOKUP(R1165,Insurance_Plans!$A:$C,3,0)</f>
        <v>Public</v>
      </c>
      <c r="AE1165" s="13">
        <f t="shared" si="54"/>
        <v>6040</v>
      </c>
      <c r="AF1165" s="13">
        <f t="shared" si="55"/>
        <v>126840</v>
      </c>
      <c r="AG1165" s="4" t="str">
        <f t="shared" si="56"/>
        <v>High</v>
      </c>
    </row>
    <row r="1166" spans="1:33">
      <c r="A1166" t="s">
        <v>1907</v>
      </c>
      <c r="B1166" t="s">
        <v>1191</v>
      </c>
      <c r="C1166" s="11">
        <v>46085</v>
      </c>
      <c r="D1166" t="s">
        <v>284</v>
      </c>
      <c r="E1166" t="s">
        <v>70</v>
      </c>
      <c r="F1166" s="4">
        <v>46085</v>
      </c>
      <c r="G1166" s="4">
        <v>46085</v>
      </c>
      <c r="H1166" t="s">
        <v>82</v>
      </c>
      <c r="I1166" t="s">
        <v>194</v>
      </c>
      <c r="J1166" t="s">
        <v>291</v>
      </c>
      <c r="K1166" t="s">
        <v>60</v>
      </c>
      <c r="L1166" t="s">
        <v>94</v>
      </c>
      <c r="M1166" s="5">
        <v>39200</v>
      </c>
      <c r="N1166" s="5">
        <v>6200</v>
      </c>
      <c r="O1166" s="5">
        <v>6100</v>
      </c>
      <c r="P1166" s="5">
        <v>0</v>
      </c>
      <c r="Q1166" s="13">
        <v>53300</v>
      </c>
      <c r="R1166" t="s">
        <v>106</v>
      </c>
      <c r="S1166" t="s">
        <v>86</v>
      </c>
      <c r="T1166" s="5">
        <v>19360</v>
      </c>
      <c r="U1166" s="6">
        <v>5</v>
      </c>
      <c r="V1166" t="s">
        <v>77</v>
      </c>
      <c r="W1166" s="4">
        <v>46103</v>
      </c>
      <c r="X1166" t="s">
        <v>77</v>
      </c>
      <c r="Y1166" t="s">
        <v>64</v>
      </c>
      <c r="Z1166" t="s">
        <v>436</v>
      </c>
      <c r="AA1166" t="str">
        <f>VLOOKUP(H1166,Departments!$A:$B,2,0)</f>
        <v>Orthopedics</v>
      </c>
      <c r="AB1166" t="str">
        <f>VLOOKUP(J1166,Diagnosis_Guide!$A:$B,2,0)</f>
        <v>Fracture Repair</v>
      </c>
      <c r="AC1166" s="4" t="str">
        <f>VLOOKUP(J1166,Diagnosis_Guide!$A:$C,3,0)</f>
        <v>Musculoskeletal</v>
      </c>
      <c r="AD1166" s="4" t="str">
        <f>VLOOKUP(R1166,Insurance_Plans!$A:$C,3,0)</f>
        <v>Private</v>
      </c>
      <c r="AE1166" s="13">
        <f t="shared" si="54"/>
        <v>2665</v>
      </c>
      <c r="AF1166" s="13">
        <f t="shared" si="55"/>
        <v>55965</v>
      </c>
      <c r="AG1166" s="4" t="str">
        <f t="shared" si="56"/>
        <v>High</v>
      </c>
    </row>
    <row r="1167" spans="1:33">
      <c r="A1167" t="s">
        <v>1908</v>
      </c>
      <c r="B1167" t="s">
        <v>934</v>
      </c>
      <c r="C1167" s="11">
        <v>46073</v>
      </c>
      <c r="D1167" t="s">
        <v>200</v>
      </c>
      <c r="E1167" t="s">
        <v>70</v>
      </c>
      <c r="F1167" s="4">
        <v>46073</v>
      </c>
      <c r="G1167" s="4">
        <v>46073</v>
      </c>
      <c r="H1167" t="s">
        <v>121</v>
      </c>
      <c r="I1167" t="s">
        <v>665</v>
      </c>
      <c r="J1167" t="s">
        <v>123</v>
      </c>
      <c r="K1167" t="s">
        <v>60</v>
      </c>
      <c r="L1167" t="s">
        <v>146</v>
      </c>
      <c r="M1167" s="5">
        <v>35800</v>
      </c>
      <c r="N1167" s="5">
        <v>6100</v>
      </c>
      <c r="O1167" s="5">
        <v>3600</v>
      </c>
      <c r="P1167" s="5">
        <v>0</v>
      </c>
      <c r="Q1167" s="13">
        <v>46500</v>
      </c>
      <c r="R1167" t="s">
        <v>106</v>
      </c>
      <c r="S1167" t="s">
        <v>76</v>
      </c>
      <c r="T1167" s="5">
        <v>16980</v>
      </c>
      <c r="U1167" s="6">
        <v>3</v>
      </c>
      <c r="V1167" t="s">
        <v>77</v>
      </c>
      <c r="W1167" s="4">
        <v>46092</v>
      </c>
      <c r="X1167" t="s">
        <v>64</v>
      </c>
      <c r="Y1167" t="s">
        <v>64</v>
      </c>
      <c r="Z1167" t="s">
        <v>436</v>
      </c>
      <c r="AA1167" t="str">
        <f>VLOOKUP(H1167,Departments!$A:$B,2,0)</f>
        <v>Neurology</v>
      </c>
      <c r="AB1167" t="str">
        <f>VLOOKUP(J1167,Diagnosis_Guide!$A:$B,2,0)</f>
        <v>Seizure Episode</v>
      </c>
      <c r="AC1167" s="4" t="str">
        <f>VLOOKUP(J1167,Diagnosis_Guide!$A:$C,3,0)</f>
        <v>Neurological</v>
      </c>
      <c r="AD1167" s="4" t="str">
        <f>VLOOKUP(R1167,Insurance_Plans!$A:$C,3,0)</f>
        <v>Private</v>
      </c>
      <c r="AE1167" s="13">
        <f t="shared" si="54"/>
        <v>2325</v>
      </c>
      <c r="AF1167" s="13">
        <f t="shared" si="55"/>
        <v>48825</v>
      </c>
      <c r="AG1167" s="4" t="str">
        <f t="shared" si="56"/>
        <v>Medium</v>
      </c>
    </row>
    <row r="1168" spans="1:33">
      <c r="A1168" t="s">
        <v>1909</v>
      </c>
      <c r="B1168" t="s">
        <v>799</v>
      </c>
      <c r="C1168" s="11">
        <v>46075</v>
      </c>
      <c r="D1168" t="s">
        <v>330</v>
      </c>
      <c r="E1168" t="s">
        <v>70</v>
      </c>
      <c r="F1168" s="4">
        <v>46075</v>
      </c>
      <c r="G1168" s="4">
        <v>46076</v>
      </c>
      <c r="H1168" t="s">
        <v>90</v>
      </c>
      <c r="I1168" t="s">
        <v>162</v>
      </c>
      <c r="J1168" t="s">
        <v>129</v>
      </c>
      <c r="K1168" t="s">
        <v>60</v>
      </c>
      <c r="L1168" t="s">
        <v>94</v>
      </c>
      <c r="M1168" s="5">
        <v>28100</v>
      </c>
      <c r="N1168" s="5">
        <v>4200</v>
      </c>
      <c r="O1168" s="5">
        <v>4900</v>
      </c>
      <c r="P1168" s="5">
        <v>2500</v>
      </c>
      <c r="Q1168" s="13">
        <v>40900</v>
      </c>
      <c r="R1168" t="s">
        <v>95</v>
      </c>
      <c r="S1168" t="s">
        <v>63</v>
      </c>
      <c r="T1168" s="5">
        <v>40900</v>
      </c>
      <c r="U1168" s="6"/>
      <c r="V1168" t="s">
        <v>77</v>
      </c>
      <c r="W1168" s="4">
        <v>46090</v>
      </c>
      <c r="X1168" t="s">
        <v>77</v>
      </c>
      <c r="Y1168" t="s">
        <v>64</v>
      </c>
      <c r="Z1168" t="s">
        <v>107</v>
      </c>
      <c r="AA1168" t="str">
        <f>VLOOKUP(H1168,Departments!$A:$B,2,0)</f>
        <v>Cardiology</v>
      </c>
      <c r="AB1168" t="str">
        <f>VLOOKUP(J1168,Diagnosis_Guide!$A:$B,2,0)</f>
        <v>Hypertension Crisis</v>
      </c>
      <c r="AC1168" s="4" t="str">
        <f>VLOOKUP(J1168,Diagnosis_Guide!$A:$C,3,0)</f>
        <v>Cardiovascular</v>
      </c>
      <c r="AD1168" s="4" t="str">
        <f>VLOOKUP(R1168,Insurance_Plans!$A:$C,3,0)</f>
        <v>Self-Pay</v>
      </c>
      <c r="AE1168" s="13">
        <f t="shared" si="54"/>
        <v>2045</v>
      </c>
      <c r="AF1168" s="13">
        <f t="shared" si="55"/>
        <v>42945</v>
      </c>
      <c r="AG1168" s="4" t="str">
        <f t="shared" si="56"/>
        <v>Not Available</v>
      </c>
    </row>
    <row r="1169" spans="1:33">
      <c r="A1169" t="s">
        <v>1910</v>
      </c>
      <c r="B1169" t="s">
        <v>1481</v>
      </c>
      <c r="C1169" s="11">
        <v>46088</v>
      </c>
      <c r="D1169" t="s">
        <v>127</v>
      </c>
      <c r="E1169" t="s">
        <v>70</v>
      </c>
      <c r="F1169" s="4">
        <v>46089</v>
      </c>
      <c r="G1169" s="4">
        <v>46093</v>
      </c>
      <c r="H1169" t="s">
        <v>201</v>
      </c>
      <c r="I1169" t="s">
        <v>449</v>
      </c>
      <c r="J1169" t="s">
        <v>281</v>
      </c>
      <c r="K1169" t="s">
        <v>124</v>
      </c>
      <c r="L1169" t="s">
        <v>94</v>
      </c>
      <c r="M1169" s="5">
        <v>8900</v>
      </c>
      <c r="N1169" s="5">
        <v>1000</v>
      </c>
      <c r="O1169" s="5">
        <v>1400</v>
      </c>
      <c r="P1169" s="5">
        <v>14000</v>
      </c>
      <c r="Q1169" s="13">
        <v>26100</v>
      </c>
      <c r="R1169" t="s">
        <v>75</v>
      </c>
      <c r="S1169" t="s">
        <v>86</v>
      </c>
      <c r="T1169" s="5">
        <v>12040</v>
      </c>
      <c r="U1169" s="6"/>
      <c r="V1169" t="s">
        <v>77</v>
      </c>
      <c r="W1169" s="4">
        <v>46104</v>
      </c>
      <c r="X1169" t="s">
        <v>77</v>
      </c>
      <c r="Y1169" t="s">
        <v>77</v>
      </c>
      <c r="Z1169" t="s">
        <v>96</v>
      </c>
      <c r="AA1169" t="str">
        <f>VLOOKUP(H1169,Departments!$A:$B,2,0)</f>
        <v>Emergency</v>
      </c>
      <c r="AB1169" t="str">
        <f>VLOOKUP(J1169,Diagnosis_Guide!$A:$B,2,0)</f>
        <v>Food Poisoning</v>
      </c>
      <c r="AC1169" s="4" t="str">
        <f>VLOOKUP(J1169,Diagnosis_Guide!$A:$C,3,0)</f>
        <v>Emergency</v>
      </c>
      <c r="AD1169" s="4" t="str">
        <f>VLOOKUP(R1169,Insurance_Plans!$A:$C,3,0)</f>
        <v>Public</v>
      </c>
      <c r="AE1169" s="13">
        <f t="shared" si="54"/>
        <v>1305</v>
      </c>
      <c r="AF1169" s="13">
        <f t="shared" si="55"/>
        <v>27405</v>
      </c>
      <c r="AG1169" s="4" t="str">
        <f t="shared" si="56"/>
        <v>Not Available</v>
      </c>
    </row>
    <row r="1170" spans="1:33">
      <c r="A1170" t="s">
        <v>1911</v>
      </c>
      <c r="B1170" t="s">
        <v>368</v>
      </c>
      <c r="C1170" s="11">
        <v>46061</v>
      </c>
      <c r="D1170" t="s">
        <v>81</v>
      </c>
      <c r="E1170" t="s">
        <v>70</v>
      </c>
      <c r="F1170" s="4">
        <v>46062</v>
      </c>
      <c r="G1170" s="4">
        <v>46068</v>
      </c>
      <c r="H1170" t="s">
        <v>121</v>
      </c>
      <c r="I1170" t="s">
        <v>665</v>
      </c>
      <c r="J1170" t="s">
        <v>252</v>
      </c>
      <c r="K1170" t="s">
        <v>73</v>
      </c>
      <c r="L1170" t="s">
        <v>61</v>
      </c>
      <c r="M1170" s="5">
        <v>97900</v>
      </c>
      <c r="N1170" s="5">
        <v>14100</v>
      </c>
      <c r="O1170" s="5">
        <v>12950</v>
      </c>
      <c r="P1170" s="5">
        <v>18000</v>
      </c>
      <c r="Q1170" s="13">
        <v>143950</v>
      </c>
      <c r="R1170" t="s">
        <v>95</v>
      </c>
      <c r="S1170" t="s">
        <v>63</v>
      </c>
      <c r="T1170" s="5">
        <v>143950</v>
      </c>
      <c r="U1170" s="6">
        <v>4</v>
      </c>
      <c r="V1170" t="s">
        <v>64</v>
      </c>
      <c r="W1170" s="4"/>
      <c r="X1170" t="s">
        <v>65</v>
      </c>
      <c r="Y1170" t="s">
        <v>64</v>
      </c>
      <c r="Z1170" t="s">
        <v>96</v>
      </c>
      <c r="AA1170" t="str">
        <f>VLOOKUP(H1170,Departments!$A:$B,2,0)</f>
        <v>Neurology</v>
      </c>
      <c r="AB1170" t="str">
        <f>VLOOKUP(J1170,Diagnosis_Guide!$A:$B,2,0)</f>
        <v>Stroke Assessment</v>
      </c>
      <c r="AC1170" s="4" t="str">
        <f>VLOOKUP(J1170,Diagnosis_Guide!$A:$C,3,0)</f>
        <v>Neurological</v>
      </c>
      <c r="AD1170" s="4" t="str">
        <f>VLOOKUP(R1170,Insurance_Plans!$A:$C,3,0)</f>
        <v>Self-Pay</v>
      </c>
      <c r="AE1170" s="13">
        <f t="shared" si="54"/>
        <v>7197.5</v>
      </c>
      <c r="AF1170" s="13">
        <f t="shared" si="55"/>
        <v>151147.5</v>
      </c>
      <c r="AG1170" s="4" t="str">
        <f t="shared" si="56"/>
        <v>High</v>
      </c>
    </row>
    <row r="1171" spans="1:33">
      <c r="A1171" t="s">
        <v>1912</v>
      </c>
      <c r="B1171" t="s">
        <v>1360</v>
      </c>
      <c r="C1171" s="11">
        <v>46071</v>
      </c>
      <c r="D1171" t="s">
        <v>55</v>
      </c>
      <c r="E1171" t="s">
        <v>70</v>
      </c>
      <c r="F1171" s="4">
        <v>46072</v>
      </c>
      <c r="G1171" s="4">
        <v>46072</v>
      </c>
      <c r="H1171" t="s">
        <v>57</v>
      </c>
      <c r="I1171" t="s">
        <v>100</v>
      </c>
      <c r="J1171" t="s">
        <v>72</v>
      </c>
      <c r="K1171" t="s">
        <v>60</v>
      </c>
      <c r="L1171" t="s">
        <v>61</v>
      </c>
      <c r="M1171" s="5">
        <v>7200</v>
      </c>
      <c r="N1171" s="5">
        <v>800</v>
      </c>
      <c r="O1171" s="5">
        <v>1750</v>
      </c>
      <c r="P1171" s="5">
        <v>0</v>
      </c>
      <c r="Q1171" s="13">
        <v>11750</v>
      </c>
      <c r="R1171" t="s">
        <v>62</v>
      </c>
      <c r="S1171" t="s">
        <v>76</v>
      </c>
      <c r="T1171" s="5">
        <v>3930</v>
      </c>
      <c r="U1171" s="6">
        <v>4</v>
      </c>
      <c r="V1171" t="s">
        <v>64</v>
      </c>
      <c r="W1171" s="4"/>
      <c r="X1171" t="s">
        <v>65</v>
      </c>
      <c r="Y1171" t="s">
        <v>77</v>
      </c>
      <c r="Z1171" t="s">
        <v>107</v>
      </c>
      <c r="AA1171" t="str">
        <f>VLOOKUP(H1171,Departments!$A:$B,2,0)</f>
        <v>Pulmonology</v>
      </c>
      <c r="AB1171" t="str">
        <f>VLOOKUP(J1171,Diagnosis_Guide!$A:$B,2,0)</f>
        <v>Acute Bronchitis</v>
      </c>
      <c r="AC1171" s="4" t="str">
        <f>VLOOKUP(J1171,Diagnosis_Guide!$A:$C,3,0)</f>
        <v>Respiratory</v>
      </c>
      <c r="AD1171" s="4" t="str">
        <f>VLOOKUP(R1171,Insurance_Plans!$A:$C,3,0)</f>
        <v>Public</v>
      </c>
      <c r="AE1171" s="13">
        <f t="shared" si="54"/>
        <v>587.5</v>
      </c>
      <c r="AF1171" s="13">
        <f t="shared" si="55"/>
        <v>12337.5</v>
      </c>
      <c r="AG1171" s="4" t="str">
        <f t="shared" si="56"/>
        <v>High</v>
      </c>
    </row>
    <row r="1172" spans="1:33">
      <c r="A1172" t="s">
        <v>1913</v>
      </c>
      <c r="B1172" t="s">
        <v>682</v>
      </c>
      <c r="C1172" s="11">
        <v>46168</v>
      </c>
      <c r="D1172" t="s">
        <v>206</v>
      </c>
      <c r="E1172" t="s">
        <v>70</v>
      </c>
      <c r="F1172" s="4">
        <v>46168</v>
      </c>
      <c r="G1172" s="4">
        <v>46175</v>
      </c>
      <c r="H1172" t="s">
        <v>90</v>
      </c>
      <c r="I1172" t="s">
        <v>91</v>
      </c>
      <c r="J1172" t="s">
        <v>129</v>
      </c>
      <c r="K1172" t="s">
        <v>124</v>
      </c>
      <c r="L1172" t="s">
        <v>94</v>
      </c>
      <c r="M1172" s="5">
        <v>35100</v>
      </c>
      <c r="N1172" s="5">
        <v>4150</v>
      </c>
      <c r="O1172" s="5">
        <v>8300</v>
      </c>
      <c r="P1172" s="5">
        <v>42000</v>
      </c>
      <c r="Q1172" s="13">
        <v>90750</v>
      </c>
      <c r="R1172" t="s">
        <v>62</v>
      </c>
      <c r="S1172" t="s">
        <v>86</v>
      </c>
      <c r="T1172" s="5">
        <v>27630</v>
      </c>
      <c r="U1172" s="6">
        <v>3</v>
      </c>
      <c r="V1172" t="s">
        <v>77</v>
      </c>
      <c r="W1172" s="4">
        <v>46192</v>
      </c>
      <c r="X1172" t="s">
        <v>77</v>
      </c>
      <c r="Y1172" t="s">
        <v>64</v>
      </c>
      <c r="Z1172" t="s">
        <v>107</v>
      </c>
      <c r="AA1172" t="str">
        <f>VLOOKUP(H1172,Departments!$A:$B,2,0)</f>
        <v>Cardiology</v>
      </c>
      <c r="AB1172" t="str">
        <f>VLOOKUP(J1172,Diagnosis_Guide!$A:$B,2,0)</f>
        <v>Hypertension Crisis</v>
      </c>
      <c r="AC1172" s="4" t="str">
        <f>VLOOKUP(J1172,Diagnosis_Guide!$A:$C,3,0)</f>
        <v>Cardiovascular</v>
      </c>
      <c r="AD1172" s="4" t="str">
        <f>VLOOKUP(R1172,Insurance_Plans!$A:$C,3,0)</f>
        <v>Public</v>
      </c>
      <c r="AE1172" s="13">
        <f t="shared" si="54"/>
        <v>4537.5</v>
      </c>
      <c r="AF1172" s="13">
        <f t="shared" si="55"/>
        <v>95287.5</v>
      </c>
      <c r="AG1172" s="4" t="str">
        <f t="shared" si="56"/>
        <v>Medium</v>
      </c>
    </row>
    <row r="1173" spans="1:33">
      <c r="A1173" t="s">
        <v>1914</v>
      </c>
      <c r="B1173" t="s">
        <v>1915</v>
      </c>
      <c r="C1173" s="11">
        <v>46050</v>
      </c>
      <c r="D1173" t="s">
        <v>432</v>
      </c>
      <c r="E1173" t="s">
        <v>70</v>
      </c>
      <c r="F1173" s="4">
        <v>46050</v>
      </c>
      <c r="G1173" s="4">
        <v>46058</v>
      </c>
      <c r="H1173" t="s">
        <v>178</v>
      </c>
      <c r="I1173" t="s">
        <v>179</v>
      </c>
      <c r="J1173" t="s">
        <v>340</v>
      </c>
      <c r="K1173" t="s">
        <v>73</v>
      </c>
      <c r="L1173" t="s">
        <v>94</v>
      </c>
      <c r="M1173" s="5">
        <v>71400</v>
      </c>
      <c r="N1173" s="5">
        <v>8550</v>
      </c>
      <c r="O1173" s="5">
        <v>11250</v>
      </c>
      <c r="P1173" s="5">
        <v>20000</v>
      </c>
      <c r="Q1173" s="13">
        <v>112200</v>
      </c>
      <c r="R1173" t="s">
        <v>62</v>
      </c>
      <c r="S1173" t="s">
        <v>76</v>
      </c>
      <c r="T1173" s="5">
        <v>34060</v>
      </c>
      <c r="U1173" s="6">
        <v>4</v>
      </c>
      <c r="V1173" t="s">
        <v>77</v>
      </c>
      <c r="W1173" s="4">
        <v>46078</v>
      </c>
      <c r="X1173" t="s">
        <v>77</v>
      </c>
      <c r="Y1173" t="s">
        <v>64</v>
      </c>
      <c r="Z1173" t="s">
        <v>96</v>
      </c>
      <c r="AA1173" t="str">
        <f>VLOOKUP(H1173,Departments!$A:$B,2,0)</f>
        <v>Surgery</v>
      </c>
      <c r="AB1173" t="str">
        <f>VLOOKUP(J1173,Diagnosis_Guide!$A:$B,2,0)</f>
        <v>Post-Operative Infection</v>
      </c>
      <c r="AC1173" s="4" t="str">
        <f>VLOOKUP(J1173,Diagnosis_Guide!$A:$C,3,0)</f>
        <v>Surgical</v>
      </c>
      <c r="AD1173" s="4" t="str">
        <f>VLOOKUP(R1173,Insurance_Plans!$A:$C,3,0)</f>
        <v>Public</v>
      </c>
      <c r="AE1173" s="13">
        <f t="shared" si="54"/>
        <v>5610</v>
      </c>
      <c r="AF1173" s="13">
        <f t="shared" si="55"/>
        <v>117810</v>
      </c>
      <c r="AG1173" s="4" t="str">
        <f t="shared" si="56"/>
        <v>High</v>
      </c>
    </row>
    <row r="1174" spans="1:33">
      <c r="A1174" t="s">
        <v>1916</v>
      </c>
      <c r="B1174" t="s">
        <v>1083</v>
      </c>
      <c r="C1174" s="11">
        <v>46040</v>
      </c>
      <c r="D1174" t="s">
        <v>89</v>
      </c>
      <c r="E1174" t="s">
        <v>70</v>
      </c>
      <c r="F1174" s="4">
        <v>46041</v>
      </c>
      <c r="G1174" s="4">
        <v>46045</v>
      </c>
      <c r="H1174" t="s">
        <v>82</v>
      </c>
      <c r="I1174" t="s">
        <v>331</v>
      </c>
      <c r="J1174" t="s">
        <v>291</v>
      </c>
      <c r="K1174" t="s">
        <v>124</v>
      </c>
      <c r="L1174" t="s">
        <v>94</v>
      </c>
      <c r="M1174" s="5">
        <v>42700</v>
      </c>
      <c r="N1174" s="5">
        <v>3850</v>
      </c>
      <c r="O1174" s="5">
        <v>6650</v>
      </c>
      <c r="P1174" s="5">
        <v>18000</v>
      </c>
      <c r="Q1174" s="13">
        <v>72700</v>
      </c>
      <c r="R1174" t="s">
        <v>85</v>
      </c>
      <c r="S1174" t="s">
        <v>76</v>
      </c>
      <c r="T1174" s="5">
        <v>19080</v>
      </c>
      <c r="U1174" s="6">
        <v>3</v>
      </c>
      <c r="V1174" t="s">
        <v>77</v>
      </c>
      <c r="W1174" s="4">
        <v>46054</v>
      </c>
      <c r="X1174" t="s">
        <v>64</v>
      </c>
      <c r="Y1174" t="s">
        <v>64</v>
      </c>
      <c r="Z1174" t="s">
        <v>107</v>
      </c>
      <c r="AA1174" t="str">
        <f>VLOOKUP(H1174,Departments!$A:$B,2,0)</f>
        <v>Orthopedics</v>
      </c>
      <c r="AB1174" t="str">
        <f>VLOOKUP(J1174,Diagnosis_Guide!$A:$B,2,0)</f>
        <v>Fracture Repair</v>
      </c>
      <c r="AC1174" s="4" t="str">
        <f>VLOOKUP(J1174,Diagnosis_Guide!$A:$C,3,0)</f>
        <v>Musculoskeletal</v>
      </c>
      <c r="AD1174" s="4" t="str">
        <f>VLOOKUP(R1174,Insurance_Plans!$A:$C,3,0)</f>
        <v>Employer</v>
      </c>
      <c r="AE1174" s="13">
        <f t="shared" si="54"/>
        <v>3635</v>
      </c>
      <c r="AF1174" s="13">
        <f t="shared" si="55"/>
        <v>76335</v>
      </c>
      <c r="AG1174" s="4" t="str">
        <f t="shared" si="56"/>
        <v>Medium</v>
      </c>
    </row>
    <row r="1175" spans="1:33">
      <c r="A1175" t="s">
        <v>1917</v>
      </c>
      <c r="B1175" t="s">
        <v>692</v>
      </c>
      <c r="C1175" s="11">
        <v>46092</v>
      </c>
      <c r="D1175" t="s">
        <v>419</v>
      </c>
      <c r="E1175" t="s">
        <v>70</v>
      </c>
      <c r="F1175" s="4">
        <v>46092</v>
      </c>
      <c r="G1175" s="4">
        <v>46092</v>
      </c>
      <c r="H1175" t="s">
        <v>90</v>
      </c>
      <c r="I1175" t="s">
        <v>133</v>
      </c>
      <c r="J1175" t="s">
        <v>92</v>
      </c>
      <c r="K1175" t="s">
        <v>60</v>
      </c>
      <c r="L1175" t="s">
        <v>94</v>
      </c>
      <c r="M1175" s="5">
        <v>59400</v>
      </c>
      <c r="N1175" s="5">
        <v>5900</v>
      </c>
      <c r="O1175" s="5">
        <v>7000</v>
      </c>
      <c r="P1175" s="5">
        <v>0</v>
      </c>
      <c r="Q1175" s="13">
        <v>74300</v>
      </c>
      <c r="R1175" t="s">
        <v>95</v>
      </c>
      <c r="S1175" t="s">
        <v>63</v>
      </c>
      <c r="T1175" s="5">
        <v>74300</v>
      </c>
      <c r="U1175" s="6">
        <v>5</v>
      </c>
      <c r="V1175" t="s">
        <v>77</v>
      </c>
      <c r="W1175" s="4">
        <v>46101</v>
      </c>
      <c r="X1175" t="s">
        <v>77</v>
      </c>
      <c r="Y1175" t="s">
        <v>64</v>
      </c>
      <c r="Z1175" t="s">
        <v>96</v>
      </c>
      <c r="AA1175" t="str">
        <f>VLOOKUP(H1175,Departments!$A:$B,2,0)</f>
        <v>Cardiology</v>
      </c>
      <c r="AB1175" t="str">
        <f>VLOOKUP(J1175,Diagnosis_Guide!$A:$B,2,0)</f>
        <v>Heart Failure</v>
      </c>
      <c r="AC1175" s="4" t="str">
        <f>VLOOKUP(J1175,Diagnosis_Guide!$A:$C,3,0)</f>
        <v>Cardiovascular</v>
      </c>
      <c r="AD1175" s="4" t="str">
        <f>VLOOKUP(R1175,Insurance_Plans!$A:$C,3,0)</f>
        <v>Self-Pay</v>
      </c>
      <c r="AE1175" s="13">
        <f t="shared" si="54"/>
        <v>3715</v>
      </c>
      <c r="AF1175" s="13">
        <f t="shared" si="55"/>
        <v>78015</v>
      </c>
      <c r="AG1175" s="4" t="str">
        <f t="shared" si="56"/>
        <v>High</v>
      </c>
    </row>
    <row r="1176" spans="1:33">
      <c r="A1176" t="s">
        <v>1918</v>
      </c>
      <c r="B1176" t="s">
        <v>1362</v>
      </c>
      <c r="C1176" s="11">
        <v>46101</v>
      </c>
      <c r="D1176" t="s">
        <v>183</v>
      </c>
      <c r="E1176" t="s">
        <v>70</v>
      </c>
      <c r="F1176" s="4">
        <v>46101</v>
      </c>
      <c r="G1176" s="4">
        <v>46103</v>
      </c>
      <c r="H1176" t="s">
        <v>57</v>
      </c>
      <c r="I1176" t="s">
        <v>169</v>
      </c>
      <c r="J1176" t="s">
        <v>170</v>
      </c>
      <c r="K1176" t="s">
        <v>73</v>
      </c>
      <c r="L1176" t="s">
        <v>74</v>
      </c>
      <c r="M1176" s="5">
        <v>64600</v>
      </c>
      <c r="N1176" s="5">
        <v>9050</v>
      </c>
      <c r="O1176" s="5">
        <v>8850</v>
      </c>
      <c r="P1176" s="5">
        <v>9000</v>
      </c>
      <c r="Q1176" s="13">
        <v>92300</v>
      </c>
      <c r="R1176" t="s">
        <v>141</v>
      </c>
      <c r="S1176" t="s">
        <v>76</v>
      </c>
      <c r="T1176" s="5">
        <v>15050</v>
      </c>
      <c r="U1176" s="6">
        <v>4</v>
      </c>
      <c r="V1176" t="s">
        <v>64</v>
      </c>
      <c r="W1176" s="4"/>
      <c r="X1176" t="s">
        <v>65</v>
      </c>
      <c r="Y1176" t="s">
        <v>64</v>
      </c>
      <c r="Z1176" t="s">
        <v>78</v>
      </c>
      <c r="AA1176" t="str">
        <f>VLOOKUP(H1176,Departments!$A:$B,2,0)</f>
        <v>Pulmonology</v>
      </c>
      <c r="AB1176" t="str">
        <f>VLOOKUP(J1176,Diagnosis_Guide!$A:$B,2,0)</f>
        <v>COPD Exacerbation</v>
      </c>
      <c r="AC1176" s="4" t="str">
        <f>VLOOKUP(J1176,Diagnosis_Guide!$A:$C,3,0)</f>
        <v>Respiratory</v>
      </c>
      <c r="AD1176" s="4" t="str">
        <f>VLOOKUP(R1176,Insurance_Plans!$A:$C,3,0)</f>
        <v>Private</v>
      </c>
      <c r="AE1176" s="13">
        <f t="shared" si="54"/>
        <v>4615</v>
      </c>
      <c r="AF1176" s="13">
        <f t="shared" si="55"/>
        <v>96915</v>
      </c>
      <c r="AG1176" s="4" t="str">
        <f t="shared" si="56"/>
        <v>High</v>
      </c>
    </row>
    <row r="1177" spans="1:33">
      <c r="A1177" t="s">
        <v>1919</v>
      </c>
      <c r="B1177" t="s">
        <v>684</v>
      </c>
      <c r="C1177" s="11">
        <v>46052</v>
      </c>
      <c r="D1177" t="s">
        <v>419</v>
      </c>
      <c r="E1177" t="s">
        <v>338</v>
      </c>
      <c r="F1177" s="4"/>
      <c r="G1177" s="4"/>
      <c r="H1177" t="s">
        <v>150</v>
      </c>
      <c r="I1177" t="s">
        <v>247</v>
      </c>
      <c r="J1177" t="s">
        <v>229</v>
      </c>
      <c r="K1177" t="s">
        <v>60</v>
      </c>
      <c r="L1177" t="s">
        <v>74</v>
      </c>
      <c r="M1177" s="5"/>
      <c r="N1177" s="5"/>
      <c r="O1177" s="5"/>
      <c r="P1177" s="5"/>
      <c r="R1177" t="s">
        <v>106</v>
      </c>
      <c r="S1177" t="s">
        <v>63</v>
      </c>
      <c r="T1177" s="5"/>
      <c r="U1177" s="6"/>
      <c r="V1177" t="s">
        <v>64</v>
      </c>
      <c r="W1177" s="4"/>
      <c r="X1177" t="s">
        <v>65</v>
      </c>
      <c r="Z1177" t="s">
        <v>66</v>
      </c>
      <c r="AA1177" t="str">
        <f>VLOOKUP(H1177,Departments!$A:$B,2,0)</f>
        <v>Obstetrics</v>
      </c>
      <c r="AB1177" t="str">
        <f>VLOOKUP(J1177,Diagnosis_Guide!$A:$B,2,0)</f>
        <v>Delivery Care</v>
      </c>
      <c r="AC1177" s="4" t="str">
        <f>VLOOKUP(J1177,Diagnosis_Guide!$A:$C,3,0)</f>
        <v>Maternal Health</v>
      </c>
      <c r="AD1177" s="4" t="str">
        <f>VLOOKUP(R1177,Insurance_Plans!$A:$C,3,0)</f>
        <v>Private</v>
      </c>
      <c r="AE1177" s="13" t="str">
        <f t="shared" si="54"/>
        <v/>
      </c>
      <c r="AF1177" s="13" t="str">
        <f t="shared" si="55"/>
        <v/>
      </c>
      <c r="AG1177" s="4" t="str">
        <f t="shared" si="56"/>
        <v>Not Available</v>
      </c>
    </row>
    <row r="1178" spans="1:33">
      <c r="A1178" t="s">
        <v>1920</v>
      </c>
      <c r="B1178" t="s">
        <v>1921</v>
      </c>
      <c r="C1178" s="11">
        <v>46159</v>
      </c>
      <c r="D1178" t="s">
        <v>298</v>
      </c>
      <c r="E1178" t="s">
        <v>70</v>
      </c>
      <c r="F1178" s="4">
        <v>46159</v>
      </c>
      <c r="G1178" s="4">
        <v>46162</v>
      </c>
      <c r="H1178" t="s">
        <v>90</v>
      </c>
      <c r="I1178" t="s">
        <v>128</v>
      </c>
      <c r="J1178" t="s">
        <v>129</v>
      </c>
      <c r="K1178" t="s">
        <v>73</v>
      </c>
      <c r="L1178" t="s">
        <v>146</v>
      </c>
      <c r="M1178" s="5">
        <v>51700</v>
      </c>
      <c r="N1178" s="5">
        <v>5450</v>
      </c>
      <c r="O1178" s="5">
        <v>6500</v>
      </c>
      <c r="P1178" s="5">
        <v>13500</v>
      </c>
      <c r="Q1178" s="13">
        <v>79150</v>
      </c>
      <c r="R1178" t="s">
        <v>141</v>
      </c>
      <c r="S1178" t="s">
        <v>76</v>
      </c>
      <c r="T1178" s="5">
        <v>13070</v>
      </c>
      <c r="U1178" s="6">
        <v>4</v>
      </c>
      <c r="V1178" t="s">
        <v>77</v>
      </c>
      <c r="W1178" s="4">
        <v>46181</v>
      </c>
      <c r="X1178" t="s">
        <v>77</v>
      </c>
      <c r="Y1178" t="s">
        <v>64</v>
      </c>
      <c r="Z1178" t="s">
        <v>107</v>
      </c>
      <c r="AA1178" t="str">
        <f>VLOOKUP(H1178,Departments!$A:$B,2,0)</f>
        <v>Cardiology</v>
      </c>
      <c r="AB1178" t="str">
        <f>VLOOKUP(J1178,Diagnosis_Guide!$A:$B,2,0)</f>
        <v>Hypertension Crisis</v>
      </c>
      <c r="AC1178" s="4" t="str">
        <f>VLOOKUP(J1178,Diagnosis_Guide!$A:$C,3,0)</f>
        <v>Cardiovascular</v>
      </c>
      <c r="AD1178" s="4" t="str">
        <f>VLOOKUP(R1178,Insurance_Plans!$A:$C,3,0)</f>
        <v>Private</v>
      </c>
      <c r="AE1178" s="13">
        <f t="shared" si="54"/>
        <v>3957.5</v>
      </c>
      <c r="AF1178" s="13">
        <f t="shared" si="55"/>
        <v>83107.5</v>
      </c>
      <c r="AG1178" s="4" t="str">
        <f t="shared" si="56"/>
        <v>High</v>
      </c>
    </row>
    <row r="1179" spans="1:33">
      <c r="A1179" t="s">
        <v>1922</v>
      </c>
      <c r="B1179" t="s">
        <v>429</v>
      </c>
      <c r="C1179" s="11">
        <v>46137</v>
      </c>
      <c r="D1179" t="s">
        <v>266</v>
      </c>
      <c r="E1179" t="s">
        <v>70</v>
      </c>
      <c r="F1179" s="4">
        <v>46138</v>
      </c>
      <c r="G1179" s="4">
        <v>46143</v>
      </c>
      <c r="H1179" t="s">
        <v>178</v>
      </c>
      <c r="I1179" t="s">
        <v>339</v>
      </c>
      <c r="J1179" t="s">
        <v>340</v>
      </c>
      <c r="K1179" t="s">
        <v>73</v>
      </c>
      <c r="L1179" t="s">
        <v>94</v>
      </c>
      <c r="M1179" s="5">
        <v>87000</v>
      </c>
      <c r="N1179" s="5">
        <v>10650</v>
      </c>
      <c r="O1179" s="5">
        <v>13850</v>
      </c>
      <c r="P1179" s="5">
        <v>22500</v>
      </c>
      <c r="Q1179" s="13">
        <v>134800</v>
      </c>
      <c r="R1179" t="s">
        <v>106</v>
      </c>
      <c r="S1179" t="s">
        <v>163</v>
      </c>
      <c r="T1179" s="5">
        <v>47880</v>
      </c>
      <c r="U1179" s="6">
        <v>3</v>
      </c>
      <c r="V1179" t="s">
        <v>77</v>
      </c>
      <c r="W1179" s="4">
        <v>46164</v>
      </c>
      <c r="X1179" t="s">
        <v>64</v>
      </c>
      <c r="Y1179" t="s">
        <v>64</v>
      </c>
      <c r="Z1179" t="s">
        <v>78</v>
      </c>
      <c r="AA1179" t="str">
        <f>VLOOKUP(H1179,Departments!$A:$B,2,0)</f>
        <v>Surgery</v>
      </c>
      <c r="AB1179" t="str">
        <f>VLOOKUP(J1179,Diagnosis_Guide!$A:$B,2,0)</f>
        <v>Post-Operative Infection</v>
      </c>
      <c r="AC1179" s="4" t="str">
        <f>VLOOKUP(J1179,Diagnosis_Guide!$A:$C,3,0)</f>
        <v>Surgical</v>
      </c>
      <c r="AD1179" s="4" t="str">
        <f>VLOOKUP(R1179,Insurance_Plans!$A:$C,3,0)</f>
        <v>Private</v>
      </c>
      <c r="AE1179" s="13">
        <f t="shared" si="54"/>
        <v>6740</v>
      </c>
      <c r="AF1179" s="13">
        <f t="shared" si="55"/>
        <v>141540</v>
      </c>
      <c r="AG1179" s="4" t="str">
        <f t="shared" si="56"/>
        <v>Medium</v>
      </c>
    </row>
    <row r="1180" spans="1:33">
      <c r="A1180" t="s">
        <v>1923</v>
      </c>
      <c r="B1180" t="s">
        <v>615</v>
      </c>
      <c r="C1180" s="11">
        <v>46032</v>
      </c>
      <c r="D1180" t="s">
        <v>168</v>
      </c>
      <c r="E1180" t="s">
        <v>70</v>
      </c>
      <c r="F1180" s="4">
        <v>46033</v>
      </c>
      <c r="G1180" s="4">
        <v>46036</v>
      </c>
      <c r="H1180" t="s">
        <v>90</v>
      </c>
      <c r="I1180" t="s">
        <v>91</v>
      </c>
      <c r="J1180" t="s">
        <v>197</v>
      </c>
      <c r="K1180" t="s">
        <v>73</v>
      </c>
      <c r="L1180" t="s">
        <v>94</v>
      </c>
      <c r="M1180" s="5">
        <v>20700</v>
      </c>
      <c r="N1180" s="5">
        <v>3300</v>
      </c>
      <c r="O1180" s="5">
        <v>2500</v>
      </c>
      <c r="P1180" s="5">
        <v>10500</v>
      </c>
      <c r="Q1180" s="13">
        <v>38200</v>
      </c>
      <c r="R1180" t="s">
        <v>75</v>
      </c>
      <c r="S1180" t="s">
        <v>76</v>
      </c>
      <c r="T1180" s="5">
        <v>17490</v>
      </c>
      <c r="U1180" s="6">
        <v>5</v>
      </c>
      <c r="V1180" t="s">
        <v>64</v>
      </c>
      <c r="W1180" s="4"/>
      <c r="X1180" t="s">
        <v>65</v>
      </c>
      <c r="Y1180" t="s">
        <v>64</v>
      </c>
      <c r="Z1180" t="s">
        <v>96</v>
      </c>
      <c r="AA1180" t="str">
        <f>VLOOKUP(H1180,Departments!$A:$B,2,0)</f>
        <v>Cardiology</v>
      </c>
      <c r="AB1180" t="str">
        <f>VLOOKUP(J1180,Diagnosis_Guide!$A:$B,2,0)</f>
        <v>Chest Pain</v>
      </c>
      <c r="AC1180" s="4" t="str">
        <f>VLOOKUP(J1180,Diagnosis_Guide!$A:$C,3,0)</f>
        <v>Cardiovascular</v>
      </c>
      <c r="AD1180" s="4" t="str">
        <f>VLOOKUP(R1180,Insurance_Plans!$A:$C,3,0)</f>
        <v>Public</v>
      </c>
      <c r="AE1180" s="13">
        <f t="shared" si="54"/>
        <v>1910</v>
      </c>
      <c r="AF1180" s="13">
        <f t="shared" si="55"/>
        <v>40110</v>
      </c>
      <c r="AG1180" s="4" t="str">
        <f t="shared" si="56"/>
        <v>High</v>
      </c>
    </row>
    <row r="1181" spans="1:33">
      <c r="A1181" t="s">
        <v>1924</v>
      </c>
      <c r="B1181" t="s">
        <v>1664</v>
      </c>
      <c r="C1181" s="11">
        <v>46070</v>
      </c>
      <c r="D1181" t="s">
        <v>69</v>
      </c>
      <c r="E1181" t="s">
        <v>191</v>
      </c>
      <c r="F1181" s="4"/>
      <c r="G1181" s="4"/>
      <c r="H1181" t="s">
        <v>138</v>
      </c>
      <c r="I1181" t="s">
        <v>352</v>
      </c>
      <c r="J1181" t="s">
        <v>261</v>
      </c>
      <c r="K1181" t="s">
        <v>124</v>
      </c>
      <c r="L1181" t="s">
        <v>94</v>
      </c>
      <c r="M1181" s="5"/>
      <c r="N1181" s="5"/>
      <c r="O1181" s="5"/>
      <c r="P1181" s="5"/>
      <c r="R1181" t="s">
        <v>62</v>
      </c>
      <c r="S1181" t="s">
        <v>63</v>
      </c>
      <c r="T1181" s="5"/>
      <c r="U1181" s="6"/>
      <c r="V1181" t="s">
        <v>64</v>
      </c>
      <c r="W1181" s="4"/>
      <c r="X1181" t="s">
        <v>65</v>
      </c>
      <c r="Z1181" t="s">
        <v>66</v>
      </c>
      <c r="AA1181" t="str">
        <f>VLOOKUP(H1181,Departments!$A:$B,2,0)</f>
        <v>Pediatrics</v>
      </c>
      <c r="AB1181" t="str">
        <f>VLOOKUP(J1181,Diagnosis_Guide!$A:$B,2,0)</f>
        <v>Child Fever</v>
      </c>
      <c r="AC1181" s="4" t="str">
        <f>VLOOKUP(J1181,Diagnosis_Guide!$A:$C,3,0)</f>
        <v>Pediatric</v>
      </c>
      <c r="AD1181" s="4" t="str">
        <f>VLOOKUP(R1181,Insurance_Plans!$A:$C,3,0)</f>
        <v>Public</v>
      </c>
      <c r="AE1181" s="13" t="str">
        <f t="shared" si="54"/>
        <v/>
      </c>
      <c r="AF1181" s="13" t="str">
        <f t="shared" si="55"/>
        <v/>
      </c>
      <c r="AG1181" s="4" t="str">
        <f t="shared" si="56"/>
        <v>Not Available</v>
      </c>
    </row>
    <row r="1182" spans="1:33">
      <c r="A1182" t="s">
        <v>1925</v>
      </c>
      <c r="B1182" t="s">
        <v>1926</v>
      </c>
      <c r="C1182" s="11">
        <v>46163</v>
      </c>
      <c r="D1182" t="s">
        <v>439</v>
      </c>
      <c r="E1182" t="s">
        <v>70</v>
      </c>
      <c r="F1182" s="4">
        <v>46163</v>
      </c>
      <c r="G1182" s="4">
        <v>46166</v>
      </c>
      <c r="H1182" t="s">
        <v>150</v>
      </c>
      <c r="I1182" t="s">
        <v>228</v>
      </c>
      <c r="J1182" t="s">
        <v>229</v>
      </c>
      <c r="K1182" t="s">
        <v>93</v>
      </c>
      <c r="L1182" t="s">
        <v>94</v>
      </c>
      <c r="M1182" s="5">
        <v>31700</v>
      </c>
      <c r="N1182" s="5">
        <v>5300</v>
      </c>
      <c r="O1182" s="5">
        <v>4850</v>
      </c>
      <c r="P1182" s="5">
        <v>13500</v>
      </c>
      <c r="Q1182" s="13">
        <v>56850</v>
      </c>
      <c r="R1182" t="s">
        <v>95</v>
      </c>
      <c r="S1182" t="s">
        <v>63</v>
      </c>
      <c r="T1182" s="5">
        <v>56850</v>
      </c>
      <c r="U1182" s="6">
        <v>5</v>
      </c>
      <c r="V1182" t="s">
        <v>77</v>
      </c>
      <c r="W1182" s="4">
        <v>46181</v>
      </c>
      <c r="X1182" t="s">
        <v>77</v>
      </c>
      <c r="Y1182" t="s">
        <v>64</v>
      </c>
      <c r="Z1182" t="s">
        <v>96</v>
      </c>
      <c r="AA1182" t="str">
        <f>VLOOKUP(H1182,Departments!$A:$B,2,0)</f>
        <v>Obstetrics</v>
      </c>
      <c r="AB1182" t="str">
        <f>VLOOKUP(J1182,Diagnosis_Guide!$A:$B,2,0)</f>
        <v>Delivery Care</v>
      </c>
      <c r="AC1182" s="4" t="str">
        <f>VLOOKUP(J1182,Diagnosis_Guide!$A:$C,3,0)</f>
        <v>Maternal Health</v>
      </c>
      <c r="AD1182" s="4" t="str">
        <f>VLOOKUP(R1182,Insurance_Plans!$A:$C,3,0)</f>
        <v>Self-Pay</v>
      </c>
      <c r="AE1182" s="13">
        <f t="shared" si="54"/>
        <v>2842.5</v>
      </c>
      <c r="AF1182" s="13">
        <f t="shared" si="55"/>
        <v>59692.5</v>
      </c>
      <c r="AG1182" s="4" t="str">
        <f t="shared" si="56"/>
        <v>High</v>
      </c>
    </row>
    <row r="1183" spans="1:33">
      <c r="A1183" t="s">
        <v>1927</v>
      </c>
      <c r="B1183" t="s">
        <v>1302</v>
      </c>
      <c r="C1183" s="11">
        <v>46086</v>
      </c>
      <c r="D1183" t="s">
        <v>55</v>
      </c>
      <c r="E1183" t="s">
        <v>70</v>
      </c>
      <c r="F1183" s="4">
        <v>46086</v>
      </c>
      <c r="G1183" s="4">
        <v>46086</v>
      </c>
      <c r="H1183" t="s">
        <v>57</v>
      </c>
      <c r="I1183" t="s">
        <v>184</v>
      </c>
      <c r="J1183" t="s">
        <v>59</v>
      </c>
      <c r="K1183" t="s">
        <v>60</v>
      </c>
      <c r="L1183" t="s">
        <v>94</v>
      </c>
      <c r="M1183" s="5"/>
      <c r="N1183" s="5">
        <v>6500</v>
      </c>
      <c r="O1183" s="5">
        <v>8400</v>
      </c>
      <c r="P1183" s="5">
        <v>0</v>
      </c>
      <c r="Q1183" s="13">
        <v>75100</v>
      </c>
      <c r="R1183" t="s">
        <v>85</v>
      </c>
      <c r="S1183" t="s">
        <v>76</v>
      </c>
      <c r="T1183" s="5">
        <v>19680</v>
      </c>
      <c r="U1183" s="6">
        <v>4</v>
      </c>
      <c r="V1183" t="s">
        <v>77</v>
      </c>
      <c r="W1183" s="4">
        <v>46098</v>
      </c>
      <c r="X1183" t="s">
        <v>77</v>
      </c>
      <c r="Y1183" t="s">
        <v>64</v>
      </c>
      <c r="Z1183" t="s">
        <v>96</v>
      </c>
      <c r="AA1183" t="str">
        <f>VLOOKUP(H1183,Departments!$A:$B,2,0)</f>
        <v>Pulmonology</v>
      </c>
      <c r="AB1183" t="str">
        <f>VLOOKUP(J1183,Diagnosis_Guide!$A:$B,2,0)</f>
        <v>Pneumonia</v>
      </c>
      <c r="AC1183" s="4" t="str">
        <f>VLOOKUP(J1183,Diagnosis_Guide!$A:$C,3,0)</f>
        <v>Respiratory</v>
      </c>
      <c r="AD1183" s="4" t="str">
        <f>VLOOKUP(R1183,Insurance_Plans!$A:$C,3,0)</f>
        <v>Employer</v>
      </c>
      <c r="AE1183" s="13">
        <f t="shared" si="54"/>
        <v>3755</v>
      </c>
      <c r="AF1183" s="13">
        <f t="shared" si="55"/>
        <v>78855</v>
      </c>
      <c r="AG1183" s="4" t="str">
        <f t="shared" si="56"/>
        <v>High</v>
      </c>
    </row>
    <row r="1184" spans="1:33">
      <c r="A1184" t="s">
        <v>1928</v>
      </c>
      <c r="B1184" t="s">
        <v>209</v>
      </c>
      <c r="C1184" s="11">
        <v>46088</v>
      </c>
      <c r="D1184" t="s">
        <v>337</v>
      </c>
      <c r="E1184" t="s">
        <v>70</v>
      </c>
      <c r="F1184" s="4">
        <v>46088</v>
      </c>
      <c r="G1184" s="4">
        <v>46088</v>
      </c>
      <c r="H1184" t="s">
        <v>121</v>
      </c>
      <c r="I1184" t="s">
        <v>665</v>
      </c>
      <c r="J1184" t="s">
        <v>256</v>
      </c>
      <c r="K1184" t="s">
        <v>60</v>
      </c>
      <c r="L1184" t="s">
        <v>61</v>
      </c>
      <c r="M1184" s="5">
        <v>18800</v>
      </c>
      <c r="N1184" s="5">
        <v>1850</v>
      </c>
      <c r="O1184" s="5">
        <v>4250</v>
      </c>
      <c r="P1184" s="5">
        <v>0</v>
      </c>
      <c r="Q1184" s="13">
        <v>25900</v>
      </c>
      <c r="R1184" t="s">
        <v>75</v>
      </c>
      <c r="S1184" t="s">
        <v>76</v>
      </c>
      <c r="T1184" s="5">
        <v>11950</v>
      </c>
      <c r="U1184" s="6">
        <v>4</v>
      </c>
      <c r="V1184" t="s">
        <v>77</v>
      </c>
      <c r="W1184" s="4">
        <v>46096</v>
      </c>
      <c r="X1184" t="s">
        <v>77</v>
      </c>
      <c r="Y1184" t="s">
        <v>77</v>
      </c>
      <c r="Z1184" t="s">
        <v>78</v>
      </c>
      <c r="AA1184" t="str">
        <f>VLOOKUP(H1184,Departments!$A:$B,2,0)</f>
        <v>Neurology</v>
      </c>
      <c r="AB1184" t="str">
        <f>VLOOKUP(J1184,Diagnosis_Guide!$A:$B,2,0)</f>
        <v>Migraine Complication</v>
      </c>
      <c r="AC1184" s="4" t="str">
        <f>VLOOKUP(J1184,Diagnosis_Guide!$A:$C,3,0)</f>
        <v>Neurological</v>
      </c>
      <c r="AD1184" s="4" t="str">
        <f>VLOOKUP(R1184,Insurance_Plans!$A:$C,3,0)</f>
        <v>Public</v>
      </c>
      <c r="AE1184" s="13">
        <f t="shared" si="54"/>
        <v>1295</v>
      </c>
      <c r="AF1184" s="13">
        <f t="shared" si="55"/>
        <v>27195</v>
      </c>
      <c r="AG1184" s="4" t="str">
        <f t="shared" si="56"/>
        <v>High</v>
      </c>
    </row>
    <row r="1185" spans="1:33">
      <c r="A1185" t="s">
        <v>1929</v>
      </c>
      <c r="B1185" t="s">
        <v>351</v>
      </c>
      <c r="C1185" s="11">
        <v>46150</v>
      </c>
      <c r="D1185" t="s">
        <v>200</v>
      </c>
      <c r="E1185" t="s">
        <v>70</v>
      </c>
      <c r="F1185" s="4">
        <v>46151</v>
      </c>
      <c r="G1185" s="4">
        <v>46151</v>
      </c>
      <c r="H1185" t="s">
        <v>90</v>
      </c>
      <c r="I1185" t="s">
        <v>128</v>
      </c>
      <c r="J1185" t="s">
        <v>197</v>
      </c>
      <c r="K1185" t="s">
        <v>60</v>
      </c>
      <c r="L1185" t="s">
        <v>94</v>
      </c>
      <c r="M1185" s="5">
        <v>13400</v>
      </c>
      <c r="N1185" s="5">
        <v>2200</v>
      </c>
      <c r="O1185" s="5">
        <v>2800</v>
      </c>
      <c r="P1185" s="5">
        <v>0</v>
      </c>
      <c r="Q1185" s="13">
        <v>20400</v>
      </c>
      <c r="R1185" t="s">
        <v>106</v>
      </c>
      <c r="S1185" t="s">
        <v>76</v>
      </c>
      <c r="T1185" s="5">
        <v>7840</v>
      </c>
      <c r="U1185" s="6">
        <v>5</v>
      </c>
      <c r="V1185" t="s">
        <v>64</v>
      </c>
      <c r="W1185" s="4"/>
      <c r="X1185" t="s">
        <v>65</v>
      </c>
      <c r="Y1185" t="s">
        <v>64</v>
      </c>
      <c r="Z1185" t="s">
        <v>96</v>
      </c>
      <c r="AA1185" t="str">
        <f>VLOOKUP(H1185,Departments!$A:$B,2,0)</f>
        <v>Cardiology</v>
      </c>
      <c r="AB1185" t="str">
        <f>VLOOKUP(J1185,Diagnosis_Guide!$A:$B,2,0)</f>
        <v>Chest Pain</v>
      </c>
      <c r="AC1185" s="4" t="str">
        <f>VLOOKUP(J1185,Diagnosis_Guide!$A:$C,3,0)</f>
        <v>Cardiovascular</v>
      </c>
      <c r="AD1185" s="4" t="str">
        <f>VLOOKUP(R1185,Insurance_Plans!$A:$C,3,0)</f>
        <v>Private</v>
      </c>
      <c r="AE1185" s="13">
        <f t="shared" si="54"/>
        <v>1020</v>
      </c>
      <c r="AF1185" s="13">
        <f t="shared" si="55"/>
        <v>21420</v>
      </c>
      <c r="AG1185" s="4" t="str">
        <f t="shared" si="56"/>
        <v>High</v>
      </c>
    </row>
    <row r="1186" spans="1:33">
      <c r="A1186" t="s">
        <v>1930</v>
      </c>
      <c r="B1186" t="s">
        <v>1721</v>
      </c>
      <c r="C1186" s="11">
        <v>46073</v>
      </c>
      <c r="D1186" t="s">
        <v>298</v>
      </c>
      <c r="E1186" t="s">
        <v>70</v>
      </c>
      <c r="F1186" s="4">
        <v>46073</v>
      </c>
      <c r="G1186" s="4">
        <v>46078</v>
      </c>
      <c r="H1186" t="s">
        <v>201</v>
      </c>
      <c r="I1186" t="s">
        <v>421</v>
      </c>
      <c r="J1186" t="s">
        <v>203</v>
      </c>
      <c r="K1186" t="s">
        <v>124</v>
      </c>
      <c r="L1186" t="s">
        <v>61</v>
      </c>
      <c r="M1186" s="5">
        <v>42800</v>
      </c>
      <c r="N1186" s="5">
        <v>6900</v>
      </c>
      <c r="O1186" s="5">
        <v>8500</v>
      </c>
      <c r="P1186" s="5">
        <v>30000</v>
      </c>
      <c r="Q1186" s="13">
        <v>89200</v>
      </c>
      <c r="R1186" t="s">
        <v>95</v>
      </c>
      <c r="S1186" t="s">
        <v>63</v>
      </c>
      <c r="T1186" s="5">
        <v>89200</v>
      </c>
      <c r="U1186" s="6">
        <v>3</v>
      </c>
      <c r="V1186" t="s">
        <v>77</v>
      </c>
      <c r="W1186" s="4">
        <v>46098</v>
      </c>
      <c r="X1186" t="s">
        <v>77</v>
      </c>
      <c r="Y1186" t="s">
        <v>64</v>
      </c>
      <c r="Z1186" t="s">
        <v>436</v>
      </c>
      <c r="AA1186" t="str">
        <f>VLOOKUP(H1186,Departments!$A:$B,2,0)</f>
        <v>Emergency</v>
      </c>
      <c r="AB1186" t="str">
        <f>VLOOKUP(J1186,Diagnosis_Guide!$A:$B,2,0)</f>
        <v>Trauma Observation</v>
      </c>
      <c r="AC1186" s="4" t="str">
        <f>VLOOKUP(J1186,Diagnosis_Guide!$A:$C,3,0)</f>
        <v>Emergency</v>
      </c>
      <c r="AD1186" s="4" t="str">
        <f>VLOOKUP(R1186,Insurance_Plans!$A:$C,3,0)</f>
        <v>Self-Pay</v>
      </c>
      <c r="AE1186" s="13">
        <f t="shared" si="54"/>
        <v>4460</v>
      </c>
      <c r="AF1186" s="13">
        <f t="shared" si="55"/>
        <v>93660</v>
      </c>
      <c r="AG1186" s="4" t="str">
        <f t="shared" si="56"/>
        <v>Medium</v>
      </c>
    </row>
    <row r="1187" spans="1:33">
      <c r="A1187" t="s">
        <v>1931</v>
      </c>
      <c r="B1187" t="s">
        <v>1162</v>
      </c>
      <c r="C1187" s="11">
        <v>46085</v>
      </c>
      <c r="D1187" t="s">
        <v>307</v>
      </c>
      <c r="E1187" t="s">
        <v>70</v>
      </c>
      <c r="F1187" s="4">
        <v>46085</v>
      </c>
      <c r="G1187" s="4">
        <v>46092</v>
      </c>
      <c r="H1187" t="s">
        <v>201</v>
      </c>
      <c r="I1187" t="s">
        <v>202</v>
      </c>
      <c r="J1187" t="s">
        <v>295</v>
      </c>
      <c r="K1187" t="s">
        <v>73</v>
      </c>
      <c r="L1187" t="s">
        <v>61</v>
      </c>
      <c r="M1187" s="5">
        <v>45700</v>
      </c>
      <c r="N1187" s="5">
        <v>4750</v>
      </c>
      <c r="O1187" s="5">
        <v>10150</v>
      </c>
      <c r="P1187" s="5">
        <v>24500</v>
      </c>
      <c r="Q1187" s="13">
        <v>87600</v>
      </c>
      <c r="R1187" t="s">
        <v>95</v>
      </c>
      <c r="S1187" t="s">
        <v>63</v>
      </c>
      <c r="T1187" s="5">
        <v>87600</v>
      </c>
      <c r="U1187" s="6">
        <v>2</v>
      </c>
      <c r="V1187" t="s">
        <v>77</v>
      </c>
      <c r="W1187" s="4">
        <v>46103</v>
      </c>
      <c r="X1187" t="s">
        <v>77</v>
      </c>
      <c r="Y1187" t="s">
        <v>77</v>
      </c>
      <c r="Z1187" t="s">
        <v>78</v>
      </c>
      <c r="AA1187" t="str">
        <f>VLOOKUP(H1187,Departments!$A:$B,2,0)</f>
        <v>Emergency</v>
      </c>
      <c r="AB1187" t="str">
        <f>VLOOKUP(J1187,Diagnosis_Guide!$A:$B,2,0)</f>
        <v>Accident Injury</v>
      </c>
      <c r="AC1187" s="4" t="str">
        <f>VLOOKUP(J1187,Diagnosis_Guide!$A:$C,3,0)</f>
        <v>Emergency</v>
      </c>
      <c r="AD1187" s="4" t="str">
        <f>VLOOKUP(R1187,Insurance_Plans!$A:$C,3,0)</f>
        <v>Self-Pay</v>
      </c>
      <c r="AE1187" s="13">
        <f t="shared" si="54"/>
        <v>4380</v>
      </c>
      <c r="AF1187" s="13">
        <f t="shared" si="55"/>
        <v>91980</v>
      </c>
      <c r="AG1187" s="4" t="str">
        <f t="shared" si="56"/>
        <v>Low</v>
      </c>
    </row>
    <row r="1188" spans="1:33">
      <c r="A1188" t="s">
        <v>1932</v>
      </c>
      <c r="B1188" t="s">
        <v>1195</v>
      </c>
      <c r="C1188" s="11">
        <v>46046</v>
      </c>
      <c r="D1188" t="s">
        <v>225</v>
      </c>
      <c r="E1188" t="s">
        <v>70</v>
      </c>
      <c r="F1188" s="4">
        <v>46046</v>
      </c>
      <c r="G1188" s="4">
        <v>46046</v>
      </c>
      <c r="H1188" t="s">
        <v>138</v>
      </c>
      <c r="I1188" t="s">
        <v>352</v>
      </c>
      <c r="J1188" t="s">
        <v>261</v>
      </c>
      <c r="K1188" t="s">
        <v>73</v>
      </c>
      <c r="L1188" t="s">
        <v>74</v>
      </c>
      <c r="M1188" s="5">
        <v>4200</v>
      </c>
      <c r="N1188" s="5">
        <v>350</v>
      </c>
      <c r="O1188" s="5">
        <v>450</v>
      </c>
      <c r="P1188" s="5">
        <v>0</v>
      </c>
      <c r="Q1188" s="13">
        <v>6800</v>
      </c>
      <c r="R1188" t="s">
        <v>141</v>
      </c>
      <c r="S1188" t="s">
        <v>163</v>
      </c>
      <c r="T1188" s="5">
        <v>2220</v>
      </c>
      <c r="U1188" s="6">
        <v>5</v>
      </c>
      <c r="V1188" t="s">
        <v>77</v>
      </c>
      <c r="W1188" s="4">
        <v>46063</v>
      </c>
      <c r="X1188" t="s">
        <v>77</v>
      </c>
      <c r="Y1188" t="s">
        <v>64</v>
      </c>
      <c r="Z1188" t="s">
        <v>96</v>
      </c>
      <c r="AA1188" t="str">
        <f>VLOOKUP(H1188,Departments!$A:$B,2,0)</f>
        <v>Pediatrics</v>
      </c>
      <c r="AB1188" t="str">
        <f>VLOOKUP(J1188,Diagnosis_Guide!$A:$B,2,0)</f>
        <v>Child Fever</v>
      </c>
      <c r="AC1188" s="4" t="str">
        <f>VLOOKUP(J1188,Diagnosis_Guide!$A:$C,3,0)</f>
        <v>Pediatric</v>
      </c>
      <c r="AD1188" s="4" t="str">
        <f>VLOOKUP(R1188,Insurance_Plans!$A:$C,3,0)</f>
        <v>Private</v>
      </c>
      <c r="AE1188" s="13">
        <f t="shared" si="54"/>
        <v>340</v>
      </c>
      <c r="AF1188" s="13">
        <f t="shared" si="55"/>
        <v>7140</v>
      </c>
      <c r="AG1188" s="4" t="str">
        <f t="shared" si="56"/>
        <v>High</v>
      </c>
    </row>
    <row r="1189" spans="1:33">
      <c r="A1189" t="s">
        <v>1933</v>
      </c>
      <c r="B1189" t="s">
        <v>1592</v>
      </c>
      <c r="C1189" s="11">
        <v>46028</v>
      </c>
      <c r="D1189" t="s">
        <v>161</v>
      </c>
      <c r="E1189" t="s">
        <v>70</v>
      </c>
      <c r="F1189" s="4">
        <v>46028</v>
      </c>
      <c r="G1189" s="4">
        <v>46032</v>
      </c>
      <c r="H1189" t="s">
        <v>82</v>
      </c>
      <c r="I1189" t="s">
        <v>369</v>
      </c>
      <c r="J1189" t="s">
        <v>291</v>
      </c>
      <c r="K1189" t="s">
        <v>73</v>
      </c>
      <c r="L1189" t="s">
        <v>61</v>
      </c>
      <c r="M1189" s="5">
        <v>26700</v>
      </c>
      <c r="N1189" s="5">
        <v>3100</v>
      </c>
      <c r="O1189" s="5">
        <v>6150</v>
      </c>
      <c r="P1189" s="5">
        <v>10000</v>
      </c>
      <c r="Q1189" s="13">
        <v>46750</v>
      </c>
      <c r="R1189" t="s">
        <v>106</v>
      </c>
      <c r="S1189" t="s">
        <v>76</v>
      </c>
      <c r="T1189" s="5">
        <v>17060</v>
      </c>
      <c r="U1189" s="6">
        <v>5</v>
      </c>
      <c r="V1189" t="s">
        <v>77</v>
      </c>
      <c r="W1189" s="4">
        <v>46049</v>
      </c>
      <c r="X1189" t="s">
        <v>77</v>
      </c>
      <c r="Y1189" t="s">
        <v>64</v>
      </c>
      <c r="Z1189" t="s">
        <v>96</v>
      </c>
      <c r="AA1189" t="str">
        <f>VLOOKUP(H1189,Departments!$A:$B,2,0)</f>
        <v>Orthopedics</v>
      </c>
      <c r="AB1189" t="str">
        <f>VLOOKUP(J1189,Diagnosis_Guide!$A:$B,2,0)</f>
        <v>Fracture Repair</v>
      </c>
      <c r="AC1189" s="4" t="str">
        <f>VLOOKUP(J1189,Diagnosis_Guide!$A:$C,3,0)</f>
        <v>Musculoskeletal</v>
      </c>
      <c r="AD1189" s="4" t="str">
        <f>VLOOKUP(R1189,Insurance_Plans!$A:$C,3,0)</f>
        <v>Private</v>
      </c>
      <c r="AE1189" s="13">
        <f t="shared" si="54"/>
        <v>2337.5</v>
      </c>
      <c r="AF1189" s="13">
        <f t="shared" si="55"/>
        <v>49087.5</v>
      </c>
      <c r="AG1189" s="4" t="str">
        <f t="shared" si="56"/>
        <v>High</v>
      </c>
    </row>
    <row r="1190" spans="1:33">
      <c r="A1190" t="s">
        <v>1934</v>
      </c>
      <c r="B1190" t="s">
        <v>711</v>
      </c>
      <c r="C1190" s="11">
        <v>46055</v>
      </c>
      <c r="D1190" t="s">
        <v>210</v>
      </c>
      <c r="E1190" t="s">
        <v>70</v>
      </c>
      <c r="F1190" s="4">
        <v>46055</v>
      </c>
      <c r="G1190" s="4">
        <v>46058</v>
      </c>
      <c r="H1190" t="s">
        <v>150</v>
      </c>
      <c r="I1190" t="s">
        <v>151</v>
      </c>
      <c r="J1190" t="s">
        <v>152</v>
      </c>
      <c r="K1190" t="s">
        <v>124</v>
      </c>
      <c r="L1190" t="s">
        <v>94</v>
      </c>
      <c r="M1190" s="5">
        <v>25900</v>
      </c>
      <c r="N1190" s="5">
        <v>3350</v>
      </c>
      <c r="O1190" s="5">
        <v>5700</v>
      </c>
      <c r="P1190" s="5">
        <v>7500</v>
      </c>
      <c r="Q1190" s="13">
        <v>44950</v>
      </c>
      <c r="R1190" t="s">
        <v>95</v>
      </c>
      <c r="S1190" t="s">
        <v>63</v>
      </c>
      <c r="T1190" s="5">
        <v>44950</v>
      </c>
      <c r="U1190" s="6">
        <v>5</v>
      </c>
      <c r="V1190" t="s">
        <v>64</v>
      </c>
      <c r="W1190" s="4"/>
      <c r="X1190" t="s">
        <v>65</v>
      </c>
      <c r="Y1190" t="s">
        <v>64</v>
      </c>
      <c r="Z1190" t="s">
        <v>78</v>
      </c>
      <c r="AA1190" t="str">
        <f>VLOOKUP(H1190,Departments!$A:$B,2,0)</f>
        <v>Obstetrics</v>
      </c>
      <c r="AB1190" t="str">
        <f>VLOOKUP(J1190,Diagnosis_Guide!$A:$B,2,0)</f>
        <v>Antenatal Complication</v>
      </c>
      <c r="AC1190" s="4" t="str">
        <f>VLOOKUP(J1190,Diagnosis_Guide!$A:$C,3,0)</f>
        <v>Maternal Health</v>
      </c>
      <c r="AD1190" s="4" t="str">
        <f>VLOOKUP(R1190,Insurance_Plans!$A:$C,3,0)</f>
        <v>Self-Pay</v>
      </c>
      <c r="AE1190" s="13">
        <f t="shared" si="54"/>
        <v>2247.5</v>
      </c>
      <c r="AF1190" s="13">
        <f t="shared" si="55"/>
        <v>47197.5</v>
      </c>
      <c r="AG1190" s="4" t="str">
        <f t="shared" si="56"/>
        <v>High</v>
      </c>
    </row>
    <row r="1191" spans="1:33">
      <c r="A1191" t="s">
        <v>1935</v>
      </c>
      <c r="B1191" t="s">
        <v>1209</v>
      </c>
      <c r="C1191" s="11">
        <v>46135</v>
      </c>
      <c r="D1191" t="s">
        <v>168</v>
      </c>
      <c r="E1191" t="s">
        <v>70</v>
      </c>
      <c r="F1191" s="4">
        <v>46135</v>
      </c>
      <c r="G1191" s="4">
        <v>46138</v>
      </c>
      <c r="H1191" t="s">
        <v>178</v>
      </c>
      <c r="I1191" t="s">
        <v>415</v>
      </c>
      <c r="J1191" t="s">
        <v>358</v>
      </c>
      <c r="K1191" t="s">
        <v>73</v>
      </c>
      <c r="L1191" t="s">
        <v>61</v>
      </c>
      <c r="M1191" s="5">
        <v>59500</v>
      </c>
      <c r="N1191" s="5">
        <v>6100</v>
      </c>
      <c r="O1191" s="5">
        <v>10000</v>
      </c>
      <c r="P1191" s="5">
        <v>9000</v>
      </c>
      <c r="Q1191" s="13">
        <v>85400</v>
      </c>
      <c r="R1191" t="s">
        <v>75</v>
      </c>
      <c r="S1191" t="s">
        <v>76</v>
      </c>
      <c r="T1191" s="5">
        <v>38730</v>
      </c>
      <c r="U1191" s="6">
        <v>5</v>
      </c>
      <c r="V1191" t="s">
        <v>77</v>
      </c>
      <c r="W1191" s="4">
        <v>46149</v>
      </c>
      <c r="X1191" t="s">
        <v>77</v>
      </c>
      <c r="Y1191" t="s">
        <v>64</v>
      </c>
      <c r="Z1191" t="s">
        <v>78</v>
      </c>
      <c r="AA1191" t="str">
        <f>VLOOKUP(H1191,Departments!$A:$B,2,0)</f>
        <v>Surgery</v>
      </c>
      <c r="AB1191" t="str">
        <f>VLOOKUP(J1191,Diagnosis_Guide!$A:$B,2,0)</f>
        <v>Gallbladder Surgery</v>
      </c>
      <c r="AC1191" s="4" t="str">
        <f>VLOOKUP(J1191,Diagnosis_Guide!$A:$C,3,0)</f>
        <v>Surgical</v>
      </c>
      <c r="AD1191" s="4" t="str">
        <f>VLOOKUP(R1191,Insurance_Plans!$A:$C,3,0)</f>
        <v>Public</v>
      </c>
      <c r="AE1191" s="13">
        <f t="shared" si="54"/>
        <v>4270</v>
      </c>
      <c r="AF1191" s="13">
        <f t="shared" si="55"/>
        <v>89670</v>
      </c>
      <c r="AG1191" s="4" t="str">
        <f t="shared" si="56"/>
        <v>High</v>
      </c>
    </row>
    <row r="1192" spans="1:33">
      <c r="A1192" t="s">
        <v>1936</v>
      </c>
      <c r="B1192" t="s">
        <v>725</v>
      </c>
      <c r="C1192" s="11">
        <v>46094</v>
      </c>
      <c r="D1192" t="s">
        <v>81</v>
      </c>
      <c r="E1192" t="s">
        <v>70</v>
      </c>
      <c r="F1192" s="4">
        <v>46094</v>
      </c>
      <c r="G1192" s="4">
        <v>46099</v>
      </c>
      <c r="H1192" t="s">
        <v>150</v>
      </c>
      <c r="I1192" t="s">
        <v>151</v>
      </c>
      <c r="J1192" t="s">
        <v>188</v>
      </c>
      <c r="K1192" t="s">
        <v>93</v>
      </c>
      <c r="L1192" t="s">
        <v>94</v>
      </c>
      <c r="M1192" s="5">
        <v>64000</v>
      </c>
      <c r="N1192" s="5">
        <v>9150</v>
      </c>
      <c r="O1192" s="5">
        <v>14050</v>
      </c>
      <c r="P1192" s="5">
        <v>17500</v>
      </c>
      <c r="Q1192" s="13">
        <v>107200</v>
      </c>
      <c r="R1192" t="s">
        <v>95</v>
      </c>
      <c r="S1192" t="s">
        <v>63</v>
      </c>
      <c r="T1192" s="5">
        <v>107200</v>
      </c>
      <c r="U1192" s="6">
        <v>5</v>
      </c>
      <c r="V1192" t="s">
        <v>64</v>
      </c>
      <c r="W1192" s="4"/>
      <c r="X1192" t="s">
        <v>65</v>
      </c>
      <c r="Y1192" t="s">
        <v>64</v>
      </c>
      <c r="Z1192" t="s">
        <v>219</v>
      </c>
      <c r="AA1192" t="str">
        <f>VLOOKUP(H1192,Departments!$A:$B,2,0)</f>
        <v>Obstetrics</v>
      </c>
      <c r="AB1192" t="str">
        <f>VLOOKUP(J1192,Diagnosis_Guide!$A:$B,2,0)</f>
        <v>Emergency C-Section</v>
      </c>
      <c r="AC1192" s="4" t="str">
        <f>VLOOKUP(J1192,Diagnosis_Guide!$A:$C,3,0)</f>
        <v>Maternal Health</v>
      </c>
      <c r="AD1192" s="4" t="str">
        <f>VLOOKUP(R1192,Insurance_Plans!$A:$C,3,0)</f>
        <v>Self-Pay</v>
      </c>
      <c r="AE1192" s="13">
        <f t="shared" si="54"/>
        <v>5360</v>
      </c>
      <c r="AF1192" s="13">
        <f t="shared" si="55"/>
        <v>112560</v>
      </c>
      <c r="AG1192" s="4" t="str">
        <f t="shared" si="56"/>
        <v>High</v>
      </c>
    </row>
    <row r="1193" spans="1:33">
      <c r="A1193" t="s">
        <v>1937</v>
      </c>
      <c r="B1193" t="s">
        <v>1391</v>
      </c>
      <c r="C1193" s="11">
        <v>46101</v>
      </c>
      <c r="D1193" t="s">
        <v>279</v>
      </c>
      <c r="E1193" t="s">
        <v>70</v>
      </c>
      <c r="F1193" s="4">
        <v>46101</v>
      </c>
      <c r="G1193" s="4">
        <v>46103</v>
      </c>
      <c r="H1193" t="s">
        <v>90</v>
      </c>
      <c r="I1193" t="s">
        <v>162</v>
      </c>
      <c r="J1193" t="s">
        <v>197</v>
      </c>
      <c r="K1193" t="s">
        <v>73</v>
      </c>
      <c r="L1193" t="s">
        <v>74</v>
      </c>
      <c r="M1193" s="5">
        <v>17600</v>
      </c>
      <c r="N1193" s="5">
        <v>1950</v>
      </c>
      <c r="O1193" s="5">
        <v>2850</v>
      </c>
      <c r="P1193" s="5">
        <v>9000</v>
      </c>
      <c r="Q1193" s="13">
        <v>32600</v>
      </c>
      <c r="R1193" t="s">
        <v>75</v>
      </c>
      <c r="S1193" t="s">
        <v>163</v>
      </c>
      <c r="T1193" s="5">
        <v>14970</v>
      </c>
      <c r="U1193" s="6">
        <v>3</v>
      </c>
      <c r="V1193" t="s">
        <v>64</v>
      </c>
      <c r="W1193" s="4"/>
      <c r="X1193" t="s">
        <v>65</v>
      </c>
      <c r="Y1193" t="s">
        <v>64</v>
      </c>
      <c r="Z1193" t="s">
        <v>96</v>
      </c>
      <c r="AA1193" t="str">
        <f>VLOOKUP(H1193,Departments!$A:$B,2,0)</f>
        <v>Cardiology</v>
      </c>
      <c r="AB1193" t="str">
        <f>VLOOKUP(J1193,Diagnosis_Guide!$A:$B,2,0)</f>
        <v>Chest Pain</v>
      </c>
      <c r="AC1193" s="4" t="str">
        <f>VLOOKUP(J1193,Diagnosis_Guide!$A:$C,3,0)</f>
        <v>Cardiovascular</v>
      </c>
      <c r="AD1193" s="4" t="str">
        <f>VLOOKUP(R1193,Insurance_Plans!$A:$C,3,0)</f>
        <v>Public</v>
      </c>
      <c r="AE1193" s="13">
        <f t="shared" si="54"/>
        <v>1630</v>
      </c>
      <c r="AF1193" s="13">
        <f t="shared" si="55"/>
        <v>34230</v>
      </c>
      <c r="AG1193" s="4" t="str">
        <f t="shared" si="56"/>
        <v>Medium</v>
      </c>
    </row>
    <row r="1194" spans="1:33">
      <c r="A1194" t="s">
        <v>1938</v>
      </c>
      <c r="B1194" t="s">
        <v>704</v>
      </c>
      <c r="C1194" s="11">
        <v>46112</v>
      </c>
      <c r="D1194" t="s">
        <v>302</v>
      </c>
      <c r="E1194" t="s">
        <v>70</v>
      </c>
      <c r="F1194" s="4">
        <v>46112</v>
      </c>
      <c r="G1194" s="4">
        <v>46113</v>
      </c>
      <c r="H1194" t="s">
        <v>111</v>
      </c>
      <c r="I1194" t="s">
        <v>116</v>
      </c>
      <c r="J1194" t="s">
        <v>384</v>
      </c>
      <c r="K1194" t="s">
        <v>60</v>
      </c>
      <c r="L1194" t="s">
        <v>146</v>
      </c>
      <c r="M1194" s="5">
        <v>54300</v>
      </c>
      <c r="N1194" s="5">
        <v>7550</v>
      </c>
      <c r="O1194" s="5">
        <v>8800</v>
      </c>
      <c r="P1194" s="5">
        <v>4500</v>
      </c>
      <c r="Q1194" s="13">
        <v>75950</v>
      </c>
      <c r="R1194" t="s">
        <v>95</v>
      </c>
      <c r="S1194" t="s">
        <v>63</v>
      </c>
      <c r="T1194" s="5">
        <v>75950</v>
      </c>
      <c r="U1194" s="6">
        <v>5</v>
      </c>
      <c r="V1194" t="s">
        <v>77</v>
      </c>
      <c r="W1194" s="4">
        <v>46128</v>
      </c>
      <c r="X1194" t="s">
        <v>77</v>
      </c>
      <c r="Y1194" t="s">
        <v>64</v>
      </c>
      <c r="Z1194" t="s">
        <v>107</v>
      </c>
      <c r="AA1194" t="str">
        <f>VLOOKUP(H1194,Departments!$A:$B,2,0)</f>
        <v>General Medicine</v>
      </c>
      <c r="AB1194" t="str">
        <f>VLOOKUP(J1194,Diagnosis_Guide!$A:$B,2,0)</f>
        <v>Severe Infection</v>
      </c>
      <c r="AC1194" s="4" t="str">
        <f>VLOOKUP(J1194,Diagnosis_Guide!$A:$C,3,0)</f>
        <v>Infectious/General</v>
      </c>
      <c r="AD1194" s="4" t="str">
        <f>VLOOKUP(R1194,Insurance_Plans!$A:$C,3,0)</f>
        <v>Self-Pay</v>
      </c>
      <c r="AE1194" s="13">
        <f t="shared" si="54"/>
        <v>3797.5</v>
      </c>
      <c r="AF1194" s="13">
        <f t="shared" si="55"/>
        <v>79747.5</v>
      </c>
      <c r="AG1194" s="4" t="str">
        <f t="shared" si="56"/>
        <v>High</v>
      </c>
    </row>
    <row r="1195" spans="1:33">
      <c r="A1195" t="s">
        <v>1939</v>
      </c>
      <c r="B1195" t="s">
        <v>890</v>
      </c>
      <c r="C1195" s="11">
        <v>46058</v>
      </c>
      <c r="D1195" t="s">
        <v>120</v>
      </c>
      <c r="E1195" t="s">
        <v>70</v>
      </c>
      <c r="F1195" s="4">
        <v>46058</v>
      </c>
      <c r="G1195" s="4">
        <v>46063</v>
      </c>
      <c r="H1195" t="s">
        <v>150</v>
      </c>
      <c r="I1195" t="s">
        <v>228</v>
      </c>
      <c r="J1195" t="s">
        <v>152</v>
      </c>
      <c r="K1195" t="s">
        <v>124</v>
      </c>
      <c r="L1195" t="s">
        <v>74</v>
      </c>
      <c r="M1195" s="5">
        <v>21400</v>
      </c>
      <c r="N1195" s="5">
        <v>1950</v>
      </c>
      <c r="O1195" s="5">
        <v>3550</v>
      </c>
      <c r="P1195" s="5">
        <v>22500</v>
      </c>
      <c r="Q1195" s="13">
        <v>50900</v>
      </c>
      <c r="R1195" t="s">
        <v>141</v>
      </c>
      <c r="S1195" t="s">
        <v>76</v>
      </c>
      <c r="T1195" s="5">
        <v>8840</v>
      </c>
      <c r="U1195" s="6">
        <v>3</v>
      </c>
      <c r="V1195" t="s">
        <v>77</v>
      </c>
      <c r="W1195" s="4">
        <v>46084</v>
      </c>
      <c r="X1195" t="s">
        <v>77</v>
      </c>
      <c r="Y1195" t="s">
        <v>64</v>
      </c>
      <c r="Z1195" t="s">
        <v>96</v>
      </c>
      <c r="AA1195" t="str">
        <f>VLOOKUP(H1195,Departments!$A:$B,2,0)</f>
        <v>Obstetrics</v>
      </c>
      <c r="AB1195" t="str">
        <f>VLOOKUP(J1195,Diagnosis_Guide!$A:$B,2,0)</f>
        <v>Antenatal Complication</v>
      </c>
      <c r="AC1195" s="4" t="str">
        <f>VLOOKUP(J1195,Diagnosis_Guide!$A:$C,3,0)</f>
        <v>Maternal Health</v>
      </c>
      <c r="AD1195" s="4" t="str">
        <f>VLOOKUP(R1195,Insurance_Plans!$A:$C,3,0)</f>
        <v>Private</v>
      </c>
      <c r="AE1195" s="13">
        <f t="shared" si="54"/>
        <v>2545</v>
      </c>
      <c r="AF1195" s="13">
        <f t="shared" si="55"/>
        <v>53445</v>
      </c>
      <c r="AG1195" s="4" t="str">
        <f t="shared" si="56"/>
        <v>Medium</v>
      </c>
    </row>
    <row r="1196" spans="1:33">
      <c r="A1196" t="s">
        <v>1940</v>
      </c>
      <c r="B1196" t="s">
        <v>892</v>
      </c>
      <c r="C1196" s="11">
        <v>46097</v>
      </c>
      <c r="D1196" t="s">
        <v>55</v>
      </c>
      <c r="E1196" t="s">
        <v>70</v>
      </c>
      <c r="F1196" s="4">
        <v>46097</v>
      </c>
      <c r="G1196" s="4">
        <v>46098</v>
      </c>
      <c r="H1196" t="s">
        <v>201</v>
      </c>
      <c r="I1196" t="s">
        <v>449</v>
      </c>
      <c r="J1196" t="s">
        <v>281</v>
      </c>
      <c r="K1196" t="s">
        <v>124</v>
      </c>
      <c r="L1196" t="s">
        <v>74</v>
      </c>
      <c r="M1196" s="5">
        <v>8900</v>
      </c>
      <c r="N1196" s="5">
        <v>1600</v>
      </c>
      <c r="O1196" s="5">
        <v>1550</v>
      </c>
      <c r="P1196" s="5">
        <v>4500</v>
      </c>
      <c r="Q1196" s="13">
        <v>17350</v>
      </c>
      <c r="R1196" t="s">
        <v>95</v>
      </c>
      <c r="S1196" t="s">
        <v>63</v>
      </c>
      <c r="T1196" s="5">
        <v>17350</v>
      </c>
      <c r="U1196" s="6">
        <v>4</v>
      </c>
      <c r="V1196" t="s">
        <v>77</v>
      </c>
      <c r="W1196" s="4">
        <v>46107</v>
      </c>
      <c r="X1196" t="s">
        <v>77</v>
      </c>
      <c r="Y1196" t="s">
        <v>64</v>
      </c>
      <c r="Z1196" t="s">
        <v>96</v>
      </c>
      <c r="AA1196" t="str">
        <f>VLOOKUP(H1196,Departments!$A:$B,2,0)</f>
        <v>Emergency</v>
      </c>
      <c r="AB1196" t="str">
        <f>VLOOKUP(J1196,Diagnosis_Guide!$A:$B,2,0)</f>
        <v>Food Poisoning</v>
      </c>
      <c r="AC1196" s="4" t="str">
        <f>VLOOKUP(J1196,Diagnosis_Guide!$A:$C,3,0)</f>
        <v>Emergency</v>
      </c>
      <c r="AD1196" s="4" t="str">
        <f>VLOOKUP(R1196,Insurance_Plans!$A:$C,3,0)</f>
        <v>Self-Pay</v>
      </c>
      <c r="AE1196" s="13">
        <f t="shared" si="54"/>
        <v>867.5</v>
      </c>
      <c r="AF1196" s="13">
        <f t="shared" si="55"/>
        <v>18217.5</v>
      </c>
      <c r="AG1196" s="4" t="str">
        <f t="shared" si="56"/>
        <v>High</v>
      </c>
    </row>
    <row r="1197" spans="1:33">
      <c r="A1197" t="s">
        <v>1941</v>
      </c>
      <c r="B1197" t="s">
        <v>1942</v>
      </c>
      <c r="C1197" s="11">
        <v>46167</v>
      </c>
      <c r="D1197" t="s">
        <v>242</v>
      </c>
      <c r="E1197" t="s">
        <v>70</v>
      </c>
      <c r="F1197" s="4">
        <v>46167</v>
      </c>
      <c r="G1197" s="4">
        <v>46167</v>
      </c>
      <c r="H1197" t="s">
        <v>57</v>
      </c>
      <c r="I1197" t="s">
        <v>211</v>
      </c>
      <c r="J1197" t="s">
        <v>170</v>
      </c>
      <c r="K1197" t="s">
        <v>60</v>
      </c>
      <c r="L1197" t="s">
        <v>94</v>
      </c>
      <c r="M1197" s="5">
        <v>41900</v>
      </c>
      <c r="N1197" s="5">
        <v>5300</v>
      </c>
      <c r="O1197" s="5">
        <v>8100</v>
      </c>
      <c r="P1197" s="5">
        <v>0</v>
      </c>
      <c r="Q1197" s="13">
        <v>57300</v>
      </c>
      <c r="R1197" t="s">
        <v>95</v>
      </c>
      <c r="S1197" t="s">
        <v>63</v>
      </c>
      <c r="T1197" s="5">
        <v>57300</v>
      </c>
      <c r="U1197" s="6">
        <v>5</v>
      </c>
      <c r="V1197" t="s">
        <v>77</v>
      </c>
      <c r="W1197" s="4">
        <v>46183</v>
      </c>
      <c r="X1197" t="s">
        <v>77</v>
      </c>
      <c r="Y1197" t="s">
        <v>64</v>
      </c>
      <c r="Z1197" t="s">
        <v>78</v>
      </c>
      <c r="AA1197" t="str">
        <f>VLOOKUP(H1197,Departments!$A:$B,2,0)</f>
        <v>Pulmonology</v>
      </c>
      <c r="AB1197" t="str">
        <f>VLOOKUP(J1197,Diagnosis_Guide!$A:$B,2,0)</f>
        <v>COPD Exacerbation</v>
      </c>
      <c r="AC1197" s="4" t="str">
        <f>VLOOKUP(J1197,Diagnosis_Guide!$A:$C,3,0)</f>
        <v>Respiratory</v>
      </c>
      <c r="AD1197" s="4" t="str">
        <f>VLOOKUP(R1197,Insurance_Plans!$A:$C,3,0)</f>
        <v>Self-Pay</v>
      </c>
      <c r="AE1197" s="13">
        <f t="shared" si="54"/>
        <v>2865</v>
      </c>
      <c r="AF1197" s="13">
        <f t="shared" si="55"/>
        <v>60165</v>
      </c>
      <c r="AG1197" s="4" t="str">
        <f t="shared" si="56"/>
        <v>High</v>
      </c>
    </row>
    <row r="1198" spans="1:33">
      <c r="A1198" t="s">
        <v>1943</v>
      </c>
      <c r="B1198" t="s">
        <v>1606</v>
      </c>
      <c r="C1198" s="11">
        <v>46132</v>
      </c>
      <c r="D1198" t="s">
        <v>161</v>
      </c>
      <c r="E1198" t="s">
        <v>70</v>
      </c>
      <c r="F1198" s="4">
        <v>46132</v>
      </c>
      <c r="G1198" s="4">
        <v>46133</v>
      </c>
      <c r="H1198" t="s">
        <v>90</v>
      </c>
      <c r="I1198" t="s">
        <v>133</v>
      </c>
      <c r="J1198" t="s">
        <v>129</v>
      </c>
      <c r="K1198" t="s">
        <v>60</v>
      </c>
      <c r="L1198" t="s">
        <v>61</v>
      </c>
      <c r="M1198" s="5">
        <v>28500</v>
      </c>
      <c r="N1198" s="5">
        <v>4500</v>
      </c>
      <c r="O1198" s="5">
        <v>3550</v>
      </c>
      <c r="P1198" s="5">
        <v>3500</v>
      </c>
      <c r="Q1198" s="13">
        <v>42050</v>
      </c>
      <c r="R1198" t="s">
        <v>85</v>
      </c>
      <c r="S1198" t="s">
        <v>86</v>
      </c>
      <c r="T1198" s="5">
        <v>11410</v>
      </c>
      <c r="U1198" s="6">
        <v>5</v>
      </c>
      <c r="V1198" t="s">
        <v>77</v>
      </c>
      <c r="W1198" s="4">
        <v>46140</v>
      </c>
      <c r="X1198" t="s">
        <v>77</v>
      </c>
      <c r="Y1198" t="s">
        <v>64</v>
      </c>
      <c r="Z1198" t="s">
        <v>78</v>
      </c>
      <c r="AA1198" t="str">
        <f>VLOOKUP(H1198,Departments!$A:$B,2,0)</f>
        <v>Cardiology</v>
      </c>
      <c r="AB1198" t="str">
        <f>VLOOKUP(J1198,Diagnosis_Guide!$A:$B,2,0)</f>
        <v>Hypertension Crisis</v>
      </c>
      <c r="AC1198" s="4" t="str">
        <f>VLOOKUP(J1198,Diagnosis_Guide!$A:$C,3,0)</f>
        <v>Cardiovascular</v>
      </c>
      <c r="AD1198" s="4" t="str">
        <f>VLOOKUP(R1198,Insurance_Plans!$A:$C,3,0)</f>
        <v>Employer</v>
      </c>
      <c r="AE1198" s="13">
        <f t="shared" si="54"/>
        <v>2102.5</v>
      </c>
      <c r="AF1198" s="13">
        <f t="shared" si="55"/>
        <v>44152.5</v>
      </c>
      <c r="AG1198" s="4" t="str">
        <f t="shared" si="56"/>
        <v>High</v>
      </c>
    </row>
    <row r="1199" spans="1:33">
      <c r="A1199" t="s">
        <v>1944</v>
      </c>
      <c r="B1199" t="s">
        <v>1427</v>
      </c>
      <c r="C1199" s="11">
        <v>46107</v>
      </c>
      <c r="D1199" t="s">
        <v>363</v>
      </c>
      <c r="E1199" t="s">
        <v>70</v>
      </c>
      <c r="F1199" s="4">
        <v>46107</v>
      </c>
      <c r="G1199" s="4">
        <v>46107</v>
      </c>
      <c r="H1199" t="s">
        <v>111</v>
      </c>
      <c r="I1199" t="s">
        <v>116</v>
      </c>
      <c r="J1199" t="s">
        <v>113</v>
      </c>
      <c r="K1199" t="s">
        <v>60</v>
      </c>
      <c r="L1199" t="s">
        <v>94</v>
      </c>
      <c r="M1199" s="5">
        <v>17500</v>
      </c>
      <c r="N1199" s="5">
        <v>1500</v>
      </c>
      <c r="O1199" s="5">
        <v>3300</v>
      </c>
      <c r="P1199" s="5">
        <v>0</v>
      </c>
      <c r="Q1199" s="13">
        <v>23100</v>
      </c>
      <c r="R1199" t="s">
        <v>62</v>
      </c>
      <c r="S1199" t="s">
        <v>76</v>
      </c>
      <c r="T1199" s="5">
        <v>7330</v>
      </c>
      <c r="U1199" s="6">
        <v>5</v>
      </c>
      <c r="V1199" t="s">
        <v>77</v>
      </c>
      <c r="W1199" s="4">
        <v>46120</v>
      </c>
      <c r="X1199" t="s">
        <v>77</v>
      </c>
      <c r="Y1199" t="s">
        <v>64</v>
      </c>
      <c r="Z1199" t="s">
        <v>96</v>
      </c>
      <c r="AA1199" t="str">
        <f>VLOOKUP(H1199,Departments!$A:$B,2,0)</f>
        <v>General Medicine</v>
      </c>
      <c r="AB1199" t="str">
        <f>VLOOKUP(J1199,Diagnosis_Guide!$A:$B,2,0)</f>
        <v>Diabetes Complication</v>
      </c>
      <c r="AC1199" s="4" t="str">
        <f>VLOOKUP(J1199,Diagnosis_Guide!$A:$C,3,0)</f>
        <v>Endocrine/General</v>
      </c>
      <c r="AD1199" s="4" t="str">
        <f>VLOOKUP(R1199,Insurance_Plans!$A:$C,3,0)</f>
        <v>Public</v>
      </c>
      <c r="AE1199" s="13">
        <f t="shared" si="54"/>
        <v>1155</v>
      </c>
      <c r="AF1199" s="13">
        <f t="shared" si="55"/>
        <v>24255</v>
      </c>
      <c r="AG1199" s="4" t="str">
        <f t="shared" si="56"/>
        <v>High</v>
      </c>
    </row>
    <row r="1200" spans="1:33">
      <c r="A1200" t="s">
        <v>1945</v>
      </c>
      <c r="B1200" t="s">
        <v>1179</v>
      </c>
      <c r="C1200" s="11">
        <v>46090</v>
      </c>
      <c r="D1200" t="s">
        <v>110</v>
      </c>
      <c r="E1200" t="s">
        <v>314</v>
      </c>
      <c r="F1200" s="4"/>
      <c r="G1200" s="4"/>
      <c r="H1200" t="s">
        <v>201</v>
      </c>
      <c r="I1200" t="s">
        <v>327</v>
      </c>
      <c r="J1200" t="s">
        <v>281</v>
      </c>
      <c r="K1200" t="s">
        <v>124</v>
      </c>
      <c r="L1200" t="s">
        <v>94</v>
      </c>
      <c r="M1200" s="5"/>
      <c r="N1200" s="5"/>
      <c r="O1200" s="5"/>
      <c r="P1200" s="5"/>
      <c r="R1200" t="s">
        <v>134</v>
      </c>
      <c r="S1200" t="s">
        <v>63</v>
      </c>
      <c r="T1200" s="5"/>
      <c r="U1200" s="6"/>
      <c r="V1200" t="s">
        <v>64</v>
      </c>
      <c r="W1200" s="4"/>
      <c r="X1200" t="s">
        <v>65</v>
      </c>
      <c r="Z1200" t="s">
        <v>66</v>
      </c>
      <c r="AA1200" t="str">
        <f>VLOOKUP(H1200,Departments!$A:$B,2,0)</f>
        <v>Emergency</v>
      </c>
      <c r="AB1200" t="str">
        <f>VLOOKUP(J1200,Diagnosis_Guide!$A:$B,2,0)</f>
        <v>Food Poisoning</v>
      </c>
      <c r="AC1200" s="4" t="str">
        <f>VLOOKUP(J1200,Diagnosis_Guide!$A:$C,3,0)</f>
        <v>Emergency</v>
      </c>
      <c r="AD1200" s="4" t="str">
        <f>VLOOKUP(R1200,Insurance_Plans!$A:$C,3,0)</f>
        <v>Community</v>
      </c>
      <c r="AE1200" s="13" t="str">
        <f t="shared" si="54"/>
        <v/>
      </c>
      <c r="AF1200" s="13" t="str">
        <f t="shared" si="55"/>
        <v/>
      </c>
      <c r="AG1200" s="4" t="str">
        <f t="shared" si="56"/>
        <v>Not Available</v>
      </c>
    </row>
    <row r="1201" spans="1:33">
      <c r="A1201" t="s">
        <v>1946</v>
      </c>
      <c r="B1201" t="s">
        <v>1947</v>
      </c>
      <c r="C1201" s="11">
        <v>46057</v>
      </c>
      <c r="D1201" t="s">
        <v>89</v>
      </c>
      <c r="E1201" t="s">
        <v>70</v>
      </c>
      <c r="F1201" s="4">
        <v>46057</v>
      </c>
      <c r="G1201" s="4">
        <v>46060</v>
      </c>
      <c r="H1201" t="s">
        <v>138</v>
      </c>
      <c r="I1201" t="s">
        <v>139</v>
      </c>
      <c r="J1201" t="s">
        <v>140</v>
      </c>
      <c r="K1201" t="s">
        <v>124</v>
      </c>
      <c r="L1201" t="s">
        <v>61</v>
      </c>
      <c r="M1201" s="5">
        <v>18500</v>
      </c>
      <c r="N1201" s="5">
        <v>2650</v>
      </c>
      <c r="O1201" s="5">
        <v>3850</v>
      </c>
      <c r="P1201" s="5">
        <v>10500</v>
      </c>
      <c r="Q1201" s="13">
        <v>37500</v>
      </c>
      <c r="R1201" t="s">
        <v>106</v>
      </c>
      <c r="S1201" t="s">
        <v>76</v>
      </c>
      <c r="T1201" s="5">
        <v>13820</v>
      </c>
      <c r="U1201" s="6">
        <v>4</v>
      </c>
      <c r="V1201" t="s">
        <v>64</v>
      </c>
      <c r="W1201" s="4"/>
      <c r="X1201" t="s">
        <v>65</v>
      </c>
      <c r="Y1201" t="s">
        <v>64</v>
      </c>
      <c r="Z1201" t="s">
        <v>96</v>
      </c>
      <c r="AA1201" t="str">
        <f>VLOOKUP(H1201,Departments!$A:$B,2,0)</f>
        <v>Pediatrics</v>
      </c>
      <c r="AB1201" t="str">
        <f>VLOOKUP(J1201,Diagnosis_Guide!$A:$B,2,0)</f>
        <v>Pediatric Asthma</v>
      </c>
      <c r="AC1201" s="4" t="str">
        <f>VLOOKUP(J1201,Diagnosis_Guide!$A:$C,3,0)</f>
        <v>Pediatric</v>
      </c>
      <c r="AD1201" s="4" t="str">
        <f>VLOOKUP(R1201,Insurance_Plans!$A:$C,3,0)</f>
        <v>Private</v>
      </c>
      <c r="AE1201" s="13">
        <f t="shared" si="54"/>
        <v>1875</v>
      </c>
      <c r="AF1201" s="13">
        <f t="shared" si="55"/>
        <v>39375</v>
      </c>
      <c r="AG1201" s="4" t="str">
        <f t="shared" si="56"/>
        <v>High</v>
      </c>
    </row>
    <row r="1202" spans="1:33">
      <c r="A1202" t="s">
        <v>1948</v>
      </c>
      <c r="B1202" t="s">
        <v>1162</v>
      </c>
      <c r="C1202" s="11">
        <v>46125</v>
      </c>
      <c r="D1202" t="s">
        <v>469</v>
      </c>
      <c r="E1202" t="s">
        <v>70</v>
      </c>
      <c r="F1202" s="4">
        <v>46125</v>
      </c>
      <c r="G1202" s="4">
        <v>46129</v>
      </c>
      <c r="H1202" t="s">
        <v>178</v>
      </c>
      <c r="I1202" t="s">
        <v>462</v>
      </c>
      <c r="J1202" t="s">
        <v>358</v>
      </c>
      <c r="K1202" t="s">
        <v>93</v>
      </c>
      <c r="L1202" t="s">
        <v>61</v>
      </c>
      <c r="M1202" s="5">
        <v>51700</v>
      </c>
      <c r="N1202" s="5">
        <v>5150</v>
      </c>
      <c r="O1202" s="5">
        <v>9500</v>
      </c>
      <c r="P1202" s="5">
        <v>24000</v>
      </c>
      <c r="Q1202" s="13">
        <v>92850</v>
      </c>
      <c r="R1202" t="s">
        <v>75</v>
      </c>
      <c r="S1202" t="s">
        <v>76</v>
      </c>
      <c r="T1202" s="5">
        <v>42080</v>
      </c>
      <c r="U1202" s="6">
        <v>3</v>
      </c>
      <c r="V1202" t="s">
        <v>77</v>
      </c>
      <c r="W1202" s="4">
        <v>46139</v>
      </c>
      <c r="X1202" t="s">
        <v>64</v>
      </c>
      <c r="Y1202" t="s">
        <v>64</v>
      </c>
      <c r="Z1202" t="s">
        <v>96</v>
      </c>
      <c r="AA1202" t="str">
        <f>VLOOKUP(H1202,Departments!$A:$B,2,0)</f>
        <v>Surgery</v>
      </c>
      <c r="AB1202" t="str">
        <f>VLOOKUP(J1202,Diagnosis_Guide!$A:$B,2,0)</f>
        <v>Gallbladder Surgery</v>
      </c>
      <c r="AC1202" s="4" t="str">
        <f>VLOOKUP(J1202,Diagnosis_Guide!$A:$C,3,0)</f>
        <v>Surgical</v>
      </c>
      <c r="AD1202" s="4" t="str">
        <f>VLOOKUP(R1202,Insurance_Plans!$A:$C,3,0)</f>
        <v>Public</v>
      </c>
      <c r="AE1202" s="13">
        <f t="shared" si="54"/>
        <v>4642.5</v>
      </c>
      <c r="AF1202" s="13">
        <f t="shared" si="55"/>
        <v>97492.5</v>
      </c>
      <c r="AG1202" s="4" t="str">
        <f t="shared" si="56"/>
        <v>Medium</v>
      </c>
    </row>
    <row r="1203" spans="1:33">
      <c r="A1203" t="s">
        <v>1949</v>
      </c>
      <c r="B1203" t="s">
        <v>1572</v>
      </c>
      <c r="C1203" s="11">
        <v>46153</v>
      </c>
      <c r="D1203" t="s">
        <v>137</v>
      </c>
      <c r="E1203" t="s">
        <v>314</v>
      </c>
      <c r="F1203" s="4"/>
      <c r="G1203" s="4"/>
      <c r="H1203" t="s">
        <v>111</v>
      </c>
      <c r="I1203" t="s">
        <v>222</v>
      </c>
      <c r="J1203" t="s">
        <v>113</v>
      </c>
      <c r="K1203" t="s">
        <v>124</v>
      </c>
      <c r="L1203" t="s">
        <v>94</v>
      </c>
      <c r="M1203" s="5"/>
      <c r="N1203" s="5"/>
      <c r="O1203" s="5"/>
      <c r="P1203" s="5"/>
      <c r="R1203" t="s">
        <v>106</v>
      </c>
      <c r="S1203" t="s">
        <v>63</v>
      </c>
      <c r="T1203" s="5"/>
      <c r="U1203" s="6"/>
      <c r="V1203" t="s">
        <v>64</v>
      </c>
      <c r="W1203" s="4"/>
      <c r="X1203" t="s">
        <v>65</v>
      </c>
      <c r="Z1203" t="s">
        <v>66</v>
      </c>
      <c r="AA1203" t="str">
        <f>VLOOKUP(H1203,Departments!$A:$B,2,0)</f>
        <v>General Medicine</v>
      </c>
      <c r="AB1203" t="str">
        <f>VLOOKUP(J1203,Diagnosis_Guide!$A:$B,2,0)</f>
        <v>Diabetes Complication</v>
      </c>
      <c r="AC1203" s="4" t="str">
        <f>VLOOKUP(J1203,Diagnosis_Guide!$A:$C,3,0)</f>
        <v>Endocrine/General</v>
      </c>
      <c r="AD1203" s="4" t="str">
        <f>VLOOKUP(R1203,Insurance_Plans!$A:$C,3,0)</f>
        <v>Private</v>
      </c>
      <c r="AE1203" s="13" t="str">
        <f t="shared" si="54"/>
        <v/>
      </c>
      <c r="AF1203" s="13" t="str">
        <f t="shared" si="55"/>
        <v/>
      </c>
      <c r="AG1203" s="4" t="str">
        <f t="shared" si="56"/>
        <v>Not Available</v>
      </c>
    </row>
    <row r="1204" spans="1:33">
      <c r="A1204" t="s">
        <v>1950</v>
      </c>
      <c r="B1204" t="s">
        <v>553</v>
      </c>
      <c r="C1204" s="11">
        <v>46144</v>
      </c>
      <c r="D1204" t="s">
        <v>266</v>
      </c>
      <c r="E1204" t="s">
        <v>70</v>
      </c>
      <c r="F1204" s="4">
        <v>46145</v>
      </c>
      <c r="G1204" s="4">
        <v>46145</v>
      </c>
      <c r="H1204" t="s">
        <v>90</v>
      </c>
      <c r="I1204" t="s">
        <v>299</v>
      </c>
      <c r="J1204" t="s">
        <v>129</v>
      </c>
      <c r="K1204" t="s">
        <v>60</v>
      </c>
      <c r="L1204" t="s">
        <v>94</v>
      </c>
      <c r="M1204" s="5">
        <v>41500</v>
      </c>
      <c r="N1204" s="5">
        <v>4500</v>
      </c>
      <c r="O1204" s="5">
        <v>4500</v>
      </c>
      <c r="P1204" s="5">
        <v>0</v>
      </c>
      <c r="Q1204" s="13">
        <v>52000</v>
      </c>
      <c r="R1204" t="s">
        <v>141</v>
      </c>
      <c r="S1204" t="s">
        <v>76</v>
      </c>
      <c r="T1204" s="5">
        <v>9000</v>
      </c>
      <c r="U1204" s="6">
        <v>5</v>
      </c>
      <c r="V1204" t="s">
        <v>77</v>
      </c>
      <c r="W1204" s="4">
        <v>46160</v>
      </c>
      <c r="X1204" t="s">
        <v>64</v>
      </c>
      <c r="Y1204" t="s">
        <v>64</v>
      </c>
      <c r="Z1204" t="s">
        <v>436</v>
      </c>
      <c r="AA1204" t="str">
        <f>VLOOKUP(H1204,Departments!$A:$B,2,0)</f>
        <v>Cardiology</v>
      </c>
      <c r="AB1204" t="str">
        <f>VLOOKUP(J1204,Diagnosis_Guide!$A:$B,2,0)</f>
        <v>Hypertension Crisis</v>
      </c>
      <c r="AC1204" s="4" t="str">
        <f>VLOOKUP(J1204,Diagnosis_Guide!$A:$C,3,0)</f>
        <v>Cardiovascular</v>
      </c>
      <c r="AD1204" s="4" t="str">
        <f>VLOOKUP(R1204,Insurance_Plans!$A:$C,3,0)</f>
        <v>Private</v>
      </c>
      <c r="AE1204" s="13">
        <f t="shared" si="54"/>
        <v>2600</v>
      </c>
      <c r="AF1204" s="13">
        <f t="shared" si="55"/>
        <v>54600</v>
      </c>
      <c r="AG1204" s="4" t="str">
        <f t="shared" si="56"/>
        <v>High</v>
      </c>
    </row>
    <row r="1205" spans="1:33">
      <c r="A1205" t="s">
        <v>1951</v>
      </c>
      <c r="B1205" t="s">
        <v>555</v>
      </c>
      <c r="C1205" s="11">
        <v>46081</v>
      </c>
      <c r="D1205" t="s">
        <v>337</v>
      </c>
      <c r="E1205" t="s">
        <v>56</v>
      </c>
      <c r="F1205" s="4"/>
      <c r="G1205" s="4"/>
      <c r="H1205" t="s">
        <v>111</v>
      </c>
      <c r="I1205" t="s">
        <v>397</v>
      </c>
      <c r="J1205" t="s">
        <v>113</v>
      </c>
      <c r="K1205" t="s">
        <v>73</v>
      </c>
      <c r="L1205" t="s">
        <v>74</v>
      </c>
      <c r="M1205" s="5"/>
      <c r="N1205" s="5"/>
      <c r="O1205" s="5"/>
      <c r="P1205" s="5"/>
      <c r="R1205" t="s">
        <v>95</v>
      </c>
      <c r="S1205" t="s">
        <v>63</v>
      </c>
      <c r="T1205" s="5"/>
      <c r="U1205" s="6"/>
      <c r="V1205" t="s">
        <v>64</v>
      </c>
      <c r="W1205" s="4"/>
      <c r="X1205" t="s">
        <v>65</v>
      </c>
      <c r="Z1205" t="s">
        <v>66</v>
      </c>
      <c r="AA1205" t="str">
        <f>VLOOKUP(H1205,Departments!$A:$B,2,0)</f>
        <v>General Medicine</v>
      </c>
      <c r="AB1205" t="str">
        <f>VLOOKUP(J1205,Diagnosis_Guide!$A:$B,2,0)</f>
        <v>Diabetes Complication</v>
      </c>
      <c r="AC1205" s="4" t="str">
        <f>VLOOKUP(J1205,Diagnosis_Guide!$A:$C,3,0)</f>
        <v>Endocrine/General</v>
      </c>
      <c r="AD1205" s="4" t="str">
        <f>VLOOKUP(R1205,Insurance_Plans!$A:$C,3,0)</f>
        <v>Self-Pay</v>
      </c>
      <c r="AE1205" s="13" t="str">
        <f t="shared" si="54"/>
        <v/>
      </c>
      <c r="AF1205" s="13" t="str">
        <f t="shared" si="55"/>
        <v/>
      </c>
      <c r="AG1205" s="4" t="str">
        <f t="shared" si="56"/>
        <v>Not Available</v>
      </c>
    </row>
    <row r="1206" spans="1:33">
      <c r="A1206" t="s">
        <v>1952</v>
      </c>
      <c r="B1206" t="s">
        <v>700</v>
      </c>
      <c r="C1206" s="11">
        <v>46088</v>
      </c>
      <c r="D1206" t="s">
        <v>234</v>
      </c>
      <c r="E1206" t="s">
        <v>70</v>
      </c>
      <c r="F1206" s="4">
        <v>46088</v>
      </c>
      <c r="G1206" s="4">
        <v>46088</v>
      </c>
      <c r="H1206" t="s">
        <v>121</v>
      </c>
      <c r="I1206" t="s">
        <v>386</v>
      </c>
      <c r="J1206" t="s">
        <v>256</v>
      </c>
      <c r="K1206" t="s">
        <v>60</v>
      </c>
      <c r="L1206" t="s">
        <v>94</v>
      </c>
      <c r="M1206" s="5">
        <v>18100</v>
      </c>
      <c r="N1206" s="5">
        <v>1550</v>
      </c>
      <c r="O1206" s="5">
        <v>4050</v>
      </c>
      <c r="P1206" s="5">
        <v>0</v>
      </c>
      <c r="Q1206" s="13">
        <v>26200</v>
      </c>
      <c r="R1206" t="s">
        <v>85</v>
      </c>
      <c r="S1206" t="s">
        <v>163</v>
      </c>
      <c r="T1206" s="5">
        <v>7450</v>
      </c>
      <c r="U1206" s="6">
        <v>4</v>
      </c>
      <c r="V1206" t="s">
        <v>77</v>
      </c>
      <c r="W1206" s="4">
        <v>46108</v>
      </c>
      <c r="X1206" t="s">
        <v>77</v>
      </c>
      <c r="Y1206" t="s">
        <v>64</v>
      </c>
      <c r="Z1206" t="s">
        <v>96</v>
      </c>
      <c r="AA1206" t="str">
        <f>VLOOKUP(H1206,Departments!$A:$B,2,0)</f>
        <v>Neurology</v>
      </c>
      <c r="AB1206" t="str">
        <f>VLOOKUP(J1206,Diagnosis_Guide!$A:$B,2,0)</f>
        <v>Migraine Complication</v>
      </c>
      <c r="AC1206" s="4" t="str">
        <f>VLOOKUP(J1206,Diagnosis_Guide!$A:$C,3,0)</f>
        <v>Neurological</v>
      </c>
      <c r="AD1206" s="4" t="str">
        <f>VLOOKUP(R1206,Insurance_Plans!$A:$C,3,0)</f>
        <v>Employer</v>
      </c>
      <c r="AE1206" s="13">
        <f t="shared" si="54"/>
        <v>1310</v>
      </c>
      <c r="AF1206" s="13">
        <f t="shared" si="55"/>
        <v>27510</v>
      </c>
      <c r="AG1206" s="4" t="str">
        <f t="shared" si="56"/>
        <v>High</v>
      </c>
    </row>
    <row r="1207" spans="1:33">
      <c r="A1207" t="s">
        <v>1953</v>
      </c>
      <c r="B1207" t="s">
        <v>1697</v>
      </c>
      <c r="C1207" s="11">
        <v>46074</v>
      </c>
      <c r="D1207" t="s">
        <v>137</v>
      </c>
      <c r="E1207" t="s">
        <v>70</v>
      </c>
      <c r="F1207" s="4">
        <v>46074</v>
      </c>
      <c r="G1207" s="4">
        <v>46075</v>
      </c>
      <c r="H1207" t="s">
        <v>57</v>
      </c>
      <c r="I1207" t="s">
        <v>184</v>
      </c>
      <c r="J1207" t="s">
        <v>170</v>
      </c>
      <c r="K1207" t="s">
        <v>60</v>
      </c>
      <c r="L1207" t="s">
        <v>74</v>
      </c>
      <c r="M1207" s="5">
        <v>68400</v>
      </c>
      <c r="N1207" s="5">
        <v>7500</v>
      </c>
      <c r="O1207" s="5">
        <v>13750</v>
      </c>
      <c r="P1207" s="5">
        <v>6000</v>
      </c>
      <c r="Q1207" s="13">
        <v>96850</v>
      </c>
      <c r="R1207" t="s">
        <v>141</v>
      </c>
      <c r="S1207" t="s">
        <v>76</v>
      </c>
      <c r="T1207" s="5">
        <v>15730</v>
      </c>
      <c r="U1207" s="6">
        <v>5</v>
      </c>
      <c r="V1207" t="s">
        <v>64</v>
      </c>
      <c r="W1207" s="4"/>
      <c r="X1207" t="s">
        <v>65</v>
      </c>
      <c r="Y1207" t="s">
        <v>64</v>
      </c>
      <c r="Z1207" t="s">
        <v>78</v>
      </c>
      <c r="AA1207" t="str">
        <f>VLOOKUP(H1207,Departments!$A:$B,2,0)</f>
        <v>Pulmonology</v>
      </c>
      <c r="AB1207" t="str">
        <f>VLOOKUP(J1207,Diagnosis_Guide!$A:$B,2,0)</f>
        <v>COPD Exacerbation</v>
      </c>
      <c r="AC1207" s="4" t="str">
        <f>VLOOKUP(J1207,Diagnosis_Guide!$A:$C,3,0)</f>
        <v>Respiratory</v>
      </c>
      <c r="AD1207" s="4" t="str">
        <f>VLOOKUP(R1207,Insurance_Plans!$A:$C,3,0)</f>
        <v>Private</v>
      </c>
      <c r="AE1207" s="13">
        <f t="shared" si="54"/>
        <v>4842.5</v>
      </c>
      <c r="AF1207" s="13">
        <f t="shared" si="55"/>
        <v>101692.5</v>
      </c>
      <c r="AG1207" s="4" t="str">
        <f t="shared" si="56"/>
        <v>High</v>
      </c>
    </row>
    <row r="1208" spans="1:33">
      <c r="A1208" t="s">
        <v>1954</v>
      </c>
      <c r="B1208" t="s">
        <v>549</v>
      </c>
      <c r="C1208" s="11">
        <v>46090</v>
      </c>
      <c r="D1208" t="s">
        <v>149</v>
      </c>
      <c r="E1208" t="s">
        <v>70</v>
      </c>
      <c r="F1208" s="4">
        <v>46090</v>
      </c>
      <c r="G1208" s="4">
        <v>46094</v>
      </c>
      <c r="H1208" t="s">
        <v>103</v>
      </c>
      <c r="I1208" t="s">
        <v>412</v>
      </c>
      <c r="J1208" t="s">
        <v>145</v>
      </c>
      <c r="K1208" t="s">
        <v>124</v>
      </c>
      <c r="L1208" t="s">
        <v>74</v>
      </c>
      <c r="M1208" s="5">
        <v>30900</v>
      </c>
      <c r="N1208" s="5">
        <v>3000</v>
      </c>
      <c r="O1208" s="5">
        <v>6450</v>
      </c>
      <c r="P1208" s="5">
        <v>10000</v>
      </c>
      <c r="Q1208" s="13">
        <v>51550</v>
      </c>
      <c r="R1208" t="s">
        <v>141</v>
      </c>
      <c r="S1208" t="s">
        <v>86</v>
      </c>
      <c r="T1208" s="5">
        <v>8930</v>
      </c>
      <c r="U1208" s="6">
        <v>3</v>
      </c>
      <c r="V1208" t="s">
        <v>77</v>
      </c>
      <c r="W1208" s="4">
        <v>46114</v>
      </c>
      <c r="X1208" t="s">
        <v>77</v>
      </c>
      <c r="Y1208" t="s">
        <v>64</v>
      </c>
      <c r="Z1208" t="s">
        <v>96</v>
      </c>
      <c r="AA1208" t="str">
        <f>VLOOKUP(H1208,Departments!$A:$B,2,0)</f>
        <v>Nephrology</v>
      </c>
      <c r="AB1208" t="str">
        <f>VLOOKUP(J1208,Diagnosis_Guide!$A:$B,2,0)</f>
        <v>Kidney Stone</v>
      </c>
      <c r="AC1208" s="4" t="str">
        <f>VLOOKUP(J1208,Diagnosis_Guide!$A:$C,3,0)</f>
        <v>Renal</v>
      </c>
      <c r="AD1208" s="4" t="str">
        <f>VLOOKUP(R1208,Insurance_Plans!$A:$C,3,0)</f>
        <v>Private</v>
      </c>
      <c r="AE1208" s="13">
        <f t="shared" si="54"/>
        <v>2577.5</v>
      </c>
      <c r="AF1208" s="13">
        <f t="shared" si="55"/>
        <v>54127.5</v>
      </c>
      <c r="AG1208" s="4" t="str">
        <f t="shared" si="56"/>
        <v>Medium</v>
      </c>
    </row>
    <row r="1209" spans="1:33">
      <c r="A1209" t="s">
        <v>1955</v>
      </c>
      <c r="B1209" t="s">
        <v>438</v>
      </c>
      <c r="C1209" s="11">
        <v>46123</v>
      </c>
      <c r="D1209" t="s">
        <v>110</v>
      </c>
      <c r="E1209" t="s">
        <v>70</v>
      </c>
      <c r="F1209" s="4">
        <v>46123</v>
      </c>
      <c r="G1209" s="4">
        <v>46123</v>
      </c>
      <c r="H1209" t="s">
        <v>111</v>
      </c>
      <c r="I1209" t="s">
        <v>112</v>
      </c>
      <c r="J1209" t="s">
        <v>117</v>
      </c>
      <c r="K1209" t="s">
        <v>73</v>
      </c>
      <c r="L1209" t="s">
        <v>94</v>
      </c>
      <c r="M1209" s="5">
        <v>6600</v>
      </c>
      <c r="N1209" s="5">
        <v>1050</v>
      </c>
      <c r="O1209" s="5">
        <v>950</v>
      </c>
      <c r="P1209" s="5">
        <v>0</v>
      </c>
      <c r="Q1209" s="13">
        <v>9400</v>
      </c>
      <c r="R1209" t="s">
        <v>75</v>
      </c>
      <c r="S1209" t="s">
        <v>76</v>
      </c>
      <c r="T1209" s="5">
        <v>4530</v>
      </c>
      <c r="U1209" s="6">
        <v>4</v>
      </c>
      <c r="V1209" t="s">
        <v>64</v>
      </c>
      <c r="W1209" s="4"/>
      <c r="X1209" t="s">
        <v>65</v>
      </c>
      <c r="Y1209" t="s">
        <v>64</v>
      </c>
      <c r="Z1209" t="s">
        <v>78</v>
      </c>
      <c r="AA1209" t="str">
        <f>VLOOKUP(H1209,Departments!$A:$B,2,0)</f>
        <v>General Medicine</v>
      </c>
      <c r="AB1209" t="str">
        <f>VLOOKUP(J1209,Diagnosis_Guide!$A:$B,2,0)</f>
        <v>Fever Investigation</v>
      </c>
      <c r="AC1209" s="4" t="str">
        <f>VLOOKUP(J1209,Diagnosis_Guide!$A:$C,3,0)</f>
        <v>Infectious/General</v>
      </c>
      <c r="AD1209" s="4" t="str">
        <f>VLOOKUP(R1209,Insurance_Plans!$A:$C,3,0)</f>
        <v>Public</v>
      </c>
      <c r="AE1209" s="13">
        <f t="shared" si="54"/>
        <v>470</v>
      </c>
      <c r="AF1209" s="13">
        <f t="shared" si="55"/>
        <v>9870</v>
      </c>
      <c r="AG1209" s="4" t="str">
        <f t="shared" si="56"/>
        <v>High</v>
      </c>
    </row>
    <row r="1210" spans="1:33">
      <c r="A1210" t="s">
        <v>1956</v>
      </c>
      <c r="B1210" t="s">
        <v>98</v>
      </c>
      <c r="C1210" s="11">
        <v>46056</v>
      </c>
      <c r="D1210" t="s">
        <v>469</v>
      </c>
      <c r="E1210" t="s">
        <v>70</v>
      </c>
      <c r="F1210" s="4">
        <v>46056</v>
      </c>
      <c r="G1210" s="4">
        <v>46061</v>
      </c>
      <c r="H1210" t="s">
        <v>178</v>
      </c>
      <c r="I1210" t="s">
        <v>462</v>
      </c>
      <c r="J1210" t="s">
        <v>358</v>
      </c>
      <c r="K1210" t="s">
        <v>93</v>
      </c>
      <c r="L1210" t="s">
        <v>94</v>
      </c>
      <c r="M1210" s="5">
        <v>62300</v>
      </c>
      <c r="N1210" s="5">
        <v>9450</v>
      </c>
      <c r="O1210" s="5">
        <v>7500</v>
      </c>
      <c r="P1210" s="5">
        <v>22500</v>
      </c>
      <c r="Q1210" s="13">
        <v>104250</v>
      </c>
      <c r="R1210" t="s">
        <v>141</v>
      </c>
      <c r="S1210" t="s">
        <v>86</v>
      </c>
      <c r="T1210" s="5">
        <v>16840</v>
      </c>
      <c r="U1210" s="6">
        <v>4</v>
      </c>
      <c r="V1210" t="s">
        <v>77</v>
      </c>
      <c r="W1210" s="4">
        <v>46077</v>
      </c>
      <c r="X1210" t="s">
        <v>77</v>
      </c>
      <c r="Y1210" t="s">
        <v>64</v>
      </c>
      <c r="Z1210" t="s">
        <v>96</v>
      </c>
      <c r="AA1210" t="str">
        <f>VLOOKUP(H1210,Departments!$A:$B,2,0)</f>
        <v>Surgery</v>
      </c>
      <c r="AB1210" t="str">
        <f>VLOOKUP(J1210,Diagnosis_Guide!$A:$B,2,0)</f>
        <v>Gallbladder Surgery</v>
      </c>
      <c r="AC1210" s="4" t="str">
        <f>VLOOKUP(J1210,Diagnosis_Guide!$A:$C,3,0)</f>
        <v>Surgical</v>
      </c>
      <c r="AD1210" s="4" t="str">
        <f>VLOOKUP(R1210,Insurance_Plans!$A:$C,3,0)</f>
        <v>Private</v>
      </c>
      <c r="AE1210" s="13">
        <f t="shared" si="54"/>
        <v>5212.5</v>
      </c>
      <c r="AF1210" s="13">
        <f t="shared" si="55"/>
        <v>109462.5</v>
      </c>
      <c r="AG1210" s="4" t="str">
        <f t="shared" si="56"/>
        <v>High</v>
      </c>
    </row>
    <row r="1211" spans="1:33">
      <c r="A1211" t="s">
        <v>1957</v>
      </c>
      <c r="B1211" t="s">
        <v>271</v>
      </c>
      <c r="C1211" s="11">
        <v>46078</v>
      </c>
      <c r="D1211" t="s">
        <v>242</v>
      </c>
      <c r="E1211" t="s">
        <v>70</v>
      </c>
      <c r="F1211" s="4">
        <v>46078</v>
      </c>
      <c r="G1211" s="4">
        <v>46082</v>
      </c>
      <c r="H1211" t="s">
        <v>57</v>
      </c>
      <c r="I1211" t="s">
        <v>211</v>
      </c>
      <c r="J1211" t="s">
        <v>72</v>
      </c>
      <c r="K1211" t="s">
        <v>73</v>
      </c>
      <c r="L1211" t="s">
        <v>61</v>
      </c>
      <c r="M1211" s="5">
        <v>6100</v>
      </c>
      <c r="N1211" s="5">
        <v>500</v>
      </c>
      <c r="O1211" s="5">
        <v>950</v>
      </c>
      <c r="P1211" s="5">
        <v>18000</v>
      </c>
      <c r="Q1211" s="13">
        <v>27550</v>
      </c>
      <c r="R1211" t="s">
        <v>141</v>
      </c>
      <c r="S1211" t="s">
        <v>76</v>
      </c>
      <c r="T1211" s="5">
        <v>5330</v>
      </c>
      <c r="U1211" s="6">
        <v>4</v>
      </c>
      <c r="V1211" t="s">
        <v>77</v>
      </c>
      <c r="W1211" s="4">
        <v>46103</v>
      </c>
      <c r="X1211" t="s">
        <v>77</v>
      </c>
      <c r="Y1211" t="s">
        <v>64</v>
      </c>
      <c r="Z1211" t="s">
        <v>107</v>
      </c>
      <c r="AA1211" t="str">
        <f>VLOOKUP(H1211,Departments!$A:$B,2,0)</f>
        <v>Pulmonology</v>
      </c>
      <c r="AB1211" t="str">
        <f>VLOOKUP(J1211,Diagnosis_Guide!$A:$B,2,0)</f>
        <v>Acute Bronchitis</v>
      </c>
      <c r="AC1211" s="4" t="str">
        <f>VLOOKUP(J1211,Diagnosis_Guide!$A:$C,3,0)</f>
        <v>Respiratory</v>
      </c>
      <c r="AD1211" s="4" t="str">
        <f>VLOOKUP(R1211,Insurance_Plans!$A:$C,3,0)</f>
        <v>Private</v>
      </c>
      <c r="AE1211" s="13">
        <f t="shared" si="54"/>
        <v>1377.5</v>
      </c>
      <c r="AF1211" s="13">
        <f t="shared" si="55"/>
        <v>28927.5</v>
      </c>
      <c r="AG1211" s="4" t="str">
        <f t="shared" si="56"/>
        <v>High</v>
      </c>
    </row>
    <row r="1212" spans="1:33">
      <c r="A1212" t="s">
        <v>1958</v>
      </c>
      <c r="B1212" t="s">
        <v>224</v>
      </c>
      <c r="C1212" s="11">
        <v>46040</v>
      </c>
      <c r="D1212" t="s">
        <v>149</v>
      </c>
      <c r="E1212" t="s">
        <v>70</v>
      </c>
      <c r="F1212" s="4">
        <v>46040</v>
      </c>
      <c r="G1212" s="4">
        <v>46040</v>
      </c>
      <c r="H1212" t="s">
        <v>121</v>
      </c>
      <c r="I1212" t="s">
        <v>174</v>
      </c>
      <c r="J1212" t="s">
        <v>256</v>
      </c>
      <c r="K1212" t="s">
        <v>60</v>
      </c>
      <c r="L1212" t="s">
        <v>61</v>
      </c>
      <c r="M1212" s="5">
        <v>21100</v>
      </c>
      <c r="N1212" s="5">
        <v>2150</v>
      </c>
      <c r="O1212" s="5">
        <v>4200</v>
      </c>
      <c r="P1212" s="5">
        <v>0</v>
      </c>
      <c r="Q1212" s="13">
        <v>29250</v>
      </c>
      <c r="R1212" t="s">
        <v>85</v>
      </c>
      <c r="S1212" t="s">
        <v>76</v>
      </c>
      <c r="T1212" s="5">
        <v>8210</v>
      </c>
      <c r="U1212" s="6">
        <v>3</v>
      </c>
      <c r="V1212" t="s">
        <v>77</v>
      </c>
      <c r="W1212" s="4">
        <v>46050</v>
      </c>
      <c r="X1212" t="s">
        <v>64</v>
      </c>
      <c r="Y1212" t="s">
        <v>64</v>
      </c>
      <c r="Z1212" t="s">
        <v>96</v>
      </c>
      <c r="AA1212" t="str">
        <f>VLOOKUP(H1212,Departments!$A:$B,2,0)</f>
        <v>Neurology</v>
      </c>
      <c r="AB1212" t="str">
        <f>VLOOKUP(J1212,Diagnosis_Guide!$A:$B,2,0)</f>
        <v>Migraine Complication</v>
      </c>
      <c r="AC1212" s="4" t="str">
        <f>VLOOKUP(J1212,Diagnosis_Guide!$A:$C,3,0)</f>
        <v>Neurological</v>
      </c>
      <c r="AD1212" s="4" t="str">
        <f>VLOOKUP(R1212,Insurance_Plans!$A:$C,3,0)</f>
        <v>Employer</v>
      </c>
      <c r="AE1212" s="13">
        <f t="shared" si="54"/>
        <v>1462.5</v>
      </c>
      <c r="AF1212" s="13">
        <f t="shared" si="55"/>
        <v>30712.5</v>
      </c>
      <c r="AG1212" s="4" t="str">
        <f t="shared" si="56"/>
        <v>Medium</v>
      </c>
    </row>
    <row r="1213" spans="1:33">
      <c r="A1213" t="s">
        <v>1959</v>
      </c>
      <c r="B1213" t="s">
        <v>1455</v>
      </c>
      <c r="C1213" s="11">
        <v>46110</v>
      </c>
      <c r="D1213" t="s">
        <v>99</v>
      </c>
      <c r="E1213" t="s">
        <v>70</v>
      </c>
      <c r="F1213" s="4">
        <v>46110</v>
      </c>
      <c r="G1213" s="4">
        <v>46114</v>
      </c>
      <c r="H1213" t="s">
        <v>57</v>
      </c>
      <c r="I1213" t="s">
        <v>211</v>
      </c>
      <c r="J1213" t="s">
        <v>59</v>
      </c>
      <c r="K1213" t="s">
        <v>73</v>
      </c>
      <c r="L1213" t="s">
        <v>94</v>
      </c>
      <c r="M1213" s="5">
        <v>60500</v>
      </c>
      <c r="N1213" s="5">
        <v>9050</v>
      </c>
      <c r="O1213" s="5">
        <v>10800</v>
      </c>
      <c r="P1213" s="5">
        <v>18000</v>
      </c>
      <c r="Q1213" s="13">
        <v>100350</v>
      </c>
      <c r="R1213" t="s">
        <v>85</v>
      </c>
      <c r="S1213" t="s">
        <v>76</v>
      </c>
      <c r="T1213" s="5">
        <v>25990</v>
      </c>
      <c r="U1213" s="6">
        <v>3</v>
      </c>
      <c r="V1213" t="s">
        <v>77</v>
      </c>
      <c r="W1213" s="4">
        <v>46128</v>
      </c>
      <c r="X1213" t="s">
        <v>77</v>
      </c>
      <c r="Y1213" t="s">
        <v>77</v>
      </c>
      <c r="Z1213" t="s">
        <v>96</v>
      </c>
      <c r="AA1213" t="str">
        <f>VLOOKUP(H1213,Departments!$A:$B,2,0)</f>
        <v>Pulmonology</v>
      </c>
      <c r="AB1213" t="str">
        <f>VLOOKUP(J1213,Diagnosis_Guide!$A:$B,2,0)</f>
        <v>Pneumonia</v>
      </c>
      <c r="AC1213" s="4" t="str">
        <f>VLOOKUP(J1213,Diagnosis_Guide!$A:$C,3,0)</f>
        <v>Respiratory</v>
      </c>
      <c r="AD1213" s="4" t="str">
        <f>VLOOKUP(R1213,Insurance_Plans!$A:$C,3,0)</f>
        <v>Employer</v>
      </c>
      <c r="AE1213" s="13">
        <f t="shared" si="54"/>
        <v>5017.5</v>
      </c>
      <c r="AF1213" s="13">
        <f t="shared" si="55"/>
        <v>105367.5</v>
      </c>
      <c r="AG1213" s="4" t="str">
        <f t="shared" si="56"/>
        <v>Medium</v>
      </c>
    </row>
    <row r="1214" spans="1:33">
      <c r="A1214" t="s">
        <v>1960</v>
      </c>
      <c r="B1214" t="s">
        <v>1961</v>
      </c>
      <c r="C1214" s="11">
        <v>46105</v>
      </c>
      <c r="D1214" t="s">
        <v>242</v>
      </c>
      <c r="E1214" t="s">
        <v>70</v>
      </c>
      <c r="F1214" s="4">
        <v>46105</v>
      </c>
      <c r="G1214" s="4">
        <v>46105</v>
      </c>
      <c r="H1214" t="s">
        <v>111</v>
      </c>
      <c r="I1214" t="s">
        <v>112</v>
      </c>
      <c r="J1214" t="s">
        <v>384</v>
      </c>
      <c r="K1214" t="s">
        <v>60</v>
      </c>
      <c r="L1214" t="s">
        <v>61</v>
      </c>
      <c r="M1214" s="5">
        <v>52900</v>
      </c>
      <c r="N1214" s="5">
        <v>6100</v>
      </c>
      <c r="O1214" s="5">
        <v>8950</v>
      </c>
      <c r="P1214" s="5">
        <v>0</v>
      </c>
      <c r="Q1214" s="13">
        <v>68750</v>
      </c>
      <c r="R1214" t="s">
        <v>141</v>
      </c>
      <c r="S1214" t="s">
        <v>76</v>
      </c>
      <c r="T1214" s="5">
        <v>11510</v>
      </c>
      <c r="U1214" s="6">
        <v>5</v>
      </c>
      <c r="V1214" t="s">
        <v>77</v>
      </c>
      <c r="W1214" s="4">
        <v>46115</v>
      </c>
      <c r="X1214" t="s">
        <v>77</v>
      </c>
      <c r="Y1214" t="s">
        <v>64</v>
      </c>
      <c r="Z1214" t="s">
        <v>107</v>
      </c>
      <c r="AA1214" t="str">
        <f>VLOOKUP(H1214,Departments!$A:$B,2,0)</f>
        <v>General Medicine</v>
      </c>
      <c r="AB1214" t="str">
        <f>VLOOKUP(J1214,Diagnosis_Guide!$A:$B,2,0)</f>
        <v>Severe Infection</v>
      </c>
      <c r="AC1214" s="4" t="str">
        <f>VLOOKUP(J1214,Diagnosis_Guide!$A:$C,3,0)</f>
        <v>Infectious/General</v>
      </c>
      <c r="AD1214" s="4" t="str">
        <f>VLOOKUP(R1214,Insurance_Plans!$A:$C,3,0)</f>
        <v>Private</v>
      </c>
      <c r="AE1214" s="13">
        <f t="shared" si="54"/>
        <v>3437.5</v>
      </c>
      <c r="AF1214" s="13">
        <f t="shared" si="55"/>
        <v>72187.5</v>
      </c>
      <c r="AG1214" s="4" t="str">
        <f t="shared" si="56"/>
        <v>High</v>
      </c>
    </row>
    <row r="1215" spans="1:33">
      <c r="A1215" t="s">
        <v>1962</v>
      </c>
      <c r="B1215" t="s">
        <v>881</v>
      </c>
      <c r="C1215" s="11">
        <v>46066</v>
      </c>
      <c r="D1215" t="s">
        <v>206</v>
      </c>
      <c r="E1215" t="s">
        <v>177</v>
      </c>
      <c r="F1215" s="4"/>
      <c r="G1215" s="4"/>
      <c r="H1215" t="s">
        <v>111</v>
      </c>
      <c r="I1215" t="s">
        <v>267</v>
      </c>
      <c r="J1215" t="s">
        <v>117</v>
      </c>
      <c r="K1215" t="s">
        <v>93</v>
      </c>
      <c r="L1215" t="s">
        <v>61</v>
      </c>
      <c r="M1215" s="5"/>
      <c r="N1215" s="5"/>
      <c r="O1215" s="5"/>
      <c r="P1215" s="5"/>
      <c r="R1215" t="s">
        <v>95</v>
      </c>
      <c r="S1215" t="s">
        <v>63</v>
      </c>
      <c r="T1215" s="5"/>
      <c r="U1215" s="6"/>
      <c r="V1215" t="s">
        <v>64</v>
      </c>
      <c r="W1215" s="4"/>
      <c r="X1215" t="s">
        <v>65</v>
      </c>
      <c r="Z1215" t="s">
        <v>66</v>
      </c>
      <c r="AA1215" t="str">
        <f>VLOOKUP(H1215,Departments!$A:$B,2,0)</f>
        <v>General Medicine</v>
      </c>
      <c r="AB1215" t="str">
        <f>VLOOKUP(J1215,Diagnosis_Guide!$A:$B,2,0)</f>
        <v>Fever Investigation</v>
      </c>
      <c r="AC1215" s="4" t="str">
        <f>VLOOKUP(J1215,Diagnosis_Guide!$A:$C,3,0)</f>
        <v>Infectious/General</v>
      </c>
      <c r="AD1215" s="4" t="str">
        <f>VLOOKUP(R1215,Insurance_Plans!$A:$C,3,0)</f>
        <v>Self-Pay</v>
      </c>
      <c r="AE1215" s="13" t="str">
        <f t="shared" si="54"/>
        <v/>
      </c>
      <c r="AF1215" s="13" t="str">
        <f t="shared" si="55"/>
        <v/>
      </c>
      <c r="AG1215" s="4" t="str">
        <f t="shared" si="56"/>
        <v>Not Available</v>
      </c>
    </row>
    <row r="1216" spans="1:33">
      <c r="A1216" t="s">
        <v>1963</v>
      </c>
      <c r="B1216" t="s">
        <v>854</v>
      </c>
      <c r="C1216" s="11">
        <v>46112</v>
      </c>
      <c r="D1216" t="s">
        <v>284</v>
      </c>
      <c r="E1216" t="s">
        <v>70</v>
      </c>
      <c r="F1216" s="4">
        <v>46112</v>
      </c>
      <c r="G1216" s="4">
        <v>46113</v>
      </c>
      <c r="H1216" t="s">
        <v>82</v>
      </c>
      <c r="I1216" t="s">
        <v>272</v>
      </c>
      <c r="J1216" t="s">
        <v>291</v>
      </c>
      <c r="K1216" t="s">
        <v>73</v>
      </c>
      <c r="L1216" t="s">
        <v>74</v>
      </c>
      <c r="M1216" s="5">
        <v>46900</v>
      </c>
      <c r="N1216" s="5">
        <v>6450</v>
      </c>
      <c r="O1216" s="5">
        <v>5350</v>
      </c>
      <c r="P1216" s="5">
        <v>3500</v>
      </c>
      <c r="Q1216" s="13">
        <v>64000</v>
      </c>
      <c r="R1216" t="s">
        <v>75</v>
      </c>
      <c r="S1216" t="s">
        <v>76</v>
      </c>
      <c r="T1216" s="5">
        <v>29100</v>
      </c>
      <c r="U1216" s="6">
        <v>4</v>
      </c>
      <c r="V1216" t="s">
        <v>77</v>
      </c>
      <c r="W1216" s="4">
        <v>46123</v>
      </c>
      <c r="X1216" t="s">
        <v>77</v>
      </c>
      <c r="Y1216" t="s">
        <v>64</v>
      </c>
      <c r="Z1216" t="s">
        <v>96</v>
      </c>
      <c r="AA1216" t="str">
        <f>VLOOKUP(H1216,Departments!$A:$B,2,0)</f>
        <v>Orthopedics</v>
      </c>
      <c r="AB1216" t="str">
        <f>VLOOKUP(J1216,Diagnosis_Guide!$A:$B,2,0)</f>
        <v>Fracture Repair</v>
      </c>
      <c r="AC1216" s="4" t="str">
        <f>VLOOKUP(J1216,Diagnosis_Guide!$A:$C,3,0)</f>
        <v>Musculoskeletal</v>
      </c>
      <c r="AD1216" s="4" t="str">
        <f>VLOOKUP(R1216,Insurance_Plans!$A:$C,3,0)</f>
        <v>Public</v>
      </c>
      <c r="AE1216" s="13">
        <f t="shared" si="54"/>
        <v>3200</v>
      </c>
      <c r="AF1216" s="13">
        <f t="shared" si="55"/>
        <v>67200</v>
      </c>
      <c r="AG1216" s="4" t="str">
        <f t="shared" si="56"/>
        <v>High</v>
      </c>
    </row>
    <row r="1217" spans="1:33">
      <c r="A1217" t="s">
        <v>1964</v>
      </c>
      <c r="B1217" t="s">
        <v>1185</v>
      </c>
      <c r="C1217" s="11">
        <v>46057</v>
      </c>
      <c r="D1217" t="s">
        <v>120</v>
      </c>
      <c r="E1217" t="s">
        <v>314</v>
      </c>
      <c r="F1217" s="4"/>
      <c r="G1217" s="4"/>
      <c r="H1217" t="s">
        <v>121</v>
      </c>
      <c r="I1217" t="s">
        <v>122</v>
      </c>
      <c r="J1217" t="s">
        <v>252</v>
      </c>
      <c r="K1217" t="s">
        <v>73</v>
      </c>
      <c r="L1217" t="s">
        <v>61</v>
      </c>
      <c r="M1217" s="5"/>
      <c r="N1217" s="5"/>
      <c r="O1217" s="5"/>
      <c r="P1217" s="5"/>
      <c r="R1217" t="s">
        <v>62</v>
      </c>
      <c r="S1217" t="s">
        <v>63</v>
      </c>
      <c r="T1217" s="5"/>
      <c r="U1217" s="6"/>
      <c r="V1217" t="s">
        <v>64</v>
      </c>
      <c r="W1217" s="4"/>
      <c r="X1217" t="s">
        <v>65</v>
      </c>
      <c r="Z1217" t="s">
        <v>66</v>
      </c>
      <c r="AA1217" t="str">
        <f>VLOOKUP(H1217,Departments!$A:$B,2,0)</f>
        <v>Neurology</v>
      </c>
      <c r="AB1217" t="str">
        <f>VLOOKUP(J1217,Diagnosis_Guide!$A:$B,2,0)</f>
        <v>Stroke Assessment</v>
      </c>
      <c r="AC1217" s="4" t="str">
        <f>VLOOKUP(J1217,Diagnosis_Guide!$A:$C,3,0)</f>
        <v>Neurological</v>
      </c>
      <c r="AD1217" s="4" t="str">
        <f>VLOOKUP(R1217,Insurance_Plans!$A:$C,3,0)</f>
        <v>Public</v>
      </c>
      <c r="AE1217" s="13" t="str">
        <f t="shared" si="54"/>
        <v/>
      </c>
      <c r="AF1217" s="13" t="str">
        <f t="shared" si="55"/>
        <v/>
      </c>
      <c r="AG1217" s="4" t="str">
        <f t="shared" si="56"/>
        <v>Not Available</v>
      </c>
    </row>
    <row r="1218" spans="1:33">
      <c r="A1218" t="s">
        <v>1965</v>
      </c>
      <c r="B1218" t="s">
        <v>1966</v>
      </c>
      <c r="C1218" s="11">
        <v>46089</v>
      </c>
      <c r="D1218" t="s">
        <v>432</v>
      </c>
      <c r="E1218" t="s">
        <v>70</v>
      </c>
      <c r="F1218" s="4">
        <v>46089</v>
      </c>
      <c r="G1218" s="4">
        <v>46099</v>
      </c>
      <c r="H1218" t="s">
        <v>150</v>
      </c>
      <c r="I1218" t="s">
        <v>247</v>
      </c>
      <c r="J1218" t="s">
        <v>188</v>
      </c>
      <c r="K1218" t="s">
        <v>124</v>
      </c>
      <c r="L1218" t="s">
        <v>61</v>
      </c>
      <c r="M1218" s="5">
        <v>101200</v>
      </c>
      <c r="N1218" s="5">
        <v>9150</v>
      </c>
      <c r="O1218" s="5">
        <v>22000</v>
      </c>
      <c r="P1218" s="5">
        <v>45000</v>
      </c>
      <c r="Q1218" s="13">
        <v>178350</v>
      </c>
      <c r="R1218" t="s">
        <v>141</v>
      </c>
      <c r="S1218" t="s">
        <v>163</v>
      </c>
      <c r="T1218" s="5">
        <v>27950</v>
      </c>
      <c r="U1218" s="6">
        <v>3</v>
      </c>
      <c r="V1218" t="s">
        <v>77</v>
      </c>
      <c r="W1218" s="4">
        <v>46120</v>
      </c>
      <c r="X1218" t="s">
        <v>77</v>
      </c>
      <c r="Y1218" t="s">
        <v>64</v>
      </c>
      <c r="Z1218" t="s">
        <v>78</v>
      </c>
      <c r="AA1218" t="str">
        <f>VLOOKUP(H1218,Departments!$A:$B,2,0)</f>
        <v>Obstetrics</v>
      </c>
      <c r="AB1218" t="str">
        <f>VLOOKUP(J1218,Diagnosis_Guide!$A:$B,2,0)</f>
        <v>Emergency C-Section</v>
      </c>
      <c r="AC1218" s="4" t="str">
        <f>VLOOKUP(J1218,Diagnosis_Guide!$A:$C,3,0)</f>
        <v>Maternal Health</v>
      </c>
      <c r="AD1218" s="4" t="str">
        <f>VLOOKUP(R1218,Insurance_Plans!$A:$C,3,0)</f>
        <v>Private</v>
      </c>
      <c r="AE1218" s="13">
        <f t="shared" ref="AE1218:AE1281" si="57">IF(Q1218="","",Q1218*0.05)</f>
        <v>8917.5</v>
      </c>
      <c r="AF1218" s="13">
        <f t="shared" ref="AF1218:AF1281" si="58">IF(Q1218="","",Q1218+AE1218)</f>
        <v>187267.5</v>
      </c>
      <c r="AG1218" s="4" t="str">
        <f t="shared" ref="AG1218:AG1281" si="59">IF(U1218="","Not Available",IF(U1218&gt;=4,"High",IF(U1218=3,"Medium","Low")))</f>
        <v>Medium</v>
      </c>
    </row>
    <row r="1219" spans="1:33">
      <c r="A1219" t="s">
        <v>1967</v>
      </c>
      <c r="B1219" t="s">
        <v>311</v>
      </c>
      <c r="C1219" s="11">
        <v>46092</v>
      </c>
      <c r="D1219" t="s">
        <v>173</v>
      </c>
      <c r="E1219" t="s">
        <v>177</v>
      </c>
      <c r="F1219" s="4"/>
      <c r="G1219" s="4"/>
      <c r="H1219" t="s">
        <v>103</v>
      </c>
      <c r="I1219" t="s">
        <v>207</v>
      </c>
      <c r="J1219" t="s">
        <v>145</v>
      </c>
      <c r="K1219" t="s">
        <v>60</v>
      </c>
      <c r="L1219" t="s">
        <v>74</v>
      </c>
      <c r="M1219" s="5"/>
      <c r="N1219" s="5"/>
      <c r="O1219" s="5"/>
      <c r="P1219" s="5"/>
      <c r="R1219" t="s">
        <v>134</v>
      </c>
      <c r="S1219" t="s">
        <v>63</v>
      </c>
      <c r="T1219" s="5"/>
      <c r="U1219" s="6"/>
      <c r="V1219" t="s">
        <v>64</v>
      </c>
      <c r="W1219" s="4"/>
      <c r="X1219" t="s">
        <v>65</v>
      </c>
      <c r="Z1219" t="s">
        <v>66</v>
      </c>
      <c r="AA1219" t="str">
        <f>VLOOKUP(H1219,Departments!$A:$B,2,0)</f>
        <v>Nephrology</v>
      </c>
      <c r="AB1219" t="str">
        <f>VLOOKUP(J1219,Diagnosis_Guide!$A:$B,2,0)</f>
        <v>Kidney Stone</v>
      </c>
      <c r="AC1219" s="4" t="str">
        <f>VLOOKUP(J1219,Diagnosis_Guide!$A:$C,3,0)</f>
        <v>Renal</v>
      </c>
      <c r="AD1219" s="4" t="str">
        <f>VLOOKUP(R1219,Insurance_Plans!$A:$C,3,0)</f>
        <v>Community</v>
      </c>
      <c r="AE1219" s="13" t="str">
        <f t="shared" si="57"/>
        <v/>
      </c>
      <c r="AF1219" s="13" t="str">
        <f t="shared" si="58"/>
        <v/>
      </c>
      <c r="AG1219" s="4" t="str">
        <f t="shared" si="59"/>
        <v>Not Available</v>
      </c>
    </row>
    <row r="1220" spans="1:33">
      <c r="A1220" t="s">
        <v>1968</v>
      </c>
      <c r="B1220" t="s">
        <v>870</v>
      </c>
      <c r="C1220" s="11">
        <v>46132</v>
      </c>
      <c r="D1220" t="s">
        <v>206</v>
      </c>
      <c r="E1220" t="s">
        <v>70</v>
      </c>
      <c r="F1220" s="4">
        <v>46133</v>
      </c>
      <c r="G1220" s="4">
        <v>46136</v>
      </c>
      <c r="H1220" t="s">
        <v>138</v>
      </c>
      <c r="I1220" t="s">
        <v>260</v>
      </c>
      <c r="J1220" t="s">
        <v>236</v>
      </c>
      <c r="K1220" t="s">
        <v>73</v>
      </c>
      <c r="L1220" t="s">
        <v>94</v>
      </c>
      <c r="M1220" s="5">
        <v>45800</v>
      </c>
      <c r="N1220" s="5">
        <v>4650</v>
      </c>
      <c r="O1220" s="5">
        <v>7850</v>
      </c>
      <c r="P1220" s="5">
        <v>7500</v>
      </c>
      <c r="Q1220" s="13">
        <v>68300</v>
      </c>
      <c r="R1220" t="s">
        <v>134</v>
      </c>
      <c r="S1220" t="s">
        <v>76</v>
      </c>
      <c r="T1220" s="5">
        <v>37760</v>
      </c>
      <c r="U1220" s="6">
        <v>4</v>
      </c>
      <c r="V1220" t="s">
        <v>77</v>
      </c>
      <c r="W1220" s="4">
        <v>46156</v>
      </c>
      <c r="X1220" t="s">
        <v>77</v>
      </c>
      <c r="Y1220" t="s">
        <v>64</v>
      </c>
      <c r="Z1220" t="s">
        <v>78</v>
      </c>
      <c r="AA1220" t="str">
        <f>VLOOKUP(H1220,Departments!$A:$B,2,0)</f>
        <v>Pediatrics</v>
      </c>
      <c r="AB1220" t="str">
        <f>VLOOKUP(J1220,Diagnosis_Guide!$A:$B,2,0)</f>
        <v>Neonatal Observation</v>
      </c>
      <c r="AC1220" s="4" t="str">
        <f>VLOOKUP(J1220,Diagnosis_Guide!$A:$C,3,0)</f>
        <v>Pediatric</v>
      </c>
      <c r="AD1220" s="4" t="str">
        <f>VLOOKUP(R1220,Insurance_Plans!$A:$C,3,0)</f>
        <v>Community</v>
      </c>
      <c r="AE1220" s="13">
        <f t="shared" si="57"/>
        <v>3415</v>
      </c>
      <c r="AF1220" s="13">
        <f t="shared" si="58"/>
        <v>71715</v>
      </c>
      <c r="AG1220" s="4" t="str">
        <f t="shared" si="59"/>
        <v>High</v>
      </c>
    </row>
    <row r="1221" spans="1:33">
      <c r="A1221" t="s">
        <v>1969</v>
      </c>
      <c r="B1221" t="s">
        <v>126</v>
      </c>
      <c r="C1221" s="11">
        <v>46162</v>
      </c>
      <c r="D1221" t="s">
        <v>120</v>
      </c>
      <c r="E1221" t="s">
        <v>70</v>
      </c>
      <c r="F1221" s="4">
        <v>46163</v>
      </c>
      <c r="G1221" s="4">
        <v>46163</v>
      </c>
      <c r="H1221" t="s">
        <v>201</v>
      </c>
      <c r="I1221" t="s">
        <v>202</v>
      </c>
      <c r="J1221" t="s">
        <v>281</v>
      </c>
      <c r="K1221" t="s">
        <v>124</v>
      </c>
      <c r="L1221" t="s">
        <v>94</v>
      </c>
      <c r="M1221" s="5">
        <v>8000</v>
      </c>
      <c r="N1221" s="5">
        <v>950</v>
      </c>
      <c r="O1221" s="5">
        <v>1750</v>
      </c>
      <c r="P1221" s="5">
        <v>0</v>
      </c>
      <c r="Q1221" s="13">
        <v>13200</v>
      </c>
      <c r="R1221" t="s">
        <v>75</v>
      </c>
      <c r="S1221" t="s">
        <v>76</v>
      </c>
      <c r="T1221" s="5">
        <v>6240</v>
      </c>
      <c r="U1221" s="6">
        <v>4</v>
      </c>
      <c r="V1221" t="s">
        <v>64</v>
      </c>
      <c r="W1221" s="4"/>
      <c r="X1221" t="s">
        <v>65</v>
      </c>
      <c r="Y1221" t="s">
        <v>64</v>
      </c>
      <c r="Z1221" t="s">
        <v>107</v>
      </c>
      <c r="AA1221" t="str">
        <f>VLOOKUP(H1221,Departments!$A:$B,2,0)</f>
        <v>Emergency</v>
      </c>
      <c r="AB1221" t="str">
        <f>VLOOKUP(J1221,Diagnosis_Guide!$A:$B,2,0)</f>
        <v>Food Poisoning</v>
      </c>
      <c r="AC1221" s="4" t="str">
        <f>VLOOKUP(J1221,Diagnosis_Guide!$A:$C,3,0)</f>
        <v>Emergency</v>
      </c>
      <c r="AD1221" s="4" t="str">
        <f>VLOOKUP(R1221,Insurance_Plans!$A:$C,3,0)</f>
        <v>Public</v>
      </c>
      <c r="AE1221" s="13">
        <f t="shared" si="57"/>
        <v>660</v>
      </c>
      <c r="AF1221" s="13">
        <f t="shared" si="58"/>
        <v>13860</v>
      </c>
      <c r="AG1221" s="4" t="str">
        <f t="shared" si="59"/>
        <v>High</v>
      </c>
    </row>
    <row r="1222" spans="1:33">
      <c r="A1222" t="s">
        <v>1970</v>
      </c>
      <c r="B1222" t="s">
        <v>1332</v>
      </c>
      <c r="C1222" s="11">
        <v>46110</v>
      </c>
      <c r="D1222" t="s">
        <v>132</v>
      </c>
      <c r="E1222" t="s">
        <v>70</v>
      </c>
      <c r="F1222" s="4">
        <v>46110</v>
      </c>
      <c r="G1222" s="4">
        <v>46111</v>
      </c>
      <c r="H1222" t="s">
        <v>111</v>
      </c>
      <c r="I1222" t="s">
        <v>112</v>
      </c>
      <c r="J1222" t="s">
        <v>117</v>
      </c>
      <c r="K1222" t="s">
        <v>60</v>
      </c>
      <c r="L1222" t="s">
        <v>74</v>
      </c>
      <c r="M1222" s="5">
        <v>5500</v>
      </c>
      <c r="N1222" s="5">
        <v>600</v>
      </c>
      <c r="O1222" s="5">
        <v>550</v>
      </c>
      <c r="P1222" s="5">
        <v>3500</v>
      </c>
      <c r="Q1222" s="13">
        <v>10950</v>
      </c>
      <c r="R1222" t="s">
        <v>141</v>
      </c>
      <c r="S1222" t="s">
        <v>76</v>
      </c>
      <c r="T1222" s="5">
        <v>2840</v>
      </c>
      <c r="U1222" s="6">
        <v>4</v>
      </c>
      <c r="V1222" t="s">
        <v>64</v>
      </c>
      <c r="W1222" s="4"/>
      <c r="X1222" t="s">
        <v>65</v>
      </c>
      <c r="Y1222" t="s">
        <v>64</v>
      </c>
      <c r="Z1222" t="s">
        <v>96</v>
      </c>
      <c r="AA1222" t="str">
        <f>VLOOKUP(H1222,Departments!$A:$B,2,0)</f>
        <v>General Medicine</v>
      </c>
      <c r="AB1222" t="str">
        <f>VLOOKUP(J1222,Diagnosis_Guide!$A:$B,2,0)</f>
        <v>Fever Investigation</v>
      </c>
      <c r="AC1222" s="4" t="str">
        <f>VLOOKUP(J1222,Diagnosis_Guide!$A:$C,3,0)</f>
        <v>Infectious/General</v>
      </c>
      <c r="AD1222" s="4" t="str">
        <f>VLOOKUP(R1222,Insurance_Plans!$A:$C,3,0)</f>
        <v>Private</v>
      </c>
      <c r="AE1222" s="13">
        <f t="shared" si="57"/>
        <v>547.5</v>
      </c>
      <c r="AF1222" s="13">
        <f t="shared" si="58"/>
        <v>11497.5</v>
      </c>
      <c r="AG1222" s="4" t="str">
        <f t="shared" si="59"/>
        <v>High</v>
      </c>
    </row>
    <row r="1223" spans="1:33">
      <c r="A1223" t="s">
        <v>1971</v>
      </c>
      <c r="B1223" t="s">
        <v>659</v>
      </c>
      <c r="C1223" s="11">
        <v>46023</v>
      </c>
      <c r="D1223" t="s">
        <v>89</v>
      </c>
      <c r="E1223" t="s">
        <v>191</v>
      </c>
      <c r="F1223" s="4"/>
      <c r="G1223" s="4"/>
      <c r="H1223" t="s">
        <v>90</v>
      </c>
      <c r="I1223" t="s">
        <v>133</v>
      </c>
      <c r="J1223" t="s">
        <v>197</v>
      </c>
      <c r="K1223" t="s">
        <v>124</v>
      </c>
      <c r="L1223" t="s">
        <v>61</v>
      </c>
      <c r="M1223" s="5"/>
      <c r="N1223" s="5"/>
      <c r="O1223" s="5"/>
      <c r="P1223" s="5"/>
      <c r="R1223" t="s">
        <v>106</v>
      </c>
      <c r="S1223" t="s">
        <v>63</v>
      </c>
      <c r="T1223" s="5"/>
      <c r="U1223" s="6"/>
      <c r="V1223" t="s">
        <v>64</v>
      </c>
      <c r="W1223" s="4"/>
      <c r="X1223" t="s">
        <v>65</v>
      </c>
      <c r="Z1223" t="s">
        <v>66</v>
      </c>
      <c r="AA1223" t="str">
        <f>VLOOKUP(H1223,Departments!$A:$B,2,0)</f>
        <v>Cardiology</v>
      </c>
      <c r="AB1223" t="str">
        <f>VLOOKUP(J1223,Diagnosis_Guide!$A:$B,2,0)</f>
        <v>Chest Pain</v>
      </c>
      <c r="AC1223" s="4" t="str">
        <f>VLOOKUP(J1223,Diagnosis_Guide!$A:$C,3,0)</f>
        <v>Cardiovascular</v>
      </c>
      <c r="AD1223" s="4" t="str">
        <f>VLOOKUP(R1223,Insurance_Plans!$A:$C,3,0)</f>
        <v>Private</v>
      </c>
      <c r="AE1223" s="13" t="str">
        <f t="shared" si="57"/>
        <v/>
      </c>
      <c r="AF1223" s="13" t="str">
        <f t="shared" si="58"/>
        <v/>
      </c>
      <c r="AG1223" s="4" t="str">
        <f t="shared" si="59"/>
        <v>Not Available</v>
      </c>
    </row>
    <row r="1224" spans="1:33">
      <c r="A1224" t="s">
        <v>1972</v>
      </c>
      <c r="B1224" t="s">
        <v>288</v>
      </c>
      <c r="C1224" s="11">
        <v>46126</v>
      </c>
      <c r="D1224" t="s">
        <v>302</v>
      </c>
      <c r="E1224" t="s">
        <v>70</v>
      </c>
      <c r="F1224" s="4">
        <v>46126</v>
      </c>
      <c r="G1224" s="4">
        <v>46128</v>
      </c>
      <c r="H1224" t="s">
        <v>90</v>
      </c>
      <c r="I1224" t="s">
        <v>91</v>
      </c>
      <c r="J1224" t="s">
        <v>129</v>
      </c>
      <c r="K1224" t="s">
        <v>73</v>
      </c>
      <c r="L1224" t="s">
        <v>74</v>
      </c>
      <c r="M1224" s="5">
        <v>34900</v>
      </c>
      <c r="N1224" s="5">
        <v>5300</v>
      </c>
      <c r="O1224" s="5">
        <v>5800</v>
      </c>
      <c r="P1224" s="5">
        <v>5000</v>
      </c>
      <c r="Q1224" s="13">
        <v>52200</v>
      </c>
      <c r="R1224" t="s">
        <v>95</v>
      </c>
      <c r="S1224" t="s">
        <v>63</v>
      </c>
      <c r="T1224" s="5">
        <v>52200</v>
      </c>
      <c r="U1224" s="6">
        <v>4</v>
      </c>
      <c r="V1224" t="s">
        <v>64</v>
      </c>
      <c r="W1224" s="4"/>
      <c r="X1224" t="s">
        <v>65</v>
      </c>
      <c r="Y1224" t="s">
        <v>77</v>
      </c>
      <c r="Z1224" t="s">
        <v>96</v>
      </c>
      <c r="AA1224" t="str">
        <f>VLOOKUP(H1224,Departments!$A:$B,2,0)</f>
        <v>Cardiology</v>
      </c>
      <c r="AB1224" t="str">
        <f>VLOOKUP(J1224,Diagnosis_Guide!$A:$B,2,0)</f>
        <v>Hypertension Crisis</v>
      </c>
      <c r="AC1224" s="4" t="str">
        <f>VLOOKUP(J1224,Diagnosis_Guide!$A:$C,3,0)</f>
        <v>Cardiovascular</v>
      </c>
      <c r="AD1224" s="4" t="str">
        <f>VLOOKUP(R1224,Insurance_Plans!$A:$C,3,0)</f>
        <v>Self-Pay</v>
      </c>
      <c r="AE1224" s="13">
        <f t="shared" si="57"/>
        <v>2610</v>
      </c>
      <c r="AF1224" s="13">
        <f t="shared" si="58"/>
        <v>54810</v>
      </c>
      <c r="AG1224" s="4" t="str">
        <f t="shared" si="59"/>
        <v>High</v>
      </c>
    </row>
    <row r="1225" spans="1:33">
      <c r="A1225" t="s">
        <v>1973</v>
      </c>
      <c r="B1225" t="s">
        <v>890</v>
      </c>
      <c r="C1225" s="11">
        <v>46043</v>
      </c>
      <c r="D1225" t="s">
        <v>383</v>
      </c>
      <c r="E1225" t="s">
        <v>56</v>
      </c>
      <c r="F1225" s="4"/>
      <c r="G1225" s="4"/>
      <c r="H1225" t="s">
        <v>201</v>
      </c>
      <c r="I1225" t="s">
        <v>327</v>
      </c>
      <c r="J1225" t="s">
        <v>281</v>
      </c>
      <c r="K1225" t="s">
        <v>124</v>
      </c>
      <c r="L1225" t="s">
        <v>94</v>
      </c>
      <c r="M1225" s="5"/>
      <c r="N1225" s="5"/>
      <c r="O1225" s="5"/>
      <c r="P1225" s="5"/>
      <c r="R1225" t="s">
        <v>62</v>
      </c>
      <c r="S1225" t="s">
        <v>63</v>
      </c>
      <c r="T1225" s="5"/>
      <c r="U1225" s="6"/>
      <c r="V1225" t="s">
        <v>64</v>
      </c>
      <c r="W1225" s="4"/>
      <c r="X1225" t="s">
        <v>65</v>
      </c>
      <c r="Z1225" t="s">
        <v>66</v>
      </c>
      <c r="AA1225" t="str">
        <f>VLOOKUP(H1225,Departments!$A:$B,2,0)</f>
        <v>Emergency</v>
      </c>
      <c r="AB1225" t="str">
        <f>VLOOKUP(J1225,Diagnosis_Guide!$A:$B,2,0)</f>
        <v>Food Poisoning</v>
      </c>
      <c r="AC1225" s="4" t="str">
        <f>VLOOKUP(J1225,Diagnosis_Guide!$A:$C,3,0)</f>
        <v>Emergency</v>
      </c>
      <c r="AD1225" s="4" t="str">
        <f>VLOOKUP(R1225,Insurance_Plans!$A:$C,3,0)</f>
        <v>Public</v>
      </c>
      <c r="AE1225" s="13" t="str">
        <f t="shared" si="57"/>
        <v/>
      </c>
      <c r="AF1225" s="13" t="str">
        <f t="shared" si="58"/>
        <v/>
      </c>
      <c r="AG1225" s="4" t="str">
        <f t="shared" si="59"/>
        <v>Not Available</v>
      </c>
    </row>
    <row r="1226" spans="1:33">
      <c r="A1226" t="s">
        <v>1974</v>
      </c>
      <c r="B1226" t="s">
        <v>629</v>
      </c>
      <c r="C1226" s="11">
        <v>46140</v>
      </c>
      <c r="D1226" t="s">
        <v>432</v>
      </c>
      <c r="E1226" t="s">
        <v>56</v>
      </c>
      <c r="F1226" s="4"/>
      <c r="G1226" s="4"/>
      <c r="H1226" t="s">
        <v>121</v>
      </c>
      <c r="I1226" t="s">
        <v>122</v>
      </c>
      <c r="J1226" t="s">
        <v>252</v>
      </c>
      <c r="K1226" t="s">
        <v>124</v>
      </c>
      <c r="L1226" t="s">
        <v>94</v>
      </c>
      <c r="M1226" s="5"/>
      <c r="N1226" s="5"/>
      <c r="O1226" s="5"/>
      <c r="P1226" s="5"/>
      <c r="R1226" t="s">
        <v>134</v>
      </c>
      <c r="S1226" t="s">
        <v>63</v>
      </c>
      <c r="T1226" s="5"/>
      <c r="U1226" s="6"/>
      <c r="V1226" t="s">
        <v>64</v>
      </c>
      <c r="W1226" s="4"/>
      <c r="X1226" t="s">
        <v>65</v>
      </c>
      <c r="Z1226" t="s">
        <v>66</v>
      </c>
      <c r="AA1226" t="str">
        <f>VLOOKUP(H1226,Departments!$A:$B,2,0)</f>
        <v>Neurology</v>
      </c>
      <c r="AB1226" t="str">
        <f>VLOOKUP(J1226,Diagnosis_Guide!$A:$B,2,0)</f>
        <v>Stroke Assessment</v>
      </c>
      <c r="AC1226" s="4" t="str">
        <f>VLOOKUP(J1226,Diagnosis_Guide!$A:$C,3,0)</f>
        <v>Neurological</v>
      </c>
      <c r="AD1226" s="4" t="str">
        <f>VLOOKUP(R1226,Insurance_Plans!$A:$C,3,0)</f>
        <v>Community</v>
      </c>
      <c r="AE1226" s="13" t="str">
        <f t="shared" si="57"/>
        <v/>
      </c>
      <c r="AF1226" s="13" t="str">
        <f t="shared" si="58"/>
        <v/>
      </c>
      <c r="AG1226" s="4" t="str">
        <f t="shared" si="59"/>
        <v>Not Available</v>
      </c>
    </row>
    <row r="1227" spans="1:33">
      <c r="A1227" t="s">
        <v>1975</v>
      </c>
      <c r="B1227" t="s">
        <v>1540</v>
      </c>
      <c r="C1227" s="11">
        <v>46106</v>
      </c>
      <c r="D1227" t="s">
        <v>200</v>
      </c>
      <c r="E1227" t="s">
        <v>314</v>
      </c>
      <c r="F1227" s="4"/>
      <c r="G1227" s="4"/>
      <c r="H1227" t="s">
        <v>150</v>
      </c>
      <c r="I1227" t="s">
        <v>247</v>
      </c>
      <c r="J1227" t="s">
        <v>188</v>
      </c>
      <c r="K1227" t="s">
        <v>60</v>
      </c>
      <c r="L1227" t="s">
        <v>61</v>
      </c>
      <c r="M1227" s="5"/>
      <c r="N1227" s="5"/>
      <c r="O1227" s="5"/>
      <c r="P1227" s="5"/>
      <c r="R1227" t="s">
        <v>134</v>
      </c>
      <c r="S1227" t="s">
        <v>63</v>
      </c>
      <c r="T1227" s="5"/>
      <c r="U1227" s="6"/>
      <c r="V1227" t="s">
        <v>64</v>
      </c>
      <c r="W1227" s="4"/>
      <c r="X1227" t="s">
        <v>65</v>
      </c>
      <c r="Z1227" t="s">
        <v>66</v>
      </c>
      <c r="AA1227" t="str">
        <f>VLOOKUP(H1227,Departments!$A:$B,2,0)</f>
        <v>Obstetrics</v>
      </c>
      <c r="AB1227" t="str">
        <f>VLOOKUP(J1227,Diagnosis_Guide!$A:$B,2,0)</f>
        <v>Emergency C-Section</v>
      </c>
      <c r="AC1227" s="4" t="str">
        <f>VLOOKUP(J1227,Diagnosis_Guide!$A:$C,3,0)</f>
        <v>Maternal Health</v>
      </c>
      <c r="AD1227" s="4" t="str">
        <f>VLOOKUP(R1227,Insurance_Plans!$A:$C,3,0)</f>
        <v>Community</v>
      </c>
      <c r="AE1227" s="13" t="str">
        <f t="shared" si="57"/>
        <v/>
      </c>
      <c r="AF1227" s="13" t="str">
        <f t="shared" si="58"/>
        <v/>
      </c>
      <c r="AG1227" s="4" t="str">
        <f t="shared" si="59"/>
        <v>Not Available</v>
      </c>
    </row>
    <row r="1228" spans="1:33">
      <c r="A1228" t="s">
        <v>1976</v>
      </c>
      <c r="B1228" t="s">
        <v>653</v>
      </c>
      <c r="C1228" s="11">
        <v>46040</v>
      </c>
      <c r="D1228" t="s">
        <v>161</v>
      </c>
      <c r="E1228" t="s">
        <v>70</v>
      </c>
      <c r="F1228" s="4">
        <v>46040</v>
      </c>
      <c r="G1228" s="4">
        <v>46040</v>
      </c>
      <c r="H1228" t="s">
        <v>57</v>
      </c>
      <c r="I1228" t="s">
        <v>184</v>
      </c>
      <c r="J1228" t="s">
        <v>72</v>
      </c>
      <c r="K1228" t="s">
        <v>60</v>
      </c>
      <c r="L1228" t="s">
        <v>61</v>
      </c>
      <c r="M1228" s="5">
        <v>8500</v>
      </c>
      <c r="N1228" s="5">
        <v>1200</v>
      </c>
      <c r="O1228" s="5">
        <v>1500</v>
      </c>
      <c r="P1228" s="5">
        <v>0</v>
      </c>
      <c r="Q1228" s="13">
        <v>12400</v>
      </c>
      <c r="R1228" t="s">
        <v>75</v>
      </c>
      <c r="S1228" t="s">
        <v>76</v>
      </c>
      <c r="T1228" s="5">
        <v>5880</v>
      </c>
      <c r="U1228" s="6">
        <v>5</v>
      </c>
      <c r="V1228" t="s">
        <v>77</v>
      </c>
      <c r="W1228" s="4">
        <v>46056</v>
      </c>
      <c r="X1228" t="s">
        <v>77</v>
      </c>
      <c r="Y1228" t="s">
        <v>64</v>
      </c>
      <c r="Z1228" t="s">
        <v>96</v>
      </c>
      <c r="AA1228" t="str">
        <f>VLOOKUP(H1228,Departments!$A:$B,2,0)</f>
        <v>Pulmonology</v>
      </c>
      <c r="AB1228" t="str">
        <f>VLOOKUP(J1228,Diagnosis_Guide!$A:$B,2,0)</f>
        <v>Acute Bronchitis</v>
      </c>
      <c r="AC1228" s="4" t="str">
        <f>VLOOKUP(J1228,Diagnosis_Guide!$A:$C,3,0)</f>
        <v>Respiratory</v>
      </c>
      <c r="AD1228" s="4" t="str">
        <f>VLOOKUP(R1228,Insurance_Plans!$A:$C,3,0)</f>
        <v>Public</v>
      </c>
      <c r="AE1228" s="13">
        <f t="shared" si="57"/>
        <v>620</v>
      </c>
      <c r="AF1228" s="13">
        <f t="shared" si="58"/>
        <v>13020</v>
      </c>
      <c r="AG1228" s="4" t="str">
        <f t="shared" si="59"/>
        <v>High</v>
      </c>
    </row>
    <row r="1229" spans="1:33">
      <c r="A1229" t="s">
        <v>1977</v>
      </c>
      <c r="B1229" t="s">
        <v>1978</v>
      </c>
      <c r="C1229" s="11">
        <v>46029</v>
      </c>
      <c r="D1229" t="s">
        <v>234</v>
      </c>
      <c r="E1229" t="s">
        <v>70</v>
      </c>
      <c r="F1229" s="4">
        <v>46029</v>
      </c>
      <c r="G1229" s="4">
        <v>46029</v>
      </c>
      <c r="H1229" t="s">
        <v>121</v>
      </c>
      <c r="I1229" t="s">
        <v>665</v>
      </c>
      <c r="J1229" t="s">
        <v>256</v>
      </c>
      <c r="K1229" t="s">
        <v>60</v>
      </c>
      <c r="L1229" t="s">
        <v>94</v>
      </c>
      <c r="M1229" s="5">
        <v>19600</v>
      </c>
      <c r="N1229" s="5">
        <v>2050</v>
      </c>
      <c r="O1229" s="5">
        <v>4250</v>
      </c>
      <c r="P1229" s="5">
        <v>0</v>
      </c>
      <c r="Q1229" s="13">
        <v>26900</v>
      </c>
      <c r="R1229" t="s">
        <v>141</v>
      </c>
      <c r="S1229" t="s">
        <v>86</v>
      </c>
      <c r="T1229" s="5">
        <v>5240</v>
      </c>
      <c r="U1229" s="6">
        <v>5</v>
      </c>
      <c r="V1229" t="s">
        <v>64</v>
      </c>
      <c r="W1229" s="4"/>
      <c r="X1229" t="s">
        <v>65</v>
      </c>
      <c r="Y1229" t="s">
        <v>64</v>
      </c>
      <c r="Z1229" t="s">
        <v>436</v>
      </c>
      <c r="AA1229" t="str">
        <f>VLOOKUP(H1229,Departments!$A:$B,2,0)</f>
        <v>Neurology</v>
      </c>
      <c r="AB1229" t="str">
        <f>VLOOKUP(J1229,Diagnosis_Guide!$A:$B,2,0)</f>
        <v>Migraine Complication</v>
      </c>
      <c r="AC1229" s="4" t="str">
        <f>VLOOKUP(J1229,Diagnosis_Guide!$A:$C,3,0)</f>
        <v>Neurological</v>
      </c>
      <c r="AD1229" s="4" t="str">
        <f>VLOOKUP(R1229,Insurance_Plans!$A:$C,3,0)</f>
        <v>Private</v>
      </c>
      <c r="AE1229" s="13">
        <f t="shared" si="57"/>
        <v>1345</v>
      </c>
      <c r="AF1229" s="13">
        <f t="shared" si="58"/>
        <v>28245</v>
      </c>
      <c r="AG1229" s="4" t="str">
        <f t="shared" si="59"/>
        <v>High</v>
      </c>
    </row>
    <row r="1230" spans="1:33">
      <c r="A1230" t="s">
        <v>1979</v>
      </c>
      <c r="B1230" t="s">
        <v>283</v>
      </c>
      <c r="C1230" s="11">
        <v>46082</v>
      </c>
      <c r="D1230" t="s">
        <v>173</v>
      </c>
      <c r="E1230" t="s">
        <v>56</v>
      </c>
      <c r="F1230" s="4"/>
      <c r="G1230" s="4"/>
      <c r="H1230" t="s">
        <v>111</v>
      </c>
      <c r="I1230" t="s">
        <v>397</v>
      </c>
      <c r="J1230" t="s">
        <v>384</v>
      </c>
      <c r="K1230" t="s">
        <v>124</v>
      </c>
      <c r="L1230" t="s">
        <v>74</v>
      </c>
      <c r="M1230" s="5"/>
      <c r="N1230" s="5"/>
      <c r="O1230" s="5"/>
      <c r="P1230" s="5"/>
      <c r="R1230" t="s">
        <v>85</v>
      </c>
      <c r="S1230" t="s">
        <v>63</v>
      </c>
      <c r="T1230" s="5"/>
      <c r="U1230" s="6"/>
      <c r="V1230" t="s">
        <v>64</v>
      </c>
      <c r="W1230" s="4"/>
      <c r="X1230" t="s">
        <v>65</v>
      </c>
      <c r="Z1230" t="s">
        <v>66</v>
      </c>
      <c r="AA1230" t="str">
        <f>VLOOKUP(H1230,Departments!$A:$B,2,0)</f>
        <v>General Medicine</v>
      </c>
      <c r="AB1230" t="str">
        <f>VLOOKUP(J1230,Diagnosis_Guide!$A:$B,2,0)</f>
        <v>Severe Infection</v>
      </c>
      <c r="AC1230" s="4" t="str">
        <f>VLOOKUP(J1230,Diagnosis_Guide!$A:$C,3,0)</f>
        <v>Infectious/General</v>
      </c>
      <c r="AD1230" s="4" t="str">
        <f>VLOOKUP(R1230,Insurance_Plans!$A:$C,3,0)</f>
        <v>Employer</v>
      </c>
      <c r="AE1230" s="13" t="str">
        <f t="shared" si="57"/>
        <v/>
      </c>
      <c r="AF1230" s="13" t="str">
        <f t="shared" si="58"/>
        <v/>
      </c>
      <c r="AG1230" s="4" t="str">
        <f t="shared" si="59"/>
        <v>Not Available</v>
      </c>
    </row>
    <row r="1231" spans="1:33">
      <c r="A1231" t="s">
        <v>1980</v>
      </c>
      <c r="B1231" t="s">
        <v>754</v>
      </c>
      <c r="C1231" s="11">
        <v>46138</v>
      </c>
      <c r="D1231" t="s">
        <v>250</v>
      </c>
      <c r="E1231" t="s">
        <v>314</v>
      </c>
      <c r="F1231" s="4"/>
      <c r="G1231" s="4"/>
      <c r="H1231" t="s">
        <v>138</v>
      </c>
      <c r="I1231" t="s">
        <v>139</v>
      </c>
      <c r="J1231" t="s">
        <v>140</v>
      </c>
      <c r="K1231" t="s">
        <v>60</v>
      </c>
      <c r="L1231" t="s">
        <v>94</v>
      </c>
      <c r="M1231" s="5"/>
      <c r="N1231" s="5"/>
      <c r="O1231" s="5"/>
      <c r="P1231" s="5"/>
      <c r="R1231" t="s">
        <v>85</v>
      </c>
      <c r="S1231" t="s">
        <v>63</v>
      </c>
      <c r="T1231" s="5"/>
      <c r="U1231" s="6"/>
      <c r="V1231" t="s">
        <v>64</v>
      </c>
      <c r="W1231" s="4"/>
      <c r="X1231" t="s">
        <v>65</v>
      </c>
      <c r="Z1231" t="s">
        <v>66</v>
      </c>
      <c r="AA1231" t="str">
        <f>VLOOKUP(H1231,Departments!$A:$B,2,0)</f>
        <v>Pediatrics</v>
      </c>
      <c r="AB1231" t="str">
        <f>VLOOKUP(J1231,Diagnosis_Guide!$A:$B,2,0)</f>
        <v>Pediatric Asthma</v>
      </c>
      <c r="AC1231" s="4" t="str">
        <f>VLOOKUP(J1231,Diagnosis_Guide!$A:$C,3,0)</f>
        <v>Pediatric</v>
      </c>
      <c r="AD1231" s="4" t="str">
        <f>VLOOKUP(R1231,Insurance_Plans!$A:$C,3,0)</f>
        <v>Employer</v>
      </c>
      <c r="AE1231" s="13" t="str">
        <f t="shared" si="57"/>
        <v/>
      </c>
      <c r="AF1231" s="13" t="str">
        <f t="shared" si="58"/>
        <v/>
      </c>
      <c r="AG1231" s="4" t="str">
        <f t="shared" si="59"/>
        <v>Not Available</v>
      </c>
    </row>
    <row r="1232" spans="1:33">
      <c r="A1232" t="s">
        <v>1981</v>
      </c>
      <c r="B1232" t="s">
        <v>485</v>
      </c>
      <c r="C1232" s="11">
        <v>46055</v>
      </c>
      <c r="D1232" t="s">
        <v>120</v>
      </c>
      <c r="E1232" t="s">
        <v>255</v>
      </c>
      <c r="F1232" s="4"/>
      <c r="G1232" s="4"/>
      <c r="H1232" t="s">
        <v>90</v>
      </c>
      <c r="I1232" t="s">
        <v>162</v>
      </c>
      <c r="J1232" t="s">
        <v>129</v>
      </c>
      <c r="K1232" t="s">
        <v>60</v>
      </c>
      <c r="L1232" t="s">
        <v>94</v>
      </c>
      <c r="M1232" s="5"/>
      <c r="N1232" s="5"/>
      <c r="O1232" s="5"/>
      <c r="P1232" s="5"/>
      <c r="R1232" t="s">
        <v>106</v>
      </c>
      <c r="S1232" t="s">
        <v>63</v>
      </c>
      <c r="T1232" s="5"/>
      <c r="U1232" s="6"/>
      <c r="V1232" t="s">
        <v>64</v>
      </c>
      <c r="W1232" s="4"/>
      <c r="X1232" t="s">
        <v>65</v>
      </c>
      <c r="Z1232" t="s">
        <v>66</v>
      </c>
      <c r="AA1232" t="str">
        <f>VLOOKUP(H1232,Departments!$A:$B,2,0)</f>
        <v>Cardiology</v>
      </c>
      <c r="AB1232" t="str">
        <f>VLOOKUP(J1232,Diagnosis_Guide!$A:$B,2,0)</f>
        <v>Hypertension Crisis</v>
      </c>
      <c r="AC1232" s="4" t="str">
        <f>VLOOKUP(J1232,Diagnosis_Guide!$A:$C,3,0)</f>
        <v>Cardiovascular</v>
      </c>
      <c r="AD1232" s="4" t="str">
        <f>VLOOKUP(R1232,Insurance_Plans!$A:$C,3,0)</f>
        <v>Private</v>
      </c>
      <c r="AE1232" s="13" t="str">
        <f t="shared" si="57"/>
        <v/>
      </c>
      <c r="AF1232" s="13" t="str">
        <f t="shared" si="58"/>
        <v/>
      </c>
      <c r="AG1232" s="4" t="str">
        <f t="shared" si="59"/>
        <v>Not Available</v>
      </c>
    </row>
    <row r="1233" spans="1:33">
      <c r="A1233" t="s">
        <v>1982</v>
      </c>
      <c r="B1233" t="s">
        <v>1074</v>
      </c>
      <c r="C1233" s="11">
        <v>46096</v>
      </c>
      <c r="D1233" t="s">
        <v>242</v>
      </c>
      <c r="E1233" t="s">
        <v>70</v>
      </c>
      <c r="F1233" s="4">
        <v>46096</v>
      </c>
      <c r="G1233" s="4">
        <v>46098</v>
      </c>
      <c r="H1233" t="s">
        <v>138</v>
      </c>
      <c r="I1233" t="s">
        <v>343</v>
      </c>
      <c r="J1233" t="s">
        <v>140</v>
      </c>
      <c r="K1233" t="s">
        <v>73</v>
      </c>
      <c r="L1233" t="s">
        <v>74</v>
      </c>
      <c r="M1233" s="5">
        <v>16700</v>
      </c>
      <c r="N1233" s="5">
        <v>1850</v>
      </c>
      <c r="O1233" s="5">
        <v>2350</v>
      </c>
      <c r="P1233" s="5">
        <v>6000</v>
      </c>
      <c r="Q1233" s="13">
        <v>28700</v>
      </c>
      <c r="R1233" t="s">
        <v>75</v>
      </c>
      <c r="S1233" t="s">
        <v>76</v>
      </c>
      <c r="T1233" s="5">
        <v>13210</v>
      </c>
      <c r="U1233" s="6">
        <v>3</v>
      </c>
      <c r="V1233" t="s">
        <v>64</v>
      </c>
      <c r="W1233" s="4"/>
      <c r="X1233" t="s">
        <v>65</v>
      </c>
      <c r="Y1233" t="s">
        <v>64</v>
      </c>
      <c r="Z1233" t="s">
        <v>78</v>
      </c>
      <c r="AA1233" t="str">
        <f>VLOOKUP(H1233,Departments!$A:$B,2,0)</f>
        <v>Pediatrics</v>
      </c>
      <c r="AB1233" t="str">
        <f>VLOOKUP(J1233,Diagnosis_Guide!$A:$B,2,0)</f>
        <v>Pediatric Asthma</v>
      </c>
      <c r="AC1233" s="4" t="str">
        <f>VLOOKUP(J1233,Diagnosis_Guide!$A:$C,3,0)</f>
        <v>Pediatric</v>
      </c>
      <c r="AD1233" s="4" t="str">
        <f>VLOOKUP(R1233,Insurance_Plans!$A:$C,3,0)</f>
        <v>Public</v>
      </c>
      <c r="AE1233" s="13">
        <f t="shared" si="57"/>
        <v>1435</v>
      </c>
      <c r="AF1233" s="13">
        <f t="shared" si="58"/>
        <v>30135</v>
      </c>
      <c r="AG1233" s="4" t="str">
        <f t="shared" si="59"/>
        <v>Medium</v>
      </c>
    </row>
    <row r="1234" spans="1:33">
      <c r="A1234" t="s">
        <v>1983</v>
      </c>
      <c r="B1234" t="s">
        <v>532</v>
      </c>
      <c r="C1234" s="11">
        <v>46093</v>
      </c>
      <c r="D1234" t="s">
        <v>225</v>
      </c>
      <c r="E1234" t="s">
        <v>70</v>
      </c>
      <c r="F1234" s="4">
        <v>46094</v>
      </c>
      <c r="G1234" s="4">
        <v>46100</v>
      </c>
      <c r="H1234" t="s">
        <v>103</v>
      </c>
      <c r="I1234" t="s">
        <v>207</v>
      </c>
      <c r="J1234" t="s">
        <v>244</v>
      </c>
      <c r="K1234" t="s">
        <v>73</v>
      </c>
      <c r="L1234" t="s">
        <v>74</v>
      </c>
      <c r="M1234" s="5">
        <v>67300</v>
      </c>
      <c r="N1234" s="5">
        <v>5750</v>
      </c>
      <c r="O1234" s="5">
        <v>7650</v>
      </c>
      <c r="P1234" s="5">
        <v>18000</v>
      </c>
      <c r="Q1234" s="13">
        <v>100200</v>
      </c>
      <c r="R1234" t="s">
        <v>134</v>
      </c>
      <c r="S1234" t="s">
        <v>86</v>
      </c>
      <c r="T1234" s="5">
        <v>55310</v>
      </c>
      <c r="U1234" s="6">
        <v>2</v>
      </c>
      <c r="V1234" t="s">
        <v>77</v>
      </c>
      <c r="W1234" s="4">
        <v>46120</v>
      </c>
      <c r="X1234" t="s">
        <v>77</v>
      </c>
      <c r="Y1234" t="s">
        <v>77</v>
      </c>
      <c r="Z1234" t="s">
        <v>78</v>
      </c>
      <c r="AA1234" t="str">
        <f>VLOOKUP(H1234,Departments!$A:$B,2,0)</f>
        <v>Nephrology</v>
      </c>
      <c r="AB1234" t="str">
        <f>VLOOKUP(J1234,Diagnosis_Guide!$A:$B,2,0)</f>
        <v>Chronic Kidney Disease</v>
      </c>
      <c r="AC1234" s="4" t="str">
        <f>VLOOKUP(J1234,Diagnosis_Guide!$A:$C,3,0)</f>
        <v>Renal</v>
      </c>
      <c r="AD1234" s="4" t="str">
        <f>VLOOKUP(R1234,Insurance_Plans!$A:$C,3,0)</f>
        <v>Community</v>
      </c>
      <c r="AE1234" s="13">
        <f t="shared" si="57"/>
        <v>5010</v>
      </c>
      <c r="AF1234" s="13">
        <f t="shared" si="58"/>
        <v>105210</v>
      </c>
      <c r="AG1234" s="4" t="str">
        <f t="shared" si="59"/>
        <v>Low</v>
      </c>
    </row>
    <row r="1235" spans="1:33">
      <c r="A1235" t="s">
        <v>1984</v>
      </c>
      <c r="B1235" t="s">
        <v>786</v>
      </c>
      <c r="C1235" s="11">
        <v>46150</v>
      </c>
      <c r="D1235" t="s">
        <v>149</v>
      </c>
      <c r="E1235" t="s">
        <v>70</v>
      </c>
      <c r="F1235" s="4">
        <v>46151</v>
      </c>
      <c r="G1235" s="4">
        <v>46151</v>
      </c>
      <c r="H1235" t="s">
        <v>121</v>
      </c>
      <c r="I1235" t="s">
        <v>665</v>
      </c>
      <c r="J1235" t="s">
        <v>256</v>
      </c>
      <c r="K1235" t="s">
        <v>60</v>
      </c>
      <c r="L1235" t="s">
        <v>61</v>
      </c>
      <c r="M1235" s="5">
        <v>14200</v>
      </c>
      <c r="N1235" s="5">
        <v>1400</v>
      </c>
      <c r="O1235" s="5">
        <v>2700</v>
      </c>
      <c r="P1235" s="5">
        <v>0</v>
      </c>
      <c r="Q1235" s="13">
        <v>19300</v>
      </c>
      <c r="R1235" t="s">
        <v>62</v>
      </c>
      <c r="S1235" t="s">
        <v>76</v>
      </c>
      <c r="T1235" s="5">
        <v>6190</v>
      </c>
      <c r="U1235" s="6">
        <v>5</v>
      </c>
      <c r="V1235" t="s">
        <v>64</v>
      </c>
      <c r="W1235" s="4"/>
      <c r="X1235" t="s">
        <v>65</v>
      </c>
      <c r="Y1235" t="s">
        <v>64</v>
      </c>
      <c r="Z1235" t="s">
        <v>78</v>
      </c>
      <c r="AA1235" t="str">
        <f>VLOOKUP(H1235,Departments!$A:$B,2,0)</f>
        <v>Neurology</v>
      </c>
      <c r="AB1235" t="str">
        <f>VLOOKUP(J1235,Diagnosis_Guide!$A:$B,2,0)</f>
        <v>Migraine Complication</v>
      </c>
      <c r="AC1235" s="4" t="str">
        <f>VLOOKUP(J1235,Diagnosis_Guide!$A:$C,3,0)</f>
        <v>Neurological</v>
      </c>
      <c r="AD1235" s="4" t="str">
        <f>VLOOKUP(R1235,Insurance_Plans!$A:$C,3,0)</f>
        <v>Public</v>
      </c>
      <c r="AE1235" s="13">
        <f t="shared" si="57"/>
        <v>965</v>
      </c>
      <c r="AF1235" s="13">
        <f t="shared" si="58"/>
        <v>20265</v>
      </c>
      <c r="AG1235" s="4" t="str">
        <f t="shared" si="59"/>
        <v>High</v>
      </c>
    </row>
    <row r="1236" spans="1:33">
      <c r="A1236" t="s">
        <v>1985</v>
      </c>
      <c r="B1236" t="s">
        <v>725</v>
      </c>
      <c r="C1236" s="11">
        <v>46084</v>
      </c>
      <c r="D1236" t="s">
        <v>149</v>
      </c>
      <c r="E1236" t="s">
        <v>177</v>
      </c>
      <c r="F1236" s="4"/>
      <c r="G1236" s="4"/>
      <c r="H1236" t="s">
        <v>57</v>
      </c>
      <c r="I1236" t="s">
        <v>100</v>
      </c>
      <c r="J1236" t="s">
        <v>72</v>
      </c>
      <c r="K1236" t="s">
        <v>93</v>
      </c>
      <c r="L1236" t="s">
        <v>94</v>
      </c>
      <c r="M1236" s="5"/>
      <c r="N1236" s="5"/>
      <c r="O1236" s="5"/>
      <c r="P1236" s="5"/>
      <c r="R1236" t="s">
        <v>85</v>
      </c>
      <c r="S1236" t="s">
        <v>63</v>
      </c>
      <c r="T1236" s="5"/>
      <c r="U1236" s="6"/>
      <c r="V1236" t="s">
        <v>64</v>
      </c>
      <c r="W1236" s="4"/>
      <c r="X1236" t="s">
        <v>65</v>
      </c>
      <c r="Z1236" t="s">
        <v>66</v>
      </c>
      <c r="AA1236" t="str">
        <f>VLOOKUP(H1236,Departments!$A:$B,2,0)</f>
        <v>Pulmonology</v>
      </c>
      <c r="AB1236" t="str">
        <f>VLOOKUP(J1236,Diagnosis_Guide!$A:$B,2,0)</f>
        <v>Acute Bronchitis</v>
      </c>
      <c r="AC1236" s="4" t="str">
        <f>VLOOKUP(J1236,Diagnosis_Guide!$A:$C,3,0)</f>
        <v>Respiratory</v>
      </c>
      <c r="AD1236" s="4" t="str">
        <f>VLOOKUP(R1236,Insurance_Plans!$A:$C,3,0)</f>
        <v>Employer</v>
      </c>
      <c r="AE1236" s="13" t="str">
        <f t="shared" si="57"/>
        <v/>
      </c>
      <c r="AF1236" s="13" t="str">
        <f t="shared" si="58"/>
        <v/>
      </c>
      <c r="AG1236" s="4" t="str">
        <f t="shared" si="59"/>
        <v>Not Available</v>
      </c>
    </row>
    <row r="1237" spans="1:33">
      <c r="A1237" t="s">
        <v>1986</v>
      </c>
      <c r="B1237" t="s">
        <v>1734</v>
      </c>
      <c r="C1237" s="11">
        <v>46161</v>
      </c>
      <c r="D1237" t="s">
        <v>144</v>
      </c>
      <c r="E1237" t="s">
        <v>70</v>
      </c>
      <c r="F1237" s="4">
        <v>46161</v>
      </c>
      <c r="G1237" s="4">
        <v>46168</v>
      </c>
      <c r="H1237" t="s">
        <v>103</v>
      </c>
      <c r="I1237" t="s">
        <v>104</v>
      </c>
      <c r="J1237" t="s">
        <v>244</v>
      </c>
      <c r="K1237" t="s">
        <v>124</v>
      </c>
      <c r="L1237" t="s">
        <v>74</v>
      </c>
      <c r="M1237" s="5">
        <v>70000</v>
      </c>
      <c r="N1237" s="5">
        <v>10400</v>
      </c>
      <c r="O1237" s="5">
        <v>16500</v>
      </c>
      <c r="P1237" s="5">
        <v>17500</v>
      </c>
      <c r="Q1237" s="13">
        <v>116200</v>
      </c>
      <c r="R1237" t="s">
        <v>85</v>
      </c>
      <c r="S1237" t="s">
        <v>76</v>
      </c>
      <c r="T1237" s="5">
        <v>29950</v>
      </c>
      <c r="U1237" s="6">
        <v>4</v>
      </c>
      <c r="V1237" t="s">
        <v>64</v>
      </c>
      <c r="W1237" s="4"/>
      <c r="X1237" t="s">
        <v>65</v>
      </c>
      <c r="Y1237" t="s">
        <v>64</v>
      </c>
      <c r="Z1237" t="s">
        <v>107</v>
      </c>
      <c r="AA1237" t="str">
        <f>VLOOKUP(H1237,Departments!$A:$B,2,0)</f>
        <v>Nephrology</v>
      </c>
      <c r="AB1237" t="str">
        <f>VLOOKUP(J1237,Diagnosis_Guide!$A:$B,2,0)</f>
        <v>Chronic Kidney Disease</v>
      </c>
      <c r="AC1237" s="4" t="str">
        <f>VLOOKUP(J1237,Diagnosis_Guide!$A:$C,3,0)</f>
        <v>Renal</v>
      </c>
      <c r="AD1237" s="4" t="str">
        <f>VLOOKUP(R1237,Insurance_Plans!$A:$C,3,0)</f>
        <v>Employer</v>
      </c>
      <c r="AE1237" s="13">
        <f t="shared" si="57"/>
        <v>5810</v>
      </c>
      <c r="AF1237" s="13">
        <f t="shared" si="58"/>
        <v>122010</v>
      </c>
      <c r="AG1237" s="4" t="str">
        <f t="shared" si="59"/>
        <v>High</v>
      </c>
    </row>
    <row r="1238" spans="1:33">
      <c r="A1238" t="s">
        <v>1987</v>
      </c>
      <c r="B1238" t="s">
        <v>1330</v>
      </c>
      <c r="C1238" s="11">
        <v>46160</v>
      </c>
      <c r="D1238" t="s">
        <v>161</v>
      </c>
      <c r="E1238" t="s">
        <v>70</v>
      </c>
      <c r="F1238" s="4">
        <v>46161</v>
      </c>
      <c r="G1238" s="4">
        <v>46167</v>
      </c>
      <c r="H1238" t="s">
        <v>103</v>
      </c>
      <c r="I1238" t="s">
        <v>207</v>
      </c>
      <c r="J1238" t="s">
        <v>244</v>
      </c>
      <c r="K1238" t="s">
        <v>124</v>
      </c>
      <c r="L1238" t="s">
        <v>94</v>
      </c>
      <c r="M1238" s="5">
        <v>58500</v>
      </c>
      <c r="N1238" s="5">
        <v>7200</v>
      </c>
      <c r="O1238" s="5">
        <v>10800</v>
      </c>
      <c r="P1238" s="5">
        <v>36000</v>
      </c>
      <c r="Q1238" s="13">
        <v>114000</v>
      </c>
      <c r="R1238" t="s">
        <v>62</v>
      </c>
      <c r="S1238" t="s">
        <v>76</v>
      </c>
      <c r="T1238" s="5">
        <v>34600</v>
      </c>
      <c r="U1238" s="6">
        <v>3</v>
      </c>
      <c r="V1238" t="s">
        <v>77</v>
      </c>
      <c r="W1238" s="4">
        <v>46184</v>
      </c>
      <c r="X1238" t="s">
        <v>64</v>
      </c>
      <c r="Y1238" t="s">
        <v>64</v>
      </c>
      <c r="Z1238" t="s">
        <v>78</v>
      </c>
      <c r="AA1238" t="str">
        <f>VLOOKUP(H1238,Departments!$A:$B,2,0)</f>
        <v>Nephrology</v>
      </c>
      <c r="AB1238" t="str">
        <f>VLOOKUP(J1238,Diagnosis_Guide!$A:$B,2,0)</f>
        <v>Chronic Kidney Disease</v>
      </c>
      <c r="AC1238" s="4" t="str">
        <f>VLOOKUP(J1238,Diagnosis_Guide!$A:$C,3,0)</f>
        <v>Renal</v>
      </c>
      <c r="AD1238" s="4" t="str">
        <f>VLOOKUP(R1238,Insurance_Plans!$A:$C,3,0)</f>
        <v>Public</v>
      </c>
      <c r="AE1238" s="13">
        <f t="shared" si="57"/>
        <v>5700</v>
      </c>
      <c r="AF1238" s="13">
        <f t="shared" si="58"/>
        <v>119700</v>
      </c>
      <c r="AG1238" s="4" t="str">
        <f t="shared" si="59"/>
        <v>Medium</v>
      </c>
    </row>
    <row r="1239" spans="1:33">
      <c r="A1239" t="s">
        <v>1988</v>
      </c>
      <c r="B1239" t="s">
        <v>455</v>
      </c>
      <c r="C1239" s="11">
        <v>46161</v>
      </c>
      <c r="D1239" t="s">
        <v>307</v>
      </c>
      <c r="E1239" t="s">
        <v>70</v>
      </c>
      <c r="F1239" s="4">
        <v>46161</v>
      </c>
      <c r="G1239" s="4">
        <v>46162</v>
      </c>
      <c r="H1239" t="s">
        <v>150</v>
      </c>
      <c r="I1239" t="s">
        <v>151</v>
      </c>
      <c r="J1239" t="s">
        <v>188</v>
      </c>
      <c r="K1239" t="s">
        <v>60</v>
      </c>
      <c r="L1239" t="s">
        <v>94</v>
      </c>
      <c r="M1239" s="5">
        <v>106600</v>
      </c>
      <c r="N1239" s="5">
        <v>12600</v>
      </c>
      <c r="O1239" s="5">
        <v>23850</v>
      </c>
      <c r="P1239" s="5">
        <v>3500</v>
      </c>
      <c r="Q1239" s="13">
        <v>149050</v>
      </c>
      <c r="R1239" t="s">
        <v>141</v>
      </c>
      <c r="S1239" t="s">
        <v>76</v>
      </c>
      <c r="T1239" s="5">
        <v>23560</v>
      </c>
      <c r="U1239" s="6">
        <v>4</v>
      </c>
      <c r="V1239" t="s">
        <v>77</v>
      </c>
      <c r="W1239" s="4">
        <v>46175</v>
      </c>
      <c r="X1239" t="s">
        <v>77</v>
      </c>
      <c r="Y1239" t="s">
        <v>64</v>
      </c>
      <c r="Z1239" t="s">
        <v>219</v>
      </c>
      <c r="AA1239" t="str">
        <f>VLOOKUP(H1239,Departments!$A:$B,2,0)</f>
        <v>Obstetrics</v>
      </c>
      <c r="AB1239" t="str">
        <f>VLOOKUP(J1239,Diagnosis_Guide!$A:$B,2,0)</f>
        <v>Emergency C-Section</v>
      </c>
      <c r="AC1239" s="4" t="str">
        <f>VLOOKUP(J1239,Diagnosis_Guide!$A:$C,3,0)</f>
        <v>Maternal Health</v>
      </c>
      <c r="AD1239" s="4" t="str">
        <f>VLOOKUP(R1239,Insurance_Plans!$A:$C,3,0)</f>
        <v>Private</v>
      </c>
      <c r="AE1239" s="13">
        <f t="shared" si="57"/>
        <v>7452.5</v>
      </c>
      <c r="AF1239" s="13">
        <f t="shared" si="58"/>
        <v>156502.5</v>
      </c>
      <c r="AG1239" s="4" t="str">
        <f t="shared" si="59"/>
        <v>High</v>
      </c>
    </row>
    <row r="1240" spans="1:33">
      <c r="A1240" t="s">
        <v>1989</v>
      </c>
      <c r="B1240" t="s">
        <v>199</v>
      </c>
      <c r="C1240" s="11">
        <v>46084</v>
      </c>
      <c r="D1240" t="s">
        <v>419</v>
      </c>
      <c r="E1240" t="s">
        <v>177</v>
      </c>
      <c r="F1240" s="4"/>
      <c r="G1240" s="4"/>
      <c r="H1240" t="s">
        <v>138</v>
      </c>
      <c r="I1240" t="s">
        <v>352</v>
      </c>
      <c r="J1240" t="s">
        <v>261</v>
      </c>
      <c r="K1240" t="s">
        <v>60</v>
      </c>
      <c r="L1240" t="s">
        <v>61</v>
      </c>
      <c r="M1240" s="5"/>
      <c r="N1240" s="5"/>
      <c r="O1240" s="5"/>
      <c r="P1240" s="5"/>
      <c r="R1240" t="s">
        <v>85</v>
      </c>
      <c r="S1240" t="s">
        <v>63</v>
      </c>
      <c r="T1240" s="5"/>
      <c r="U1240" s="6"/>
      <c r="V1240" t="s">
        <v>64</v>
      </c>
      <c r="W1240" s="4"/>
      <c r="X1240" t="s">
        <v>65</v>
      </c>
      <c r="Z1240" t="s">
        <v>66</v>
      </c>
      <c r="AA1240" t="str">
        <f>VLOOKUP(H1240,Departments!$A:$B,2,0)</f>
        <v>Pediatrics</v>
      </c>
      <c r="AB1240" t="str">
        <f>VLOOKUP(J1240,Diagnosis_Guide!$A:$B,2,0)</f>
        <v>Child Fever</v>
      </c>
      <c r="AC1240" s="4" t="str">
        <f>VLOOKUP(J1240,Diagnosis_Guide!$A:$C,3,0)</f>
        <v>Pediatric</v>
      </c>
      <c r="AD1240" s="4" t="str">
        <f>VLOOKUP(R1240,Insurance_Plans!$A:$C,3,0)</f>
        <v>Employer</v>
      </c>
      <c r="AE1240" s="13" t="str">
        <f t="shared" si="57"/>
        <v/>
      </c>
      <c r="AF1240" s="13" t="str">
        <f t="shared" si="58"/>
        <v/>
      </c>
      <c r="AG1240" s="4" t="str">
        <f t="shared" si="59"/>
        <v>Not Available</v>
      </c>
    </row>
    <row r="1241" spans="1:33">
      <c r="A1241" t="s">
        <v>1990</v>
      </c>
      <c r="B1241" t="s">
        <v>719</v>
      </c>
      <c r="C1241" s="11">
        <v>46157</v>
      </c>
      <c r="D1241" t="s">
        <v>206</v>
      </c>
      <c r="E1241" t="s">
        <v>70</v>
      </c>
      <c r="F1241" s="4">
        <v>46157</v>
      </c>
      <c r="G1241" s="4">
        <v>46159</v>
      </c>
      <c r="H1241" t="s">
        <v>111</v>
      </c>
      <c r="I1241" t="s">
        <v>397</v>
      </c>
      <c r="J1241" t="s">
        <v>113</v>
      </c>
      <c r="K1241" t="s">
        <v>124</v>
      </c>
      <c r="L1241" t="s">
        <v>61</v>
      </c>
      <c r="M1241" s="5">
        <v>25300</v>
      </c>
      <c r="N1241" s="5">
        <v>2500</v>
      </c>
      <c r="O1241" s="5">
        <v>6150</v>
      </c>
      <c r="P1241" s="5">
        <v>5000</v>
      </c>
      <c r="Q1241" s="13">
        <v>40950</v>
      </c>
      <c r="R1241" t="s">
        <v>141</v>
      </c>
      <c r="S1241" t="s">
        <v>76</v>
      </c>
      <c r="T1241" s="5">
        <v>7340</v>
      </c>
      <c r="U1241" s="6">
        <v>4</v>
      </c>
      <c r="V1241" t="s">
        <v>64</v>
      </c>
      <c r="W1241" s="4"/>
      <c r="X1241" t="s">
        <v>65</v>
      </c>
      <c r="Y1241" t="s">
        <v>64</v>
      </c>
      <c r="Z1241" t="s">
        <v>96</v>
      </c>
      <c r="AA1241" t="str">
        <f>VLOOKUP(H1241,Departments!$A:$B,2,0)</f>
        <v>General Medicine</v>
      </c>
      <c r="AB1241" t="str">
        <f>VLOOKUP(J1241,Diagnosis_Guide!$A:$B,2,0)</f>
        <v>Diabetes Complication</v>
      </c>
      <c r="AC1241" s="4" t="str">
        <f>VLOOKUP(J1241,Diagnosis_Guide!$A:$C,3,0)</f>
        <v>Endocrine/General</v>
      </c>
      <c r="AD1241" s="4" t="str">
        <f>VLOOKUP(R1241,Insurance_Plans!$A:$C,3,0)</f>
        <v>Private</v>
      </c>
      <c r="AE1241" s="13">
        <f t="shared" si="57"/>
        <v>2047.5</v>
      </c>
      <c r="AF1241" s="13">
        <f t="shared" si="58"/>
        <v>42997.5</v>
      </c>
      <c r="AG1241" s="4" t="str">
        <f t="shared" si="59"/>
        <v>High</v>
      </c>
    </row>
    <row r="1242" spans="1:33">
      <c r="A1242" t="s">
        <v>1991</v>
      </c>
      <c r="B1242" t="s">
        <v>1729</v>
      </c>
      <c r="C1242" s="11">
        <v>46029</v>
      </c>
      <c r="D1242" t="s">
        <v>259</v>
      </c>
      <c r="E1242" t="s">
        <v>70</v>
      </c>
      <c r="F1242" s="4">
        <v>46029</v>
      </c>
      <c r="G1242" s="4">
        <v>46029</v>
      </c>
      <c r="H1242" t="s">
        <v>138</v>
      </c>
      <c r="I1242" t="s">
        <v>235</v>
      </c>
      <c r="J1242" t="s">
        <v>236</v>
      </c>
      <c r="K1242" t="s">
        <v>60</v>
      </c>
      <c r="L1242" t="s">
        <v>94</v>
      </c>
      <c r="M1242" s="5">
        <v>34500</v>
      </c>
      <c r="N1242" s="5">
        <v>3550</v>
      </c>
      <c r="O1242" s="5">
        <v>5150</v>
      </c>
      <c r="P1242" s="5">
        <v>0</v>
      </c>
      <c r="Q1242" s="13">
        <v>44200</v>
      </c>
      <c r="R1242" t="s">
        <v>95</v>
      </c>
      <c r="S1242" t="s">
        <v>63</v>
      </c>
      <c r="T1242" s="5">
        <v>44200</v>
      </c>
      <c r="U1242" s="6">
        <v>5</v>
      </c>
      <c r="V1242" t="s">
        <v>77</v>
      </c>
      <c r="W1242" s="4">
        <v>46049</v>
      </c>
      <c r="X1242" t="s">
        <v>77</v>
      </c>
      <c r="Y1242" t="s">
        <v>64</v>
      </c>
      <c r="Z1242" t="s">
        <v>96</v>
      </c>
      <c r="AA1242" t="str">
        <f>VLOOKUP(H1242,Departments!$A:$B,2,0)</f>
        <v>Pediatrics</v>
      </c>
      <c r="AB1242" t="str">
        <f>VLOOKUP(J1242,Diagnosis_Guide!$A:$B,2,0)</f>
        <v>Neonatal Observation</v>
      </c>
      <c r="AC1242" s="4" t="str">
        <f>VLOOKUP(J1242,Diagnosis_Guide!$A:$C,3,0)</f>
        <v>Pediatric</v>
      </c>
      <c r="AD1242" s="4" t="str">
        <f>VLOOKUP(R1242,Insurance_Plans!$A:$C,3,0)</f>
        <v>Self-Pay</v>
      </c>
      <c r="AE1242" s="13">
        <f t="shared" si="57"/>
        <v>2210</v>
      </c>
      <c r="AF1242" s="13">
        <f t="shared" si="58"/>
        <v>46410</v>
      </c>
      <c r="AG1242" s="4" t="str">
        <f t="shared" si="59"/>
        <v>High</v>
      </c>
    </row>
    <row r="1243" spans="1:33">
      <c r="A1243" t="s">
        <v>1992</v>
      </c>
      <c r="B1243" t="s">
        <v>621</v>
      </c>
      <c r="C1243" s="11">
        <v>46109</v>
      </c>
      <c r="D1243" t="s">
        <v>149</v>
      </c>
      <c r="E1243" t="s">
        <v>70</v>
      </c>
      <c r="F1243" s="4">
        <v>46109</v>
      </c>
      <c r="G1243" s="4">
        <v>46109</v>
      </c>
      <c r="H1243" t="s">
        <v>111</v>
      </c>
      <c r="I1243" t="s">
        <v>112</v>
      </c>
      <c r="J1243" t="s">
        <v>384</v>
      </c>
      <c r="K1243" t="s">
        <v>60</v>
      </c>
      <c r="L1243" t="s">
        <v>74</v>
      </c>
      <c r="M1243" s="5">
        <v>48800</v>
      </c>
      <c r="N1243" s="5">
        <v>8250</v>
      </c>
      <c r="O1243" s="5">
        <v>6700</v>
      </c>
      <c r="P1243" s="5">
        <v>0</v>
      </c>
      <c r="Q1243" s="13">
        <v>64550</v>
      </c>
      <c r="R1243" t="s">
        <v>75</v>
      </c>
      <c r="S1243" t="s">
        <v>76</v>
      </c>
      <c r="T1243" s="5">
        <v>29350</v>
      </c>
      <c r="U1243" s="6">
        <v>4</v>
      </c>
      <c r="V1243" t="s">
        <v>77</v>
      </c>
      <c r="W1243" s="4">
        <v>46118</v>
      </c>
      <c r="X1243" t="s">
        <v>77</v>
      </c>
      <c r="Y1243" t="s">
        <v>64</v>
      </c>
      <c r="Z1243" t="s">
        <v>436</v>
      </c>
      <c r="AA1243" t="str">
        <f>VLOOKUP(H1243,Departments!$A:$B,2,0)</f>
        <v>General Medicine</v>
      </c>
      <c r="AB1243" t="str">
        <f>VLOOKUP(J1243,Diagnosis_Guide!$A:$B,2,0)</f>
        <v>Severe Infection</v>
      </c>
      <c r="AC1243" s="4" t="str">
        <f>VLOOKUP(J1243,Diagnosis_Guide!$A:$C,3,0)</f>
        <v>Infectious/General</v>
      </c>
      <c r="AD1243" s="4" t="str">
        <f>VLOOKUP(R1243,Insurance_Plans!$A:$C,3,0)</f>
        <v>Public</v>
      </c>
      <c r="AE1243" s="13">
        <f t="shared" si="57"/>
        <v>3227.5</v>
      </c>
      <c r="AF1243" s="13">
        <f t="shared" si="58"/>
        <v>67777.5</v>
      </c>
      <c r="AG1243" s="4" t="str">
        <f t="shared" si="59"/>
        <v>High</v>
      </c>
    </row>
    <row r="1244" spans="1:33">
      <c r="A1244" t="s">
        <v>1993</v>
      </c>
      <c r="B1244" t="s">
        <v>1638</v>
      </c>
      <c r="C1244" s="11">
        <v>46086</v>
      </c>
      <c r="D1244" t="s">
        <v>173</v>
      </c>
      <c r="E1244" t="s">
        <v>70</v>
      </c>
      <c r="F1244" s="4">
        <v>46086</v>
      </c>
      <c r="G1244" s="4">
        <v>46088</v>
      </c>
      <c r="H1244" t="s">
        <v>57</v>
      </c>
      <c r="I1244" t="s">
        <v>71</v>
      </c>
      <c r="J1244" t="s">
        <v>170</v>
      </c>
      <c r="K1244" t="s">
        <v>73</v>
      </c>
      <c r="L1244" t="s">
        <v>94</v>
      </c>
      <c r="M1244" s="5">
        <v>59000</v>
      </c>
      <c r="N1244" s="5">
        <v>6000</v>
      </c>
      <c r="O1244" s="5">
        <v>13750</v>
      </c>
      <c r="P1244" s="5">
        <v>12000</v>
      </c>
      <c r="Q1244" s="13">
        <v>92550</v>
      </c>
      <c r="R1244" t="s">
        <v>75</v>
      </c>
      <c r="S1244" t="s">
        <v>76</v>
      </c>
      <c r="T1244" s="5">
        <v>41950</v>
      </c>
      <c r="U1244" s="6">
        <v>3</v>
      </c>
      <c r="V1244" t="s">
        <v>64</v>
      </c>
      <c r="W1244" s="4"/>
      <c r="X1244" t="s">
        <v>65</v>
      </c>
      <c r="Y1244" t="s">
        <v>64</v>
      </c>
      <c r="Z1244" t="s">
        <v>96</v>
      </c>
      <c r="AA1244" t="str">
        <f>VLOOKUP(H1244,Departments!$A:$B,2,0)</f>
        <v>Pulmonology</v>
      </c>
      <c r="AB1244" t="str">
        <f>VLOOKUP(J1244,Diagnosis_Guide!$A:$B,2,0)</f>
        <v>COPD Exacerbation</v>
      </c>
      <c r="AC1244" s="4" t="str">
        <f>VLOOKUP(J1244,Diagnosis_Guide!$A:$C,3,0)</f>
        <v>Respiratory</v>
      </c>
      <c r="AD1244" s="4" t="str">
        <f>VLOOKUP(R1244,Insurance_Plans!$A:$C,3,0)</f>
        <v>Public</v>
      </c>
      <c r="AE1244" s="13">
        <f t="shared" si="57"/>
        <v>4627.5</v>
      </c>
      <c r="AF1244" s="13">
        <f t="shared" si="58"/>
        <v>97177.5</v>
      </c>
      <c r="AG1244" s="4" t="str">
        <f t="shared" si="59"/>
        <v>Medium</v>
      </c>
    </row>
    <row r="1245" spans="1:33">
      <c r="A1245" t="s">
        <v>1994</v>
      </c>
      <c r="B1245" t="s">
        <v>528</v>
      </c>
      <c r="C1245" s="11">
        <v>46045</v>
      </c>
      <c r="D1245" t="s">
        <v>161</v>
      </c>
      <c r="E1245" t="s">
        <v>70</v>
      </c>
      <c r="F1245" s="4">
        <v>46045</v>
      </c>
      <c r="G1245" s="4">
        <v>46048</v>
      </c>
      <c r="H1245" t="s">
        <v>111</v>
      </c>
      <c r="I1245" t="s">
        <v>116</v>
      </c>
      <c r="J1245" t="s">
        <v>113</v>
      </c>
      <c r="K1245" t="s">
        <v>124</v>
      </c>
      <c r="L1245" t="s">
        <v>74</v>
      </c>
      <c r="M1245" s="5">
        <v>31100</v>
      </c>
      <c r="N1245" s="5">
        <v>2600</v>
      </c>
      <c r="O1245" s="5">
        <v>7450</v>
      </c>
      <c r="P1245" s="5">
        <v>13500</v>
      </c>
      <c r="Q1245" s="13">
        <v>55450</v>
      </c>
      <c r="R1245" t="s">
        <v>95</v>
      </c>
      <c r="S1245" t="s">
        <v>63</v>
      </c>
      <c r="T1245" s="5">
        <v>55450</v>
      </c>
      <c r="U1245" s="6">
        <v>3</v>
      </c>
      <c r="V1245" t="s">
        <v>64</v>
      </c>
      <c r="W1245" s="4"/>
      <c r="X1245" t="s">
        <v>65</v>
      </c>
      <c r="Y1245" t="s">
        <v>64</v>
      </c>
      <c r="Z1245" t="s">
        <v>78</v>
      </c>
      <c r="AA1245" t="str">
        <f>VLOOKUP(H1245,Departments!$A:$B,2,0)</f>
        <v>General Medicine</v>
      </c>
      <c r="AB1245" t="str">
        <f>VLOOKUP(J1245,Diagnosis_Guide!$A:$B,2,0)</f>
        <v>Diabetes Complication</v>
      </c>
      <c r="AC1245" s="4" t="str">
        <f>VLOOKUP(J1245,Diagnosis_Guide!$A:$C,3,0)</f>
        <v>Endocrine/General</v>
      </c>
      <c r="AD1245" s="4" t="str">
        <f>VLOOKUP(R1245,Insurance_Plans!$A:$C,3,0)</f>
        <v>Self-Pay</v>
      </c>
      <c r="AE1245" s="13">
        <f t="shared" si="57"/>
        <v>2772.5</v>
      </c>
      <c r="AF1245" s="13">
        <f t="shared" si="58"/>
        <v>58222.5</v>
      </c>
      <c r="AG1245" s="4" t="str">
        <f t="shared" si="59"/>
        <v>Medium</v>
      </c>
    </row>
    <row r="1246" spans="1:33">
      <c r="A1246" t="s">
        <v>1995</v>
      </c>
      <c r="B1246" t="s">
        <v>459</v>
      </c>
      <c r="C1246" s="11">
        <v>46087</v>
      </c>
      <c r="D1246" t="s">
        <v>127</v>
      </c>
      <c r="E1246" t="s">
        <v>70</v>
      </c>
      <c r="F1246" s="4">
        <v>46087</v>
      </c>
      <c r="G1246" s="4">
        <v>46092</v>
      </c>
      <c r="H1246" t="s">
        <v>111</v>
      </c>
      <c r="I1246" t="s">
        <v>355</v>
      </c>
      <c r="J1246" t="s">
        <v>384</v>
      </c>
      <c r="K1246" t="s">
        <v>73</v>
      </c>
      <c r="L1246" t="s">
        <v>94</v>
      </c>
      <c r="M1246" s="5">
        <v>74600</v>
      </c>
      <c r="N1246" s="5">
        <v>6000</v>
      </c>
      <c r="O1246" s="5">
        <v>8100</v>
      </c>
      <c r="P1246" s="5">
        <v>15000</v>
      </c>
      <c r="Q1246" s="13">
        <v>105200</v>
      </c>
      <c r="R1246" t="s">
        <v>75</v>
      </c>
      <c r="S1246" t="s">
        <v>86</v>
      </c>
      <c r="T1246" s="5">
        <v>47640</v>
      </c>
      <c r="U1246" s="6">
        <v>4</v>
      </c>
      <c r="V1246" t="s">
        <v>77</v>
      </c>
      <c r="W1246" s="4">
        <v>46110</v>
      </c>
      <c r="X1246" t="s">
        <v>77</v>
      </c>
      <c r="Y1246" t="s">
        <v>64</v>
      </c>
      <c r="Z1246" t="s">
        <v>107</v>
      </c>
      <c r="AA1246" t="str">
        <f>VLOOKUP(H1246,Departments!$A:$B,2,0)</f>
        <v>General Medicine</v>
      </c>
      <c r="AB1246" t="str">
        <f>VLOOKUP(J1246,Diagnosis_Guide!$A:$B,2,0)</f>
        <v>Severe Infection</v>
      </c>
      <c r="AC1246" s="4" t="str">
        <f>VLOOKUP(J1246,Diagnosis_Guide!$A:$C,3,0)</f>
        <v>Infectious/General</v>
      </c>
      <c r="AD1246" s="4" t="str">
        <f>VLOOKUP(R1246,Insurance_Plans!$A:$C,3,0)</f>
        <v>Public</v>
      </c>
      <c r="AE1246" s="13">
        <f t="shared" si="57"/>
        <v>5260</v>
      </c>
      <c r="AF1246" s="13">
        <f t="shared" si="58"/>
        <v>110460</v>
      </c>
      <c r="AG1246" s="4" t="str">
        <f t="shared" si="59"/>
        <v>High</v>
      </c>
    </row>
    <row r="1247" spans="1:33">
      <c r="A1247" t="s">
        <v>1996</v>
      </c>
      <c r="B1247" t="s">
        <v>1997</v>
      </c>
      <c r="C1247" s="11">
        <v>46050</v>
      </c>
      <c r="D1247" t="s">
        <v>99</v>
      </c>
      <c r="E1247" t="s">
        <v>70</v>
      </c>
      <c r="F1247" s="4">
        <v>46050</v>
      </c>
      <c r="G1247" s="4">
        <v>46052</v>
      </c>
      <c r="H1247" t="s">
        <v>121</v>
      </c>
      <c r="I1247" t="s">
        <v>174</v>
      </c>
      <c r="J1247" t="s">
        <v>256</v>
      </c>
      <c r="K1247" t="s">
        <v>124</v>
      </c>
      <c r="L1247" t="s">
        <v>61</v>
      </c>
      <c r="M1247" s="5">
        <v>12200</v>
      </c>
      <c r="N1247" s="5">
        <v>1050</v>
      </c>
      <c r="O1247" s="5">
        <v>1350</v>
      </c>
      <c r="P1247" s="5">
        <v>9000</v>
      </c>
      <c r="Q1247" s="13">
        <v>25400</v>
      </c>
      <c r="R1247" t="s">
        <v>75</v>
      </c>
      <c r="S1247" t="s">
        <v>163</v>
      </c>
      <c r="T1247" s="5">
        <v>11730</v>
      </c>
      <c r="U1247" s="6">
        <v>4</v>
      </c>
      <c r="V1247" t="s">
        <v>77</v>
      </c>
      <c r="W1247" s="4">
        <v>46070</v>
      </c>
      <c r="X1247" t="s">
        <v>64</v>
      </c>
      <c r="Y1247" t="s">
        <v>64</v>
      </c>
      <c r="Z1247" t="s">
        <v>107</v>
      </c>
      <c r="AA1247" t="str">
        <f>VLOOKUP(H1247,Departments!$A:$B,2,0)</f>
        <v>Neurology</v>
      </c>
      <c r="AB1247" t="str">
        <f>VLOOKUP(J1247,Diagnosis_Guide!$A:$B,2,0)</f>
        <v>Migraine Complication</v>
      </c>
      <c r="AC1247" s="4" t="str">
        <f>VLOOKUP(J1247,Diagnosis_Guide!$A:$C,3,0)</f>
        <v>Neurological</v>
      </c>
      <c r="AD1247" s="4" t="str">
        <f>VLOOKUP(R1247,Insurance_Plans!$A:$C,3,0)</f>
        <v>Public</v>
      </c>
      <c r="AE1247" s="13">
        <f t="shared" si="57"/>
        <v>1270</v>
      </c>
      <c r="AF1247" s="13">
        <f t="shared" si="58"/>
        <v>26670</v>
      </c>
      <c r="AG1247" s="4" t="str">
        <f t="shared" si="59"/>
        <v>High</v>
      </c>
    </row>
    <row r="1248" spans="1:33">
      <c r="A1248" t="s">
        <v>1998</v>
      </c>
      <c r="B1248" t="s">
        <v>1127</v>
      </c>
      <c r="C1248" s="11">
        <v>46102</v>
      </c>
      <c r="D1248" t="s">
        <v>132</v>
      </c>
      <c r="E1248" t="s">
        <v>70</v>
      </c>
      <c r="F1248" s="4">
        <v>46102</v>
      </c>
      <c r="G1248" s="4">
        <v>46102</v>
      </c>
      <c r="H1248" t="s">
        <v>90</v>
      </c>
      <c r="I1248" t="s">
        <v>299</v>
      </c>
      <c r="J1248" t="s">
        <v>129</v>
      </c>
      <c r="K1248" t="s">
        <v>60</v>
      </c>
      <c r="L1248" t="s">
        <v>74</v>
      </c>
      <c r="M1248" s="5">
        <v>46900</v>
      </c>
      <c r="N1248" s="5">
        <v>7300</v>
      </c>
      <c r="O1248" s="5">
        <v>7600</v>
      </c>
      <c r="P1248" s="5">
        <v>0</v>
      </c>
      <c r="Q1248" s="13">
        <v>63300</v>
      </c>
      <c r="R1248" t="s">
        <v>95</v>
      </c>
      <c r="S1248" t="s">
        <v>63</v>
      </c>
      <c r="T1248" s="5">
        <v>63300</v>
      </c>
      <c r="U1248" s="6">
        <v>3</v>
      </c>
      <c r="V1248" t="s">
        <v>77</v>
      </c>
      <c r="W1248" s="4">
        <v>46122</v>
      </c>
      <c r="X1248" t="s">
        <v>64</v>
      </c>
      <c r="Y1248" t="s">
        <v>64</v>
      </c>
      <c r="Z1248" t="s">
        <v>96</v>
      </c>
      <c r="AA1248" t="str">
        <f>VLOOKUP(H1248,Departments!$A:$B,2,0)</f>
        <v>Cardiology</v>
      </c>
      <c r="AB1248" t="str">
        <f>VLOOKUP(J1248,Diagnosis_Guide!$A:$B,2,0)</f>
        <v>Hypertension Crisis</v>
      </c>
      <c r="AC1248" s="4" t="str">
        <f>VLOOKUP(J1248,Diagnosis_Guide!$A:$C,3,0)</f>
        <v>Cardiovascular</v>
      </c>
      <c r="AD1248" s="4" t="str">
        <f>VLOOKUP(R1248,Insurance_Plans!$A:$C,3,0)</f>
        <v>Self-Pay</v>
      </c>
      <c r="AE1248" s="13">
        <f t="shared" si="57"/>
        <v>3165</v>
      </c>
      <c r="AF1248" s="13">
        <f t="shared" si="58"/>
        <v>66465</v>
      </c>
      <c r="AG1248" s="4" t="str">
        <f t="shared" si="59"/>
        <v>Medium</v>
      </c>
    </row>
    <row r="1249" spans="1:33">
      <c r="A1249" t="s">
        <v>1999</v>
      </c>
      <c r="B1249" t="s">
        <v>830</v>
      </c>
      <c r="C1249" s="11">
        <v>46116</v>
      </c>
      <c r="D1249" t="s">
        <v>137</v>
      </c>
      <c r="E1249" t="s">
        <v>70</v>
      </c>
      <c r="F1249" s="4">
        <v>46116</v>
      </c>
      <c r="G1249" s="4">
        <v>46121</v>
      </c>
      <c r="H1249" t="s">
        <v>150</v>
      </c>
      <c r="I1249" t="s">
        <v>239</v>
      </c>
      <c r="J1249" t="s">
        <v>152</v>
      </c>
      <c r="K1249" t="s">
        <v>73</v>
      </c>
      <c r="L1249" t="s">
        <v>74</v>
      </c>
      <c r="M1249" s="5">
        <v>33000</v>
      </c>
      <c r="N1249" s="5">
        <v>4000</v>
      </c>
      <c r="O1249" s="5">
        <v>7200</v>
      </c>
      <c r="P1249" s="5">
        <v>12500</v>
      </c>
      <c r="Q1249" s="13">
        <v>58500</v>
      </c>
      <c r="R1249" t="s">
        <v>75</v>
      </c>
      <c r="S1249" t="s">
        <v>86</v>
      </c>
      <c r="T1249" s="5">
        <v>26620</v>
      </c>
      <c r="U1249" s="6">
        <v>3</v>
      </c>
      <c r="V1249" t="s">
        <v>64</v>
      </c>
      <c r="W1249" s="4"/>
      <c r="X1249" t="s">
        <v>65</v>
      </c>
      <c r="Y1249" t="s">
        <v>64</v>
      </c>
      <c r="Z1249" t="s">
        <v>96</v>
      </c>
      <c r="AA1249" t="str">
        <f>VLOOKUP(H1249,Departments!$A:$B,2,0)</f>
        <v>Obstetrics</v>
      </c>
      <c r="AB1249" t="str">
        <f>VLOOKUP(J1249,Diagnosis_Guide!$A:$B,2,0)</f>
        <v>Antenatal Complication</v>
      </c>
      <c r="AC1249" s="4" t="str">
        <f>VLOOKUP(J1249,Diagnosis_Guide!$A:$C,3,0)</f>
        <v>Maternal Health</v>
      </c>
      <c r="AD1249" s="4" t="str">
        <f>VLOOKUP(R1249,Insurance_Plans!$A:$C,3,0)</f>
        <v>Public</v>
      </c>
      <c r="AE1249" s="13">
        <f t="shared" si="57"/>
        <v>2925</v>
      </c>
      <c r="AF1249" s="13">
        <f t="shared" si="58"/>
        <v>61425</v>
      </c>
      <c r="AG1249" s="4" t="str">
        <f t="shared" si="59"/>
        <v>Medium</v>
      </c>
    </row>
    <row r="1250" spans="1:33">
      <c r="A1250" t="s">
        <v>2000</v>
      </c>
      <c r="B1250" t="s">
        <v>1779</v>
      </c>
      <c r="C1250" s="11">
        <v>46045</v>
      </c>
      <c r="D1250" t="s">
        <v>99</v>
      </c>
      <c r="E1250" t="s">
        <v>70</v>
      </c>
      <c r="F1250" s="4">
        <v>46045</v>
      </c>
      <c r="G1250" s="4">
        <v>46051</v>
      </c>
      <c r="H1250" t="s">
        <v>82</v>
      </c>
      <c r="I1250" t="s">
        <v>369</v>
      </c>
      <c r="J1250" t="s">
        <v>156</v>
      </c>
      <c r="K1250" t="s">
        <v>124</v>
      </c>
      <c r="L1250" t="s">
        <v>74</v>
      </c>
      <c r="M1250" s="5">
        <v>72500</v>
      </c>
      <c r="N1250" s="5">
        <v>11000</v>
      </c>
      <c r="O1250" s="5">
        <v>12200</v>
      </c>
      <c r="P1250" s="5">
        <v>18000</v>
      </c>
      <c r="Q1250" s="13">
        <v>114500</v>
      </c>
      <c r="R1250" t="s">
        <v>75</v>
      </c>
      <c r="S1250" t="s">
        <v>76</v>
      </c>
      <c r="T1250" s="5">
        <v>51820</v>
      </c>
      <c r="U1250" s="6">
        <v>5</v>
      </c>
      <c r="V1250" t="s">
        <v>77</v>
      </c>
      <c r="W1250" s="4">
        <v>46059</v>
      </c>
      <c r="X1250" t="s">
        <v>77</v>
      </c>
      <c r="Y1250" t="s">
        <v>64</v>
      </c>
      <c r="Z1250" t="s">
        <v>96</v>
      </c>
      <c r="AA1250" t="str">
        <f>VLOOKUP(H1250,Departments!$A:$B,2,0)</f>
        <v>Orthopedics</v>
      </c>
      <c r="AB1250" t="str">
        <f>VLOOKUP(J1250,Diagnosis_Guide!$A:$B,2,0)</f>
        <v>Spinal Injury</v>
      </c>
      <c r="AC1250" s="4" t="str">
        <f>VLOOKUP(J1250,Diagnosis_Guide!$A:$C,3,0)</f>
        <v>Musculoskeletal</v>
      </c>
      <c r="AD1250" s="4" t="str">
        <f>VLOOKUP(R1250,Insurance_Plans!$A:$C,3,0)</f>
        <v>Public</v>
      </c>
      <c r="AE1250" s="13">
        <f t="shared" si="57"/>
        <v>5725</v>
      </c>
      <c r="AF1250" s="13">
        <f t="shared" si="58"/>
        <v>120225</v>
      </c>
      <c r="AG1250" s="4" t="str">
        <f t="shared" si="59"/>
        <v>High</v>
      </c>
    </row>
    <row r="1251" spans="1:33">
      <c r="A1251" t="s">
        <v>2001</v>
      </c>
      <c r="B1251" t="s">
        <v>2002</v>
      </c>
      <c r="C1251" s="11">
        <v>46166</v>
      </c>
      <c r="D1251" t="s">
        <v>217</v>
      </c>
      <c r="E1251" t="s">
        <v>70</v>
      </c>
      <c r="F1251" s="4">
        <v>46166</v>
      </c>
      <c r="G1251" s="4">
        <v>46172</v>
      </c>
      <c r="H1251" t="s">
        <v>82</v>
      </c>
      <c r="I1251" t="s">
        <v>83</v>
      </c>
      <c r="J1251" t="s">
        <v>291</v>
      </c>
      <c r="K1251" t="s">
        <v>124</v>
      </c>
      <c r="L1251" t="s">
        <v>74</v>
      </c>
      <c r="M1251" s="5">
        <v>35800</v>
      </c>
      <c r="N1251" s="5">
        <v>6350</v>
      </c>
      <c r="O1251" s="5">
        <v>4600</v>
      </c>
      <c r="P1251" s="5">
        <v>18000</v>
      </c>
      <c r="Q1251" s="13">
        <v>66550</v>
      </c>
      <c r="R1251" t="s">
        <v>75</v>
      </c>
      <c r="S1251" t="s">
        <v>76</v>
      </c>
      <c r="T1251" s="5">
        <v>30250</v>
      </c>
      <c r="U1251" s="6">
        <v>3</v>
      </c>
      <c r="V1251" t="s">
        <v>77</v>
      </c>
      <c r="W1251" s="4">
        <v>46190</v>
      </c>
      <c r="X1251" t="s">
        <v>64</v>
      </c>
      <c r="Y1251" t="s">
        <v>64</v>
      </c>
      <c r="Z1251" t="s">
        <v>107</v>
      </c>
      <c r="AA1251" t="str">
        <f>VLOOKUP(H1251,Departments!$A:$B,2,0)</f>
        <v>Orthopedics</v>
      </c>
      <c r="AB1251" t="str">
        <f>VLOOKUP(J1251,Diagnosis_Guide!$A:$B,2,0)</f>
        <v>Fracture Repair</v>
      </c>
      <c r="AC1251" s="4" t="str">
        <f>VLOOKUP(J1251,Diagnosis_Guide!$A:$C,3,0)</f>
        <v>Musculoskeletal</v>
      </c>
      <c r="AD1251" s="4" t="str">
        <f>VLOOKUP(R1251,Insurance_Plans!$A:$C,3,0)</f>
        <v>Public</v>
      </c>
      <c r="AE1251" s="13">
        <f t="shared" si="57"/>
        <v>3327.5</v>
      </c>
      <c r="AF1251" s="13">
        <f t="shared" si="58"/>
        <v>69877.5</v>
      </c>
      <c r="AG1251" s="4" t="str">
        <f t="shared" si="59"/>
        <v>Medium</v>
      </c>
    </row>
    <row r="1252" spans="1:33">
      <c r="A1252" t="s">
        <v>2003</v>
      </c>
      <c r="B1252" t="s">
        <v>487</v>
      </c>
      <c r="C1252" s="11">
        <v>46162</v>
      </c>
      <c r="D1252" t="s">
        <v>307</v>
      </c>
      <c r="E1252" t="s">
        <v>70</v>
      </c>
      <c r="F1252" s="4">
        <v>46163</v>
      </c>
      <c r="G1252" s="4">
        <v>46170</v>
      </c>
      <c r="H1252" t="s">
        <v>82</v>
      </c>
      <c r="I1252" t="s">
        <v>194</v>
      </c>
      <c r="J1252" t="s">
        <v>156</v>
      </c>
      <c r="K1252" t="s">
        <v>73</v>
      </c>
      <c r="L1252" t="s">
        <v>94</v>
      </c>
      <c r="M1252" s="5">
        <v>88700</v>
      </c>
      <c r="N1252" s="5">
        <v>9850</v>
      </c>
      <c r="O1252" s="5">
        <v>14200</v>
      </c>
      <c r="P1252" s="5">
        <v>31500</v>
      </c>
      <c r="Q1252" s="13">
        <v>146050</v>
      </c>
      <c r="R1252" t="s">
        <v>106</v>
      </c>
      <c r="S1252" t="s">
        <v>76</v>
      </c>
      <c r="T1252" s="5">
        <v>51820</v>
      </c>
      <c r="U1252" s="6">
        <v>4</v>
      </c>
      <c r="V1252" t="s">
        <v>77</v>
      </c>
      <c r="W1252" s="4">
        <v>46183</v>
      </c>
      <c r="X1252" t="s">
        <v>64</v>
      </c>
      <c r="Y1252" t="s">
        <v>64</v>
      </c>
      <c r="Z1252" t="s">
        <v>96</v>
      </c>
      <c r="AA1252" t="str">
        <f>VLOOKUP(H1252,Departments!$A:$B,2,0)</f>
        <v>Orthopedics</v>
      </c>
      <c r="AB1252" t="str">
        <f>VLOOKUP(J1252,Diagnosis_Guide!$A:$B,2,0)</f>
        <v>Spinal Injury</v>
      </c>
      <c r="AC1252" s="4" t="str">
        <f>VLOOKUP(J1252,Diagnosis_Guide!$A:$C,3,0)</f>
        <v>Musculoskeletal</v>
      </c>
      <c r="AD1252" s="4" t="str">
        <f>VLOOKUP(R1252,Insurance_Plans!$A:$C,3,0)</f>
        <v>Private</v>
      </c>
      <c r="AE1252" s="13">
        <f t="shared" si="57"/>
        <v>7302.5</v>
      </c>
      <c r="AF1252" s="13">
        <f t="shared" si="58"/>
        <v>153352.5</v>
      </c>
      <c r="AG1252" s="4" t="str">
        <f t="shared" si="59"/>
        <v>High</v>
      </c>
    </row>
    <row r="1253" spans="1:33">
      <c r="A1253" t="s">
        <v>2004</v>
      </c>
      <c r="B1253" t="s">
        <v>2005</v>
      </c>
      <c r="C1253" s="11">
        <v>46158</v>
      </c>
      <c r="D1253" t="s">
        <v>149</v>
      </c>
      <c r="E1253" t="s">
        <v>70</v>
      </c>
      <c r="F1253" s="4">
        <v>46159</v>
      </c>
      <c r="G1253" s="4">
        <v>46162</v>
      </c>
      <c r="H1253" t="s">
        <v>201</v>
      </c>
      <c r="I1253" t="s">
        <v>421</v>
      </c>
      <c r="J1253" t="s">
        <v>203</v>
      </c>
      <c r="K1253" t="s">
        <v>124</v>
      </c>
      <c r="L1253" t="s">
        <v>61</v>
      </c>
      <c r="M1253" s="5">
        <v>38200</v>
      </c>
      <c r="N1253" s="5">
        <v>5200</v>
      </c>
      <c r="O1253" s="5">
        <v>8700</v>
      </c>
      <c r="P1253" s="5">
        <v>9000</v>
      </c>
      <c r="Q1253" s="13">
        <v>62100</v>
      </c>
      <c r="R1253" t="s">
        <v>95</v>
      </c>
      <c r="S1253" t="s">
        <v>63</v>
      </c>
      <c r="T1253" s="5">
        <v>62100</v>
      </c>
      <c r="U1253" s="6">
        <v>4</v>
      </c>
      <c r="V1253" t="s">
        <v>77</v>
      </c>
      <c r="W1253" s="4">
        <v>46174</v>
      </c>
      <c r="X1253" t="s">
        <v>77</v>
      </c>
      <c r="Y1253" t="s">
        <v>64</v>
      </c>
      <c r="Z1253" t="s">
        <v>436</v>
      </c>
      <c r="AA1253" t="str">
        <f>VLOOKUP(H1253,Departments!$A:$B,2,0)</f>
        <v>Emergency</v>
      </c>
      <c r="AB1253" t="str">
        <f>VLOOKUP(J1253,Diagnosis_Guide!$A:$B,2,0)</f>
        <v>Trauma Observation</v>
      </c>
      <c r="AC1253" s="4" t="str">
        <f>VLOOKUP(J1253,Diagnosis_Guide!$A:$C,3,0)</f>
        <v>Emergency</v>
      </c>
      <c r="AD1253" s="4" t="str">
        <f>VLOOKUP(R1253,Insurance_Plans!$A:$C,3,0)</f>
        <v>Self-Pay</v>
      </c>
      <c r="AE1253" s="13">
        <f t="shared" si="57"/>
        <v>3105</v>
      </c>
      <c r="AF1253" s="13">
        <f t="shared" si="58"/>
        <v>65205</v>
      </c>
      <c r="AG1253" s="4" t="str">
        <f t="shared" si="59"/>
        <v>High</v>
      </c>
    </row>
    <row r="1254" spans="1:33">
      <c r="A1254" t="s">
        <v>2006</v>
      </c>
      <c r="B1254" t="s">
        <v>638</v>
      </c>
      <c r="C1254" s="11">
        <v>46092</v>
      </c>
      <c r="D1254" t="s">
        <v>307</v>
      </c>
      <c r="E1254" t="s">
        <v>70</v>
      </c>
      <c r="F1254" s="4">
        <v>46092</v>
      </c>
      <c r="G1254" s="4">
        <v>46096</v>
      </c>
      <c r="H1254" t="s">
        <v>111</v>
      </c>
      <c r="I1254" t="s">
        <v>267</v>
      </c>
      <c r="J1254" t="s">
        <v>117</v>
      </c>
      <c r="K1254" t="s">
        <v>73</v>
      </c>
      <c r="L1254" t="s">
        <v>61</v>
      </c>
      <c r="M1254" s="5">
        <v>7300</v>
      </c>
      <c r="N1254" s="5">
        <v>650</v>
      </c>
      <c r="O1254" s="5">
        <v>1100</v>
      </c>
      <c r="P1254" s="5">
        <v>14000</v>
      </c>
      <c r="Q1254" s="13">
        <v>24250</v>
      </c>
      <c r="R1254" t="s">
        <v>85</v>
      </c>
      <c r="S1254" t="s">
        <v>76</v>
      </c>
      <c r="T1254" s="5">
        <v>6960</v>
      </c>
      <c r="U1254" s="6">
        <v>2</v>
      </c>
      <c r="V1254" t="s">
        <v>77</v>
      </c>
      <c r="W1254" s="4">
        <v>46103</v>
      </c>
      <c r="X1254" t="s">
        <v>64</v>
      </c>
      <c r="Y1254" t="s">
        <v>64</v>
      </c>
      <c r="Z1254" t="s">
        <v>107</v>
      </c>
      <c r="AA1254" t="str">
        <f>VLOOKUP(H1254,Departments!$A:$B,2,0)</f>
        <v>General Medicine</v>
      </c>
      <c r="AB1254" t="str">
        <f>VLOOKUP(J1254,Diagnosis_Guide!$A:$B,2,0)</f>
        <v>Fever Investigation</v>
      </c>
      <c r="AC1254" s="4" t="str">
        <f>VLOOKUP(J1254,Diagnosis_Guide!$A:$C,3,0)</f>
        <v>Infectious/General</v>
      </c>
      <c r="AD1254" s="4" t="str">
        <f>VLOOKUP(R1254,Insurance_Plans!$A:$C,3,0)</f>
        <v>Employer</v>
      </c>
      <c r="AE1254" s="13">
        <f t="shared" si="57"/>
        <v>1212.5</v>
      </c>
      <c r="AF1254" s="13">
        <f t="shared" si="58"/>
        <v>25462.5</v>
      </c>
      <c r="AG1254" s="4" t="str">
        <f t="shared" si="59"/>
        <v>Low</v>
      </c>
    </row>
    <row r="1255" spans="1:33">
      <c r="A1255" t="s">
        <v>2007</v>
      </c>
      <c r="B1255" t="s">
        <v>349</v>
      </c>
      <c r="C1255" s="11">
        <v>46066</v>
      </c>
      <c r="D1255" t="s">
        <v>200</v>
      </c>
      <c r="E1255" t="s">
        <v>70</v>
      </c>
      <c r="F1255" s="4">
        <v>46066</v>
      </c>
      <c r="G1255" s="4">
        <v>46068</v>
      </c>
      <c r="H1255" t="s">
        <v>201</v>
      </c>
      <c r="I1255" t="s">
        <v>280</v>
      </c>
      <c r="J1255" t="s">
        <v>295</v>
      </c>
      <c r="K1255" t="s">
        <v>73</v>
      </c>
      <c r="L1255" t="s">
        <v>94</v>
      </c>
      <c r="M1255" s="5">
        <v>45800</v>
      </c>
      <c r="N1255" s="5">
        <v>5150</v>
      </c>
      <c r="O1255" s="5">
        <v>10100</v>
      </c>
      <c r="P1255" s="5">
        <v>6000</v>
      </c>
      <c r="Q1255" s="13">
        <v>68050</v>
      </c>
      <c r="R1255" t="s">
        <v>85</v>
      </c>
      <c r="S1255" t="s">
        <v>76</v>
      </c>
      <c r="T1255" s="5">
        <v>17910</v>
      </c>
      <c r="U1255" s="6">
        <v>4</v>
      </c>
      <c r="V1255" t="s">
        <v>64</v>
      </c>
      <c r="W1255" s="4"/>
      <c r="X1255" t="s">
        <v>65</v>
      </c>
      <c r="Y1255" t="s">
        <v>64</v>
      </c>
      <c r="Z1255" t="s">
        <v>78</v>
      </c>
      <c r="AA1255" t="str">
        <f>VLOOKUP(H1255,Departments!$A:$B,2,0)</f>
        <v>Emergency</v>
      </c>
      <c r="AB1255" t="str">
        <f>VLOOKUP(J1255,Diagnosis_Guide!$A:$B,2,0)</f>
        <v>Accident Injury</v>
      </c>
      <c r="AC1255" s="4" t="str">
        <f>VLOOKUP(J1255,Diagnosis_Guide!$A:$C,3,0)</f>
        <v>Emergency</v>
      </c>
      <c r="AD1255" s="4" t="str">
        <f>VLOOKUP(R1255,Insurance_Plans!$A:$C,3,0)</f>
        <v>Employer</v>
      </c>
      <c r="AE1255" s="13">
        <f t="shared" si="57"/>
        <v>3402.5</v>
      </c>
      <c r="AF1255" s="13">
        <f t="shared" si="58"/>
        <v>71452.5</v>
      </c>
      <c r="AG1255" s="4" t="str">
        <f t="shared" si="59"/>
        <v>High</v>
      </c>
    </row>
    <row r="1256" spans="1:33">
      <c r="A1256" t="s">
        <v>2008</v>
      </c>
      <c r="B1256" t="s">
        <v>684</v>
      </c>
      <c r="C1256" s="11">
        <v>46172</v>
      </c>
      <c r="D1256" t="s">
        <v>330</v>
      </c>
      <c r="E1256" t="s">
        <v>70</v>
      </c>
      <c r="F1256" s="4">
        <v>46173</v>
      </c>
      <c r="G1256" s="4">
        <v>46178</v>
      </c>
      <c r="H1256" t="s">
        <v>82</v>
      </c>
      <c r="I1256" t="s">
        <v>155</v>
      </c>
      <c r="J1256" t="s">
        <v>156</v>
      </c>
      <c r="K1256" t="s">
        <v>124</v>
      </c>
      <c r="L1256" t="s">
        <v>61</v>
      </c>
      <c r="M1256" s="5">
        <v>93500</v>
      </c>
      <c r="N1256" s="5">
        <v>15050</v>
      </c>
      <c r="O1256" s="5">
        <v>10650</v>
      </c>
      <c r="P1256" s="5">
        <v>15000</v>
      </c>
      <c r="Q1256" s="13">
        <v>136700</v>
      </c>
      <c r="R1256" t="s">
        <v>75</v>
      </c>
      <c r="S1256" t="s">
        <v>86</v>
      </c>
      <c r="T1256" s="5">
        <v>61810</v>
      </c>
      <c r="U1256" s="6"/>
      <c r="V1256" t="s">
        <v>77</v>
      </c>
      <c r="W1256" s="4">
        <v>46188</v>
      </c>
      <c r="X1256" t="s">
        <v>77</v>
      </c>
      <c r="Y1256" t="s">
        <v>64</v>
      </c>
      <c r="Z1256" t="s">
        <v>78</v>
      </c>
      <c r="AA1256" t="str">
        <f>VLOOKUP(H1256,Departments!$A:$B,2,0)</f>
        <v>Orthopedics</v>
      </c>
      <c r="AB1256" t="str">
        <f>VLOOKUP(J1256,Diagnosis_Guide!$A:$B,2,0)</f>
        <v>Spinal Injury</v>
      </c>
      <c r="AC1256" s="4" t="str">
        <f>VLOOKUP(J1256,Diagnosis_Guide!$A:$C,3,0)</f>
        <v>Musculoskeletal</v>
      </c>
      <c r="AD1256" s="4" t="str">
        <f>VLOOKUP(R1256,Insurance_Plans!$A:$C,3,0)</f>
        <v>Public</v>
      </c>
      <c r="AE1256" s="13">
        <f t="shared" si="57"/>
        <v>6835</v>
      </c>
      <c r="AF1256" s="13">
        <f t="shared" si="58"/>
        <v>143535</v>
      </c>
      <c r="AG1256" s="4" t="str">
        <f t="shared" si="59"/>
        <v>Not Available</v>
      </c>
    </row>
    <row r="1257" spans="1:33">
      <c r="A1257" t="s">
        <v>2009</v>
      </c>
      <c r="B1257" t="s">
        <v>1145</v>
      </c>
      <c r="C1257" s="11">
        <v>46124</v>
      </c>
      <c r="D1257" t="s">
        <v>69</v>
      </c>
      <c r="E1257" t="s">
        <v>70</v>
      </c>
      <c r="F1257" s="4">
        <v>46125</v>
      </c>
      <c r="G1257" s="4">
        <v>46127</v>
      </c>
      <c r="H1257" t="s">
        <v>201</v>
      </c>
      <c r="I1257" t="s">
        <v>449</v>
      </c>
      <c r="J1257" t="s">
        <v>203</v>
      </c>
      <c r="K1257" t="s">
        <v>124</v>
      </c>
      <c r="L1257" t="s">
        <v>61</v>
      </c>
      <c r="M1257" s="5">
        <v>32900</v>
      </c>
      <c r="N1257" s="5">
        <v>4600</v>
      </c>
      <c r="O1257" s="5">
        <v>5400</v>
      </c>
      <c r="P1257" s="5">
        <v>6000</v>
      </c>
      <c r="Q1257" s="13">
        <v>49700</v>
      </c>
      <c r="R1257" t="s">
        <v>75</v>
      </c>
      <c r="S1257" t="s">
        <v>76</v>
      </c>
      <c r="T1257" s="5">
        <v>22660</v>
      </c>
      <c r="U1257" s="6">
        <v>5</v>
      </c>
      <c r="V1257" t="s">
        <v>77</v>
      </c>
      <c r="W1257" s="4">
        <v>46143</v>
      </c>
      <c r="X1257" t="s">
        <v>77</v>
      </c>
      <c r="Y1257" t="s">
        <v>64</v>
      </c>
      <c r="Z1257" t="s">
        <v>107</v>
      </c>
      <c r="AA1257" t="str">
        <f>VLOOKUP(H1257,Departments!$A:$B,2,0)</f>
        <v>Emergency</v>
      </c>
      <c r="AB1257" t="str">
        <f>VLOOKUP(J1257,Diagnosis_Guide!$A:$B,2,0)</f>
        <v>Trauma Observation</v>
      </c>
      <c r="AC1257" s="4" t="str">
        <f>VLOOKUP(J1257,Diagnosis_Guide!$A:$C,3,0)</f>
        <v>Emergency</v>
      </c>
      <c r="AD1257" s="4" t="str">
        <f>VLOOKUP(R1257,Insurance_Plans!$A:$C,3,0)</f>
        <v>Public</v>
      </c>
      <c r="AE1257" s="13">
        <f t="shared" si="57"/>
        <v>2485</v>
      </c>
      <c r="AF1257" s="13">
        <f t="shared" si="58"/>
        <v>52185</v>
      </c>
      <c r="AG1257" s="4" t="str">
        <f t="shared" si="59"/>
        <v>High</v>
      </c>
    </row>
    <row r="1258" spans="1:33">
      <c r="A1258" t="s">
        <v>2010</v>
      </c>
      <c r="B1258" t="s">
        <v>671</v>
      </c>
      <c r="C1258" s="11">
        <v>46049</v>
      </c>
      <c r="D1258" t="s">
        <v>173</v>
      </c>
      <c r="E1258" t="s">
        <v>177</v>
      </c>
      <c r="F1258" s="4"/>
      <c r="G1258" s="4"/>
      <c r="H1258" t="s">
        <v>90</v>
      </c>
      <c r="I1258" t="s">
        <v>388</v>
      </c>
      <c r="J1258" t="s">
        <v>197</v>
      </c>
      <c r="K1258" t="s">
        <v>60</v>
      </c>
      <c r="L1258" t="s">
        <v>74</v>
      </c>
      <c r="M1258" s="5"/>
      <c r="N1258" s="5"/>
      <c r="O1258" s="5"/>
      <c r="P1258" s="5"/>
      <c r="R1258" t="s">
        <v>106</v>
      </c>
      <c r="S1258" t="s">
        <v>63</v>
      </c>
      <c r="T1258" s="5"/>
      <c r="U1258" s="6"/>
      <c r="V1258" t="s">
        <v>64</v>
      </c>
      <c r="W1258" s="4"/>
      <c r="X1258" t="s">
        <v>65</v>
      </c>
      <c r="Z1258" t="s">
        <v>66</v>
      </c>
      <c r="AA1258" t="str">
        <f>VLOOKUP(H1258,Departments!$A:$B,2,0)</f>
        <v>Cardiology</v>
      </c>
      <c r="AB1258" t="str">
        <f>VLOOKUP(J1258,Diagnosis_Guide!$A:$B,2,0)</f>
        <v>Chest Pain</v>
      </c>
      <c r="AC1258" s="4" t="str">
        <f>VLOOKUP(J1258,Diagnosis_Guide!$A:$C,3,0)</f>
        <v>Cardiovascular</v>
      </c>
      <c r="AD1258" s="4" t="str">
        <f>VLOOKUP(R1258,Insurance_Plans!$A:$C,3,0)</f>
        <v>Private</v>
      </c>
      <c r="AE1258" s="13" t="str">
        <f t="shared" si="57"/>
        <v/>
      </c>
      <c r="AF1258" s="13" t="str">
        <f t="shared" si="58"/>
        <v/>
      </c>
      <c r="AG1258" s="4" t="str">
        <f t="shared" si="59"/>
        <v>Not Available</v>
      </c>
    </row>
    <row r="1259" spans="1:33">
      <c r="A1259" t="s">
        <v>2011</v>
      </c>
      <c r="B1259" t="s">
        <v>1435</v>
      </c>
      <c r="C1259" s="11">
        <v>46158</v>
      </c>
      <c r="D1259" t="s">
        <v>210</v>
      </c>
      <c r="E1259" t="s">
        <v>177</v>
      </c>
      <c r="F1259" s="4"/>
      <c r="G1259" s="4"/>
      <c r="H1259" t="s">
        <v>201</v>
      </c>
      <c r="I1259" t="s">
        <v>327</v>
      </c>
      <c r="J1259" t="s">
        <v>295</v>
      </c>
      <c r="K1259" t="s">
        <v>124</v>
      </c>
      <c r="L1259" t="s">
        <v>94</v>
      </c>
      <c r="M1259" s="5"/>
      <c r="N1259" s="5"/>
      <c r="O1259" s="5"/>
      <c r="P1259" s="5"/>
      <c r="R1259" t="s">
        <v>75</v>
      </c>
      <c r="S1259" t="s">
        <v>63</v>
      </c>
      <c r="T1259" s="5"/>
      <c r="U1259" s="6"/>
      <c r="V1259" t="s">
        <v>64</v>
      </c>
      <c r="W1259" s="4"/>
      <c r="X1259" t="s">
        <v>65</v>
      </c>
      <c r="Z1259" t="s">
        <v>66</v>
      </c>
      <c r="AA1259" t="str">
        <f>VLOOKUP(H1259,Departments!$A:$B,2,0)</f>
        <v>Emergency</v>
      </c>
      <c r="AB1259" t="str">
        <f>VLOOKUP(J1259,Diagnosis_Guide!$A:$B,2,0)</f>
        <v>Accident Injury</v>
      </c>
      <c r="AC1259" s="4" t="str">
        <f>VLOOKUP(J1259,Diagnosis_Guide!$A:$C,3,0)</f>
        <v>Emergency</v>
      </c>
      <c r="AD1259" s="4" t="str">
        <f>VLOOKUP(R1259,Insurance_Plans!$A:$C,3,0)</f>
        <v>Public</v>
      </c>
      <c r="AE1259" s="13" t="str">
        <f t="shared" si="57"/>
        <v/>
      </c>
      <c r="AF1259" s="13" t="str">
        <f t="shared" si="58"/>
        <v/>
      </c>
      <c r="AG1259" s="4" t="str">
        <f t="shared" si="59"/>
        <v>Not Available</v>
      </c>
    </row>
    <row r="1260" spans="1:33">
      <c r="A1260" t="s">
        <v>2012</v>
      </c>
      <c r="B1260" t="s">
        <v>474</v>
      </c>
      <c r="C1260" s="11">
        <v>46095</v>
      </c>
      <c r="D1260" t="s">
        <v>383</v>
      </c>
      <c r="E1260" t="s">
        <v>70</v>
      </c>
      <c r="F1260" s="4">
        <v>46096</v>
      </c>
      <c r="G1260" s="4">
        <v>46100</v>
      </c>
      <c r="H1260" t="s">
        <v>201</v>
      </c>
      <c r="I1260" t="s">
        <v>327</v>
      </c>
      <c r="J1260" t="s">
        <v>203</v>
      </c>
      <c r="K1260" t="s">
        <v>124</v>
      </c>
      <c r="L1260" t="s">
        <v>94</v>
      </c>
      <c r="M1260" s="5">
        <v>34200</v>
      </c>
      <c r="N1260" s="5">
        <v>2850</v>
      </c>
      <c r="O1260" s="5">
        <v>4750</v>
      </c>
      <c r="P1260" s="5">
        <v>10000</v>
      </c>
      <c r="Q1260" s="13">
        <v>52800</v>
      </c>
      <c r="R1260" t="s">
        <v>85</v>
      </c>
      <c r="S1260" t="s">
        <v>76</v>
      </c>
      <c r="T1260" s="5">
        <v>14100</v>
      </c>
      <c r="U1260" s="6">
        <v>5</v>
      </c>
      <c r="V1260" t="s">
        <v>77</v>
      </c>
      <c r="W1260" s="4">
        <v>46115</v>
      </c>
      <c r="X1260" t="s">
        <v>77</v>
      </c>
      <c r="Y1260" t="s">
        <v>64</v>
      </c>
      <c r="Z1260" t="s">
        <v>78</v>
      </c>
      <c r="AA1260" t="str">
        <f>VLOOKUP(H1260,Departments!$A:$B,2,0)</f>
        <v>Emergency</v>
      </c>
      <c r="AB1260" t="str">
        <f>VLOOKUP(J1260,Diagnosis_Guide!$A:$B,2,0)</f>
        <v>Trauma Observation</v>
      </c>
      <c r="AC1260" s="4" t="str">
        <f>VLOOKUP(J1260,Diagnosis_Guide!$A:$C,3,0)</f>
        <v>Emergency</v>
      </c>
      <c r="AD1260" s="4" t="str">
        <f>VLOOKUP(R1260,Insurance_Plans!$A:$C,3,0)</f>
        <v>Employer</v>
      </c>
      <c r="AE1260" s="13">
        <f t="shared" si="57"/>
        <v>2640</v>
      </c>
      <c r="AF1260" s="13">
        <f t="shared" si="58"/>
        <v>55440</v>
      </c>
      <c r="AG1260" s="4" t="str">
        <f t="shared" si="59"/>
        <v>High</v>
      </c>
    </row>
    <row r="1261" spans="1:33">
      <c r="A1261" t="s">
        <v>2013</v>
      </c>
      <c r="B1261" t="s">
        <v>1870</v>
      </c>
      <c r="C1261" s="11">
        <v>46026</v>
      </c>
      <c r="D1261" t="s">
        <v>120</v>
      </c>
      <c r="E1261" t="s">
        <v>314</v>
      </c>
      <c r="F1261" s="4"/>
      <c r="G1261" s="4"/>
      <c r="H1261" t="s">
        <v>121</v>
      </c>
      <c r="I1261" t="s">
        <v>122</v>
      </c>
      <c r="J1261" t="s">
        <v>256</v>
      </c>
      <c r="K1261" t="s">
        <v>60</v>
      </c>
      <c r="L1261" t="s">
        <v>61</v>
      </c>
      <c r="M1261" s="5"/>
      <c r="N1261" s="5"/>
      <c r="O1261" s="5"/>
      <c r="P1261" s="5"/>
      <c r="R1261" t="s">
        <v>75</v>
      </c>
      <c r="S1261" t="s">
        <v>63</v>
      </c>
      <c r="T1261" s="5"/>
      <c r="U1261" s="6"/>
      <c r="V1261" t="s">
        <v>64</v>
      </c>
      <c r="W1261" s="4"/>
      <c r="X1261" t="s">
        <v>65</v>
      </c>
      <c r="Z1261" t="s">
        <v>66</v>
      </c>
      <c r="AA1261" t="str">
        <f>VLOOKUP(H1261,Departments!$A:$B,2,0)</f>
        <v>Neurology</v>
      </c>
      <c r="AB1261" t="str">
        <f>VLOOKUP(J1261,Diagnosis_Guide!$A:$B,2,0)</f>
        <v>Migraine Complication</v>
      </c>
      <c r="AC1261" s="4" t="str">
        <f>VLOOKUP(J1261,Diagnosis_Guide!$A:$C,3,0)</f>
        <v>Neurological</v>
      </c>
      <c r="AD1261" s="4" t="str">
        <f>VLOOKUP(R1261,Insurance_Plans!$A:$C,3,0)</f>
        <v>Public</v>
      </c>
      <c r="AE1261" s="13" t="str">
        <f t="shared" si="57"/>
        <v/>
      </c>
      <c r="AF1261" s="13" t="str">
        <f t="shared" si="58"/>
        <v/>
      </c>
      <c r="AG1261" s="4" t="str">
        <f t="shared" si="59"/>
        <v>Not Available</v>
      </c>
    </row>
    <row r="1262" spans="1:33">
      <c r="A1262" t="s">
        <v>2014</v>
      </c>
      <c r="B1262" t="s">
        <v>854</v>
      </c>
      <c r="C1262" s="11">
        <v>46112</v>
      </c>
      <c r="D1262" t="s">
        <v>110</v>
      </c>
      <c r="E1262" t="s">
        <v>70</v>
      </c>
      <c r="F1262" s="4">
        <v>46112</v>
      </c>
      <c r="G1262" s="4">
        <v>46112</v>
      </c>
      <c r="H1262" t="s">
        <v>121</v>
      </c>
      <c r="I1262" t="s">
        <v>122</v>
      </c>
      <c r="J1262" t="s">
        <v>252</v>
      </c>
      <c r="K1262" t="s">
        <v>60</v>
      </c>
      <c r="L1262" t="s">
        <v>94</v>
      </c>
      <c r="M1262" s="5">
        <v>64000</v>
      </c>
      <c r="N1262" s="5">
        <v>7900</v>
      </c>
      <c r="O1262" s="5">
        <v>11800</v>
      </c>
      <c r="P1262" s="5">
        <v>0</v>
      </c>
      <c r="Q1262" s="13">
        <v>84700</v>
      </c>
      <c r="R1262" t="s">
        <v>95</v>
      </c>
      <c r="S1262" t="s">
        <v>63</v>
      </c>
      <c r="T1262" s="5">
        <v>84700</v>
      </c>
      <c r="U1262" s="6">
        <v>3</v>
      </c>
      <c r="V1262" t="s">
        <v>77</v>
      </c>
      <c r="W1262" s="4">
        <v>46133</v>
      </c>
      <c r="X1262" t="s">
        <v>64</v>
      </c>
      <c r="Y1262" t="s">
        <v>77</v>
      </c>
      <c r="Z1262" t="s">
        <v>96</v>
      </c>
      <c r="AA1262" t="str">
        <f>VLOOKUP(H1262,Departments!$A:$B,2,0)</f>
        <v>Neurology</v>
      </c>
      <c r="AB1262" t="str">
        <f>VLOOKUP(J1262,Diagnosis_Guide!$A:$B,2,0)</f>
        <v>Stroke Assessment</v>
      </c>
      <c r="AC1262" s="4" t="str">
        <f>VLOOKUP(J1262,Diagnosis_Guide!$A:$C,3,0)</f>
        <v>Neurological</v>
      </c>
      <c r="AD1262" s="4" t="str">
        <f>VLOOKUP(R1262,Insurance_Plans!$A:$C,3,0)</f>
        <v>Self-Pay</v>
      </c>
      <c r="AE1262" s="13">
        <f t="shared" si="57"/>
        <v>4235</v>
      </c>
      <c r="AF1262" s="13">
        <f t="shared" si="58"/>
        <v>88935</v>
      </c>
      <c r="AG1262" s="4" t="str">
        <f t="shared" si="59"/>
        <v>Medium</v>
      </c>
    </row>
    <row r="1263" spans="1:33">
      <c r="A1263" t="s">
        <v>2015</v>
      </c>
      <c r="B1263" t="s">
        <v>1894</v>
      </c>
      <c r="C1263" s="11">
        <v>46142</v>
      </c>
      <c r="D1263" t="s">
        <v>284</v>
      </c>
      <c r="E1263" t="s">
        <v>70</v>
      </c>
      <c r="F1263" s="4">
        <v>46142</v>
      </c>
      <c r="G1263" s="4">
        <v>46144</v>
      </c>
      <c r="H1263" t="s">
        <v>82</v>
      </c>
      <c r="I1263" t="s">
        <v>155</v>
      </c>
      <c r="J1263" t="s">
        <v>84</v>
      </c>
      <c r="K1263" t="s">
        <v>93</v>
      </c>
      <c r="L1263" t="s">
        <v>61</v>
      </c>
      <c r="M1263" s="5">
        <v>6800</v>
      </c>
      <c r="N1263" s="5">
        <v>700</v>
      </c>
      <c r="O1263" s="5">
        <v>850</v>
      </c>
      <c r="P1263" s="5">
        <v>9000</v>
      </c>
      <c r="Q1263" s="13">
        <v>19850</v>
      </c>
      <c r="R1263" t="s">
        <v>106</v>
      </c>
      <c r="S1263" t="s">
        <v>76</v>
      </c>
      <c r="T1263" s="5">
        <v>7650</v>
      </c>
      <c r="U1263" s="6">
        <v>4</v>
      </c>
      <c r="V1263" t="s">
        <v>77</v>
      </c>
      <c r="W1263" s="4">
        <v>46160</v>
      </c>
      <c r="X1263" t="s">
        <v>77</v>
      </c>
      <c r="Y1263" t="s">
        <v>64</v>
      </c>
      <c r="Z1263" t="s">
        <v>107</v>
      </c>
      <c r="AA1263" t="str">
        <f>VLOOKUP(H1263,Departments!$A:$B,2,0)</f>
        <v>Orthopedics</v>
      </c>
      <c r="AB1263" t="str">
        <f>VLOOKUP(J1263,Diagnosis_Guide!$A:$B,2,0)</f>
        <v>Joint Pain</v>
      </c>
      <c r="AC1263" s="4" t="str">
        <f>VLOOKUP(J1263,Diagnosis_Guide!$A:$C,3,0)</f>
        <v>Musculoskeletal</v>
      </c>
      <c r="AD1263" s="4" t="str">
        <f>VLOOKUP(R1263,Insurance_Plans!$A:$C,3,0)</f>
        <v>Private</v>
      </c>
      <c r="AE1263" s="13">
        <f t="shared" si="57"/>
        <v>992.5</v>
      </c>
      <c r="AF1263" s="13">
        <f t="shared" si="58"/>
        <v>20842.5</v>
      </c>
      <c r="AG1263" s="4" t="str">
        <f t="shared" si="59"/>
        <v>High</v>
      </c>
    </row>
    <row r="1264" spans="1:33">
      <c r="A1264" t="s">
        <v>2016</v>
      </c>
      <c r="B1264" t="s">
        <v>809</v>
      </c>
      <c r="C1264" s="11">
        <v>46094</v>
      </c>
      <c r="D1264" t="s">
        <v>81</v>
      </c>
      <c r="E1264" t="s">
        <v>70</v>
      </c>
      <c r="F1264" s="4">
        <v>46094</v>
      </c>
      <c r="G1264" s="4">
        <v>46094</v>
      </c>
      <c r="H1264" t="s">
        <v>90</v>
      </c>
      <c r="I1264" t="s">
        <v>133</v>
      </c>
      <c r="J1264" t="s">
        <v>129</v>
      </c>
      <c r="K1264" t="s">
        <v>60</v>
      </c>
      <c r="L1264" t="s">
        <v>74</v>
      </c>
      <c r="M1264" s="5">
        <v>33800</v>
      </c>
      <c r="N1264" s="5">
        <v>3700</v>
      </c>
      <c r="O1264" s="5">
        <v>8100</v>
      </c>
      <c r="P1264" s="5">
        <v>0</v>
      </c>
      <c r="Q1264" s="13">
        <v>47600</v>
      </c>
      <c r="R1264" t="s">
        <v>141</v>
      </c>
      <c r="S1264" t="s">
        <v>76</v>
      </c>
      <c r="T1264" s="5">
        <v>8340</v>
      </c>
      <c r="U1264" s="6">
        <v>4</v>
      </c>
      <c r="V1264" t="s">
        <v>77</v>
      </c>
      <c r="W1264" s="4">
        <v>46105</v>
      </c>
      <c r="X1264" t="s">
        <v>77</v>
      </c>
      <c r="Y1264" t="s">
        <v>64</v>
      </c>
      <c r="Z1264" t="s">
        <v>78</v>
      </c>
      <c r="AA1264" t="str">
        <f>VLOOKUP(H1264,Departments!$A:$B,2,0)</f>
        <v>Cardiology</v>
      </c>
      <c r="AB1264" t="str">
        <f>VLOOKUP(J1264,Diagnosis_Guide!$A:$B,2,0)</f>
        <v>Hypertension Crisis</v>
      </c>
      <c r="AC1264" s="4" t="str">
        <f>VLOOKUP(J1264,Diagnosis_Guide!$A:$C,3,0)</f>
        <v>Cardiovascular</v>
      </c>
      <c r="AD1264" s="4" t="str">
        <f>VLOOKUP(R1264,Insurance_Plans!$A:$C,3,0)</f>
        <v>Private</v>
      </c>
      <c r="AE1264" s="13">
        <f t="shared" si="57"/>
        <v>2380</v>
      </c>
      <c r="AF1264" s="13">
        <f t="shared" si="58"/>
        <v>49980</v>
      </c>
      <c r="AG1264" s="4" t="str">
        <f t="shared" si="59"/>
        <v>High</v>
      </c>
    </row>
    <row r="1265" spans="1:33">
      <c r="A1265" t="s">
        <v>2017</v>
      </c>
      <c r="B1265" t="s">
        <v>1139</v>
      </c>
      <c r="C1265" s="11">
        <v>46033</v>
      </c>
      <c r="D1265" t="s">
        <v>302</v>
      </c>
      <c r="E1265" t="s">
        <v>70</v>
      </c>
      <c r="F1265" s="4">
        <v>46034</v>
      </c>
      <c r="G1265" s="4">
        <v>46039</v>
      </c>
      <c r="H1265" t="s">
        <v>90</v>
      </c>
      <c r="I1265" t="s">
        <v>162</v>
      </c>
      <c r="J1265" t="s">
        <v>129</v>
      </c>
      <c r="K1265" t="s">
        <v>124</v>
      </c>
      <c r="L1265" t="s">
        <v>61</v>
      </c>
      <c r="M1265" s="5">
        <v>42800</v>
      </c>
      <c r="N1265" s="5">
        <v>5300</v>
      </c>
      <c r="O1265" s="5">
        <v>10250</v>
      </c>
      <c r="P1265" s="5">
        <v>15000</v>
      </c>
      <c r="Q1265" s="13">
        <v>74550</v>
      </c>
      <c r="R1265" t="s">
        <v>85</v>
      </c>
      <c r="S1265" t="s">
        <v>76</v>
      </c>
      <c r="T1265" s="5">
        <v>19540</v>
      </c>
      <c r="U1265" s="6">
        <v>3</v>
      </c>
      <c r="V1265" t="s">
        <v>77</v>
      </c>
      <c r="W1265" s="4">
        <v>46057</v>
      </c>
      <c r="X1265" t="s">
        <v>77</v>
      </c>
      <c r="Y1265" t="s">
        <v>64</v>
      </c>
      <c r="Z1265" t="s">
        <v>96</v>
      </c>
      <c r="AA1265" t="str">
        <f>VLOOKUP(H1265,Departments!$A:$B,2,0)</f>
        <v>Cardiology</v>
      </c>
      <c r="AB1265" t="str">
        <f>VLOOKUP(J1265,Diagnosis_Guide!$A:$B,2,0)</f>
        <v>Hypertension Crisis</v>
      </c>
      <c r="AC1265" s="4" t="str">
        <f>VLOOKUP(J1265,Diagnosis_Guide!$A:$C,3,0)</f>
        <v>Cardiovascular</v>
      </c>
      <c r="AD1265" s="4" t="str">
        <f>VLOOKUP(R1265,Insurance_Plans!$A:$C,3,0)</f>
        <v>Employer</v>
      </c>
      <c r="AE1265" s="13">
        <f t="shared" si="57"/>
        <v>3727.5</v>
      </c>
      <c r="AF1265" s="13">
        <f t="shared" si="58"/>
        <v>78277.5</v>
      </c>
      <c r="AG1265" s="4" t="str">
        <f t="shared" si="59"/>
        <v>Medium</v>
      </c>
    </row>
    <row r="1266" spans="1:33">
      <c r="A1266" t="s">
        <v>2018</v>
      </c>
      <c r="B1266" t="s">
        <v>1466</v>
      </c>
      <c r="C1266" s="11">
        <v>46159</v>
      </c>
      <c r="D1266" t="s">
        <v>225</v>
      </c>
      <c r="E1266" t="s">
        <v>56</v>
      </c>
      <c r="F1266" s="4"/>
      <c r="G1266" s="4"/>
      <c r="H1266" t="s">
        <v>201</v>
      </c>
      <c r="I1266" t="s">
        <v>202</v>
      </c>
      <c r="J1266" t="s">
        <v>295</v>
      </c>
      <c r="K1266" t="s">
        <v>124</v>
      </c>
      <c r="L1266" t="s">
        <v>61</v>
      </c>
      <c r="M1266" s="5"/>
      <c r="N1266" s="5"/>
      <c r="O1266" s="5"/>
      <c r="P1266" s="5"/>
      <c r="R1266" t="s">
        <v>141</v>
      </c>
      <c r="S1266" t="s">
        <v>63</v>
      </c>
      <c r="T1266" s="5"/>
      <c r="U1266" s="6"/>
      <c r="V1266" t="s">
        <v>64</v>
      </c>
      <c r="W1266" s="4"/>
      <c r="X1266" t="s">
        <v>65</v>
      </c>
      <c r="Z1266" t="s">
        <v>66</v>
      </c>
      <c r="AA1266" t="str">
        <f>VLOOKUP(H1266,Departments!$A:$B,2,0)</f>
        <v>Emergency</v>
      </c>
      <c r="AB1266" t="str">
        <f>VLOOKUP(J1266,Diagnosis_Guide!$A:$B,2,0)</f>
        <v>Accident Injury</v>
      </c>
      <c r="AC1266" s="4" t="str">
        <f>VLOOKUP(J1266,Diagnosis_Guide!$A:$C,3,0)</f>
        <v>Emergency</v>
      </c>
      <c r="AD1266" s="4" t="str">
        <f>VLOOKUP(R1266,Insurance_Plans!$A:$C,3,0)</f>
        <v>Private</v>
      </c>
      <c r="AE1266" s="13" t="str">
        <f t="shared" si="57"/>
        <v/>
      </c>
      <c r="AF1266" s="13" t="str">
        <f t="shared" si="58"/>
        <v/>
      </c>
      <c r="AG1266" s="4" t="str">
        <f t="shared" si="59"/>
        <v>Not Available</v>
      </c>
    </row>
    <row r="1267" spans="1:33">
      <c r="A1267" t="s">
        <v>2019</v>
      </c>
      <c r="B1267" t="s">
        <v>723</v>
      </c>
      <c r="C1267" s="11">
        <v>46092</v>
      </c>
      <c r="D1267" t="s">
        <v>132</v>
      </c>
      <c r="E1267" t="s">
        <v>70</v>
      </c>
      <c r="F1267" s="4">
        <v>46092</v>
      </c>
      <c r="G1267" s="4">
        <v>46094</v>
      </c>
      <c r="H1267" t="s">
        <v>90</v>
      </c>
      <c r="I1267" t="s">
        <v>128</v>
      </c>
      <c r="J1267" t="s">
        <v>129</v>
      </c>
      <c r="K1267" t="s">
        <v>73</v>
      </c>
      <c r="L1267" t="s">
        <v>94</v>
      </c>
      <c r="M1267" s="5">
        <v>44000</v>
      </c>
      <c r="N1267" s="5">
        <v>7300</v>
      </c>
      <c r="O1267" s="5">
        <v>8150</v>
      </c>
      <c r="P1267" s="5">
        <v>12000</v>
      </c>
      <c r="Q1267" s="13">
        <v>73450</v>
      </c>
      <c r="R1267" t="s">
        <v>85</v>
      </c>
      <c r="S1267" t="s">
        <v>163</v>
      </c>
      <c r="T1267" s="5">
        <v>19260</v>
      </c>
      <c r="U1267" s="6">
        <v>4</v>
      </c>
      <c r="V1267" t="s">
        <v>77</v>
      </c>
      <c r="W1267" s="4">
        <v>46102</v>
      </c>
      <c r="X1267" t="s">
        <v>77</v>
      </c>
      <c r="Y1267" t="s">
        <v>64</v>
      </c>
      <c r="Z1267" t="s">
        <v>78</v>
      </c>
      <c r="AA1267" t="str">
        <f>VLOOKUP(H1267,Departments!$A:$B,2,0)</f>
        <v>Cardiology</v>
      </c>
      <c r="AB1267" t="str">
        <f>VLOOKUP(J1267,Diagnosis_Guide!$A:$B,2,0)</f>
        <v>Hypertension Crisis</v>
      </c>
      <c r="AC1267" s="4" t="str">
        <f>VLOOKUP(J1267,Diagnosis_Guide!$A:$C,3,0)</f>
        <v>Cardiovascular</v>
      </c>
      <c r="AD1267" s="4" t="str">
        <f>VLOOKUP(R1267,Insurance_Plans!$A:$C,3,0)</f>
        <v>Employer</v>
      </c>
      <c r="AE1267" s="13">
        <f t="shared" si="57"/>
        <v>3672.5</v>
      </c>
      <c r="AF1267" s="13">
        <f t="shared" si="58"/>
        <v>77122.5</v>
      </c>
      <c r="AG1267" s="4" t="str">
        <f t="shared" si="59"/>
        <v>High</v>
      </c>
    </row>
    <row r="1268" spans="1:33">
      <c r="A1268" t="s">
        <v>2020</v>
      </c>
      <c r="B1268" t="s">
        <v>2021</v>
      </c>
      <c r="C1268" s="11">
        <v>46161</v>
      </c>
      <c r="D1268" t="s">
        <v>419</v>
      </c>
      <c r="E1268" t="s">
        <v>70</v>
      </c>
      <c r="F1268" s="4">
        <v>46161</v>
      </c>
      <c r="G1268" s="4">
        <v>46167</v>
      </c>
      <c r="H1268" t="s">
        <v>57</v>
      </c>
      <c r="I1268" t="s">
        <v>71</v>
      </c>
      <c r="J1268" t="s">
        <v>170</v>
      </c>
      <c r="K1268" t="s">
        <v>93</v>
      </c>
      <c r="L1268" t="s">
        <v>61</v>
      </c>
      <c r="M1268" s="5">
        <v>60700</v>
      </c>
      <c r="N1268" s="5">
        <v>7300</v>
      </c>
      <c r="O1268" s="5">
        <v>10050</v>
      </c>
      <c r="P1268" s="5">
        <v>15000</v>
      </c>
      <c r="Q1268" s="13">
        <v>94850</v>
      </c>
      <c r="R1268" t="s">
        <v>85</v>
      </c>
      <c r="S1268" t="s">
        <v>76</v>
      </c>
      <c r="T1268" s="5">
        <v>24610</v>
      </c>
      <c r="U1268" s="6">
        <v>1</v>
      </c>
      <c r="V1268" t="s">
        <v>77</v>
      </c>
      <c r="W1268" s="4">
        <v>46180</v>
      </c>
      <c r="X1268" t="s">
        <v>64</v>
      </c>
      <c r="Y1268" t="s">
        <v>77</v>
      </c>
      <c r="Z1268" t="s">
        <v>107</v>
      </c>
      <c r="AA1268" t="str">
        <f>VLOOKUP(H1268,Departments!$A:$B,2,0)</f>
        <v>Pulmonology</v>
      </c>
      <c r="AB1268" t="str">
        <f>VLOOKUP(J1268,Diagnosis_Guide!$A:$B,2,0)</f>
        <v>COPD Exacerbation</v>
      </c>
      <c r="AC1268" s="4" t="str">
        <f>VLOOKUP(J1268,Diagnosis_Guide!$A:$C,3,0)</f>
        <v>Respiratory</v>
      </c>
      <c r="AD1268" s="4" t="str">
        <f>VLOOKUP(R1268,Insurance_Plans!$A:$C,3,0)</f>
        <v>Employer</v>
      </c>
      <c r="AE1268" s="13">
        <f t="shared" si="57"/>
        <v>4742.5</v>
      </c>
      <c r="AF1268" s="13">
        <f t="shared" si="58"/>
        <v>99592.5</v>
      </c>
      <c r="AG1268" s="4" t="str">
        <f t="shared" si="59"/>
        <v>Low</v>
      </c>
    </row>
    <row r="1269" spans="1:33">
      <c r="A1269" t="s">
        <v>2022</v>
      </c>
      <c r="B1269" t="s">
        <v>464</v>
      </c>
      <c r="C1269" s="11">
        <v>46033</v>
      </c>
      <c r="D1269" t="s">
        <v>298</v>
      </c>
      <c r="E1269" t="s">
        <v>70</v>
      </c>
      <c r="F1269" s="4">
        <v>46033</v>
      </c>
      <c r="G1269" s="4">
        <v>46037</v>
      </c>
      <c r="H1269" t="s">
        <v>150</v>
      </c>
      <c r="I1269" t="s">
        <v>228</v>
      </c>
      <c r="J1269" t="s">
        <v>188</v>
      </c>
      <c r="K1269" t="s">
        <v>73</v>
      </c>
      <c r="L1269" t="s">
        <v>61</v>
      </c>
      <c r="M1269" s="5">
        <v>75400</v>
      </c>
      <c r="N1269" s="5">
        <v>9850</v>
      </c>
      <c r="O1269" s="5">
        <v>9350</v>
      </c>
      <c r="P1269" s="5">
        <v>18000</v>
      </c>
      <c r="Q1269" s="13">
        <v>114100</v>
      </c>
      <c r="R1269" t="s">
        <v>85</v>
      </c>
      <c r="S1269" t="s">
        <v>76</v>
      </c>
      <c r="T1269" s="5">
        <v>29420</v>
      </c>
      <c r="U1269" s="6">
        <v>5</v>
      </c>
      <c r="V1269" t="s">
        <v>77</v>
      </c>
      <c r="W1269" s="4">
        <v>46046</v>
      </c>
      <c r="X1269" t="s">
        <v>77</v>
      </c>
      <c r="Y1269" t="s">
        <v>64</v>
      </c>
      <c r="Z1269" t="s">
        <v>96</v>
      </c>
      <c r="AA1269" t="str">
        <f>VLOOKUP(H1269,Departments!$A:$B,2,0)</f>
        <v>Obstetrics</v>
      </c>
      <c r="AB1269" t="str">
        <f>VLOOKUP(J1269,Diagnosis_Guide!$A:$B,2,0)</f>
        <v>Emergency C-Section</v>
      </c>
      <c r="AC1269" s="4" t="str">
        <f>VLOOKUP(J1269,Diagnosis_Guide!$A:$C,3,0)</f>
        <v>Maternal Health</v>
      </c>
      <c r="AD1269" s="4" t="str">
        <f>VLOOKUP(R1269,Insurance_Plans!$A:$C,3,0)</f>
        <v>Employer</v>
      </c>
      <c r="AE1269" s="13">
        <f t="shared" si="57"/>
        <v>5705</v>
      </c>
      <c r="AF1269" s="13">
        <f t="shared" si="58"/>
        <v>119805</v>
      </c>
      <c r="AG1269" s="4" t="str">
        <f t="shared" si="59"/>
        <v>High</v>
      </c>
    </row>
    <row r="1270" spans="1:33">
      <c r="A1270" t="s">
        <v>2023</v>
      </c>
      <c r="B1270" t="s">
        <v>1878</v>
      </c>
      <c r="C1270" s="11">
        <v>46150</v>
      </c>
      <c r="D1270" t="s">
        <v>110</v>
      </c>
      <c r="E1270" t="s">
        <v>177</v>
      </c>
      <c r="F1270" s="4"/>
      <c r="G1270" s="4"/>
      <c r="H1270" t="s">
        <v>138</v>
      </c>
      <c r="I1270" t="s">
        <v>444</v>
      </c>
      <c r="J1270" t="s">
        <v>140</v>
      </c>
      <c r="K1270" t="s">
        <v>73</v>
      </c>
      <c r="L1270" t="s">
        <v>94</v>
      </c>
      <c r="M1270" s="5"/>
      <c r="N1270" s="5"/>
      <c r="O1270" s="5"/>
      <c r="P1270" s="5"/>
      <c r="R1270" t="s">
        <v>106</v>
      </c>
      <c r="S1270" t="s">
        <v>63</v>
      </c>
      <c r="T1270" s="5"/>
      <c r="U1270" s="6"/>
      <c r="V1270" t="s">
        <v>64</v>
      </c>
      <c r="W1270" s="4"/>
      <c r="X1270" t="s">
        <v>65</v>
      </c>
      <c r="Z1270" t="s">
        <v>66</v>
      </c>
      <c r="AA1270" t="str">
        <f>VLOOKUP(H1270,Departments!$A:$B,2,0)</f>
        <v>Pediatrics</v>
      </c>
      <c r="AB1270" t="str">
        <f>VLOOKUP(J1270,Diagnosis_Guide!$A:$B,2,0)</f>
        <v>Pediatric Asthma</v>
      </c>
      <c r="AC1270" s="4" t="str">
        <f>VLOOKUP(J1270,Diagnosis_Guide!$A:$C,3,0)</f>
        <v>Pediatric</v>
      </c>
      <c r="AD1270" s="4" t="str">
        <f>VLOOKUP(R1270,Insurance_Plans!$A:$C,3,0)</f>
        <v>Private</v>
      </c>
      <c r="AE1270" s="13" t="str">
        <f t="shared" si="57"/>
        <v/>
      </c>
      <c r="AF1270" s="13" t="str">
        <f t="shared" si="58"/>
        <v/>
      </c>
      <c r="AG1270" s="4" t="str">
        <f t="shared" si="59"/>
        <v>Not Available</v>
      </c>
    </row>
    <row r="1271" spans="1:33">
      <c r="A1271" t="s">
        <v>2024</v>
      </c>
      <c r="B1271" t="s">
        <v>459</v>
      </c>
      <c r="C1271" s="11">
        <v>46143</v>
      </c>
      <c r="D1271" t="s">
        <v>99</v>
      </c>
      <c r="E1271" t="s">
        <v>70</v>
      </c>
      <c r="F1271" s="4">
        <v>46143</v>
      </c>
      <c r="G1271" s="4">
        <v>46143</v>
      </c>
      <c r="H1271" t="s">
        <v>103</v>
      </c>
      <c r="I1271" t="s">
        <v>364</v>
      </c>
      <c r="J1271" t="s">
        <v>244</v>
      </c>
      <c r="K1271" t="s">
        <v>60</v>
      </c>
      <c r="L1271" t="s">
        <v>94</v>
      </c>
      <c r="M1271" s="5">
        <v>78500</v>
      </c>
      <c r="N1271" s="5">
        <v>8700</v>
      </c>
      <c r="O1271" s="5">
        <v>12350</v>
      </c>
      <c r="P1271" s="5">
        <v>0</v>
      </c>
      <c r="Q1271" s="13">
        <v>100350</v>
      </c>
      <c r="R1271" t="s">
        <v>141</v>
      </c>
      <c r="S1271" t="s">
        <v>76</v>
      </c>
      <c r="T1271" s="5">
        <v>16250</v>
      </c>
      <c r="U1271" s="6">
        <v>4</v>
      </c>
      <c r="V1271" t="s">
        <v>77</v>
      </c>
      <c r="W1271" s="4">
        <v>46153</v>
      </c>
      <c r="X1271" t="s">
        <v>77</v>
      </c>
      <c r="Y1271" t="s">
        <v>64</v>
      </c>
      <c r="Z1271" t="s">
        <v>96</v>
      </c>
      <c r="AA1271" t="str">
        <f>VLOOKUP(H1271,Departments!$A:$B,2,0)</f>
        <v>Nephrology</v>
      </c>
      <c r="AB1271" t="str">
        <f>VLOOKUP(J1271,Diagnosis_Guide!$A:$B,2,0)</f>
        <v>Chronic Kidney Disease</v>
      </c>
      <c r="AC1271" s="4" t="str">
        <f>VLOOKUP(J1271,Diagnosis_Guide!$A:$C,3,0)</f>
        <v>Renal</v>
      </c>
      <c r="AD1271" s="4" t="str">
        <f>VLOOKUP(R1271,Insurance_Plans!$A:$C,3,0)</f>
        <v>Private</v>
      </c>
      <c r="AE1271" s="13">
        <f t="shared" si="57"/>
        <v>5017.5</v>
      </c>
      <c r="AF1271" s="13">
        <f t="shared" si="58"/>
        <v>105367.5</v>
      </c>
      <c r="AG1271" s="4" t="str">
        <f t="shared" si="59"/>
        <v>High</v>
      </c>
    </row>
    <row r="1272" spans="1:33">
      <c r="A1272" t="s">
        <v>2025</v>
      </c>
      <c r="B1272" t="s">
        <v>2026</v>
      </c>
      <c r="C1272" s="11">
        <v>46126</v>
      </c>
      <c r="D1272" t="s">
        <v>298</v>
      </c>
      <c r="E1272" t="s">
        <v>70</v>
      </c>
      <c r="F1272" s="4">
        <v>46126</v>
      </c>
      <c r="G1272" s="4">
        <v>46127</v>
      </c>
      <c r="H1272" t="s">
        <v>178</v>
      </c>
      <c r="I1272" t="s">
        <v>622</v>
      </c>
      <c r="J1272" t="s">
        <v>340</v>
      </c>
      <c r="K1272" t="s">
        <v>60</v>
      </c>
      <c r="L1272" t="s">
        <v>61</v>
      </c>
      <c r="M1272" s="5">
        <v>88000</v>
      </c>
      <c r="N1272" s="5">
        <v>12600</v>
      </c>
      <c r="O1272" s="5">
        <v>9550</v>
      </c>
      <c r="P1272" s="5">
        <v>2500</v>
      </c>
      <c r="Q1272" s="13">
        <v>114150</v>
      </c>
      <c r="R1272" t="s">
        <v>141</v>
      </c>
      <c r="S1272" t="s">
        <v>76</v>
      </c>
      <c r="T1272" s="5">
        <v>18320</v>
      </c>
      <c r="U1272" s="6">
        <v>4</v>
      </c>
      <c r="V1272" t="s">
        <v>77</v>
      </c>
      <c r="W1272" s="4">
        <v>46134</v>
      </c>
      <c r="X1272" t="s">
        <v>77</v>
      </c>
      <c r="Y1272" t="s">
        <v>64</v>
      </c>
      <c r="Z1272" t="s">
        <v>96</v>
      </c>
      <c r="AA1272" t="str">
        <f>VLOOKUP(H1272,Departments!$A:$B,2,0)</f>
        <v>Surgery</v>
      </c>
      <c r="AB1272" t="str">
        <f>VLOOKUP(J1272,Diagnosis_Guide!$A:$B,2,0)</f>
        <v>Post-Operative Infection</v>
      </c>
      <c r="AC1272" s="4" t="str">
        <f>VLOOKUP(J1272,Diagnosis_Guide!$A:$C,3,0)</f>
        <v>Surgical</v>
      </c>
      <c r="AD1272" s="4" t="str">
        <f>VLOOKUP(R1272,Insurance_Plans!$A:$C,3,0)</f>
        <v>Private</v>
      </c>
      <c r="AE1272" s="13">
        <f t="shared" si="57"/>
        <v>5707.5</v>
      </c>
      <c r="AF1272" s="13">
        <f t="shared" si="58"/>
        <v>119857.5</v>
      </c>
      <c r="AG1272" s="4" t="str">
        <f t="shared" si="59"/>
        <v>High</v>
      </c>
    </row>
    <row r="1273" spans="1:33">
      <c r="A1273" t="s">
        <v>2027</v>
      </c>
      <c r="B1273" t="s">
        <v>1316</v>
      </c>
      <c r="C1273" s="11">
        <v>46077</v>
      </c>
      <c r="D1273" t="s">
        <v>432</v>
      </c>
      <c r="E1273" t="s">
        <v>314</v>
      </c>
      <c r="F1273" s="4"/>
      <c r="G1273" s="4"/>
      <c r="H1273" t="s">
        <v>201</v>
      </c>
      <c r="I1273" t="s">
        <v>202</v>
      </c>
      <c r="J1273" t="s">
        <v>281</v>
      </c>
      <c r="K1273" t="s">
        <v>73</v>
      </c>
      <c r="L1273" t="s">
        <v>61</v>
      </c>
      <c r="M1273" s="5"/>
      <c r="N1273" s="5"/>
      <c r="O1273" s="5"/>
      <c r="P1273" s="5"/>
      <c r="R1273" t="s">
        <v>85</v>
      </c>
      <c r="S1273" t="s">
        <v>63</v>
      </c>
      <c r="T1273" s="5"/>
      <c r="U1273" s="6"/>
      <c r="V1273" t="s">
        <v>64</v>
      </c>
      <c r="W1273" s="4"/>
      <c r="X1273" t="s">
        <v>65</v>
      </c>
      <c r="Z1273" t="s">
        <v>66</v>
      </c>
      <c r="AA1273" t="str">
        <f>VLOOKUP(H1273,Departments!$A:$B,2,0)</f>
        <v>Emergency</v>
      </c>
      <c r="AB1273" t="str">
        <f>VLOOKUP(J1273,Diagnosis_Guide!$A:$B,2,0)</f>
        <v>Food Poisoning</v>
      </c>
      <c r="AC1273" s="4" t="str">
        <f>VLOOKUP(J1273,Diagnosis_Guide!$A:$C,3,0)</f>
        <v>Emergency</v>
      </c>
      <c r="AD1273" s="4" t="str">
        <f>VLOOKUP(R1273,Insurance_Plans!$A:$C,3,0)</f>
        <v>Employer</v>
      </c>
      <c r="AE1273" s="13" t="str">
        <f t="shared" si="57"/>
        <v/>
      </c>
      <c r="AF1273" s="13" t="str">
        <f t="shared" si="58"/>
        <v/>
      </c>
      <c r="AG1273" s="4" t="str">
        <f t="shared" si="59"/>
        <v>Not Available</v>
      </c>
    </row>
    <row r="1274" spans="1:33">
      <c r="A1274" t="s">
        <v>2028</v>
      </c>
      <c r="B1274" t="s">
        <v>890</v>
      </c>
      <c r="C1274" s="11">
        <v>46116</v>
      </c>
      <c r="D1274" t="s">
        <v>168</v>
      </c>
      <c r="E1274" t="s">
        <v>70</v>
      </c>
      <c r="F1274" s="4">
        <v>46116</v>
      </c>
      <c r="G1274" s="4">
        <v>46117</v>
      </c>
      <c r="H1274" t="s">
        <v>111</v>
      </c>
      <c r="I1274" t="s">
        <v>355</v>
      </c>
      <c r="J1274" t="s">
        <v>117</v>
      </c>
      <c r="K1274" t="s">
        <v>124</v>
      </c>
      <c r="L1274" t="s">
        <v>146</v>
      </c>
      <c r="M1274" s="5">
        <v>4900</v>
      </c>
      <c r="N1274" s="5">
        <v>450</v>
      </c>
      <c r="O1274" s="5">
        <v>850</v>
      </c>
      <c r="P1274" s="5">
        <v>3500</v>
      </c>
      <c r="Q1274" s="13">
        <v>11200</v>
      </c>
      <c r="R1274" t="s">
        <v>62</v>
      </c>
      <c r="S1274" t="s">
        <v>76</v>
      </c>
      <c r="T1274" s="5">
        <v>3760</v>
      </c>
      <c r="U1274" s="6">
        <v>5</v>
      </c>
      <c r="V1274" t="s">
        <v>64</v>
      </c>
      <c r="W1274" s="4"/>
      <c r="X1274" t="s">
        <v>65</v>
      </c>
      <c r="Y1274" t="s">
        <v>64</v>
      </c>
      <c r="Z1274" t="s">
        <v>107</v>
      </c>
      <c r="AA1274" t="str">
        <f>VLOOKUP(H1274,Departments!$A:$B,2,0)</f>
        <v>General Medicine</v>
      </c>
      <c r="AB1274" t="str">
        <f>VLOOKUP(J1274,Diagnosis_Guide!$A:$B,2,0)</f>
        <v>Fever Investigation</v>
      </c>
      <c r="AC1274" s="4" t="str">
        <f>VLOOKUP(J1274,Diagnosis_Guide!$A:$C,3,0)</f>
        <v>Infectious/General</v>
      </c>
      <c r="AD1274" s="4" t="str">
        <f>VLOOKUP(R1274,Insurance_Plans!$A:$C,3,0)</f>
        <v>Public</v>
      </c>
      <c r="AE1274" s="13">
        <f t="shared" si="57"/>
        <v>560</v>
      </c>
      <c r="AF1274" s="13">
        <f t="shared" si="58"/>
        <v>11760</v>
      </c>
      <c r="AG1274" s="4" t="str">
        <f t="shared" si="59"/>
        <v>High</v>
      </c>
    </row>
    <row r="1275" spans="1:33">
      <c r="A1275" t="s">
        <v>2029</v>
      </c>
      <c r="B1275" t="s">
        <v>1240</v>
      </c>
      <c r="C1275" s="11">
        <v>46051</v>
      </c>
      <c r="D1275" t="s">
        <v>168</v>
      </c>
      <c r="E1275" t="s">
        <v>70</v>
      </c>
      <c r="F1275" s="4">
        <v>46052</v>
      </c>
      <c r="G1275" s="4">
        <v>46052</v>
      </c>
      <c r="H1275" t="s">
        <v>121</v>
      </c>
      <c r="I1275" t="s">
        <v>665</v>
      </c>
      <c r="J1275" t="s">
        <v>256</v>
      </c>
      <c r="K1275" t="s">
        <v>60</v>
      </c>
      <c r="L1275" t="s">
        <v>146</v>
      </c>
      <c r="M1275" s="5">
        <v>20400</v>
      </c>
      <c r="N1275" s="5">
        <v>2900</v>
      </c>
      <c r="O1275" s="5">
        <v>4800</v>
      </c>
      <c r="P1275" s="5">
        <v>0</v>
      </c>
      <c r="Q1275" s="13">
        <v>29100</v>
      </c>
      <c r="R1275" t="s">
        <v>85</v>
      </c>
      <c r="S1275" t="s">
        <v>76</v>
      </c>
      <c r="T1275" s="5">
        <v>8180</v>
      </c>
      <c r="U1275" s="6">
        <v>4</v>
      </c>
      <c r="V1275" t="s">
        <v>77</v>
      </c>
      <c r="W1275" s="4">
        <v>46073</v>
      </c>
      <c r="X1275" t="s">
        <v>77</v>
      </c>
      <c r="Y1275" t="s">
        <v>64</v>
      </c>
      <c r="Z1275" t="s">
        <v>96</v>
      </c>
      <c r="AA1275" t="str">
        <f>VLOOKUP(H1275,Departments!$A:$B,2,0)</f>
        <v>Neurology</v>
      </c>
      <c r="AB1275" t="str">
        <f>VLOOKUP(J1275,Diagnosis_Guide!$A:$B,2,0)</f>
        <v>Migraine Complication</v>
      </c>
      <c r="AC1275" s="4" t="str">
        <f>VLOOKUP(J1275,Diagnosis_Guide!$A:$C,3,0)</f>
        <v>Neurological</v>
      </c>
      <c r="AD1275" s="4" t="str">
        <f>VLOOKUP(R1275,Insurance_Plans!$A:$C,3,0)</f>
        <v>Employer</v>
      </c>
      <c r="AE1275" s="13">
        <f t="shared" si="57"/>
        <v>1455</v>
      </c>
      <c r="AF1275" s="13">
        <f t="shared" si="58"/>
        <v>30555</v>
      </c>
      <c r="AG1275" s="4" t="str">
        <f t="shared" si="59"/>
        <v>High</v>
      </c>
    </row>
    <row r="1276" spans="1:33">
      <c r="A1276" t="s">
        <v>2030</v>
      </c>
      <c r="B1276" t="s">
        <v>1572</v>
      </c>
      <c r="C1276" s="11">
        <v>46168</v>
      </c>
      <c r="D1276" t="s">
        <v>294</v>
      </c>
      <c r="E1276" t="s">
        <v>70</v>
      </c>
      <c r="F1276" s="4">
        <v>46168</v>
      </c>
      <c r="G1276" s="4">
        <v>46173</v>
      </c>
      <c r="H1276" t="s">
        <v>178</v>
      </c>
      <c r="I1276" t="s">
        <v>415</v>
      </c>
      <c r="J1276" t="s">
        <v>180</v>
      </c>
      <c r="K1276" t="s">
        <v>93</v>
      </c>
      <c r="L1276" t="s">
        <v>94</v>
      </c>
      <c r="M1276" s="5">
        <v>56400</v>
      </c>
      <c r="N1276" s="5">
        <v>6100</v>
      </c>
      <c r="O1276" s="5">
        <v>13100</v>
      </c>
      <c r="P1276" s="5">
        <v>15000</v>
      </c>
      <c r="Q1276" s="13">
        <v>91400</v>
      </c>
      <c r="R1276" t="s">
        <v>62</v>
      </c>
      <c r="S1276" t="s">
        <v>86</v>
      </c>
      <c r="T1276" s="5">
        <v>27820</v>
      </c>
      <c r="U1276" s="6">
        <v>4</v>
      </c>
      <c r="V1276" t="s">
        <v>77</v>
      </c>
      <c r="W1276" s="4">
        <v>46187</v>
      </c>
      <c r="X1276" t="s">
        <v>64</v>
      </c>
      <c r="Y1276" t="s">
        <v>64</v>
      </c>
      <c r="Z1276" t="s">
        <v>96</v>
      </c>
      <c r="AA1276" t="str">
        <f>VLOOKUP(H1276,Departments!$A:$B,2,0)</f>
        <v>Surgery</v>
      </c>
      <c r="AB1276" t="str">
        <f>VLOOKUP(J1276,Diagnosis_Guide!$A:$B,2,0)</f>
        <v>Appendicitis Surgery</v>
      </c>
      <c r="AC1276" s="4" t="str">
        <f>VLOOKUP(J1276,Diagnosis_Guide!$A:$C,3,0)</f>
        <v>Surgical</v>
      </c>
      <c r="AD1276" s="4" t="str">
        <f>VLOOKUP(R1276,Insurance_Plans!$A:$C,3,0)</f>
        <v>Public</v>
      </c>
      <c r="AE1276" s="13">
        <f t="shared" si="57"/>
        <v>4570</v>
      </c>
      <c r="AF1276" s="13">
        <f t="shared" si="58"/>
        <v>95970</v>
      </c>
      <c r="AG1276" s="4" t="str">
        <f t="shared" si="59"/>
        <v>High</v>
      </c>
    </row>
    <row r="1277" spans="1:33">
      <c r="A1277" t="s">
        <v>2031</v>
      </c>
      <c r="B1277" t="s">
        <v>669</v>
      </c>
      <c r="C1277" s="11">
        <v>46084</v>
      </c>
      <c r="D1277" t="s">
        <v>266</v>
      </c>
      <c r="E1277" t="s">
        <v>56</v>
      </c>
      <c r="F1277" s="4"/>
      <c r="G1277" s="4"/>
      <c r="H1277" t="s">
        <v>178</v>
      </c>
      <c r="I1277" t="s">
        <v>179</v>
      </c>
      <c r="J1277" t="s">
        <v>358</v>
      </c>
      <c r="K1277" t="s">
        <v>60</v>
      </c>
      <c r="L1277" t="s">
        <v>94</v>
      </c>
      <c r="M1277" s="5"/>
      <c r="N1277" s="5"/>
      <c r="O1277" s="5"/>
      <c r="P1277" s="5"/>
      <c r="R1277" t="s">
        <v>141</v>
      </c>
      <c r="S1277" t="s">
        <v>63</v>
      </c>
      <c r="T1277" s="5"/>
      <c r="U1277" s="6"/>
      <c r="V1277" t="s">
        <v>64</v>
      </c>
      <c r="W1277" s="4"/>
      <c r="X1277" t="s">
        <v>65</v>
      </c>
      <c r="Z1277" t="s">
        <v>66</v>
      </c>
      <c r="AA1277" t="str">
        <f>VLOOKUP(H1277,Departments!$A:$B,2,0)</f>
        <v>Surgery</v>
      </c>
      <c r="AB1277" t="str">
        <f>VLOOKUP(J1277,Diagnosis_Guide!$A:$B,2,0)</f>
        <v>Gallbladder Surgery</v>
      </c>
      <c r="AC1277" s="4" t="str">
        <f>VLOOKUP(J1277,Diagnosis_Guide!$A:$C,3,0)</f>
        <v>Surgical</v>
      </c>
      <c r="AD1277" s="4" t="str">
        <f>VLOOKUP(R1277,Insurance_Plans!$A:$C,3,0)</f>
        <v>Private</v>
      </c>
      <c r="AE1277" s="13" t="str">
        <f t="shared" si="57"/>
        <v/>
      </c>
      <c r="AF1277" s="13" t="str">
        <f t="shared" si="58"/>
        <v/>
      </c>
      <c r="AG1277" s="4" t="str">
        <f t="shared" si="59"/>
        <v>Not Available</v>
      </c>
    </row>
    <row r="1278" spans="1:33">
      <c r="A1278" t="s">
        <v>2032</v>
      </c>
      <c r="B1278" t="s">
        <v>182</v>
      </c>
      <c r="C1278" s="11">
        <v>46122</v>
      </c>
      <c r="D1278" t="s">
        <v>81</v>
      </c>
      <c r="E1278" t="s">
        <v>70</v>
      </c>
      <c r="F1278" s="4">
        <v>46122</v>
      </c>
      <c r="G1278" s="4">
        <v>46127</v>
      </c>
      <c r="H1278" t="s">
        <v>90</v>
      </c>
      <c r="I1278" t="s">
        <v>128</v>
      </c>
      <c r="J1278" t="s">
        <v>197</v>
      </c>
      <c r="K1278" t="s">
        <v>124</v>
      </c>
      <c r="L1278" t="s">
        <v>94</v>
      </c>
      <c r="M1278" s="5">
        <v>23000</v>
      </c>
      <c r="N1278" s="5">
        <v>3950</v>
      </c>
      <c r="O1278" s="5">
        <v>4400</v>
      </c>
      <c r="P1278" s="5">
        <v>15000</v>
      </c>
      <c r="Q1278" s="13">
        <v>48350</v>
      </c>
      <c r="R1278" t="s">
        <v>95</v>
      </c>
      <c r="S1278" t="s">
        <v>63</v>
      </c>
      <c r="T1278" s="5">
        <v>48350</v>
      </c>
      <c r="U1278" s="6">
        <v>2</v>
      </c>
      <c r="V1278" t="s">
        <v>64</v>
      </c>
      <c r="W1278" s="4"/>
      <c r="X1278" t="s">
        <v>65</v>
      </c>
      <c r="Y1278" t="s">
        <v>64</v>
      </c>
      <c r="Z1278" t="s">
        <v>96</v>
      </c>
      <c r="AA1278" t="str">
        <f>VLOOKUP(H1278,Departments!$A:$B,2,0)</f>
        <v>Cardiology</v>
      </c>
      <c r="AB1278" t="str">
        <f>VLOOKUP(J1278,Diagnosis_Guide!$A:$B,2,0)</f>
        <v>Chest Pain</v>
      </c>
      <c r="AC1278" s="4" t="str">
        <f>VLOOKUP(J1278,Diagnosis_Guide!$A:$C,3,0)</f>
        <v>Cardiovascular</v>
      </c>
      <c r="AD1278" s="4" t="str">
        <f>VLOOKUP(R1278,Insurance_Plans!$A:$C,3,0)</f>
        <v>Self-Pay</v>
      </c>
      <c r="AE1278" s="13">
        <f t="shared" si="57"/>
        <v>2417.5</v>
      </c>
      <c r="AF1278" s="13">
        <f t="shared" si="58"/>
        <v>50767.5</v>
      </c>
      <c r="AG1278" s="4" t="str">
        <f t="shared" si="59"/>
        <v>Low</v>
      </c>
    </row>
    <row r="1279" spans="1:33">
      <c r="A1279" t="s">
        <v>2033</v>
      </c>
      <c r="B1279" t="s">
        <v>756</v>
      </c>
      <c r="C1279" s="11">
        <v>46050</v>
      </c>
      <c r="D1279" t="s">
        <v>259</v>
      </c>
      <c r="E1279" t="s">
        <v>70</v>
      </c>
      <c r="F1279" s="4">
        <v>46051</v>
      </c>
      <c r="G1279" s="4">
        <v>46055</v>
      </c>
      <c r="H1279" t="s">
        <v>138</v>
      </c>
      <c r="I1279" t="s">
        <v>343</v>
      </c>
      <c r="J1279" t="s">
        <v>261</v>
      </c>
      <c r="K1279" t="s">
        <v>124</v>
      </c>
      <c r="L1279" t="s">
        <v>61</v>
      </c>
      <c r="M1279" s="5">
        <v>8000</v>
      </c>
      <c r="N1279" s="5">
        <v>800</v>
      </c>
      <c r="O1279" s="5">
        <v>2000</v>
      </c>
      <c r="P1279" s="5">
        <v>12000</v>
      </c>
      <c r="Q1279" s="13">
        <v>24600</v>
      </c>
      <c r="R1279" t="s">
        <v>85</v>
      </c>
      <c r="S1279" t="s">
        <v>86</v>
      </c>
      <c r="T1279" s="5">
        <v>7050</v>
      </c>
      <c r="U1279" s="6">
        <v>2</v>
      </c>
      <c r="V1279" t="s">
        <v>77</v>
      </c>
      <c r="W1279" s="4">
        <v>46074</v>
      </c>
      <c r="X1279" t="s">
        <v>64</v>
      </c>
      <c r="Y1279" t="s">
        <v>64</v>
      </c>
      <c r="Z1279" t="s">
        <v>96</v>
      </c>
      <c r="AA1279" t="str">
        <f>VLOOKUP(H1279,Departments!$A:$B,2,0)</f>
        <v>Pediatrics</v>
      </c>
      <c r="AB1279" t="str">
        <f>VLOOKUP(J1279,Diagnosis_Guide!$A:$B,2,0)</f>
        <v>Child Fever</v>
      </c>
      <c r="AC1279" s="4" t="str">
        <f>VLOOKUP(J1279,Diagnosis_Guide!$A:$C,3,0)</f>
        <v>Pediatric</v>
      </c>
      <c r="AD1279" s="4" t="str">
        <f>VLOOKUP(R1279,Insurance_Plans!$A:$C,3,0)</f>
        <v>Employer</v>
      </c>
      <c r="AE1279" s="13">
        <f t="shared" si="57"/>
        <v>1230</v>
      </c>
      <c r="AF1279" s="13">
        <f t="shared" si="58"/>
        <v>25830</v>
      </c>
      <c r="AG1279" s="4" t="str">
        <f t="shared" si="59"/>
        <v>Low</v>
      </c>
    </row>
    <row r="1280" spans="1:33">
      <c r="A1280" t="s">
        <v>2034</v>
      </c>
      <c r="B1280" t="s">
        <v>549</v>
      </c>
      <c r="C1280" s="11">
        <v>46163</v>
      </c>
      <c r="D1280" t="s">
        <v>161</v>
      </c>
      <c r="E1280" t="s">
        <v>70</v>
      </c>
      <c r="F1280" s="4">
        <v>46164</v>
      </c>
      <c r="G1280" s="4">
        <v>46167</v>
      </c>
      <c r="H1280" t="s">
        <v>150</v>
      </c>
      <c r="I1280" t="s">
        <v>239</v>
      </c>
      <c r="J1280" t="s">
        <v>152</v>
      </c>
      <c r="K1280" t="s">
        <v>124</v>
      </c>
      <c r="L1280" t="s">
        <v>94</v>
      </c>
      <c r="M1280" s="5">
        <v>25400</v>
      </c>
      <c r="N1280" s="5">
        <v>4100</v>
      </c>
      <c r="O1280" s="5">
        <v>5400</v>
      </c>
      <c r="P1280" s="5">
        <v>13500</v>
      </c>
      <c r="Q1280" s="13">
        <v>50200</v>
      </c>
      <c r="R1280" t="s">
        <v>141</v>
      </c>
      <c r="S1280" t="s">
        <v>76</v>
      </c>
      <c r="T1280" s="5">
        <v>8730</v>
      </c>
      <c r="U1280" s="6">
        <v>4</v>
      </c>
      <c r="V1280" t="s">
        <v>77</v>
      </c>
      <c r="W1280" s="4">
        <v>46174</v>
      </c>
      <c r="X1280" t="s">
        <v>77</v>
      </c>
      <c r="Y1280" t="s">
        <v>64</v>
      </c>
      <c r="Z1280" t="s">
        <v>96</v>
      </c>
      <c r="AA1280" t="str">
        <f>VLOOKUP(H1280,Departments!$A:$B,2,0)</f>
        <v>Obstetrics</v>
      </c>
      <c r="AB1280" t="str">
        <f>VLOOKUP(J1280,Diagnosis_Guide!$A:$B,2,0)</f>
        <v>Antenatal Complication</v>
      </c>
      <c r="AC1280" s="4" t="str">
        <f>VLOOKUP(J1280,Diagnosis_Guide!$A:$C,3,0)</f>
        <v>Maternal Health</v>
      </c>
      <c r="AD1280" s="4" t="str">
        <f>VLOOKUP(R1280,Insurance_Plans!$A:$C,3,0)</f>
        <v>Private</v>
      </c>
      <c r="AE1280" s="13">
        <f t="shared" si="57"/>
        <v>2510</v>
      </c>
      <c r="AF1280" s="13">
        <f t="shared" si="58"/>
        <v>52710</v>
      </c>
      <c r="AG1280" s="4" t="str">
        <f t="shared" si="59"/>
        <v>High</v>
      </c>
    </row>
    <row r="1281" spans="1:33">
      <c r="A1281" t="s">
        <v>2035</v>
      </c>
      <c r="B1281" t="s">
        <v>1545</v>
      </c>
      <c r="C1281" s="11">
        <v>46159</v>
      </c>
      <c r="D1281" t="s">
        <v>439</v>
      </c>
      <c r="E1281" t="s">
        <v>70</v>
      </c>
      <c r="F1281" s="4">
        <v>46159</v>
      </c>
      <c r="G1281" s="4">
        <v>46159</v>
      </c>
      <c r="H1281" t="s">
        <v>90</v>
      </c>
      <c r="I1281" t="s">
        <v>299</v>
      </c>
      <c r="J1281" t="s">
        <v>129</v>
      </c>
      <c r="K1281" t="s">
        <v>60</v>
      </c>
      <c r="L1281" t="s">
        <v>74</v>
      </c>
      <c r="M1281" s="5">
        <v>37100</v>
      </c>
      <c r="N1281" s="5">
        <v>4700</v>
      </c>
      <c r="O1281" s="5">
        <v>6150</v>
      </c>
      <c r="P1281" s="5">
        <v>0</v>
      </c>
      <c r="Q1281" s="13">
        <v>49450</v>
      </c>
      <c r="R1281" t="s">
        <v>62</v>
      </c>
      <c r="S1281" t="s">
        <v>86</v>
      </c>
      <c r="T1281" s="5">
        <v>15240</v>
      </c>
      <c r="U1281" s="6">
        <v>4</v>
      </c>
      <c r="V1281" t="s">
        <v>77</v>
      </c>
      <c r="W1281" s="4">
        <v>46175</v>
      </c>
      <c r="X1281" t="s">
        <v>77</v>
      </c>
      <c r="Y1281" t="s">
        <v>64</v>
      </c>
      <c r="Z1281" t="s">
        <v>78</v>
      </c>
      <c r="AA1281" t="str">
        <f>VLOOKUP(H1281,Departments!$A:$B,2,0)</f>
        <v>Cardiology</v>
      </c>
      <c r="AB1281" t="str">
        <f>VLOOKUP(J1281,Diagnosis_Guide!$A:$B,2,0)</f>
        <v>Hypertension Crisis</v>
      </c>
      <c r="AC1281" s="4" t="str">
        <f>VLOOKUP(J1281,Diagnosis_Guide!$A:$C,3,0)</f>
        <v>Cardiovascular</v>
      </c>
      <c r="AD1281" s="4" t="str">
        <f>VLOOKUP(R1281,Insurance_Plans!$A:$C,3,0)</f>
        <v>Public</v>
      </c>
      <c r="AE1281" s="13">
        <f t="shared" si="57"/>
        <v>2472.5</v>
      </c>
      <c r="AF1281" s="13">
        <f t="shared" si="58"/>
        <v>51922.5</v>
      </c>
      <c r="AG1281" s="4" t="str">
        <f t="shared" si="59"/>
        <v>High</v>
      </c>
    </row>
    <row r="1282" spans="1:33">
      <c r="A1282" t="s">
        <v>2036</v>
      </c>
      <c r="B1282" t="s">
        <v>619</v>
      </c>
      <c r="C1282" s="11">
        <v>46122</v>
      </c>
      <c r="D1282" t="s">
        <v>266</v>
      </c>
      <c r="E1282" t="s">
        <v>70</v>
      </c>
      <c r="F1282" s="4">
        <v>46122</v>
      </c>
      <c r="G1282" s="4">
        <v>46122</v>
      </c>
      <c r="H1282" t="s">
        <v>150</v>
      </c>
      <c r="I1282" t="s">
        <v>151</v>
      </c>
      <c r="J1282" t="s">
        <v>188</v>
      </c>
      <c r="K1282" t="s">
        <v>60</v>
      </c>
      <c r="L1282" t="s">
        <v>94</v>
      </c>
      <c r="M1282" s="5">
        <v>84100</v>
      </c>
      <c r="N1282" s="5">
        <v>12400</v>
      </c>
      <c r="O1282" s="5">
        <v>9700</v>
      </c>
      <c r="P1282" s="5">
        <v>0</v>
      </c>
      <c r="Q1282" s="13">
        <v>108700</v>
      </c>
      <c r="R1282" t="s">
        <v>75</v>
      </c>
      <c r="S1282" t="s">
        <v>76</v>
      </c>
      <c r="T1282" s="5">
        <v>49210</v>
      </c>
      <c r="U1282" s="6">
        <v>5</v>
      </c>
      <c r="V1282" t="s">
        <v>64</v>
      </c>
      <c r="W1282" s="4"/>
      <c r="X1282" t="s">
        <v>65</v>
      </c>
      <c r="Y1282" t="s">
        <v>64</v>
      </c>
      <c r="Z1282" t="s">
        <v>78</v>
      </c>
      <c r="AA1282" t="str">
        <f>VLOOKUP(H1282,Departments!$A:$B,2,0)</f>
        <v>Obstetrics</v>
      </c>
      <c r="AB1282" t="str">
        <f>VLOOKUP(J1282,Diagnosis_Guide!$A:$B,2,0)</f>
        <v>Emergency C-Section</v>
      </c>
      <c r="AC1282" s="4" t="str">
        <f>VLOOKUP(J1282,Diagnosis_Guide!$A:$C,3,0)</f>
        <v>Maternal Health</v>
      </c>
      <c r="AD1282" s="4" t="str">
        <f>VLOOKUP(R1282,Insurance_Plans!$A:$C,3,0)</f>
        <v>Public</v>
      </c>
      <c r="AE1282" s="13">
        <f t="shared" ref="AE1282:AE1345" si="60">IF(Q1282="","",Q1282*0.05)</f>
        <v>5435</v>
      </c>
      <c r="AF1282" s="13">
        <f t="shared" ref="AF1282:AF1345" si="61">IF(Q1282="","",Q1282+AE1282)</f>
        <v>114135</v>
      </c>
      <c r="AG1282" s="4" t="str">
        <f t="shared" ref="AG1282:AG1345" si="62">IF(U1282="","Not Available",IF(U1282&gt;=4,"High",IF(U1282=3,"Medium","Low")))</f>
        <v>High</v>
      </c>
    </row>
    <row r="1283" spans="1:33">
      <c r="A1283" t="s">
        <v>2037</v>
      </c>
      <c r="B1283" t="s">
        <v>2038</v>
      </c>
      <c r="C1283" s="11">
        <v>46121</v>
      </c>
      <c r="D1283" t="s">
        <v>439</v>
      </c>
      <c r="E1283" t="s">
        <v>314</v>
      </c>
      <c r="F1283" s="4"/>
      <c r="G1283" s="4"/>
      <c r="H1283" t="s">
        <v>103</v>
      </c>
      <c r="I1283" t="s">
        <v>243</v>
      </c>
      <c r="J1283" t="s">
        <v>244</v>
      </c>
      <c r="K1283" t="s">
        <v>60</v>
      </c>
      <c r="L1283" t="s">
        <v>94</v>
      </c>
      <c r="M1283" s="5"/>
      <c r="N1283" s="5"/>
      <c r="O1283" s="5"/>
      <c r="P1283" s="5"/>
      <c r="R1283" t="s">
        <v>85</v>
      </c>
      <c r="S1283" t="s">
        <v>63</v>
      </c>
      <c r="T1283" s="5"/>
      <c r="U1283" s="6"/>
      <c r="V1283" t="s">
        <v>64</v>
      </c>
      <c r="W1283" s="4"/>
      <c r="X1283" t="s">
        <v>65</v>
      </c>
      <c r="Z1283" t="s">
        <v>66</v>
      </c>
      <c r="AA1283" t="str">
        <f>VLOOKUP(H1283,Departments!$A:$B,2,0)</f>
        <v>Nephrology</v>
      </c>
      <c r="AB1283" t="str">
        <f>VLOOKUP(J1283,Diagnosis_Guide!$A:$B,2,0)</f>
        <v>Chronic Kidney Disease</v>
      </c>
      <c r="AC1283" s="4" t="str">
        <f>VLOOKUP(J1283,Diagnosis_Guide!$A:$C,3,0)</f>
        <v>Renal</v>
      </c>
      <c r="AD1283" s="4" t="str">
        <f>VLOOKUP(R1283,Insurance_Plans!$A:$C,3,0)</f>
        <v>Employer</v>
      </c>
      <c r="AE1283" s="13" t="str">
        <f t="shared" si="60"/>
        <v/>
      </c>
      <c r="AF1283" s="13" t="str">
        <f t="shared" si="61"/>
        <v/>
      </c>
      <c r="AG1283" s="4" t="str">
        <f t="shared" si="62"/>
        <v>Not Available</v>
      </c>
    </row>
    <row r="1284" spans="1:33">
      <c r="A1284" t="s">
        <v>2039</v>
      </c>
      <c r="B1284" t="s">
        <v>1125</v>
      </c>
      <c r="C1284" s="11">
        <v>46043</v>
      </c>
      <c r="D1284" t="s">
        <v>217</v>
      </c>
      <c r="E1284" t="s">
        <v>70</v>
      </c>
      <c r="F1284" s="4">
        <v>46043</v>
      </c>
      <c r="G1284" s="4">
        <v>46044</v>
      </c>
      <c r="H1284" t="s">
        <v>201</v>
      </c>
      <c r="I1284" t="s">
        <v>327</v>
      </c>
      <c r="J1284" t="s">
        <v>203</v>
      </c>
      <c r="K1284" t="s">
        <v>124</v>
      </c>
      <c r="L1284" t="s">
        <v>61</v>
      </c>
      <c r="M1284" s="5">
        <v>36400</v>
      </c>
      <c r="N1284" s="5">
        <v>6100</v>
      </c>
      <c r="O1284" s="5">
        <v>4350</v>
      </c>
      <c r="P1284" s="5">
        <v>3500</v>
      </c>
      <c r="Q1284" s="13">
        <v>51350</v>
      </c>
      <c r="R1284" t="s">
        <v>106</v>
      </c>
      <c r="S1284" t="s">
        <v>76</v>
      </c>
      <c r="T1284" s="5">
        <v>18670</v>
      </c>
      <c r="U1284" s="6">
        <v>5</v>
      </c>
      <c r="V1284" t="s">
        <v>77</v>
      </c>
      <c r="W1284" s="4">
        <v>46063</v>
      </c>
      <c r="X1284" t="s">
        <v>77</v>
      </c>
      <c r="Y1284" t="s">
        <v>64</v>
      </c>
      <c r="Z1284" t="s">
        <v>96</v>
      </c>
      <c r="AA1284" t="str">
        <f>VLOOKUP(H1284,Departments!$A:$B,2,0)</f>
        <v>Emergency</v>
      </c>
      <c r="AB1284" t="str">
        <f>VLOOKUP(J1284,Diagnosis_Guide!$A:$B,2,0)</f>
        <v>Trauma Observation</v>
      </c>
      <c r="AC1284" s="4" t="str">
        <f>VLOOKUP(J1284,Diagnosis_Guide!$A:$C,3,0)</f>
        <v>Emergency</v>
      </c>
      <c r="AD1284" s="4" t="str">
        <f>VLOOKUP(R1284,Insurance_Plans!$A:$C,3,0)</f>
        <v>Private</v>
      </c>
      <c r="AE1284" s="13">
        <f t="shared" si="60"/>
        <v>2567.5</v>
      </c>
      <c r="AF1284" s="13">
        <f t="shared" si="61"/>
        <v>53917.5</v>
      </c>
      <c r="AG1284" s="4" t="str">
        <f t="shared" si="62"/>
        <v>High</v>
      </c>
    </row>
    <row r="1285" spans="1:33">
      <c r="A1285" t="s">
        <v>2040</v>
      </c>
      <c r="B1285" t="s">
        <v>583</v>
      </c>
      <c r="C1285" s="11">
        <v>46107</v>
      </c>
      <c r="D1285" t="s">
        <v>234</v>
      </c>
      <c r="E1285" t="s">
        <v>70</v>
      </c>
      <c r="F1285" s="4">
        <v>46107</v>
      </c>
      <c r="G1285" s="4">
        <v>46108</v>
      </c>
      <c r="H1285" t="s">
        <v>150</v>
      </c>
      <c r="I1285" t="s">
        <v>239</v>
      </c>
      <c r="J1285" t="s">
        <v>229</v>
      </c>
      <c r="K1285" t="s">
        <v>60</v>
      </c>
      <c r="L1285" t="s">
        <v>94</v>
      </c>
      <c r="M1285" s="5">
        <v>34400</v>
      </c>
      <c r="N1285" s="5">
        <v>5850</v>
      </c>
      <c r="O1285" s="5">
        <v>5950</v>
      </c>
      <c r="P1285" s="5">
        <v>3500</v>
      </c>
      <c r="Q1285" s="13">
        <v>51500</v>
      </c>
      <c r="R1285" t="s">
        <v>85</v>
      </c>
      <c r="S1285" t="s">
        <v>76</v>
      </c>
      <c r="T1285" s="5">
        <v>13780</v>
      </c>
      <c r="U1285" s="6">
        <v>5</v>
      </c>
      <c r="V1285" t="s">
        <v>64</v>
      </c>
      <c r="W1285" s="4"/>
      <c r="X1285" t="s">
        <v>65</v>
      </c>
      <c r="Y1285" t="s">
        <v>64</v>
      </c>
      <c r="Z1285" t="s">
        <v>96</v>
      </c>
      <c r="AA1285" t="str">
        <f>VLOOKUP(H1285,Departments!$A:$B,2,0)</f>
        <v>Obstetrics</v>
      </c>
      <c r="AB1285" t="str">
        <f>VLOOKUP(J1285,Diagnosis_Guide!$A:$B,2,0)</f>
        <v>Delivery Care</v>
      </c>
      <c r="AC1285" s="4" t="str">
        <f>VLOOKUP(J1285,Diagnosis_Guide!$A:$C,3,0)</f>
        <v>Maternal Health</v>
      </c>
      <c r="AD1285" s="4" t="str">
        <f>VLOOKUP(R1285,Insurance_Plans!$A:$C,3,0)</f>
        <v>Employer</v>
      </c>
      <c r="AE1285" s="13">
        <f t="shared" si="60"/>
        <v>2575</v>
      </c>
      <c r="AF1285" s="13">
        <f t="shared" si="61"/>
        <v>54075</v>
      </c>
      <c r="AG1285" s="4" t="str">
        <f t="shared" si="62"/>
        <v>High</v>
      </c>
    </row>
    <row r="1286" spans="1:33">
      <c r="A1286" t="s">
        <v>2041</v>
      </c>
      <c r="B1286" t="s">
        <v>651</v>
      </c>
      <c r="C1286" s="11">
        <v>46036</v>
      </c>
      <c r="D1286" t="s">
        <v>137</v>
      </c>
      <c r="E1286" t="s">
        <v>314</v>
      </c>
      <c r="F1286" s="4"/>
      <c r="G1286" s="4"/>
      <c r="H1286" t="s">
        <v>178</v>
      </c>
      <c r="I1286" t="s">
        <v>218</v>
      </c>
      <c r="J1286" t="s">
        <v>358</v>
      </c>
      <c r="K1286" t="s">
        <v>73</v>
      </c>
      <c r="L1286" t="s">
        <v>94</v>
      </c>
      <c r="M1286" s="5"/>
      <c r="N1286" s="5"/>
      <c r="O1286" s="5"/>
      <c r="P1286" s="5"/>
      <c r="R1286" t="s">
        <v>62</v>
      </c>
      <c r="S1286" t="s">
        <v>63</v>
      </c>
      <c r="T1286" s="5"/>
      <c r="U1286" s="6"/>
      <c r="V1286" t="s">
        <v>64</v>
      </c>
      <c r="W1286" s="4"/>
      <c r="X1286" t="s">
        <v>65</v>
      </c>
      <c r="Z1286" t="s">
        <v>66</v>
      </c>
      <c r="AA1286" t="str">
        <f>VLOOKUP(H1286,Departments!$A:$B,2,0)</f>
        <v>Surgery</v>
      </c>
      <c r="AB1286" t="str">
        <f>VLOOKUP(J1286,Diagnosis_Guide!$A:$B,2,0)</f>
        <v>Gallbladder Surgery</v>
      </c>
      <c r="AC1286" s="4" t="str">
        <f>VLOOKUP(J1286,Diagnosis_Guide!$A:$C,3,0)</f>
        <v>Surgical</v>
      </c>
      <c r="AD1286" s="4" t="str">
        <f>VLOOKUP(R1286,Insurance_Plans!$A:$C,3,0)</f>
        <v>Public</v>
      </c>
      <c r="AE1286" s="13" t="str">
        <f t="shared" si="60"/>
        <v/>
      </c>
      <c r="AF1286" s="13" t="str">
        <f t="shared" si="61"/>
        <v/>
      </c>
      <c r="AG1286" s="4" t="str">
        <f t="shared" si="62"/>
        <v>Not Available</v>
      </c>
    </row>
    <row r="1287" spans="1:33">
      <c r="A1287" t="s">
        <v>2042</v>
      </c>
      <c r="B1287" t="s">
        <v>1050</v>
      </c>
      <c r="C1287" s="11">
        <v>46132</v>
      </c>
      <c r="D1287" t="s">
        <v>302</v>
      </c>
      <c r="E1287" t="s">
        <v>70</v>
      </c>
      <c r="F1287" s="4">
        <v>46132</v>
      </c>
      <c r="G1287" s="4">
        <v>46135</v>
      </c>
      <c r="H1287" t="s">
        <v>138</v>
      </c>
      <c r="I1287" t="s">
        <v>444</v>
      </c>
      <c r="J1287" t="s">
        <v>261</v>
      </c>
      <c r="K1287" t="s">
        <v>73</v>
      </c>
      <c r="L1287" t="s">
        <v>74</v>
      </c>
      <c r="M1287" s="5">
        <v>6800</v>
      </c>
      <c r="N1287" s="5">
        <v>750</v>
      </c>
      <c r="O1287" s="5">
        <v>700</v>
      </c>
      <c r="P1287" s="5">
        <v>7500</v>
      </c>
      <c r="Q1287" s="13">
        <v>17250</v>
      </c>
      <c r="R1287" t="s">
        <v>75</v>
      </c>
      <c r="S1287" t="s">
        <v>76</v>
      </c>
      <c r="T1287" s="5">
        <v>8060</v>
      </c>
      <c r="U1287" s="6">
        <v>3</v>
      </c>
      <c r="V1287" t="s">
        <v>77</v>
      </c>
      <c r="W1287" s="4">
        <v>46151</v>
      </c>
      <c r="X1287" t="s">
        <v>64</v>
      </c>
      <c r="Y1287" t="s">
        <v>64</v>
      </c>
      <c r="Z1287" t="s">
        <v>78</v>
      </c>
      <c r="AA1287" t="str">
        <f>VLOOKUP(H1287,Departments!$A:$B,2,0)</f>
        <v>Pediatrics</v>
      </c>
      <c r="AB1287" t="str">
        <f>VLOOKUP(J1287,Diagnosis_Guide!$A:$B,2,0)</f>
        <v>Child Fever</v>
      </c>
      <c r="AC1287" s="4" t="str">
        <f>VLOOKUP(J1287,Diagnosis_Guide!$A:$C,3,0)</f>
        <v>Pediatric</v>
      </c>
      <c r="AD1287" s="4" t="str">
        <f>VLOOKUP(R1287,Insurance_Plans!$A:$C,3,0)</f>
        <v>Public</v>
      </c>
      <c r="AE1287" s="13">
        <f t="shared" si="60"/>
        <v>862.5</v>
      </c>
      <c r="AF1287" s="13">
        <f t="shared" si="61"/>
        <v>18112.5</v>
      </c>
      <c r="AG1287" s="4" t="str">
        <f t="shared" si="62"/>
        <v>Medium</v>
      </c>
    </row>
    <row r="1288" spans="1:33">
      <c r="A1288" t="s">
        <v>2043</v>
      </c>
      <c r="B1288" t="s">
        <v>2021</v>
      </c>
      <c r="C1288" s="11">
        <v>46074</v>
      </c>
      <c r="D1288" t="s">
        <v>242</v>
      </c>
      <c r="E1288" t="s">
        <v>70</v>
      </c>
      <c r="F1288" s="4">
        <v>46074</v>
      </c>
      <c r="G1288" s="4">
        <v>46074</v>
      </c>
      <c r="H1288" t="s">
        <v>111</v>
      </c>
      <c r="I1288" t="s">
        <v>116</v>
      </c>
      <c r="J1288" t="s">
        <v>384</v>
      </c>
      <c r="K1288" t="s">
        <v>60</v>
      </c>
      <c r="L1288" t="s">
        <v>61</v>
      </c>
      <c r="M1288" s="5">
        <v>60000</v>
      </c>
      <c r="N1288" s="5">
        <v>9300</v>
      </c>
      <c r="O1288" s="5">
        <v>6200</v>
      </c>
      <c r="P1288" s="5">
        <v>0</v>
      </c>
      <c r="Q1288" s="13">
        <v>76300</v>
      </c>
      <c r="R1288" t="s">
        <v>75</v>
      </c>
      <c r="S1288" t="s">
        <v>76</v>
      </c>
      <c r="T1288" s="5">
        <v>34640</v>
      </c>
      <c r="U1288" s="6">
        <v>5</v>
      </c>
      <c r="V1288" t="s">
        <v>77</v>
      </c>
      <c r="W1288" s="4">
        <v>46093</v>
      </c>
      <c r="X1288" t="s">
        <v>77</v>
      </c>
      <c r="Y1288" t="s">
        <v>64</v>
      </c>
      <c r="Z1288" t="s">
        <v>78</v>
      </c>
      <c r="AA1288" t="str">
        <f>VLOOKUP(H1288,Departments!$A:$B,2,0)</f>
        <v>General Medicine</v>
      </c>
      <c r="AB1288" t="str">
        <f>VLOOKUP(J1288,Diagnosis_Guide!$A:$B,2,0)</f>
        <v>Severe Infection</v>
      </c>
      <c r="AC1288" s="4" t="str">
        <f>VLOOKUP(J1288,Diagnosis_Guide!$A:$C,3,0)</f>
        <v>Infectious/General</v>
      </c>
      <c r="AD1288" s="4" t="str">
        <f>VLOOKUP(R1288,Insurance_Plans!$A:$C,3,0)</f>
        <v>Public</v>
      </c>
      <c r="AE1288" s="13">
        <f t="shared" si="60"/>
        <v>3815</v>
      </c>
      <c r="AF1288" s="13">
        <f t="shared" si="61"/>
        <v>80115</v>
      </c>
      <c r="AG1288" s="4" t="str">
        <f t="shared" si="62"/>
        <v>High</v>
      </c>
    </row>
    <row r="1289" spans="1:33">
      <c r="A1289" t="s">
        <v>2044</v>
      </c>
      <c r="B1289" t="s">
        <v>2045</v>
      </c>
      <c r="C1289" s="11">
        <v>46112</v>
      </c>
      <c r="D1289" t="s">
        <v>279</v>
      </c>
      <c r="E1289" t="s">
        <v>70</v>
      </c>
      <c r="F1289" s="4">
        <v>46112</v>
      </c>
      <c r="G1289" s="4">
        <v>46113</v>
      </c>
      <c r="H1289" t="s">
        <v>111</v>
      </c>
      <c r="I1289" t="s">
        <v>222</v>
      </c>
      <c r="J1289" t="s">
        <v>117</v>
      </c>
      <c r="K1289" t="s">
        <v>124</v>
      </c>
      <c r="L1289" t="s">
        <v>61</v>
      </c>
      <c r="M1289" s="5">
        <v>6700</v>
      </c>
      <c r="N1289" s="5">
        <v>1050</v>
      </c>
      <c r="O1289" s="5">
        <v>1500</v>
      </c>
      <c r="P1289" s="5">
        <v>2500</v>
      </c>
      <c r="Q1289" s="13">
        <v>12750</v>
      </c>
      <c r="R1289" t="s">
        <v>134</v>
      </c>
      <c r="S1289" t="s">
        <v>76</v>
      </c>
      <c r="T1289" s="5">
        <v>7210</v>
      </c>
      <c r="U1289" s="6">
        <v>4</v>
      </c>
      <c r="V1289" t="s">
        <v>64</v>
      </c>
      <c r="W1289" s="4"/>
      <c r="X1289" t="s">
        <v>65</v>
      </c>
      <c r="Y1289" t="s">
        <v>64</v>
      </c>
      <c r="Z1289" t="s">
        <v>107</v>
      </c>
      <c r="AA1289" t="str">
        <f>VLOOKUP(H1289,Departments!$A:$B,2,0)</f>
        <v>General Medicine</v>
      </c>
      <c r="AB1289" t="str">
        <f>VLOOKUP(J1289,Diagnosis_Guide!$A:$B,2,0)</f>
        <v>Fever Investigation</v>
      </c>
      <c r="AC1289" s="4" t="str">
        <f>VLOOKUP(J1289,Diagnosis_Guide!$A:$C,3,0)</f>
        <v>Infectious/General</v>
      </c>
      <c r="AD1289" s="4" t="str">
        <f>VLOOKUP(R1289,Insurance_Plans!$A:$C,3,0)</f>
        <v>Community</v>
      </c>
      <c r="AE1289" s="13">
        <f t="shared" si="60"/>
        <v>637.5</v>
      </c>
      <c r="AF1289" s="13">
        <f t="shared" si="61"/>
        <v>13387.5</v>
      </c>
      <c r="AG1289" s="4" t="str">
        <f t="shared" si="62"/>
        <v>High</v>
      </c>
    </row>
    <row r="1290" spans="1:33">
      <c r="A1290" t="s">
        <v>2046</v>
      </c>
      <c r="B1290" t="s">
        <v>2047</v>
      </c>
      <c r="C1290" s="11">
        <v>46036</v>
      </c>
      <c r="D1290" t="s">
        <v>217</v>
      </c>
      <c r="E1290" t="s">
        <v>70</v>
      </c>
      <c r="F1290" s="4">
        <v>46037</v>
      </c>
      <c r="G1290" s="4">
        <v>46037</v>
      </c>
      <c r="H1290" t="s">
        <v>138</v>
      </c>
      <c r="I1290" t="s">
        <v>235</v>
      </c>
      <c r="J1290" t="s">
        <v>140</v>
      </c>
      <c r="K1290" t="s">
        <v>93</v>
      </c>
      <c r="L1290" t="s">
        <v>61</v>
      </c>
      <c r="M1290" s="5">
        <v>18100</v>
      </c>
      <c r="N1290" s="5">
        <v>2450</v>
      </c>
      <c r="O1290" s="5">
        <v>3800</v>
      </c>
      <c r="P1290" s="5">
        <v>0</v>
      </c>
      <c r="Q1290" s="13">
        <v>25350</v>
      </c>
      <c r="R1290" t="s">
        <v>95</v>
      </c>
      <c r="S1290" t="s">
        <v>63</v>
      </c>
      <c r="T1290" s="5">
        <v>25350</v>
      </c>
      <c r="U1290" s="6">
        <v>5</v>
      </c>
      <c r="V1290" t="s">
        <v>77</v>
      </c>
      <c r="W1290" s="4">
        <v>46053</v>
      </c>
      <c r="X1290" t="s">
        <v>77</v>
      </c>
      <c r="Y1290" t="s">
        <v>64</v>
      </c>
      <c r="Z1290" t="s">
        <v>78</v>
      </c>
      <c r="AA1290" t="str">
        <f>VLOOKUP(H1290,Departments!$A:$B,2,0)</f>
        <v>Pediatrics</v>
      </c>
      <c r="AB1290" t="str">
        <f>VLOOKUP(J1290,Diagnosis_Guide!$A:$B,2,0)</f>
        <v>Pediatric Asthma</v>
      </c>
      <c r="AC1290" s="4" t="str">
        <f>VLOOKUP(J1290,Diagnosis_Guide!$A:$C,3,0)</f>
        <v>Pediatric</v>
      </c>
      <c r="AD1290" s="4" t="str">
        <f>VLOOKUP(R1290,Insurance_Plans!$A:$C,3,0)</f>
        <v>Self-Pay</v>
      </c>
      <c r="AE1290" s="13">
        <f t="shared" si="60"/>
        <v>1267.5</v>
      </c>
      <c r="AF1290" s="13">
        <f t="shared" si="61"/>
        <v>26617.5</v>
      </c>
      <c r="AG1290" s="4" t="str">
        <f t="shared" si="62"/>
        <v>High</v>
      </c>
    </row>
    <row r="1291" spans="1:33">
      <c r="A1291" t="s">
        <v>2048</v>
      </c>
      <c r="B1291" t="s">
        <v>725</v>
      </c>
      <c r="C1291" s="11">
        <v>46112</v>
      </c>
      <c r="D1291" t="s">
        <v>200</v>
      </c>
      <c r="E1291" t="s">
        <v>70</v>
      </c>
      <c r="F1291" s="4">
        <v>46112</v>
      </c>
      <c r="G1291" s="4">
        <v>46114</v>
      </c>
      <c r="H1291" t="s">
        <v>178</v>
      </c>
      <c r="I1291" t="s">
        <v>179</v>
      </c>
      <c r="J1291" t="s">
        <v>180</v>
      </c>
      <c r="K1291" t="s">
        <v>93</v>
      </c>
      <c r="L1291" t="s">
        <v>146</v>
      </c>
      <c r="M1291" s="5">
        <v>55700</v>
      </c>
      <c r="N1291" s="5">
        <v>8750</v>
      </c>
      <c r="O1291" s="5">
        <v>11600</v>
      </c>
      <c r="P1291" s="5">
        <v>5000</v>
      </c>
      <c r="Q1291" s="13">
        <v>82050</v>
      </c>
      <c r="R1291" t="s">
        <v>62</v>
      </c>
      <c r="S1291" t="s">
        <v>76</v>
      </c>
      <c r="T1291" s="5">
        <v>25020</v>
      </c>
      <c r="U1291" s="6">
        <v>4</v>
      </c>
      <c r="V1291" t="s">
        <v>77</v>
      </c>
      <c r="W1291" s="4">
        <v>46130</v>
      </c>
      <c r="X1291" t="s">
        <v>77</v>
      </c>
      <c r="Y1291" t="s">
        <v>64</v>
      </c>
      <c r="Z1291" t="s">
        <v>78</v>
      </c>
      <c r="AA1291" t="str">
        <f>VLOOKUP(H1291,Departments!$A:$B,2,0)</f>
        <v>Surgery</v>
      </c>
      <c r="AB1291" t="str">
        <f>VLOOKUP(J1291,Diagnosis_Guide!$A:$B,2,0)</f>
        <v>Appendicitis Surgery</v>
      </c>
      <c r="AC1291" s="4" t="str">
        <f>VLOOKUP(J1291,Diagnosis_Guide!$A:$C,3,0)</f>
        <v>Surgical</v>
      </c>
      <c r="AD1291" s="4" t="str">
        <f>VLOOKUP(R1291,Insurance_Plans!$A:$C,3,0)</f>
        <v>Public</v>
      </c>
      <c r="AE1291" s="13">
        <f t="shared" si="60"/>
        <v>4102.5</v>
      </c>
      <c r="AF1291" s="13">
        <f t="shared" si="61"/>
        <v>86152.5</v>
      </c>
      <c r="AG1291" s="4" t="str">
        <f t="shared" si="62"/>
        <v>High</v>
      </c>
    </row>
    <row r="1292" spans="1:33">
      <c r="A1292" t="s">
        <v>2049</v>
      </c>
      <c r="B1292" t="s">
        <v>1562</v>
      </c>
      <c r="C1292" s="11">
        <v>46040</v>
      </c>
      <c r="D1292" t="s">
        <v>200</v>
      </c>
      <c r="E1292" t="s">
        <v>70</v>
      </c>
      <c r="F1292" s="4">
        <v>46040</v>
      </c>
      <c r="G1292" s="4">
        <v>46045</v>
      </c>
      <c r="H1292" t="s">
        <v>121</v>
      </c>
      <c r="I1292" t="s">
        <v>122</v>
      </c>
      <c r="J1292" t="s">
        <v>252</v>
      </c>
      <c r="K1292" t="s">
        <v>124</v>
      </c>
      <c r="L1292" t="s">
        <v>74</v>
      </c>
      <c r="M1292" s="5">
        <v>53200</v>
      </c>
      <c r="N1292" s="5">
        <v>5000</v>
      </c>
      <c r="O1292" s="5">
        <v>11650</v>
      </c>
      <c r="P1292" s="5">
        <v>12500</v>
      </c>
      <c r="Q1292" s="13">
        <v>83350</v>
      </c>
      <c r="R1292" t="s">
        <v>106</v>
      </c>
      <c r="S1292" t="s">
        <v>76</v>
      </c>
      <c r="T1292" s="5">
        <v>29870</v>
      </c>
      <c r="U1292" s="6">
        <v>4</v>
      </c>
      <c r="V1292" t="s">
        <v>77</v>
      </c>
      <c r="W1292" s="4">
        <v>46062</v>
      </c>
      <c r="X1292" t="s">
        <v>64</v>
      </c>
      <c r="Y1292" t="s">
        <v>64</v>
      </c>
      <c r="Z1292" t="s">
        <v>78</v>
      </c>
      <c r="AA1292" t="str">
        <f>VLOOKUP(H1292,Departments!$A:$B,2,0)</f>
        <v>Neurology</v>
      </c>
      <c r="AB1292" t="str">
        <f>VLOOKUP(J1292,Diagnosis_Guide!$A:$B,2,0)</f>
        <v>Stroke Assessment</v>
      </c>
      <c r="AC1292" s="4" t="str">
        <f>VLOOKUP(J1292,Diagnosis_Guide!$A:$C,3,0)</f>
        <v>Neurological</v>
      </c>
      <c r="AD1292" s="4" t="str">
        <f>VLOOKUP(R1292,Insurance_Plans!$A:$C,3,0)</f>
        <v>Private</v>
      </c>
      <c r="AE1292" s="13">
        <f t="shared" si="60"/>
        <v>4167.5</v>
      </c>
      <c r="AF1292" s="13">
        <f t="shared" si="61"/>
        <v>87517.5</v>
      </c>
      <c r="AG1292" s="4" t="str">
        <f t="shared" si="62"/>
        <v>High</v>
      </c>
    </row>
    <row r="1293" spans="1:33">
      <c r="A1293" t="s">
        <v>2050</v>
      </c>
      <c r="B1293" t="s">
        <v>954</v>
      </c>
      <c r="C1293" s="11">
        <v>46085</v>
      </c>
      <c r="D1293" t="s">
        <v>161</v>
      </c>
      <c r="E1293" t="s">
        <v>70</v>
      </c>
      <c r="F1293" s="4">
        <v>46085</v>
      </c>
      <c r="G1293" s="4">
        <v>46089</v>
      </c>
      <c r="H1293" t="s">
        <v>201</v>
      </c>
      <c r="I1293" t="s">
        <v>280</v>
      </c>
      <c r="J1293" t="s">
        <v>295</v>
      </c>
      <c r="K1293" t="s">
        <v>73</v>
      </c>
      <c r="L1293" t="s">
        <v>74</v>
      </c>
      <c r="M1293" s="5">
        <v>44600</v>
      </c>
      <c r="N1293" s="5">
        <v>5700</v>
      </c>
      <c r="O1293" s="5">
        <v>5600</v>
      </c>
      <c r="P1293" s="5">
        <v>12000</v>
      </c>
      <c r="Q1293" s="13">
        <v>68900</v>
      </c>
      <c r="R1293" t="s">
        <v>85</v>
      </c>
      <c r="S1293" t="s">
        <v>76</v>
      </c>
      <c r="T1293" s="5">
        <v>18120</v>
      </c>
      <c r="U1293" s="6">
        <v>3</v>
      </c>
      <c r="V1293" t="s">
        <v>77</v>
      </c>
      <c r="W1293" s="4">
        <v>46108</v>
      </c>
      <c r="X1293" t="s">
        <v>64</v>
      </c>
      <c r="Y1293" t="s">
        <v>64</v>
      </c>
      <c r="Z1293" t="s">
        <v>107</v>
      </c>
      <c r="AA1293" t="str">
        <f>VLOOKUP(H1293,Departments!$A:$B,2,0)</f>
        <v>Emergency</v>
      </c>
      <c r="AB1293" t="str">
        <f>VLOOKUP(J1293,Diagnosis_Guide!$A:$B,2,0)</f>
        <v>Accident Injury</v>
      </c>
      <c r="AC1293" s="4" t="str">
        <f>VLOOKUP(J1293,Diagnosis_Guide!$A:$C,3,0)</f>
        <v>Emergency</v>
      </c>
      <c r="AD1293" s="4" t="str">
        <f>VLOOKUP(R1293,Insurance_Plans!$A:$C,3,0)</f>
        <v>Employer</v>
      </c>
      <c r="AE1293" s="13">
        <f t="shared" si="60"/>
        <v>3445</v>
      </c>
      <c r="AF1293" s="13">
        <f t="shared" si="61"/>
        <v>72345</v>
      </c>
      <c r="AG1293" s="4" t="str">
        <f t="shared" si="62"/>
        <v>Medium</v>
      </c>
    </row>
    <row r="1294" spans="1:33">
      <c r="A1294" t="s">
        <v>2051</v>
      </c>
      <c r="B1294" t="s">
        <v>1337</v>
      </c>
      <c r="C1294" s="11">
        <v>46044</v>
      </c>
      <c r="D1294" t="s">
        <v>144</v>
      </c>
      <c r="E1294" t="s">
        <v>314</v>
      </c>
      <c r="F1294" s="4"/>
      <c r="G1294" s="4"/>
      <c r="H1294" t="s">
        <v>201</v>
      </c>
      <c r="I1294" t="s">
        <v>280</v>
      </c>
      <c r="J1294" t="s">
        <v>281</v>
      </c>
      <c r="K1294" t="s">
        <v>124</v>
      </c>
      <c r="L1294" t="s">
        <v>74</v>
      </c>
      <c r="M1294" s="5"/>
      <c r="N1294" s="5"/>
      <c r="O1294" s="5"/>
      <c r="P1294" s="5"/>
      <c r="R1294" t="s">
        <v>95</v>
      </c>
      <c r="S1294" t="s">
        <v>63</v>
      </c>
      <c r="T1294" s="5"/>
      <c r="U1294" s="6"/>
      <c r="V1294" t="s">
        <v>64</v>
      </c>
      <c r="W1294" s="4"/>
      <c r="X1294" t="s">
        <v>65</v>
      </c>
      <c r="Z1294" t="s">
        <v>66</v>
      </c>
      <c r="AA1294" t="str">
        <f>VLOOKUP(H1294,Departments!$A:$B,2,0)</f>
        <v>Emergency</v>
      </c>
      <c r="AB1294" t="str">
        <f>VLOOKUP(J1294,Diagnosis_Guide!$A:$B,2,0)</f>
        <v>Food Poisoning</v>
      </c>
      <c r="AC1294" s="4" t="str">
        <f>VLOOKUP(J1294,Diagnosis_Guide!$A:$C,3,0)</f>
        <v>Emergency</v>
      </c>
      <c r="AD1294" s="4" t="str">
        <f>VLOOKUP(R1294,Insurance_Plans!$A:$C,3,0)</f>
        <v>Self-Pay</v>
      </c>
      <c r="AE1294" s="13" t="str">
        <f t="shared" si="60"/>
        <v/>
      </c>
      <c r="AF1294" s="13" t="str">
        <f t="shared" si="61"/>
        <v/>
      </c>
      <c r="AG1294" s="4" t="str">
        <f t="shared" si="62"/>
        <v>Not Available</v>
      </c>
    </row>
    <row r="1295" spans="1:33">
      <c r="A1295" t="s">
        <v>2052</v>
      </c>
      <c r="B1295" t="s">
        <v>881</v>
      </c>
      <c r="C1295" s="11">
        <v>46172</v>
      </c>
      <c r="D1295" t="s">
        <v>200</v>
      </c>
      <c r="E1295" t="s">
        <v>314</v>
      </c>
      <c r="F1295" s="4"/>
      <c r="G1295" s="4"/>
      <c r="H1295" t="s">
        <v>57</v>
      </c>
      <c r="I1295" t="s">
        <v>169</v>
      </c>
      <c r="J1295" t="s">
        <v>59</v>
      </c>
      <c r="K1295" t="s">
        <v>93</v>
      </c>
      <c r="L1295" t="s">
        <v>146</v>
      </c>
      <c r="M1295" s="5"/>
      <c r="N1295" s="5"/>
      <c r="O1295" s="5"/>
      <c r="P1295" s="5"/>
      <c r="R1295" t="s">
        <v>85</v>
      </c>
      <c r="S1295" t="s">
        <v>63</v>
      </c>
      <c r="T1295" s="5"/>
      <c r="U1295" s="6"/>
      <c r="V1295" t="s">
        <v>64</v>
      </c>
      <c r="W1295" s="4"/>
      <c r="X1295" t="s">
        <v>65</v>
      </c>
      <c r="Z1295" t="s">
        <v>66</v>
      </c>
      <c r="AA1295" t="str">
        <f>VLOOKUP(H1295,Departments!$A:$B,2,0)</f>
        <v>Pulmonology</v>
      </c>
      <c r="AB1295" t="str">
        <f>VLOOKUP(J1295,Diagnosis_Guide!$A:$B,2,0)</f>
        <v>Pneumonia</v>
      </c>
      <c r="AC1295" s="4" t="str">
        <f>VLOOKUP(J1295,Diagnosis_Guide!$A:$C,3,0)</f>
        <v>Respiratory</v>
      </c>
      <c r="AD1295" s="4" t="str">
        <f>VLOOKUP(R1295,Insurance_Plans!$A:$C,3,0)</f>
        <v>Employer</v>
      </c>
      <c r="AE1295" s="13" t="str">
        <f t="shared" si="60"/>
        <v/>
      </c>
      <c r="AF1295" s="13" t="str">
        <f t="shared" si="61"/>
        <v/>
      </c>
      <c r="AG1295" s="4" t="str">
        <f t="shared" si="62"/>
        <v>Not Available</v>
      </c>
    </row>
    <row r="1296" spans="1:33">
      <c r="A1296" t="s">
        <v>2053</v>
      </c>
      <c r="B1296" t="s">
        <v>669</v>
      </c>
      <c r="C1296" s="11">
        <v>46083</v>
      </c>
      <c r="D1296" t="s">
        <v>173</v>
      </c>
      <c r="E1296" t="s">
        <v>70</v>
      </c>
      <c r="F1296" s="4">
        <v>46083</v>
      </c>
      <c r="G1296" s="4">
        <v>46084</v>
      </c>
      <c r="H1296" t="s">
        <v>150</v>
      </c>
      <c r="I1296" t="s">
        <v>151</v>
      </c>
      <c r="J1296" t="s">
        <v>152</v>
      </c>
      <c r="K1296" t="s">
        <v>60</v>
      </c>
      <c r="L1296" t="s">
        <v>74</v>
      </c>
      <c r="M1296" s="5">
        <v>29800</v>
      </c>
      <c r="N1296" s="5">
        <v>5000</v>
      </c>
      <c r="O1296" s="5">
        <v>6300</v>
      </c>
      <c r="P1296" s="5">
        <v>4500</v>
      </c>
      <c r="Q1296" s="13">
        <v>48100</v>
      </c>
      <c r="R1296" t="s">
        <v>141</v>
      </c>
      <c r="S1296" t="s">
        <v>76</v>
      </c>
      <c r="T1296" s="5">
        <v>8420</v>
      </c>
      <c r="U1296" s="6">
        <v>5</v>
      </c>
      <c r="V1296" t="s">
        <v>77</v>
      </c>
      <c r="W1296" s="4">
        <v>46105</v>
      </c>
      <c r="X1296" t="s">
        <v>77</v>
      </c>
      <c r="Y1296" t="s">
        <v>64</v>
      </c>
      <c r="Z1296" t="s">
        <v>78</v>
      </c>
      <c r="AA1296" t="str">
        <f>VLOOKUP(H1296,Departments!$A:$B,2,0)</f>
        <v>Obstetrics</v>
      </c>
      <c r="AB1296" t="str">
        <f>VLOOKUP(J1296,Diagnosis_Guide!$A:$B,2,0)</f>
        <v>Antenatal Complication</v>
      </c>
      <c r="AC1296" s="4" t="str">
        <f>VLOOKUP(J1296,Diagnosis_Guide!$A:$C,3,0)</f>
        <v>Maternal Health</v>
      </c>
      <c r="AD1296" s="4" t="str">
        <f>VLOOKUP(R1296,Insurance_Plans!$A:$C,3,0)</f>
        <v>Private</v>
      </c>
      <c r="AE1296" s="13">
        <f t="shared" si="60"/>
        <v>2405</v>
      </c>
      <c r="AF1296" s="13">
        <f t="shared" si="61"/>
        <v>50505</v>
      </c>
      <c r="AG1296" s="4" t="str">
        <f t="shared" si="62"/>
        <v>High</v>
      </c>
    </row>
    <row r="1297" spans="1:33">
      <c r="A1297" t="s">
        <v>2054</v>
      </c>
      <c r="B1297" t="s">
        <v>1540</v>
      </c>
      <c r="C1297" s="11">
        <v>46081</v>
      </c>
      <c r="D1297" t="s">
        <v>183</v>
      </c>
      <c r="E1297" t="s">
        <v>70</v>
      </c>
      <c r="F1297" s="4">
        <v>46081</v>
      </c>
      <c r="G1297" s="4">
        <v>46090</v>
      </c>
      <c r="H1297" t="s">
        <v>178</v>
      </c>
      <c r="I1297" t="s">
        <v>339</v>
      </c>
      <c r="J1297" t="s">
        <v>180</v>
      </c>
      <c r="K1297" t="s">
        <v>93</v>
      </c>
      <c r="L1297" t="s">
        <v>61</v>
      </c>
      <c r="M1297" s="5">
        <v>67500</v>
      </c>
      <c r="N1297" s="5">
        <v>5900</v>
      </c>
      <c r="O1297" s="5">
        <v>11650</v>
      </c>
      <c r="P1297" s="5">
        <v>22500</v>
      </c>
      <c r="Q1297" s="13">
        <v>108350</v>
      </c>
      <c r="R1297" t="s">
        <v>95</v>
      </c>
      <c r="S1297" t="s">
        <v>63</v>
      </c>
      <c r="T1297" s="5">
        <v>108350</v>
      </c>
      <c r="U1297" s="6">
        <v>2</v>
      </c>
      <c r="V1297" t="s">
        <v>77</v>
      </c>
      <c r="W1297" s="4">
        <v>46101</v>
      </c>
      <c r="X1297" t="s">
        <v>64</v>
      </c>
      <c r="Y1297" t="s">
        <v>64</v>
      </c>
      <c r="Z1297" t="s">
        <v>96</v>
      </c>
      <c r="AA1297" t="str">
        <f>VLOOKUP(H1297,Departments!$A:$B,2,0)</f>
        <v>Surgery</v>
      </c>
      <c r="AB1297" t="str">
        <f>VLOOKUP(J1297,Diagnosis_Guide!$A:$B,2,0)</f>
        <v>Appendicitis Surgery</v>
      </c>
      <c r="AC1297" s="4" t="str">
        <f>VLOOKUP(J1297,Diagnosis_Guide!$A:$C,3,0)</f>
        <v>Surgical</v>
      </c>
      <c r="AD1297" s="4" t="str">
        <f>VLOOKUP(R1297,Insurance_Plans!$A:$C,3,0)</f>
        <v>Self-Pay</v>
      </c>
      <c r="AE1297" s="13">
        <f t="shared" si="60"/>
        <v>5417.5</v>
      </c>
      <c r="AF1297" s="13">
        <f t="shared" si="61"/>
        <v>113767.5</v>
      </c>
      <c r="AG1297" s="4" t="str">
        <f t="shared" si="62"/>
        <v>Low</v>
      </c>
    </row>
    <row r="1298" spans="1:33">
      <c r="A1298" t="s">
        <v>2055</v>
      </c>
      <c r="B1298" t="s">
        <v>455</v>
      </c>
      <c r="C1298" s="11">
        <v>46045</v>
      </c>
      <c r="D1298" t="s">
        <v>250</v>
      </c>
      <c r="E1298" t="s">
        <v>70</v>
      </c>
      <c r="F1298" s="4">
        <v>46045</v>
      </c>
      <c r="G1298" s="4">
        <v>46045</v>
      </c>
      <c r="H1298" t="s">
        <v>150</v>
      </c>
      <c r="I1298" t="s">
        <v>247</v>
      </c>
      <c r="J1298" t="s">
        <v>229</v>
      </c>
      <c r="K1298" t="s">
        <v>60</v>
      </c>
      <c r="L1298" t="s">
        <v>61</v>
      </c>
      <c r="M1298" s="5">
        <v>36000</v>
      </c>
      <c r="N1298" s="5">
        <v>4700</v>
      </c>
      <c r="O1298" s="5">
        <v>8600</v>
      </c>
      <c r="P1298" s="5">
        <v>0</v>
      </c>
      <c r="Q1298" s="13">
        <v>50300</v>
      </c>
      <c r="R1298" t="s">
        <v>95</v>
      </c>
      <c r="S1298" t="s">
        <v>63</v>
      </c>
      <c r="T1298" s="5">
        <v>50300</v>
      </c>
      <c r="U1298" s="6">
        <v>5</v>
      </c>
      <c r="V1298" t="s">
        <v>64</v>
      </c>
      <c r="W1298" s="4"/>
      <c r="X1298" t="s">
        <v>65</v>
      </c>
      <c r="Y1298" t="s">
        <v>64</v>
      </c>
      <c r="Z1298" t="s">
        <v>107</v>
      </c>
      <c r="AA1298" t="str">
        <f>VLOOKUP(H1298,Departments!$A:$B,2,0)</f>
        <v>Obstetrics</v>
      </c>
      <c r="AB1298" t="str">
        <f>VLOOKUP(J1298,Diagnosis_Guide!$A:$B,2,0)</f>
        <v>Delivery Care</v>
      </c>
      <c r="AC1298" s="4" t="str">
        <f>VLOOKUP(J1298,Diagnosis_Guide!$A:$C,3,0)</f>
        <v>Maternal Health</v>
      </c>
      <c r="AD1298" s="4" t="str">
        <f>VLOOKUP(R1298,Insurance_Plans!$A:$C,3,0)</f>
        <v>Self-Pay</v>
      </c>
      <c r="AE1298" s="13">
        <f t="shared" si="60"/>
        <v>2515</v>
      </c>
      <c r="AF1298" s="13">
        <f t="shared" si="61"/>
        <v>52815</v>
      </c>
      <c r="AG1298" s="4" t="str">
        <f t="shared" si="62"/>
        <v>High</v>
      </c>
    </row>
    <row r="1299" spans="1:33">
      <c r="A1299" t="s">
        <v>2056</v>
      </c>
      <c r="B1299" t="s">
        <v>615</v>
      </c>
      <c r="C1299" s="11">
        <v>46156</v>
      </c>
      <c r="D1299" t="s">
        <v>419</v>
      </c>
      <c r="E1299" t="s">
        <v>70</v>
      </c>
      <c r="F1299" s="4">
        <v>46157</v>
      </c>
      <c r="G1299" s="4">
        <v>46160</v>
      </c>
      <c r="H1299" t="s">
        <v>178</v>
      </c>
      <c r="I1299" t="s">
        <v>622</v>
      </c>
      <c r="J1299" t="s">
        <v>358</v>
      </c>
      <c r="K1299" t="s">
        <v>93</v>
      </c>
      <c r="L1299" t="s">
        <v>74</v>
      </c>
      <c r="M1299" s="5">
        <v>45900</v>
      </c>
      <c r="N1299" s="5">
        <v>6250</v>
      </c>
      <c r="O1299" s="5">
        <v>8600</v>
      </c>
      <c r="P1299" s="5">
        <v>10500</v>
      </c>
      <c r="Q1299" s="13">
        <v>72750</v>
      </c>
      <c r="R1299" t="s">
        <v>134</v>
      </c>
      <c r="S1299" t="s">
        <v>76</v>
      </c>
      <c r="T1299" s="5">
        <v>40210</v>
      </c>
      <c r="U1299" s="6">
        <v>5</v>
      </c>
      <c r="V1299" t="s">
        <v>64</v>
      </c>
      <c r="W1299" s="4"/>
      <c r="X1299" t="s">
        <v>65</v>
      </c>
      <c r="Y1299" t="s">
        <v>64</v>
      </c>
      <c r="Z1299" t="s">
        <v>78</v>
      </c>
      <c r="AA1299" t="str">
        <f>VLOOKUP(H1299,Departments!$A:$B,2,0)</f>
        <v>Surgery</v>
      </c>
      <c r="AB1299" t="str">
        <f>VLOOKUP(J1299,Diagnosis_Guide!$A:$B,2,0)</f>
        <v>Gallbladder Surgery</v>
      </c>
      <c r="AC1299" s="4" t="str">
        <f>VLOOKUP(J1299,Diagnosis_Guide!$A:$C,3,0)</f>
        <v>Surgical</v>
      </c>
      <c r="AD1299" s="4" t="str">
        <f>VLOOKUP(R1299,Insurance_Plans!$A:$C,3,0)</f>
        <v>Community</v>
      </c>
      <c r="AE1299" s="13">
        <f t="shared" si="60"/>
        <v>3637.5</v>
      </c>
      <c r="AF1299" s="13">
        <f t="shared" si="61"/>
        <v>76387.5</v>
      </c>
      <c r="AG1299" s="4" t="str">
        <f t="shared" si="62"/>
        <v>High</v>
      </c>
    </row>
    <row r="1300" spans="1:33">
      <c r="A1300" t="s">
        <v>2057</v>
      </c>
      <c r="B1300" t="s">
        <v>1556</v>
      </c>
      <c r="C1300" s="11">
        <v>46079</v>
      </c>
      <c r="D1300" t="s">
        <v>210</v>
      </c>
      <c r="E1300" t="s">
        <v>70</v>
      </c>
      <c r="F1300" s="4">
        <v>46079</v>
      </c>
      <c r="G1300" s="4">
        <v>46079</v>
      </c>
      <c r="H1300" t="s">
        <v>121</v>
      </c>
      <c r="I1300" t="s">
        <v>386</v>
      </c>
      <c r="J1300" t="s">
        <v>252</v>
      </c>
      <c r="K1300" t="s">
        <v>60</v>
      </c>
      <c r="L1300" t="s">
        <v>61</v>
      </c>
      <c r="M1300" s="5">
        <v>58200</v>
      </c>
      <c r="N1300" s="5">
        <v>8200</v>
      </c>
      <c r="O1300" s="5">
        <v>6400</v>
      </c>
      <c r="P1300" s="5">
        <v>0</v>
      </c>
      <c r="Q1300" s="13">
        <v>75300</v>
      </c>
      <c r="R1300" t="s">
        <v>75</v>
      </c>
      <c r="S1300" t="s">
        <v>163</v>
      </c>
      <c r="T1300" s="5">
        <v>34180</v>
      </c>
      <c r="U1300" s="6">
        <v>4</v>
      </c>
      <c r="V1300" t="s">
        <v>77</v>
      </c>
      <c r="W1300" s="4">
        <v>46092</v>
      </c>
      <c r="X1300" t="s">
        <v>64</v>
      </c>
      <c r="Y1300" t="s">
        <v>64</v>
      </c>
      <c r="Z1300" t="s">
        <v>107</v>
      </c>
      <c r="AA1300" t="str">
        <f>VLOOKUP(H1300,Departments!$A:$B,2,0)</f>
        <v>Neurology</v>
      </c>
      <c r="AB1300" t="str">
        <f>VLOOKUP(J1300,Diagnosis_Guide!$A:$B,2,0)</f>
        <v>Stroke Assessment</v>
      </c>
      <c r="AC1300" s="4" t="str">
        <f>VLOOKUP(J1300,Diagnosis_Guide!$A:$C,3,0)</f>
        <v>Neurological</v>
      </c>
      <c r="AD1300" s="4" t="str">
        <f>VLOOKUP(R1300,Insurance_Plans!$A:$C,3,0)</f>
        <v>Public</v>
      </c>
      <c r="AE1300" s="13">
        <f t="shared" si="60"/>
        <v>3765</v>
      </c>
      <c r="AF1300" s="13">
        <f t="shared" si="61"/>
        <v>79065</v>
      </c>
      <c r="AG1300" s="4" t="str">
        <f t="shared" si="62"/>
        <v>High</v>
      </c>
    </row>
    <row r="1301" spans="1:33">
      <c r="A1301" t="s">
        <v>2058</v>
      </c>
      <c r="B1301" t="s">
        <v>1291</v>
      </c>
      <c r="C1301" s="11">
        <v>46127</v>
      </c>
      <c r="D1301" t="s">
        <v>69</v>
      </c>
      <c r="E1301" t="s">
        <v>70</v>
      </c>
      <c r="F1301" s="4">
        <v>46127</v>
      </c>
      <c r="G1301" s="4">
        <v>46129</v>
      </c>
      <c r="H1301" t="s">
        <v>138</v>
      </c>
      <c r="I1301" t="s">
        <v>444</v>
      </c>
      <c r="J1301" t="s">
        <v>140</v>
      </c>
      <c r="K1301" t="s">
        <v>93</v>
      </c>
      <c r="L1301" t="s">
        <v>61</v>
      </c>
      <c r="M1301" s="5">
        <v>16600</v>
      </c>
      <c r="N1301" s="5">
        <v>1950</v>
      </c>
      <c r="O1301" s="5">
        <v>3850</v>
      </c>
      <c r="P1301" s="5">
        <v>6000</v>
      </c>
      <c r="Q1301" s="13">
        <v>29900</v>
      </c>
      <c r="R1301" t="s">
        <v>75</v>
      </c>
      <c r="S1301" t="s">
        <v>76</v>
      </c>
      <c r="T1301" s="5">
        <v>13750</v>
      </c>
      <c r="U1301" s="6">
        <v>4</v>
      </c>
      <c r="V1301" t="s">
        <v>64</v>
      </c>
      <c r="W1301" s="4"/>
      <c r="X1301" t="s">
        <v>65</v>
      </c>
      <c r="Y1301" t="s">
        <v>64</v>
      </c>
      <c r="Z1301" t="s">
        <v>96</v>
      </c>
      <c r="AA1301" t="str">
        <f>VLOOKUP(H1301,Departments!$A:$B,2,0)</f>
        <v>Pediatrics</v>
      </c>
      <c r="AB1301" t="str">
        <f>VLOOKUP(J1301,Diagnosis_Guide!$A:$B,2,0)</f>
        <v>Pediatric Asthma</v>
      </c>
      <c r="AC1301" s="4" t="str">
        <f>VLOOKUP(J1301,Diagnosis_Guide!$A:$C,3,0)</f>
        <v>Pediatric</v>
      </c>
      <c r="AD1301" s="4" t="str">
        <f>VLOOKUP(R1301,Insurance_Plans!$A:$C,3,0)</f>
        <v>Public</v>
      </c>
      <c r="AE1301" s="13">
        <f t="shared" si="60"/>
        <v>1495</v>
      </c>
      <c r="AF1301" s="13">
        <f t="shared" si="61"/>
        <v>31395</v>
      </c>
      <c r="AG1301" s="4" t="str">
        <f t="shared" si="62"/>
        <v>High</v>
      </c>
    </row>
    <row r="1302" spans="1:33">
      <c r="A1302" t="s">
        <v>2059</v>
      </c>
      <c r="B1302" t="s">
        <v>504</v>
      </c>
      <c r="C1302" s="11">
        <v>46075</v>
      </c>
      <c r="D1302" t="s">
        <v>81</v>
      </c>
      <c r="E1302" t="s">
        <v>70</v>
      </c>
      <c r="F1302" s="4">
        <v>46076</v>
      </c>
      <c r="G1302" s="4">
        <v>46077</v>
      </c>
      <c r="H1302" t="s">
        <v>121</v>
      </c>
      <c r="I1302" t="s">
        <v>174</v>
      </c>
      <c r="J1302" t="s">
        <v>256</v>
      </c>
      <c r="K1302" t="s">
        <v>73</v>
      </c>
      <c r="L1302" t="s">
        <v>74</v>
      </c>
      <c r="M1302" s="5">
        <v>22800</v>
      </c>
      <c r="N1302" s="5">
        <v>3300</v>
      </c>
      <c r="O1302" s="5">
        <v>5150</v>
      </c>
      <c r="P1302" s="5">
        <v>3500</v>
      </c>
      <c r="Q1302" s="13">
        <v>36550</v>
      </c>
      <c r="R1302" t="s">
        <v>85</v>
      </c>
      <c r="S1302" t="s">
        <v>76</v>
      </c>
      <c r="T1302" s="5">
        <v>10040</v>
      </c>
      <c r="U1302" s="6">
        <v>4</v>
      </c>
      <c r="V1302" t="s">
        <v>64</v>
      </c>
      <c r="W1302" s="4"/>
      <c r="X1302" t="s">
        <v>65</v>
      </c>
      <c r="Y1302" t="s">
        <v>64</v>
      </c>
      <c r="Z1302" t="s">
        <v>96</v>
      </c>
      <c r="AA1302" t="str">
        <f>VLOOKUP(H1302,Departments!$A:$B,2,0)</f>
        <v>Neurology</v>
      </c>
      <c r="AB1302" t="str">
        <f>VLOOKUP(J1302,Diagnosis_Guide!$A:$B,2,0)</f>
        <v>Migraine Complication</v>
      </c>
      <c r="AC1302" s="4" t="str">
        <f>VLOOKUP(J1302,Diagnosis_Guide!$A:$C,3,0)</f>
        <v>Neurological</v>
      </c>
      <c r="AD1302" s="4" t="str">
        <f>VLOOKUP(R1302,Insurance_Plans!$A:$C,3,0)</f>
        <v>Employer</v>
      </c>
      <c r="AE1302" s="13">
        <f t="shared" si="60"/>
        <v>1827.5</v>
      </c>
      <c r="AF1302" s="13">
        <f t="shared" si="61"/>
        <v>38377.5</v>
      </c>
      <c r="AG1302" s="4" t="str">
        <f t="shared" si="62"/>
        <v>High</v>
      </c>
    </row>
    <row r="1303" spans="1:33">
      <c r="A1303" t="s">
        <v>2060</v>
      </c>
      <c r="B1303" t="s">
        <v>231</v>
      </c>
      <c r="C1303" s="11">
        <v>46123</v>
      </c>
      <c r="D1303" t="s">
        <v>144</v>
      </c>
      <c r="E1303" t="s">
        <v>70</v>
      </c>
      <c r="F1303" s="4">
        <v>46123</v>
      </c>
      <c r="G1303" s="4">
        <v>46126</v>
      </c>
      <c r="H1303" t="s">
        <v>111</v>
      </c>
      <c r="I1303" t="s">
        <v>355</v>
      </c>
      <c r="J1303" t="s">
        <v>117</v>
      </c>
      <c r="K1303" t="s">
        <v>73</v>
      </c>
      <c r="L1303" t="s">
        <v>74</v>
      </c>
      <c r="M1303" s="5">
        <v>4400</v>
      </c>
      <c r="N1303" s="5">
        <v>800</v>
      </c>
      <c r="O1303" s="5">
        <v>450</v>
      </c>
      <c r="P1303" s="5">
        <v>9000</v>
      </c>
      <c r="Q1303" s="13">
        <v>16150</v>
      </c>
      <c r="R1303" t="s">
        <v>141</v>
      </c>
      <c r="S1303" t="s">
        <v>76</v>
      </c>
      <c r="T1303" s="5">
        <v>3620</v>
      </c>
      <c r="U1303" s="6">
        <v>5</v>
      </c>
      <c r="V1303" t="s">
        <v>64</v>
      </c>
      <c r="W1303" s="4"/>
      <c r="X1303" t="s">
        <v>65</v>
      </c>
      <c r="Y1303" t="s">
        <v>64</v>
      </c>
      <c r="Z1303" t="s">
        <v>78</v>
      </c>
      <c r="AA1303" t="str">
        <f>VLOOKUP(H1303,Departments!$A:$B,2,0)</f>
        <v>General Medicine</v>
      </c>
      <c r="AB1303" t="str">
        <f>VLOOKUP(J1303,Diagnosis_Guide!$A:$B,2,0)</f>
        <v>Fever Investigation</v>
      </c>
      <c r="AC1303" s="4" t="str">
        <f>VLOOKUP(J1303,Diagnosis_Guide!$A:$C,3,0)</f>
        <v>Infectious/General</v>
      </c>
      <c r="AD1303" s="4" t="str">
        <f>VLOOKUP(R1303,Insurance_Plans!$A:$C,3,0)</f>
        <v>Private</v>
      </c>
      <c r="AE1303" s="13">
        <f t="shared" si="60"/>
        <v>807.5</v>
      </c>
      <c r="AF1303" s="13">
        <f t="shared" si="61"/>
        <v>16957.5</v>
      </c>
      <c r="AG1303" s="4" t="str">
        <f t="shared" si="62"/>
        <v>High</v>
      </c>
    </row>
    <row r="1304" spans="1:33">
      <c r="A1304" t="s">
        <v>2061</v>
      </c>
      <c r="B1304" t="s">
        <v>1360</v>
      </c>
      <c r="C1304" s="11">
        <v>46081</v>
      </c>
      <c r="D1304" t="s">
        <v>89</v>
      </c>
      <c r="E1304" t="s">
        <v>70</v>
      </c>
      <c r="F1304" s="4">
        <v>46081</v>
      </c>
      <c r="G1304" s="4">
        <v>46082</v>
      </c>
      <c r="H1304" t="s">
        <v>121</v>
      </c>
      <c r="I1304" t="s">
        <v>122</v>
      </c>
      <c r="J1304" t="s">
        <v>256</v>
      </c>
      <c r="K1304" t="s">
        <v>73</v>
      </c>
      <c r="L1304" t="s">
        <v>94</v>
      </c>
      <c r="M1304" s="5">
        <v>12000</v>
      </c>
      <c r="N1304" s="5">
        <v>1250</v>
      </c>
      <c r="O1304" s="5">
        <v>2950</v>
      </c>
      <c r="P1304" s="5">
        <v>2500</v>
      </c>
      <c r="Q1304" s="13">
        <v>19700</v>
      </c>
      <c r="R1304" t="s">
        <v>95</v>
      </c>
      <c r="S1304" t="s">
        <v>63</v>
      </c>
      <c r="T1304" s="5">
        <v>19700</v>
      </c>
      <c r="U1304" s="6">
        <v>5</v>
      </c>
      <c r="V1304" t="s">
        <v>64</v>
      </c>
      <c r="W1304" s="4"/>
      <c r="X1304" t="s">
        <v>65</v>
      </c>
      <c r="Y1304" t="s">
        <v>64</v>
      </c>
      <c r="Z1304" t="s">
        <v>78</v>
      </c>
      <c r="AA1304" t="str">
        <f>VLOOKUP(H1304,Departments!$A:$B,2,0)</f>
        <v>Neurology</v>
      </c>
      <c r="AB1304" t="str">
        <f>VLOOKUP(J1304,Diagnosis_Guide!$A:$B,2,0)</f>
        <v>Migraine Complication</v>
      </c>
      <c r="AC1304" s="4" t="str">
        <f>VLOOKUP(J1304,Diagnosis_Guide!$A:$C,3,0)</f>
        <v>Neurological</v>
      </c>
      <c r="AD1304" s="4" t="str">
        <f>VLOOKUP(R1304,Insurance_Plans!$A:$C,3,0)</f>
        <v>Self-Pay</v>
      </c>
      <c r="AE1304" s="13">
        <f t="shared" si="60"/>
        <v>985</v>
      </c>
      <c r="AF1304" s="13">
        <f t="shared" si="61"/>
        <v>20685</v>
      </c>
      <c r="AG1304" s="4" t="str">
        <f t="shared" si="62"/>
        <v>High</v>
      </c>
    </row>
    <row r="1305" spans="1:33">
      <c r="A1305" t="s">
        <v>2062</v>
      </c>
      <c r="B1305" t="s">
        <v>843</v>
      </c>
      <c r="C1305" s="11">
        <v>46039</v>
      </c>
      <c r="D1305" t="s">
        <v>81</v>
      </c>
      <c r="E1305" t="s">
        <v>70</v>
      </c>
      <c r="F1305" s="4">
        <v>46040</v>
      </c>
      <c r="G1305" s="4">
        <v>46041</v>
      </c>
      <c r="H1305" t="s">
        <v>82</v>
      </c>
      <c r="I1305" t="s">
        <v>272</v>
      </c>
      <c r="J1305" t="s">
        <v>291</v>
      </c>
      <c r="K1305" t="s">
        <v>60</v>
      </c>
      <c r="L1305" t="s">
        <v>94</v>
      </c>
      <c r="M1305" s="5">
        <v>29700</v>
      </c>
      <c r="N1305" s="5">
        <v>3550</v>
      </c>
      <c r="O1305" s="5">
        <v>4700</v>
      </c>
      <c r="P1305" s="5">
        <v>3000</v>
      </c>
      <c r="Q1305" s="13">
        <v>42750</v>
      </c>
      <c r="R1305" t="s">
        <v>106</v>
      </c>
      <c r="S1305" t="s">
        <v>76</v>
      </c>
      <c r="T1305" s="5">
        <v>15660</v>
      </c>
      <c r="U1305" s="6">
        <v>5</v>
      </c>
      <c r="V1305" t="s">
        <v>64</v>
      </c>
      <c r="W1305" s="4"/>
      <c r="X1305" t="s">
        <v>65</v>
      </c>
      <c r="Y1305" t="s">
        <v>64</v>
      </c>
      <c r="Z1305" t="s">
        <v>96</v>
      </c>
      <c r="AA1305" t="str">
        <f>VLOOKUP(H1305,Departments!$A:$B,2,0)</f>
        <v>Orthopedics</v>
      </c>
      <c r="AB1305" t="str">
        <f>VLOOKUP(J1305,Diagnosis_Guide!$A:$B,2,0)</f>
        <v>Fracture Repair</v>
      </c>
      <c r="AC1305" s="4" t="str">
        <f>VLOOKUP(J1305,Diagnosis_Guide!$A:$C,3,0)</f>
        <v>Musculoskeletal</v>
      </c>
      <c r="AD1305" s="4" t="str">
        <f>VLOOKUP(R1305,Insurance_Plans!$A:$C,3,0)</f>
        <v>Private</v>
      </c>
      <c r="AE1305" s="13">
        <f t="shared" si="60"/>
        <v>2137.5</v>
      </c>
      <c r="AF1305" s="13">
        <f t="shared" si="61"/>
        <v>44887.5</v>
      </c>
      <c r="AG1305" s="4" t="str">
        <f t="shared" si="62"/>
        <v>High</v>
      </c>
    </row>
    <row r="1306" spans="1:33">
      <c r="A1306" t="s">
        <v>2063</v>
      </c>
      <c r="B1306" t="s">
        <v>448</v>
      </c>
      <c r="C1306" s="11">
        <v>46074</v>
      </c>
      <c r="D1306" t="s">
        <v>132</v>
      </c>
      <c r="E1306" t="s">
        <v>70</v>
      </c>
      <c r="F1306" s="4">
        <v>46074</v>
      </c>
      <c r="G1306" s="4">
        <v>46077</v>
      </c>
      <c r="H1306" t="s">
        <v>111</v>
      </c>
      <c r="I1306" t="s">
        <v>112</v>
      </c>
      <c r="J1306" t="s">
        <v>113</v>
      </c>
      <c r="K1306" t="s">
        <v>73</v>
      </c>
      <c r="L1306" t="s">
        <v>94</v>
      </c>
      <c r="M1306" s="5">
        <v>25700</v>
      </c>
      <c r="N1306" s="5">
        <v>3300</v>
      </c>
      <c r="O1306" s="5">
        <v>3400</v>
      </c>
      <c r="P1306" s="5">
        <v>9000</v>
      </c>
      <c r="Q1306" s="13">
        <v>42200</v>
      </c>
      <c r="R1306" t="s">
        <v>85</v>
      </c>
      <c r="S1306" t="s">
        <v>76</v>
      </c>
      <c r="T1306" s="5">
        <v>11450</v>
      </c>
      <c r="U1306" s="6">
        <v>4</v>
      </c>
      <c r="V1306" t="s">
        <v>77</v>
      </c>
      <c r="W1306" s="4">
        <v>46095</v>
      </c>
      <c r="X1306" t="s">
        <v>77</v>
      </c>
      <c r="Y1306" t="s">
        <v>64</v>
      </c>
      <c r="Z1306" t="s">
        <v>96</v>
      </c>
      <c r="AA1306" t="str">
        <f>VLOOKUP(H1306,Departments!$A:$B,2,0)</f>
        <v>General Medicine</v>
      </c>
      <c r="AB1306" t="str">
        <f>VLOOKUP(J1306,Diagnosis_Guide!$A:$B,2,0)</f>
        <v>Diabetes Complication</v>
      </c>
      <c r="AC1306" s="4" t="str">
        <f>VLOOKUP(J1306,Diagnosis_Guide!$A:$C,3,0)</f>
        <v>Endocrine/General</v>
      </c>
      <c r="AD1306" s="4" t="str">
        <f>VLOOKUP(R1306,Insurance_Plans!$A:$C,3,0)</f>
        <v>Employer</v>
      </c>
      <c r="AE1306" s="13">
        <f t="shared" si="60"/>
        <v>2110</v>
      </c>
      <c r="AF1306" s="13">
        <f t="shared" si="61"/>
        <v>44310</v>
      </c>
      <c r="AG1306" s="4" t="str">
        <f t="shared" si="62"/>
        <v>High</v>
      </c>
    </row>
    <row r="1307" spans="1:33">
      <c r="A1307" t="s">
        <v>2064</v>
      </c>
      <c r="B1307" t="s">
        <v>1100</v>
      </c>
      <c r="C1307" s="11">
        <v>46086</v>
      </c>
      <c r="D1307" t="s">
        <v>120</v>
      </c>
      <c r="E1307" t="s">
        <v>70</v>
      </c>
      <c r="F1307" s="4">
        <v>46086</v>
      </c>
      <c r="G1307" s="4">
        <v>46089</v>
      </c>
      <c r="H1307" t="s">
        <v>57</v>
      </c>
      <c r="I1307" t="s">
        <v>169</v>
      </c>
      <c r="J1307" t="s">
        <v>72</v>
      </c>
      <c r="K1307" t="s">
        <v>73</v>
      </c>
      <c r="L1307" t="s">
        <v>61</v>
      </c>
      <c r="M1307" s="5"/>
      <c r="N1307" s="5">
        <v>900</v>
      </c>
      <c r="O1307" s="5">
        <v>2100</v>
      </c>
      <c r="P1307" s="5">
        <v>18000</v>
      </c>
      <c r="Q1307" s="13">
        <v>31100</v>
      </c>
      <c r="R1307" t="s">
        <v>106</v>
      </c>
      <c r="S1307" t="s">
        <v>76</v>
      </c>
      <c r="T1307" s="5">
        <v>11580</v>
      </c>
      <c r="U1307" s="6">
        <v>5</v>
      </c>
      <c r="V1307" t="s">
        <v>77</v>
      </c>
      <c r="W1307" s="4">
        <v>46101</v>
      </c>
      <c r="X1307" t="s">
        <v>77</v>
      </c>
      <c r="Y1307" t="s">
        <v>64</v>
      </c>
      <c r="Z1307" t="s">
        <v>78</v>
      </c>
      <c r="AA1307" t="str">
        <f>VLOOKUP(H1307,Departments!$A:$B,2,0)</f>
        <v>Pulmonology</v>
      </c>
      <c r="AB1307" t="str">
        <f>VLOOKUP(J1307,Diagnosis_Guide!$A:$B,2,0)</f>
        <v>Acute Bronchitis</v>
      </c>
      <c r="AC1307" s="4" t="str">
        <f>VLOOKUP(J1307,Diagnosis_Guide!$A:$C,3,0)</f>
        <v>Respiratory</v>
      </c>
      <c r="AD1307" s="4" t="str">
        <f>VLOOKUP(R1307,Insurance_Plans!$A:$C,3,0)</f>
        <v>Private</v>
      </c>
      <c r="AE1307" s="13">
        <f t="shared" si="60"/>
        <v>1555</v>
      </c>
      <c r="AF1307" s="13">
        <f t="shared" si="61"/>
        <v>32655</v>
      </c>
      <c r="AG1307" s="4" t="str">
        <f t="shared" si="62"/>
        <v>High</v>
      </c>
    </row>
    <row r="1308" spans="1:33">
      <c r="A1308" t="s">
        <v>2065</v>
      </c>
      <c r="B1308" t="s">
        <v>986</v>
      </c>
      <c r="C1308" s="11">
        <v>46142</v>
      </c>
      <c r="D1308" t="s">
        <v>266</v>
      </c>
      <c r="E1308" t="s">
        <v>70</v>
      </c>
      <c r="F1308" s="4">
        <v>46142</v>
      </c>
      <c r="G1308" s="4">
        <v>46147</v>
      </c>
      <c r="H1308" t="s">
        <v>90</v>
      </c>
      <c r="I1308" t="s">
        <v>133</v>
      </c>
      <c r="J1308" t="s">
        <v>129</v>
      </c>
      <c r="K1308" t="s">
        <v>73</v>
      </c>
      <c r="L1308" t="s">
        <v>61</v>
      </c>
      <c r="M1308" s="5">
        <v>33200</v>
      </c>
      <c r="N1308" s="5">
        <v>4050</v>
      </c>
      <c r="O1308" s="5">
        <v>5050</v>
      </c>
      <c r="P1308" s="5">
        <v>30000</v>
      </c>
      <c r="Q1308" s="13">
        <v>74300</v>
      </c>
      <c r="R1308" t="s">
        <v>62</v>
      </c>
      <c r="S1308" t="s">
        <v>76</v>
      </c>
      <c r="T1308" s="5">
        <v>22690</v>
      </c>
      <c r="U1308" s="6">
        <v>3</v>
      </c>
      <c r="V1308" t="s">
        <v>77</v>
      </c>
      <c r="W1308" s="4">
        <v>46166</v>
      </c>
      <c r="X1308" t="s">
        <v>64</v>
      </c>
      <c r="Y1308" t="s">
        <v>77</v>
      </c>
      <c r="Z1308" t="s">
        <v>78</v>
      </c>
      <c r="AA1308" t="str">
        <f>VLOOKUP(H1308,Departments!$A:$B,2,0)</f>
        <v>Cardiology</v>
      </c>
      <c r="AB1308" t="str">
        <f>VLOOKUP(J1308,Diagnosis_Guide!$A:$B,2,0)</f>
        <v>Hypertension Crisis</v>
      </c>
      <c r="AC1308" s="4" t="str">
        <f>VLOOKUP(J1308,Diagnosis_Guide!$A:$C,3,0)</f>
        <v>Cardiovascular</v>
      </c>
      <c r="AD1308" s="4" t="str">
        <f>VLOOKUP(R1308,Insurance_Plans!$A:$C,3,0)</f>
        <v>Public</v>
      </c>
      <c r="AE1308" s="13">
        <f t="shared" si="60"/>
        <v>3715</v>
      </c>
      <c r="AF1308" s="13">
        <f t="shared" si="61"/>
        <v>78015</v>
      </c>
      <c r="AG1308" s="4" t="str">
        <f t="shared" si="62"/>
        <v>Medium</v>
      </c>
    </row>
    <row r="1309" spans="1:33">
      <c r="A1309" t="s">
        <v>2066</v>
      </c>
      <c r="B1309" t="s">
        <v>199</v>
      </c>
      <c r="C1309" s="11">
        <v>46090</v>
      </c>
      <c r="D1309" t="s">
        <v>144</v>
      </c>
      <c r="E1309" t="s">
        <v>70</v>
      </c>
      <c r="F1309" s="4">
        <v>46090</v>
      </c>
      <c r="G1309" s="4">
        <v>46093</v>
      </c>
      <c r="H1309" t="s">
        <v>103</v>
      </c>
      <c r="I1309" t="s">
        <v>243</v>
      </c>
      <c r="J1309" t="s">
        <v>244</v>
      </c>
      <c r="K1309" t="s">
        <v>124</v>
      </c>
      <c r="L1309" t="s">
        <v>94</v>
      </c>
      <c r="M1309" s="5">
        <v>80800</v>
      </c>
      <c r="N1309" s="5">
        <v>7100</v>
      </c>
      <c r="O1309" s="5">
        <v>18750</v>
      </c>
      <c r="P1309" s="5">
        <v>18000</v>
      </c>
      <c r="Q1309" s="13">
        <v>126450</v>
      </c>
      <c r="R1309" t="s">
        <v>141</v>
      </c>
      <c r="S1309" t="s">
        <v>76</v>
      </c>
      <c r="T1309" s="5">
        <v>20170</v>
      </c>
      <c r="U1309" s="6">
        <v>2</v>
      </c>
      <c r="V1309" t="s">
        <v>77</v>
      </c>
      <c r="W1309" s="4">
        <v>46100</v>
      </c>
      <c r="X1309" t="s">
        <v>64</v>
      </c>
      <c r="Y1309" t="s">
        <v>64</v>
      </c>
      <c r="Z1309" t="s">
        <v>78</v>
      </c>
      <c r="AA1309" t="str">
        <f>VLOOKUP(H1309,Departments!$A:$B,2,0)</f>
        <v>Nephrology</v>
      </c>
      <c r="AB1309" t="str">
        <f>VLOOKUP(J1309,Diagnosis_Guide!$A:$B,2,0)</f>
        <v>Chronic Kidney Disease</v>
      </c>
      <c r="AC1309" s="4" t="str">
        <f>VLOOKUP(J1309,Diagnosis_Guide!$A:$C,3,0)</f>
        <v>Renal</v>
      </c>
      <c r="AD1309" s="4" t="str">
        <f>VLOOKUP(R1309,Insurance_Plans!$A:$C,3,0)</f>
        <v>Private</v>
      </c>
      <c r="AE1309" s="13">
        <f t="shared" si="60"/>
        <v>6322.5</v>
      </c>
      <c r="AF1309" s="13">
        <f t="shared" si="61"/>
        <v>132772.5</v>
      </c>
      <c r="AG1309" s="4" t="str">
        <f t="shared" si="62"/>
        <v>Low</v>
      </c>
    </row>
    <row r="1310" spans="1:33">
      <c r="A1310" t="s">
        <v>2067</v>
      </c>
      <c r="B1310" t="s">
        <v>815</v>
      </c>
      <c r="C1310" s="11">
        <v>46071</v>
      </c>
      <c r="D1310" t="s">
        <v>298</v>
      </c>
      <c r="E1310" t="s">
        <v>70</v>
      </c>
      <c r="F1310" s="4">
        <v>46071</v>
      </c>
      <c r="G1310" s="4">
        <v>46075</v>
      </c>
      <c r="H1310" t="s">
        <v>150</v>
      </c>
      <c r="I1310" t="s">
        <v>239</v>
      </c>
      <c r="J1310" t="s">
        <v>229</v>
      </c>
      <c r="K1310" t="s">
        <v>73</v>
      </c>
      <c r="L1310" t="s">
        <v>94</v>
      </c>
      <c r="M1310" s="5">
        <v>46900</v>
      </c>
      <c r="N1310" s="5">
        <v>7300</v>
      </c>
      <c r="O1310" s="5">
        <v>10000</v>
      </c>
      <c r="P1310" s="5">
        <v>18000</v>
      </c>
      <c r="Q1310" s="13">
        <v>84000</v>
      </c>
      <c r="R1310" t="s">
        <v>95</v>
      </c>
      <c r="S1310" t="s">
        <v>63</v>
      </c>
      <c r="T1310" s="5">
        <v>84000</v>
      </c>
      <c r="U1310" s="6">
        <v>4</v>
      </c>
      <c r="V1310" t="s">
        <v>64</v>
      </c>
      <c r="W1310" s="4"/>
      <c r="X1310" t="s">
        <v>65</v>
      </c>
      <c r="Y1310" t="s">
        <v>64</v>
      </c>
      <c r="Z1310" t="s">
        <v>96</v>
      </c>
      <c r="AA1310" t="str">
        <f>VLOOKUP(H1310,Departments!$A:$B,2,0)</f>
        <v>Obstetrics</v>
      </c>
      <c r="AB1310" t="str">
        <f>VLOOKUP(J1310,Diagnosis_Guide!$A:$B,2,0)</f>
        <v>Delivery Care</v>
      </c>
      <c r="AC1310" s="4" t="str">
        <f>VLOOKUP(J1310,Diagnosis_Guide!$A:$C,3,0)</f>
        <v>Maternal Health</v>
      </c>
      <c r="AD1310" s="4" t="str">
        <f>VLOOKUP(R1310,Insurance_Plans!$A:$C,3,0)</f>
        <v>Self-Pay</v>
      </c>
      <c r="AE1310" s="13">
        <f t="shared" si="60"/>
        <v>4200</v>
      </c>
      <c r="AF1310" s="13">
        <f t="shared" si="61"/>
        <v>88200</v>
      </c>
      <c r="AG1310" s="4" t="str">
        <f t="shared" si="62"/>
        <v>High</v>
      </c>
    </row>
    <row r="1311" spans="1:33">
      <c r="A1311" t="s">
        <v>2068</v>
      </c>
      <c r="B1311" t="s">
        <v>978</v>
      </c>
      <c r="C1311" s="11">
        <v>46158</v>
      </c>
      <c r="D1311" t="s">
        <v>132</v>
      </c>
      <c r="E1311" t="s">
        <v>177</v>
      </c>
      <c r="F1311" s="4"/>
      <c r="G1311" s="4"/>
      <c r="H1311" t="s">
        <v>82</v>
      </c>
      <c r="I1311" t="s">
        <v>272</v>
      </c>
      <c r="J1311" t="s">
        <v>84</v>
      </c>
      <c r="K1311" t="s">
        <v>73</v>
      </c>
      <c r="L1311" t="s">
        <v>61</v>
      </c>
      <c r="M1311" s="5"/>
      <c r="N1311" s="5"/>
      <c r="O1311" s="5"/>
      <c r="P1311" s="5"/>
      <c r="R1311" t="s">
        <v>106</v>
      </c>
      <c r="S1311" t="s">
        <v>63</v>
      </c>
      <c r="T1311" s="5"/>
      <c r="U1311" s="6"/>
      <c r="V1311" t="s">
        <v>64</v>
      </c>
      <c r="W1311" s="4"/>
      <c r="X1311" t="s">
        <v>65</v>
      </c>
      <c r="Z1311" t="s">
        <v>66</v>
      </c>
      <c r="AA1311" t="str">
        <f>VLOOKUP(H1311,Departments!$A:$B,2,0)</f>
        <v>Orthopedics</v>
      </c>
      <c r="AB1311" t="str">
        <f>VLOOKUP(J1311,Diagnosis_Guide!$A:$B,2,0)</f>
        <v>Joint Pain</v>
      </c>
      <c r="AC1311" s="4" t="str">
        <f>VLOOKUP(J1311,Diagnosis_Guide!$A:$C,3,0)</f>
        <v>Musculoskeletal</v>
      </c>
      <c r="AD1311" s="4" t="str">
        <f>VLOOKUP(R1311,Insurance_Plans!$A:$C,3,0)</f>
        <v>Private</v>
      </c>
      <c r="AE1311" s="13" t="str">
        <f t="shared" si="60"/>
        <v/>
      </c>
      <c r="AF1311" s="13" t="str">
        <f t="shared" si="61"/>
        <v/>
      </c>
      <c r="AG1311" s="4" t="str">
        <f t="shared" si="62"/>
        <v>Not Available</v>
      </c>
    </row>
    <row r="1312" spans="1:33">
      <c r="A1312" t="s">
        <v>2069</v>
      </c>
      <c r="B1312" t="s">
        <v>1645</v>
      </c>
      <c r="C1312" s="11">
        <v>46077</v>
      </c>
      <c r="D1312" t="s">
        <v>419</v>
      </c>
      <c r="E1312" t="s">
        <v>177</v>
      </c>
      <c r="F1312" s="4"/>
      <c r="G1312" s="4"/>
      <c r="H1312" t="s">
        <v>201</v>
      </c>
      <c r="I1312" t="s">
        <v>449</v>
      </c>
      <c r="J1312" t="s">
        <v>203</v>
      </c>
      <c r="K1312" t="s">
        <v>73</v>
      </c>
      <c r="L1312" t="s">
        <v>94</v>
      </c>
      <c r="M1312" s="5"/>
      <c r="N1312" s="5"/>
      <c r="O1312" s="5"/>
      <c r="P1312" s="5"/>
      <c r="R1312" t="s">
        <v>85</v>
      </c>
      <c r="S1312" t="s">
        <v>63</v>
      </c>
      <c r="T1312" s="5"/>
      <c r="U1312" s="6"/>
      <c r="V1312" t="s">
        <v>64</v>
      </c>
      <c r="W1312" s="4"/>
      <c r="X1312" t="s">
        <v>65</v>
      </c>
      <c r="Z1312" t="s">
        <v>66</v>
      </c>
      <c r="AA1312" t="str">
        <f>VLOOKUP(H1312,Departments!$A:$B,2,0)</f>
        <v>Emergency</v>
      </c>
      <c r="AB1312" t="str">
        <f>VLOOKUP(J1312,Diagnosis_Guide!$A:$B,2,0)</f>
        <v>Trauma Observation</v>
      </c>
      <c r="AC1312" s="4" t="str">
        <f>VLOOKUP(J1312,Diagnosis_Guide!$A:$C,3,0)</f>
        <v>Emergency</v>
      </c>
      <c r="AD1312" s="4" t="str">
        <f>VLOOKUP(R1312,Insurance_Plans!$A:$C,3,0)</f>
        <v>Employer</v>
      </c>
      <c r="AE1312" s="13" t="str">
        <f t="shared" si="60"/>
        <v/>
      </c>
      <c r="AF1312" s="13" t="str">
        <f t="shared" si="61"/>
        <v/>
      </c>
      <c r="AG1312" s="4" t="str">
        <f t="shared" si="62"/>
        <v>Not Available</v>
      </c>
    </row>
    <row r="1313" spans="1:33">
      <c r="A1313" t="s">
        <v>2070</v>
      </c>
      <c r="B1313" t="s">
        <v>1123</v>
      </c>
      <c r="C1313" s="11">
        <v>46079</v>
      </c>
      <c r="D1313" t="s">
        <v>307</v>
      </c>
      <c r="E1313" t="s">
        <v>177</v>
      </c>
      <c r="F1313" s="4"/>
      <c r="G1313" s="4"/>
      <c r="H1313" t="s">
        <v>57</v>
      </c>
      <c r="I1313" t="s">
        <v>58</v>
      </c>
      <c r="J1313" t="s">
        <v>72</v>
      </c>
      <c r="K1313" t="s">
        <v>60</v>
      </c>
      <c r="L1313" t="s">
        <v>74</v>
      </c>
      <c r="M1313" s="5"/>
      <c r="N1313" s="5"/>
      <c r="O1313" s="5"/>
      <c r="P1313" s="5"/>
      <c r="R1313" t="s">
        <v>141</v>
      </c>
      <c r="S1313" t="s">
        <v>63</v>
      </c>
      <c r="T1313" s="5"/>
      <c r="U1313" s="6"/>
      <c r="V1313" t="s">
        <v>64</v>
      </c>
      <c r="W1313" s="4"/>
      <c r="X1313" t="s">
        <v>65</v>
      </c>
      <c r="Z1313" t="s">
        <v>66</v>
      </c>
      <c r="AA1313" t="str">
        <f>VLOOKUP(H1313,Departments!$A:$B,2,0)</f>
        <v>Pulmonology</v>
      </c>
      <c r="AB1313" t="str">
        <f>VLOOKUP(J1313,Diagnosis_Guide!$A:$B,2,0)</f>
        <v>Acute Bronchitis</v>
      </c>
      <c r="AC1313" s="4" t="str">
        <f>VLOOKUP(J1313,Diagnosis_Guide!$A:$C,3,0)</f>
        <v>Respiratory</v>
      </c>
      <c r="AD1313" s="4" t="str">
        <f>VLOOKUP(R1313,Insurance_Plans!$A:$C,3,0)</f>
        <v>Private</v>
      </c>
      <c r="AE1313" s="13" t="str">
        <f t="shared" si="60"/>
        <v/>
      </c>
      <c r="AF1313" s="13" t="str">
        <f t="shared" si="61"/>
        <v/>
      </c>
      <c r="AG1313" s="4" t="str">
        <f t="shared" si="62"/>
        <v>Not Available</v>
      </c>
    </row>
    <row r="1314" spans="1:33">
      <c r="A1314" t="s">
        <v>2071</v>
      </c>
      <c r="B1314" t="s">
        <v>600</v>
      </c>
      <c r="C1314" s="11">
        <v>46115</v>
      </c>
      <c r="D1314" t="s">
        <v>183</v>
      </c>
      <c r="E1314" t="s">
        <v>70</v>
      </c>
      <c r="F1314" s="4">
        <v>46115</v>
      </c>
      <c r="G1314" s="4">
        <v>46121</v>
      </c>
      <c r="H1314" t="s">
        <v>111</v>
      </c>
      <c r="I1314" t="s">
        <v>222</v>
      </c>
      <c r="J1314" t="s">
        <v>384</v>
      </c>
      <c r="K1314" t="s">
        <v>73</v>
      </c>
      <c r="L1314" t="s">
        <v>94</v>
      </c>
      <c r="M1314" s="5">
        <v>81200</v>
      </c>
      <c r="N1314" s="5">
        <v>13350</v>
      </c>
      <c r="O1314" s="5">
        <v>15300</v>
      </c>
      <c r="P1314" s="5">
        <v>27000</v>
      </c>
      <c r="Q1314" s="13">
        <v>137850</v>
      </c>
      <c r="R1314" t="s">
        <v>141</v>
      </c>
      <c r="S1314" t="s">
        <v>76</v>
      </c>
      <c r="T1314" s="5">
        <v>21880</v>
      </c>
      <c r="U1314" s="6">
        <v>4</v>
      </c>
      <c r="V1314" t="s">
        <v>77</v>
      </c>
      <c r="W1314" s="4">
        <v>46135</v>
      </c>
      <c r="X1314" t="s">
        <v>77</v>
      </c>
      <c r="Y1314" t="s">
        <v>64</v>
      </c>
      <c r="Z1314" t="s">
        <v>78</v>
      </c>
      <c r="AA1314" t="str">
        <f>VLOOKUP(H1314,Departments!$A:$B,2,0)</f>
        <v>General Medicine</v>
      </c>
      <c r="AB1314" t="str">
        <f>VLOOKUP(J1314,Diagnosis_Guide!$A:$B,2,0)</f>
        <v>Severe Infection</v>
      </c>
      <c r="AC1314" s="4" t="str">
        <f>VLOOKUP(J1314,Diagnosis_Guide!$A:$C,3,0)</f>
        <v>Infectious/General</v>
      </c>
      <c r="AD1314" s="4" t="str">
        <f>VLOOKUP(R1314,Insurance_Plans!$A:$C,3,0)</f>
        <v>Private</v>
      </c>
      <c r="AE1314" s="13">
        <f t="shared" si="60"/>
        <v>6892.5</v>
      </c>
      <c r="AF1314" s="13">
        <f t="shared" si="61"/>
        <v>144742.5</v>
      </c>
      <c r="AG1314" s="4" t="str">
        <f t="shared" si="62"/>
        <v>High</v>
      </c>
    </row>
    <row r="1315" spans="1:33">
      <c r="A1315" t="s">
        <v>2072</v>
      </c>
      <c r="B1315" t="s">
        <v>1198</v>
      </c>
      <c r="C1315" s="11">
        <v>46159</v>
      </c>
      <c r="D1315" t="s">
        <v>307</v>
      </c>
      <c r="E1315" t="s">
        <v>70</v>
      </c>
      <c r="F1315" s="4">
        <v>46160</v>
      </c>
      <c r="G1315" s="4">
        <v>46164</v>
      </c>
      <c r="H1315" t="s">
        <v>201</v>
      </c>
      <c r="I1315" t="s">
        <v>515</v>
      </c>
      <c r="J1315" t="s">
        <v>203</v>
      </c>
      <c r="K1315" t="s">
        <v>124</v>
      </c>
      <c r="L1315" t="s">
        <v>146</v>
      </c>
      <c r="M1315" s="5">
        <v>27700</v>
      </c>
      <c r="N1315" s="5">
        <v>2650</v>
      </c>
      <c r="O1315" s="5">
        <v>3650</v>
      </c>
      <c r="P1315" s="5">
        <v>10000</v>
      </c>
      <c r="Q1315" s="13">
        <v>45200</v>
      </c>
      <c r="R1315" t="s">
        <v>75</v>
      </c>
      <c r="S1315" t="s">
        <v>76</v>
      </c>
      <c r="T1315" s="5">
        <v>20640</v>
      </c>
      <c r="U1315" s="6">
        <v>3</v>
      </c>
      <c r="V1315" t="s">
        <v>77</v>
      </c>
      <c r="W1315" s="4">
        <v>46184</v>
      </c>
      <c r="X1315" t="s">
        <v>64</v>
      </c>
      <c r="Y1315" t="s">
        <v>77</v>
      </c>
      <c r="Z1315" t="s">
        <v>107</v>
      </c>
      <c r="AA1315" t="str">
        <f>VLOOKUP(H1315,Departments!$A:$B,2,0)</f>
        <v>Emergency</v>
      </c>
      <c r="AB1315" t="str">
        <f>VLOOKUP(J1315,Diagnosis_Guide!$A:$B,2,0)</f>
        <v>Trauma Observation</v>
      </c>
      <c r="AC1315" s="4" t="str">
        <f>VLOOKUP(J1315,Diagnosis_Guide!$A:$C,3,0)</f>
        <v>Emergency</v>
      </c>
      <c r="AD1315" s="4" t="str">
        <f>VLOOKUP(R1315,Insurance_Plans!$A:$C,3,0)</f>
        <v>Public</v>
      </c>
      <c r="AE1315" s="13">
        <f t="shared" si="60"/>
        <v>2260</v>
      </c>
      <c r="AF1315" s="13">
        <f t="shared" si="61"/>
        <v>47460</v>
      </c>
      <c r="AG1315" s="4" t="str">
        <f t="shared" si="62"/>
        <v>Medium</v>
      </c>
    </row>
    <row r="1316" spans="1:33">
      <c r="A1316" t="s">
        <v>2073</v>
      </c>
      <c r="B1316" t="s">
        <v>1779</v>
      </c>
      <c r="C1316" s="11">
        <v>46046</v>
      </c>
      <c r="D1316" t="s">
        <v>55</v>
      </c>
      <c r="E1316" t="s">
        <v>70</v>
      </c>
      <c r="F1316" s="4">
        <v>46046</v>
      </c>
      <c r="G1316" s="4">
        <v>46046</v>
      </c>
      <c r="H1316" t="s">
        <v>90</v>
      </c>
      <c r="I1316" t="s">
        <v>388</v>
      </c>
      <c r="J1316" t="s">
        <v>92</v>
      </c>
      <c r="K1316" t="s">
        <v>60</v>
      </c>
      <c r="L1316" t="s">
        <v>94</v>
      </c>
      <c r="M1316" s="5">
        <v>60300</v>
      </c>
      <c r="N1316" s="5">
        <v>5050</v>
      </c>
      <c r="O1316" s="5">
        <v>7950</v>
      </c>
      <c r="P1316" s="5">
        <v>0</v>
      </c>
      <c r="Q1316" s="13">
        <v>74800</v>
      </c>
      <c r="R1316" t="s">
        <v>141</v>
      </c>
      <c r="S1316" t="s">
        <v>76</v>
      </c>
      <c r="T1316" s="5">
        <v>12420</v>
      </c>
      <c r="U1316" s="6">
        <v>4</v>
      </c>
      <c r="V1316" t="s">
        <v>77</v>
      </c>
      <c r="W1316" s="4">
        <v>46067</v>
      </c>
      <c r="X1316" t="s">
        <v>64</v>
      </c>
      <c r="Y1316" t="s">
        <v>64</v>
      </c>
      <c r="Z1316" t="s">
        <v>96</v>
      </c>
      <c r="AA1316" t="str">
        <f>VLOOKUP(H1316,Departments!$A:$B,2,0)</f>
        <v>Cardiology</v>
      </c>
      <c r="AB1316" t="str">
        <f>VLOOKUP(J1316,Diagnosis_Guide!$A:$B,2,0)</f>
        <v>Heart Failure</v>
      </c>
      <c r="AC1316" s="4" t="str">
        <f>VLOOKUP(J1316,Diagnosis_Guide!$A:$C,3,0)</f>
        <v>Cardiovascular</v>
      </c>
      <c r="AD1316" s="4" t="str">
        <f>VLOOKUP(R1316,Insurance_Plans!$A:$C,3,0)</f>
        <v>Private</v>
      </c>
      <c r="AE1316" s="13">
        <f t="shared" si="60"/>
        <v>3740</v>
      </c>
      <c r="AF1316" s="13">
        <f t="shared" si="61"/>
        <v>78540</v>
      </c>
      <c r="AG1316" s="4" t="str">
        <f t="shared" si="62"/>
        <v>High</v>
      </c>
    </row>
    <row r="1317" spans="1:33">
      <c r="A1317" t="s">
        <v>2074</v>
      </c>
      <c r="B1317" t="s">
        <v>2075</v>
      </c>
      <c r="C1317" s="11">
        <v>46164</v>
      </c>
      <c r="D1317" t="s">
        <v>144</v>
      </c>
      <c r="E1317" t="s">
        <v>70</v>
      </c>
      <c r="F1317" s="4">
        <v>46165</v>
      </c>
      <c r="G1317" s="4">
        <v>46165</v>
      </c>
      <c r="H1317" t="s">
        <v>103</v>
      </c>
      <c r="I1317" t="s">
        <v>214</v>
      </c>
      <c r="J1317" t="s">
        <v>244</v>
      </c>
      <c r="K1317" t="s">
        <v>60</v>
      </c>
      <c r="L1317" t="s">
        <v>74</v>
      </c>
      <c r="M1317" s="5">
        <v>62800</v>
      </c>
      <c r="N1317" s="5">
        <v>6300</v>
      </c>
      <c r="O1317" s="5">
        <v>6400</v>
      </c>
      <c r="P1317" s="5">
        <v>0</v>
      </c>
      <c r="Q1317" s="13">
        <v>76300</v>
      </c>
      <c r="R1317" t="s">
        <v>106</v>
      </c>
      <c r="S1317" t="s">
        <v>86</v>
      </c>
      <c r="T1317" s="5">
        <v>27400</v>
      </c>
      <c r="U1317" s="6">
        <v>5</v>
      </c>
      <c r="V1317" t="s">
        <v>77</v>
      </c>
      <c r="W1317" s="4">
        <v>46176</v>
      </c>
      <c r="X1317" t="s">
        <v>77</v>
      </c>
      <c r="Y1317" t="s">
        <v>64</v>
      </c>
      <c r="Z1317" t="s">
        <v>96</v>
      </c>
      <c r="AA1317" t="str">
        <f>VLOOKUP(H1317,Departments!$A:$B,2,0)</f>
        <v>Nephrology</v>
      </c>
      <c r="AB1317" t="str">
        <f>VLOOKUP(J1317,Diagnosis_Guide!$A:$B,2,0)</f>
        <v>Chronic Kidney Disease</v>
      </c>
      <c r="AC1317" s="4" t="str">
        <f>VLOOKUP(J1317,Diagnosis_Guide!$A:$C,3,0)</f>
        <v>Renal</v>
      </c>
      <c r="AD1317" s="4" t="str">
        <f>VLOOKUP(R1317,Insurance_Plans!$A:$C,3,0)</f>
        <v>Private</v>
      </c>
      <c r="AE1317" s="13">
        <f t="shared" si="60"/>
        <v>3815</v>
      </c>
      <c r="AF1317" s="13">
        <f t="shared" si="61"/>
        <v>80115</v>
      </c>
      <c r="AG1317" s="4" t="str">
        <f t="shared" si="62"/>
        <v>High</v>
      </c>
    </row>
    <row r="1318" spans="1:33">
      <c r="A1318" t="s">
        <v>2076</v>
      </c>
      <c r="B1318" t="s">
        <v>231</v>
      </c>
      <c r="C1318" s="11">
        <v>46026</v>
      </c>
      <c r="D1318" t="s">
        <v>144</v>
      </c>
      <c r="E1318" t="s">
        <v>70</v>
      </c>
      <c r="F1318" s="4">
        <v>46027</v>
      </c>
      <c r="G1318" s="4">
        <v>46032</v>
      </c>
      <c r="H1318" t="s">
        <v>178</v>
      </c>
      <c r="I1318" t="s">
        <v>415</v>
      </c>
      <c r="J1318" t="s">
        <v>340</v>
      </c>
      <c r="K1318" t="s">
        <v>93</v>
      </c>
      <c r="L1318" t="s">
        <v>61</v>
      </c>
      <c r="M1318" s="5">
        <v>80300</v>
      </c>
      <c r="N1318" s="5">
        <v>8250</v>
      </c>
      <c r="O1318" s="5">
        <v>17300</v>
      </c>
      <c r="P1318" s="5">
        <v>15000</v>
      </c>
      <c r="Q1318" s="13">
        <v>121650</v>
      </c>
      <c r="R1318" t="s">
        <v>85</v>
      </c>
      <c r="S1318" t="s">
        <v>76</v>
      </c>
      <c r="T1318" s="5">
        <v>31310</v>
      </c>
      <c r="U1318" s="6">
        <v>4</v>
      </c>
      <c r="V1318" t="s">
        <v>77</v>
      </c>
      <c r="W1318" s="4">
        <v>46046</v>
      </c>
      <c r="X1318" t="s">
        <v>77</v>
      </c>
      <c r="Y1318" t="s">
        <v>64</v>
      </c>
      <c r="Z1318" t="s">
        <v>107</v>
      </c>
      <c r="AA1318" t="str">
        <f>VLOOKUP(H1318,Departments!$A:$B,2,0)</f>
        <v>Surgery</v>
      </c>
      <c r="AB1318" t="str">
        <f>VLOOKUP(J1318,Diagnosis_Guide!$A:$B,2,0)</f>
        <v>Post-Operative Infection</v>
      </c>
      <c r="AC1318" s="4" t="str">
        <f>VLOOKUP(J1318,Diagnosis_Guide!$A:$C,3,0)</f>
        <v>Surgical</v>
      </c>
      <c r="AD1318" s="4" t="str">
        <f>VLOOKUP(R1318,Insurance_Plans!$A:$C,3,0)</f>
        <v>Employer</v>
      </c>
      <c r="AE1318" s="13">
        <f t="shared" si="60"/>
        <v>6082.5</v>
      </c>
      <c r="AF1318" s="13">
        <f t="shared" si="61"/>
        <v>127732.5</v>
      </c>
      <c r="AG1318" s="4" t="str">
        <f t="shared" si="62"/>
        <v>High</v>
      </c>
    </row>
    <row r="1319" spans="1:33">
      <c r="A1319" t="s">
        <v>2077</v>
      </c>
      <c r="B1319" t="s">
        <v>1074</v>
      </c>
      <c r="C1319" s="11">
        <v>46027</v>
      </c>
      <c r="D1319" t="s">
        <v>363</v>
      </c>
      <c r="E1319" t="s">
        <v>70</v>
      </c>
      <c r="F1319" s="4">
        <v>46027</v>
      </c>
      <c r="G1319" s="4">
        <v>46030</v>
      </c>
      <c r="H1319" t="s">
        <v>201</v>
      </c>
      <c r="I1319" t="s">
        <v>327</v>
      </c>
      <c r="J1319" t="s">
        <v>295</v>
      </c>
      <c r="K1319" t="s">
        <v>124</v>
      </c>
      <c r="L1319" t="s">
        <v>94</v>
      </c>
      <c r="M1319" s="5">
        <v>49300</v>
      </c>
      <c r="N1319" s="5">
        <v>5950</v>
      </c>
      <c r="O1319" s="5">
        <v>6100</v>
      </c>
      <c r="P1319" s="5">
        <v>18000</v>
      </c>
      <c r="Q1319" s="13">
        <v>80350</v>
      </c>
      <c r="R1319" t="s">
        <v>85</v>
      </c>
      <c r="S1319" t="s">
        <v>76</v>
      </c>
      <c r="T1319" s="5">
        <v>20990</v>
      </c>
      <c r="U1319" s="6">
        <v>4</v>
      </c>
      <c r="V1319" t="s">
        <v>64</v>
      </c>
      <c r="W1319" s="4"/>
      <c r="X1319" t="s">
        <v>65</v>
      </c>
      <c r="Y1319" t="s">
        <v>64</v>
      </c>
      <c r="Z1319" t="s">
        <v>96</v>
      </c>
      <c r="AA1319" t="str">
        <f>VLOOKUP(H1319,Departments!$A:$B,2,0)</f>
        <v>Emergency</v>
      </c>
      <c r="AB1319" t="str">
        <f>VLOOKUP(J1319,Diagnosis_Guide!$A:$B,2,0)</f>
        <v>Accident Injury</v>
      </c>
      <c r="AC1319" s="4" t="str">
        <f>VLOOKUP(J1319,Diagnosis_Guide!$A:$C,3,0)</f>
        <v>Emergency</v>
      </c>
      <c r="AD1319" s="4" t="str">
        <f>VLOOKUP(R1319,Insurance_Plans!$A:$C,3,0)</f>
        <v>Employer</v>
      </c>
      <c r="AE1319" s="13">
        <f t="shared" si="60"/>
        <v>4017.5</v>
      </c>
      <c r="AF1319" s="13">
        <f t="shared" si="61"/>
        <v>84367.5</v>
      </c>
      <c r="AG1319" s="4" t="str">
        <f t="shared" si="62"/>
        <v>High</v>
      </c>
    </row>
    <row r="1320" spans="1:33">
      <c r="A1320" t="s">
        <v>2078</v>
      </c>
      <c r="B1320" t="s">
        <v>1187</v>
      </c>
      <c r="C1320" s="11">
        <v>46043</v>
      </c>
      <c r="D1320" t="s">
        <v>337</v>
      </c>
      <c r="E1320" t="s">
        <v>70</v>
      </c>
      <c r="F1320" s="4">
        <v>46044</v>
      </c>
      <c r="G1320" s="4">
        <v>46047</v>
      </c>
      <c r="H1320" t="s">
        <v>201</v>
      </c>
      <c r="I1320" t="s">
        <v>280</v>
      </c>
      <c r="J1320" t="s">
        <v>295</v>
      </c>
      <c r="K1320" t="s">
        <v>73</v>
      </c>
      <c r="L1320" t="s">
        <v>61</v>
      </c>
      <c r="M1320" s="5">
        <v>47700</v>
      </c>
      <c r="N1320" s="5">
        <v>7850</v>
      </c>
      <c r="O1320" s="5">
        <v>8300</v>
      </c>
      <c r="P1320" s="5">
        <v>18000</v>
      </c>
      <c r="Q1320" s="13">
        <v>82850</v>
      </c>
      <c r="R1320" t="s">
        <v>75</v>
      </c>
      <c r="S1320" t="s">
        <v>76</v>
      </c>
      <c r="T1320" s="5">
        <v>37580</v>
      </c>
      <c r="U1320" s="6">
        <v>4</v>
      </c>
      <c r="V1320" t="s">
        <v>64</v>
      </c>
      <c r="W1320" s="4"/>
      <c r="X1320" t="s">
        <v>65</v>
      </c>
      <c r="Y1320" t="s">
        <v>64</v>
      </c>
      <c r="Z1320" t="s">
        <v>107</v>
      </c>
      <c r="AA1320" t="str">
        <f>VLOOKUP(H1320,Departments!$A:$B,2,0)</f>
        <v>Emergency</v>
      </c>
      <c r="AB1320" t="str">
        <f>VLOOKUP(J1320,Diagnosis_Guide!$A:$B,2,0)</f>
        <v>Accident Injury</v>
      </c>
      <c r="AC1320" s="4" t="str">
        <f>VLOOKUP(J1320,Diagnosis_Guide!$A:$C,3,0)</f>
        <v>Emergency</v>
      </c>
      <c r="AD1320" s="4" t="str">
        <f>VLOOKUP(R1320,Insurance_Plans!$A:$C,3,0)</f>
        <v>Public</v>
      </c>
      <c r="AE1320" s="13">
        <f t="shared" si="60"/>
        <v>4142.5</v>
      </c>
      <c r="AF1320" s="13">
        <f t="shared" si="61"/>
        <v>86992.5</v>
      </c>
      <c r="AG1320" s="4" t="str">
        <f t="shared" si="62"/>
        <v>High</v>
      </c>
    </row>
    <row r="1321" spans="1:33">
      <c r="A1321" t="s">
        <v>2079</v>
      </c>
      <c r="B1321" t="s">
        <v>621</v>
      </c>
      <c r="C1321" s="11">
        <v>46092</v>
      </c>
      <c r="D1321" t="s">
        <v>120</v>
      </c>
      <c r="E1321" t="s">
        <v>70</v>
      </c>
      <c r="F1321" s="4">
        <v>46092</v>
      </c>
      <c r="G1321" s="4">
        <v>46095</v>
      </c>
      <c r="H1321" t="s">
        <v>111</v>
      </c>
      <c r="I1321" t="s">
        <v>222</v>
      </c>
      <c r="J1321" t="s">
        <v>113</v>
      </c>
      <c r="K1321" t="s">
        <v>124</v>
      </c>
      <c r="L1321" t="s">
        <v>61</v>
      </c>
      <c r="M1321" s="5">
        <v>21200</v>
      </c>
      <c r="N1321" s="5">
        <v>1700</v>
      </c>
      <c r="O1321" s="5">
        <v>3500</v>
      </c>
      <c r="P1321" s="5">
        <v>18000</v>
      </c>
      <c r="Q1321" s="13">
        <v>45400</v>
      </c>
      <c r="R1321" t="s">
        <v>141</v>
      </c>
      <c r="S1321" t="s">
        <v>76</v>
      </c>
      <c r="T1321" s="5">
        <v>8010</v>
      </c>
      <c r="U1321" s="6">
        <v>5</v>
      </c>
      <c r="V1321" t="s">
        <v>64</v>
      </c>
      <c r="W1321" s="4"/>
      <c r="X1321" t="s">
        <v>65</v>
      </c>
      <c r="Y1321" t="s">
        <v>64</v>
      </c>
      <c r="Z1321" t="s">
        <v>436</v>
      </c>
      <c r="AA1321" t="str">
        <f>VLOOKUP(H1321,Departments!$A:$B,2,0)</f>
        <v>General Medicine</v>
      </c>
      <c r="AB1321" t="str">
        <f>VLOOKUP(J1321,Diagnosis_Guide!$A:$B,2,0)</f>
        <v>Diabetes Complication</v>
      </c>
      <c r="AC1321" s="4" t="str">
        <f>VLOOKUP(J1321,Diagnosis_Guide!$A:$C,3,0)</f>
        <v>Endocrine/General</v>
      </c>
      <c r="AD1321" s="4" t="str">
        <f>VLOOKUP(R1321,Insurance_Plans!$A:$C,3,0)</f>
        <v>Private</v>
      </c>
      <c r="AE1321" s="13">
        <f t="shared" si="60"/>
        <v>2270</v>
      </c>
      <c r="AF1321" s="13">
        <f t="shared" si="61"/>
        <v>47670</v>
      </c>
      <c r="AG1321" s="4" t="str">
        <f t="shared" si="62"/>
        <v>High</v>
      </c>
    </row>
    <row r="1322" spans="1:33">
      <c r="A1322" t="s">
        <v>2080</v>
      </c>
      <c r="B1322" t="s">
        <v>723</v>
      </c>
      <c r="C1322" s="11">
        <v>46095</v>
      </c>
      <c r="D1322" t="s">
        <v>242</v>
      </c>
      <c r="E1322" t="s">
        <v>70</v>
      </c>
      <c r="F1322" s="4">
        <v>46095</v>
      </c>
      <c r="G1322" s="4">
        <v>46096</v>
      </c>
      <c r="H1322" t="s">
        <v>82</v>
      </c>
      <c r="I1322" t="s">
        <v>155</v>
      </c>
      <c r="J1322" t="s">
        <v>291</v>
      </c>
      <c r="K1322" t="s">
        <v>60</v>
      </c>
      <c r="L1322" t="s">
        <v>74</v>
      </c>
      <c r="M1322" s="5">
        <v>32300</v>
      </c>
      <c r="N1322" s="5">
        <v>4900</v>
      </c>
      <c r="O1322" s="5">
        <v>7950</v>
      </c>
      <c r="P1322" s="5">
        <v>3500</v>
      </c>
      <c r="Q1322" s="13">
        <v>51150</v>
      </c>
      <c r="R1322" t="s">
        <v>85</v>
      </c>
      <c r="S1322" t="s">
        <v>163</v>
      </c>
      <c r="T1322" s="5">
        <v>13690</v>
      </c>
      <c r="U1322" s="6">
        <v>5</v>
      </c>
      <c r="V1322" t="s">
        <v>64</v>
      </c>
      <c r="W1322" s="4"/>
      <c r="X1322" t="s">
        <v>65</v>
      </c>
      <c r="Y1322" t="s">
        <v>64</v>
      </c>
      <c r="Z1322" t="s">
        <v>96</v>
      </c>
      <c r="AA1322" t="str">
        <f>VLOOKUP(H1322,Departments!$A:$B,2,0)</f>
        <v>Orthopedics</v>
      </c>
      <c r="AB1322" t="str">
        <f>VLOOKUP(J1322,Diagnosis_Guide!$A:$B,2,0)</f>
        <v>Fracture Repair</v>
      </c>
      <c r="AC1322" s="4" t="str">
        <f>VLOOKUP(J1322,Diagnosis_Guide!$A:$C,3,0)</f>
        <v>Musculoskeletal</v>
      </c>
      <c r="AD1322" s="4" t="str">
        <f>VLOOKUP(R1322,Insurance_Plans!$A:$C,3,0)</f>
        <v>Employer</v>
      </c>
      <c r="AE1322" s="13">
        <f t="shared" si="60"/>
        <v>2557.5</v>
      </c>
      <c r="AF1322" s="13">
        <f t="shared" si="61"/>
        <v>53707.5</v>
      </c>
      <c r="AG1322" s="4" t="str">
        <f t="shared" si="62"/>
        <v>High</v>
      </c>
    </row>
    <row r="1323" spans="1:33">
      <c r="A1323" t="s">
        <v>2081</v>
      </c>
      <c r="B1323" t="s">
        <v>1870</v>
      </c>
      <c r="C1323" s="11">
        <v>46049</v>
      </c>
      <c r="D1323" t="s">
        <v>81</v>
      </c>
      <c r="E1323" t="s">
        <v>70</v>
      </c>
      <c r="F1323" s="4">
        <v>46049</v>
      </c>
      <c r="G1323" s="4">
        <v>46056</v>
      </c>
      <c r="H1323" t="s">
        <v>57</v>
      </c>
      <c r="I1323" t="s">
        <v>184</v>
      </c>
      <c r="J1323" t="s">
        <v>170</v>
      </c>
      <c r="K1323" t="s">
        <v>73</v>
      </c>
      <c r="L1323" t="s">
        <v>94</v>
      </c>
      <c r="M1323" s="5">
        <v>62200</v>
      </c>
      <c r="N1323" s="5">
        <v>6950</v>
      </c>
      <c r="O1323" s="5">
        <v>10200</v>
      </c>
      <c r="P1323" s="5">
        <v>31500</v>
      </c>
      <c r="Q1323" s="13">
        <v>112050</v>
      </c>
      <c r="R1323" t="s">
        <v>141</v>
      </c>
      <c r="S1323" t="s">
        <v>76</v>
      </c>
      <c r="T1323" s="5">
        <v>18010</v>
      </c>
      <c r="U1323" s="6"/>
      <c r="V1323" t="s">
        <v>77</v>
      </c>
      <c r="W1323" s="4">
        <v>46073</v>
      </c>
      <c r="X1323" t="s">
        <v>77</v>
      </c>
      <c r="Y1323" t="s">
        <v>64</v>
      </c>
      <c r="Z1323" t="s">
        <v>78</v>
      </c>
      <c r="AA1323" t="str">
        <f>VLOOKUP(H1323,Departments!$A:$B,2,0)</f>
        <v>Pulmonology</v>
      </c>
      <c r="AB1323" t="str">
        <f>VLOOKUP(J1323,Diagnosis_Guide!$A:$B,2,0)</f>
        <v>COPD Exacerbation</v>
      </c>
      <c r="AC1323" s="4" t="str">
        <f>VLOOKUP(J1323,Diagnosis_Guide!$A:$C,3,0)</f>
        <v>Respiratory</v>
      </c>
      <c r="AD1323" s="4" t="str">
        <f>VLOOKUP(R1323,Insurance_Plans!$A:$C,3,0)</f>
        <v>Private</v>
      </c>
      <c r="AE1323" s="13">
        <f t="shared" si="60"/>
        <v>5602.5</v>
      </c>
      <c r="AF1323" s="13">
        <f t="shared" si="61"/>
        <v>117652.5</v>
      </c>
      <c r="AG1323" s="4" t="str">
        <f t="shared" si="62"/>
        <v>Not Available</v>
      </c>
    </row>
    <row r="1324" spans="1:33">
      <c r="A1324" t="s">
        <v>2082</v>
      </c>
      <c r="B1324" t="s">
        <v>329</v>
      </c>
      <c r="C1324" s="11">
        <v>46105</v>
      </c>
      <c r="D1324" t="s">
        <v>99</v>
      </c>
      <c r="E1324" t="s">
        <v>70</v>
      </c>
      <c r="F1324" s="4">
        <v>46105</v>
      </c>
      <c r="G1324" s="4">
        <v>46105</v>
      </c>
      <c r="H1324" t="s">
        <v>111</v>
      </c>
      <c r="I1324" t="s">
        <v>222</v>
      </c>
      <c r="J1324" t="s">
        <v>117</v>
      </c>
      <c r="K1324" t="s">
        <v>60</v>
      </c>
      <c r="L1324" t="s">
        <v>146</v>
      </c>
      <c r="M1324" s="5">
        <v>9200</v>
      </c>
      <c r="N1324" s="5">
        <v>1100</v>
      </c>
      <c r="O1324" s="5">
        <v>1850</v>
      </c>
      <c r="P1324" s="5">
        <v>0</v>
      </c>
      <c r="Q1324" s="13">
        <v>13150</v>
      </c>
      <c r="R1324" t="s">
        <v>95</v>
      </c>
      <c r="S1324" t="s">
        <v>63</v>
      </c>
      <c r="T1324" s="5">
        <v>13150</v>
      </c>
      <c r="U1324" s="6">
        <v>4</v>
      </c>
      <c r="V1324" t="s">
        <v>77</v>
      </c>
      <c r="W1324" s="4">
        <v>46121</v>
      </c>
      <c r="X1324" t="s">
        <v>77</v>
      </c>
      <c r="Y1324" t="s">
        <v>64</v>
      </c>
      <c r="Z1324" t="s">
        <v>107</v>
      </c>
      <c r="AA1324" t="str">
        <f>VLOOKUP(H1324,Departments!$A:$B,2,0)</f>
        <v>General Medicine</v>
      </c>
      <c r="AB1324" t="str">
        <f>VLOOKUP(J1324,Diagnosis_Guide!$A:$B,2,0)</f>
        <v>Fever Investigation</v>
      </c>
      <c r="AC1324" s="4" t="str">
        <f>VLOOKUP(J1324,Diagnosis_Guide!$A:$C,3,0)</f>
        <v>Infectious/General</v>
      </c>
      <c r="AD1324" s="4" t="str">
        <f>VLOOKUP(R1324,Insurance_Plans!$A:$C,3,0)</f>
        <v>Self-Pay</v>
      </c>
      <c r="AE1324" s="13">
        <f t="shared" si="60"/>
        <v>657.5</v>
      </c>
      <c r="AF1324" s="13">
        <f t="shared" si="61"/>
        <v>13807.5</v>
      </c>
      <c r="AG1324" s="4" t="str">
        <f t="shared" si="62"/>
        <v>High</v>
      </c>
    </row>
    <row r="1325" spans="1:33">
      <c r="A1325" t="s">
        <v>2083</v>
      </c>
      <c r="B1325" t="s">
        <v>345</v>
      </c>
      <c r="C1325" s="11">
        <v>46057</v>
      </c>
      <c r="D1325" t="s">
        <v>432</v>
      </c>
      <c r="E1325" t="s">
        <v>70</v>
      </c>
      <c r="F1325" s="4">
        <v>46057</v>
      </c>
      <c r="G1325" s="4">
        <v>46058</v>
      </c>
      <c r="H1325" t="s">
        <v>57</v>
      </c>
      <c r="I1325" t="s">
        <v>211</v>
      </c>
      <c r="J1325" t="s">
        <v>170</v>
      </c>
      <c r="K1325" t="s">
        <v>60</v>
      </c>
      <c r="L1325" t="s">
        <v>94</v>
      </c>
      <c r="M1325" s="5">
        <v>67200</v>
      </c>
      <c r="N1325" s="5">
        <v>11500</v>
      </c>
      <c r="O1325" s="5">
        <v>11400</v>
      </c>
      <c r="P1325" s="5">
        <v>4500</v>
      </c>
      <c r="Q1325" s="13">
        <v>96600</v>
      </c>
      <c r="R1325" t="s">
        <v>75</v>
      </c>
      <c r="S1325" t="s">
        <v>76</v>
      </c>
      <c r="T1325" s="5">
        <v>43770</v>
      </c>
      <c r="U1325" s="6">
        <v>5</v>
      </c>
      <c r="V1325" t="s">
        <v>77</v>
      </c>
      <c r="W1325" s="4">
        <v>46077</v>
      </c>
      <c r="X1325" t="s">
        <v>77</v>
      </c>
      <c r="Y1325" t="s">
        <v>64</v>
      </c>
      <c r="Z1325" t="s">
        <v>96</v>
      </c>
      <c r="AA1325" t="str">
        <f>VLOOKUP(H1325,Departments!$A:$B,2,0)</f>
        <v>Pulmonology</v>
      </c>
      <c r="AB1325" t="str">
        <f>VLOOKUP(J1325,Diagnosis_Guide!$A:$B,2,0)</f>
        <v>COPD Exacerbation</v>
      </c>
      <c r="AC1325" s="4" t="str">
        <f>VLOOKUP(J1325,Diagnosis_Guide!$A:$C,3,0)</f>
        <v>Respiratory</v>
      </c>
      <c r="AD1325" s="4" t="str">
        <f>VLOOKUP(R1325,Insurance_Plans!$A:$C,3,0)</f>
        <v>Public</v>
      </c>
      <c r="AE1325" s="13">
        <f t="shared" si="60"/>
        <v>4830</v>
      </c>
      <c r="AF1325" s="13">
        <f t="shared" si="61"/>
        <v>101430</v>
      </c>
      <c r="AG1325" s="4" t="str">
        <f t="shared" si="62"/>
        <v>High</v>
      </c>
    </row>
    <row r="1326" spans="1:33">
      <c r="A1326" t="s">
        <v>2084</v>
      </c>
      <c r="B1326" t="s">
        <v>1875</v>
      </c>
      <c r="C1326" s="11">
        <v>46078</v>
      </c>
      <c r="D1326" t="s">
        <v>132</v>
      </c>
      <c r="E1326" t="s">
        <v>70</v>
      </c>
      <c r="F1326" s="4">
        <v>46078</v>
      </c>
      <c r="G1326" s="4">
        <v>46080</v>
      </c>
      <c r="H1326" t="s">
        <v>57</v>
      </c>
      <c r="I1326" t="s">
        <v>71</v>
      </c>
      <c r="J1326" t="s">
        <v>59</v>
      </c>
      <c r="K1326" t="s">
        <v>73</v>
      </c>
      <c r="L1326" t="s">
        <v>94</v>
      </c>
      <c r="M1326" s="5">
        <v>56900</v>
      </c>
      <c r="N1326" s="5">
        <v>6900</v>
      </c>
      <c r="O1326" s="5">
        <v>6500</v>
      </c>
      <c r="P1326" s="5">
        <v>6000</v>
      </c>
      <c r="Q1326" s="13">
        <v>78100</v>
      </c>
      <c r="R1326" t="s">
        <v>62</v>
      </c>
      <c r="S1326" t="s">
        <v>86</v>
      </c>
      <c r="T1326" s="5">
        <v>23830</v>
      </c>
      <c r="U1326" s="6">
        <v>4</v>
      </c>
      <c r="V1326" t="s">
        <v>77</v>
      </c>
      <c r="W1326" s="4">
        <v>46098</v>
      </c>
      <c r="Y1326" t="s">
        <v>64</v>
      </c>
      <c r="Z1326" t="s">
        <v>78</v>
      </c>
      <c r="AA1326" t="str">
        <f>VLOOKUP(H1326,Departments!$A:$B,2,0)</f>
        <v>Pulmonology</v>
      </c>
      <c r="AB1326" t="str">
        <f>VLOOKUP(J1326,Diagnosis_Guide!$A:$B,2,0)</f>
        <v>Pneumonia</v>
      </c>
      <c r="AC1326" s="4" t="str">
        <f>VLOOKUP(J1326,Diagnosis_Guide!$A:$C,3,0)</f>
        <v>Respiratory</v>
      </c>
      <c r="AD1326" s="4" t="str">
        <f>VLOOKUP(R1326,Insurance_Plans!$A:$C,3,0)</f>
        <v>Public</v>
      </c>
      <c r="AE1326" s="13">
        <f t="shared" si="60"/>
        <v>3905</v>
      </c>
      <c r="AF1326" s="13">
        <f t="shared" si="61"/>
        <v>82005</v>
      </c>
      <c r="AG1326" s="4" t="str">
        <f t="shared" si="62"/>
        <v>High</v>
      </c>
    </row>
    <row r="1327" spans="1:33">
      <c r="A1327" t="s">
        <v>2085</v>
      </c>
      <c r="B1327" t="s">
        <v>576</v>
      </c>
      <c r="C1327" s="11">
        <v>46171</v>
      </c>
      <c r="D1327" t="s">
        <v>206</v>
      </c>
      <c r="E1327" t="s">
        <v>56</v>
      </c>
      <c r="F1327" s="4"/>
      <c r="G1327" s="4"/>
      <c r="H1327" t="s">
        <v>82</v>
      </c>
      <c r="I1327" t="s">
        <v>369</v>
      </c>
      <c r="J1327" t="s">
        <v>291</v>
      </c>
      <c r="K1327" t="s">
        <v>60</v>
      </c>
      <c r="L1327" t="s">
        <v>61</v>
      </c>
      <c r="M1327" s="5"/>
      <c r="N1327" s="5"/>
      <c r="O1327" s="5"/>
      <c r="P1327" s="5"/>
      <c r="R1327" t="s">
        <v>134</v>
      </c>
      <c r="S1327" t="s">
        <v>63</v>
      </c>
      <c r="T1327" s="5"/>
      <c r="U1327" s="6"/>
      <c r="V1327" t="s">
        <v>64</v>
      </c>
      <c r="W1327" s="4"/>
      <c r="X1327" t="s">
        <v>65</v>
      </c>
      <c r="Z1327" t="s">
        <v>66</v>
      </c>
      <c r="AA1327" t="str">
        <f>VLOOKUP(H1327,Departments!$A:$B,2,0)</f>
        <v>Orthopedics</v>
      </c>
      <c r="AB1327" t="str">
        <f>VLOOKUP(J1327,Diagnosis_Guide!$A:$B,2,0)</f>
        <v>Fracture Repair</v>
      </c>
      <c r="AC1327" s="4" t="str">
        <f>VLOOKUP(J1327,Diagnosis_Guide!$A:$C,3,0)</f>
        <v>Musculoskeletal</v>
      </c>
      <c r="AD1327" s="4" t="str">
        <f>VLOOKUP(R1327,Insurance_Plans!$A:$C,3,0)</f>
        <v>Community</v>
      </c>
      <c r="AE1327" s="13" t="str">
        <f t="shared" si="60"/>
        <v/>
      </c>
      <c r="AF1327" s="13" t="str">
        <f t="shared" si="61"/>
        <v/>
      </c>
      <c r="AG1327" s="4" t="str">
        <f t="shared" si="62"/>
        <v>Not Available</v>
      </c>
    </row>
    <row r="1328" spans="1:33">
      <c r="A1328" t="s">
        <v>2086</v>
      </c>
      <c r="B1328" t="s">
        <v>653</v>
      </c>
      <c r="C1328" s="11">
        <v>46160</v>
      </c>
      <c r="D1328" t="s">
        <v>469</v>
      </c>
      <c r="E1328" t="s">
        <v>70</v>
      </c>
      <c r="F1328" s="4">
        <v>46160</v>
      </c>
      <c r="G1328" s="4">
        <v>46167</v>
      </c>
      <c r="H1328" t="s">
        <v>103</v>
      </c>
      <c r="I1328" t="s">
        <v>364</v>
      </c>
      <c r="J1328" t="s">
        <v>244</v>
      </c>
      <c r="K1328" t="s">
        <v>124</v>
      </c>
      <c r="L1328" t="s">
        <v>61</v>
      </c>
      <c r="M1328" s="5">
        <v>45300</v>
      </c>
      <c r="N1328" s="5">
        <v>7700</v>
      </c>
      <c r="O1328" s="5">
        <v>5600</v>
      </c>
      <c r="P1328" s="5">
        <v>21000</v>
      </c>
      <c r="Q1328" s="13">
        <v>80400</v>
      </c>
      <c r="R1328" t="s">
        <v>141</v>
      </c>
      <c r="S1328" t="s">
        <v>76</v>
      </c>
      <c r="T1328" s="5">
        <v>13260</v>
      </c>
      <c r="U1328" s="6">
        <v>5</v>
      </c>
      <c r="V1328" t="s">
        <v>77</v>
      </c>
      <c r="W1328" s="4">
        <v>46187</v>
      </c>
      <c r="X1328" t="s">
        <v>77</v>
      </c>
      <c r="Y1328" t="s">
        <v>64</v>
      </c>
      <c r="Z1328" t="s">
        <v>107</v>
      </c>
      <c r="AA1328" t="str">
        <f>VLOOKUP(H1328,Departments!$A:$B,2,0)</f>
        <v>Nephrology</v>
      </c>
      <c r="AB1328" t="str">
        <f>VLOOKUP(J1328,Diagnosis_Guide!$A:$B,2,0)</f>
        <v>Chronic Kidney Disease</v>
      </c>
      <c r="AC1328" s="4" t="str">
        <f>VLOOKUP(J1328,Diagnosis_Guide!$A:$C,3,0)</f>
        <v>Renal</v>
      </c>
      <c r="AD1328" s="4" t="str">
        <f>VLOOKUP(R1328,Insurance_Plans!$A:$C,3,0)</f>
        <v>Private</v>
      </c>
      <c r="AE1328" s="13">
        <f t="shared" si="60"/>
        <v>4020</v>
      </c>
      <c r="AF1328" s="13">
        <f t="shared" si="61"/>
        <v>84420</v>
      </c>
      <c r="AG1328" s="4" t="str">
        <f t="shared" si="62"/>
        <v>High</v>
      </c>
    </row>
    <row r="1329" spans="1:33">
      <c r="A1329" t="s">
        <v>2087</v>
      </c>
      <c r="B1329" t="s">
        <v>297</v>
      </c>
      <c r="C1329" s="11">
        <v>46058</v>
      </c>
      <c r="D1329" t="s">
        <v>330</v>
      </c>
      <c r="E1329" t="s">
        <v>70</v>
      </c>
      <c r="F1329" s="4">
        <v>46059</v>
      </c>
      <c r="G1329" s="4">
        <v>46064</v>
      </c>
      <c r="H1329" t="s">
        <v>103</v>
      </c>
      <c r="I1329" t="s">
        <v>207</v>
      </c>
      <c r="J1329" t="s">
        <v>105</v>
      </c>
      <c r="K1329" t="s">
        <v>124</v>
      </c>
      <c r="L1329" t="s">
        <v>74</v>
      </c>
      <c r="M1329" s="5">
        <v>51700</v>
      </c>
      <c r="N1329" s="5">
        <v>5650</v>
      </c>
      <c r="O1329" s="5">
        <v>10000</v>
      </c>
      <c r="P1329" s="5">
        <v>17500</v>
      </c>
      <c r="Q1329" s="13">
        <v>86350</v>
      </c>
      <c r="R1329" t="s">
        <v>141</v>
      </c>
      <c r="S1329" t="s">
        <v>76</v>
      </c>
      <c r="T1329" s="5">
        <v>14150</v>
      </c>
      <c r="U1329" s="6"/>
      <c r="V1329" t="s">
        <v>77</v>
      </c>
      <c r="W1329" s="4">
        <v>46084</v>
      </c>
      <c r="X1329" t="s">
        <v>64</v>
      </c>
      <c r="Y1329" t="s">
        <v>64</v>
      </c>
      <c r="Z1329" t="s">
        <v>96</v>
      </c>
      <c r="AA1329" t="str">
        <f>VLOOKUP(H1329,Departments!$A:$B,2,0)</f>
        <v>Nephrology</v>
      </c>
      <c r="AB1329" t="str">
        <f>VLOOKUP(J1329,Diagnosis_Guide!$A:$B,2,0)</f>
        <v>Dialysis Complication</v>
      </c>
      <c r="AC1329" s="4" t="str">
        <f>VLOOKUP(J1329,Diagnosis_Guide!$A:$C,3,0)</f>
        <v>Renal</v>
      </c>
      <c r="AD1329" s="4" t="str">
        <f>VLOOKUP(R1329,Insurance_Plans!$A:$C,3,0)</f>
        <v>Private</v>
      </c>
      <c r="AE1329" s="13">
        <f t="shared" si="60"/>
        <v>4317.5</v>
      </c>
      <c r="AF1329" s="13">
        <f t="shared" si="61"/>
        <v>90667.5</v>
      </c>
      <c r="AG1329" s="4" t="str">
        <f t="shared" si="62"/>
        <v>Not Available</v>
      </c>
    </row>
    <row r="1330" spans="1:33">
      <c r="A1330" t="s">
        <v>2088</v>
      </c>
      <c r="B1330" t="s">
        <v>1611</v>
      </c>
      <c r="C1330" s="11">
        <v>46077</v>
      </c>
      <c r="D1330" t="s">
        <v>432</v>
      </c>
      <c r="E1330" t="s">
        <v>70</v>
      </c>
      <c r="F1330" s="4">
        <v>46077</v>
      </c>
      <c r="G1330" s="4">
        <v>46077</v>
      </c>
      <c r="H1330" t="s">
        <v>82</v>
      </c>
      <c r="I1330" t="s">
        <v>272</v>
      </c>
      <c r="J1330" t="s">
        <v>156</v>
      </c>
      <c r="K1330" t="s">
        <v>60</v>
      </c>
      <c r="L1330" t="s">
        <v>61</v>
      </c>
      <c r="M1330" s="5">
        <v>64100</v>
      </c>
      <c r="N1330" s="5">
        <v>7650</v>
      </c>
      <c r="O1330" s="5">
        <v>15000</v>
      </c>
      <c r="P1330" s="5">
        <v>0</v>
      </c>
      <c r="Q1330" s="13">
        <v>88550</v>
      </c>
      <c r="R1330" t="s">
        <v>141</v>
      </c>
      <c r="S1330" t="s">
        <v>76</v>
      </c>
      <c r="T1330" s="5">
        <v>14480</v>
      </c>
      <c r="U1330" s="6">
        <v>5</v>
      </c>
      <c r="V1330" t="s">
        <v>64</v>
      </c>
      <c r="W1330" s="4"/>
      <c r="X1330" t="s">
        <v>65</v>
      </c>
      <c r="Y1330" t="s">
        <v>64</v>
      </c>
      <c r="Z1330" t="s">
        <v>107</v>
      </c>
      <c r="AA1330" t="str">
        <f>VLOOKUP(H1330,Departments!$A:$B,2,0)</f>
        <v>Orthopedics</v>
      </c>
      <c r="AB1330" t="str">
        <f>VLOOKUP(J1330,Diagnosis_Guide!$A:$B,2,0)</f>
        <v>Spinal Injury</v>
      </c>
      <c r="AC1330" s="4" t="str">
        <f>VLOOKUP(J1330,Diagnosis_Guide!$A:$C,3,0)</f>
        <v>Musculoskeletal</v>
      </c>
      <c r="AD1330" s="4" t="str">
        <f>VLOOKUP(R1330,Insurance_Plans!$A:$C,3,0)</f>
        <v>Private</v>
      </c>
      <c r="AE1330" s="13">
        <f t="shared" si="60"/>
        <v>4427.5</v>
      </c>
      <c r="AF1330" s="13">
        <f t="shared" si="61"/>
        <v>92977.5</v>
      </c>
      <c r="AG1330" s="4" t="str">
        <f t="shared" si="62"/>
        <v>High</v>
      </c>
    </row>
    <row r="1331" spans="1:33">
      <c r="A1331" t="s">
        <v>2089</v>
      </c>
      <c r="B1331" t="s">
        <v>747</v>
      </c>
      <c r="C1331" s="11">
        <v>46133</v>
      </c>
      <c r="D1331" t="s">
        <v>210</v>
      </c>
      <c r="E1331" t="s">
        <v>314</v>
      </c>
      <c r="F1331" s="4"/>
      <c r="G1331" s="4"/>
      <c r="H1331" t="s">
        <v>121</v>
      </c>
      <c r="I1331" t="s">
        <v>386</v>
      </c>
      <c r="J1331" t="s">
        <v>252</v>
      </c>
      <c r="K1331" t="s">
        <v>124</v>
      </c>
      <c r="L1331" t="s">
        <v>94</v>
      </c>
      <c r="M1331" s="5"/>
      <c r="N1331" s="5"/>
      <c r="O1331" s="5"/>
      <c r="P1331" s="5"/>
      <c r="R1331" t="s">
        <v>106</v>
      </c>
      <c r="S1331" t="s">
        <v>63</v>
      </c>
      <c r="T1331" s="5"/>
      <c r="U1331" s="6"/>
      <c r="V1331" t="s">
        <v>64</v>
      </c>
      <c r="W1331" s="4"/>
      <c r="X1331" t="s">
        <v>65</v>
      </c>
      <c r="Z1331" t="s">
        <v>66</v>
      </c>
      <c r="AA1331" t="str">
        <f>VLOOKUP(H1331,Departments!$A:$B,2,0)</f>
        <v>Neurology</v>
      </c>
      <c r="AB1331" t="str">
        <f>VLOOKUP(J1331,Diagnosis_Guide!$A:$B,2,0)</f>
        <v>Stroke Assessment</v>
      </c>
      <c r="AC1331" s="4" t="str">
        <f>VLOOKUP(J1331,Diagnosis_Guide!$A:$C,3,0)</f>
        <v>Neurological</v>
      </c>
      <c r="AD1331" s="4" t="str">
        <f>VLOOKUP(R1331,Insurance_Plans!$A:$C,3,0)</f>
        <v>Private</v>
      </c>
      <c r="AE1331" s="13" t="str">
        <f t="shared" si="60"/>
        <v/>
      </c>
      <c r="AF1331" s="13" t="str">
        <f t="shared" si="61"/>
        <v/>
      </c>
      <c r="AG1331" s="4" t="str">
        <f t="shared" si="62"/>
        <v>Not Available</v>
      </c>
    </row>
    <row r="1332" spans="1:33">
      <c r="A1332" t="s">
        <v>2090</v>
      </c>
      <c r="B1332" t="s">
        <v>423</v>
      </c>
      <c r="C1332" s="11">
        <v>46048</v>
      </c>
      <c r="D1332" t="s">
        <v>183</v>
      </c>
      <c r="E1332" t="s">
        <v>70</v>
      </c>
      <c r="F1332" s="4">
        <v>46048</v>
      </c>
      <c r="G1332" s="4">
        <v>46048</v>
      </c>
      <c r="H1332" t="s">
        <v>90</v>
      </c>
      <c r="I1332" t="s">
        <v>299</v>
      </c>
      <c r="J1332" t="s">
        <v>129</v>
      </c>
      <c r="K1332" t="s">
        <v>60</v>
      </c>
      <c r="L1332" t="s">
        <v>61</v>
      </c>
      <c r="M1332" s="5">
        <v>30400</v>
      </c>
      <c r="N1332" s="5">
        <v>4350</v>
      </c>
      <c r="O1332" s="5">
        <v>5100</v>
      </c>
      <c r="P1332" s="5">
        <v>0</v>
      </c>
      <c r="Q1332" s="13">
        <v>41350</v>
      </c>
      <c r="R1332" t="s">
        <v>62</v>
      </c>
      <c r="S1332" t="s">
        <v>86</v>
      </c>
      <c r="T1332" s="5">
        <v>12810</v>
      </c>
      <c r="U1332" s="6">
        <v>3</v>
      </c>
      <c r="V1332" t="s">
        <v>77</v>
      </c>
      <c r="W1332" s="4">
        <v>46057</v>
      </c>
      <c r="X1332" t="s">
        <v>64</v>
      </c>
      <c r="Y1332" t="s">
        <v>64</v>
      </c>
      <c r="Z1332" t="s">
        <v>78</v>
      </c>
      <c r="AA1332" t="str">
        <f>VLOOKUP(H1332,Departments!$A:$B,2,0)</f>
        <v>Cardiology</v>
      </c>
      <c r="AB1332" t="str">
        <f>VLOOKUP(J1332,Diagnosis_Guide!$A:$B,2,0)</f>
        <v>Hypertension Crisis</v>
      </c>
      <c r="AC1332" s="4" t="str">
        <f>VLOOKUP(J1332,Diagnosis_Guide!$A:$C,3,0)</f>
        <v>Cardiovascular</v>
      </c>
      <c r="AD1332" s="4" t="str">
        <f>VLOOKUP(R1332,Insurance_Plans!$A:$C,3,0)</f>
        <v>Public</v>
      </c>
      <c r="AE1332" s="13">
        <f t="shared" si="60"/>
        <v>2067.5</v>
      </c>
      <c r="AF1332" s="13">
        <f t="shared" si="61"/>
        <v>43417.5</v>
      </c>
      <c r="AG1332" s="4" t="str">
        <f t="shared" si="62"/>
        <v>Medium</v>
      </c>
    </row>
    <row r="1333" spans="1:33">
      <c r="A1333" t="s">
        <v>2091</v>
      </c>
      <c r="B1333" t="s">
        <v>1810</v>
      </c>
      <c r="C1333" s="11">
        <v>46038</v>
      </c>
      <c r="D1333" t="s">
        <v>110</v>
      </c>
      <c r="E1333" t="s">
        <v>56</v>
      </c>
      <c r="F1333" s="4"/>
      <c r="G1333" s="4"/>
      <c r="H1333" t="s">
        <v>57</v>
      </c>
      <c r="I1333" t="s">
        <v>169</v>
      </c>
      <c r="J1333" t="s">
        <v>59</v>
      </c>
      <c r="K1333" t="s">
        <v>73</v>
      </c>
      <c r="L1333" t="s">
        <v>94</v>
      </c>
      <c r="M1333" s="5"/>
      <c r="N1333" s="5"/>
      <c r="O1333" s="5"/>
      <c r="P1333" s="5"/>
      <c r="R1333" t="s">
        <v>85</v>
      </c>
      <c r="S1333" t="s">
        <v>63</v>
      </c>
      <c r="T1333" s="5"/>
      <c r="U1333" s="6"/>
      <c r="V1333" t="s">
        <v>64</v>
      </c>
      <c r="W1333" s="4"/>
      <c r="X1333" t="s">
        <v>65</v>
      </c>
      <c r="Z1333" t="s">
        <v>66</v>
      </c>
      <c r="AA1333" t="str">
        <f>VLOOKUP(H1333,Departments!$A:$B,2,0)</f>
        <v>Pulmonology</v>
      </c>
      <c r="AB1333" t="str">
        <f>VLOOKUP(J1333,Diagnosis_Guide!$A:$B,2,0)</f>
        <v>Pneumonia</v>
      </c>
      <c r="AC1333" s="4" t="str">
        <f>VLOOKUP(J1333,Diagnosis_Guide!$A:$C,3,0)</f>
        <v>Respiratory</v>
      </c>
      <c r="AD1333" s="4" t="str">
        <f>VLOOKUP(R1333,Insurance_Plans!$A:$C,3,0)</f>
        <v>Employer</v>
      </c>
      <c r="AE1333" s="13" t="str">
        <f t="shared" si="60"/>
        <v/>
      </c>
      <c r="AF1333" s="13" t="str">
        <f t="shared" si="61"/>
        <v/>
      </c>
      <c r="AG1333" s="4" t="str">
        <f t="shared" si="62"/>
        <v>Not Available</v>
      </c>
    </row>
    <row r="1334" spans="1:33">
      <c r="A1334" t="s">
        <v>2092</v>
      </c>
      <c r="B1334" t="s">
        <v>2093</v>
      </c>
      <c r="C1334" s="11">
        <v>46074</v>
      </c>
      <c r="D1334" t="s">
        <v>419</v>
      </c>
      <c r="E1334" t="s">
        <v>56</v>
      </c>
      <c r="F1334" s="4"/>
      <c r="G1334" s="4"/>
      <c r="H1334" t="s">
        <v>57</v>
      </c>
      <c r="I1334" t="s">
        <v>184</v>
      </c>
      <c r="J1334" t="s">
        <v>59</v>
      </c>
      <c r="K1334" t="s">
        <v>124</v>
      </c>
      <c r="L1334" t="s">
        <v>61</v>
      </c>
      <c r="M1334" s="5"/>
      <c r="N1334" s="5"/>
      <c r="O1334" s="5"/>
      <c r="P1334" s="5"/>
      <c r="R1334" t="s">
        <v>141</v>
      </c>
      <c r="S1334" t="s">
        <v>63</v>
      </c>
      <c r="T1334" s="5"/>
      <c r="U1334" s="6"/>
      <c r="V1334" t="s">
        <v>64</v>
      </c>
      <c r="W1334" s="4"/>
      <c r="X1334" t="s">
        <v>65</v>
      </c>
      <c r="Z1334" t="s">
        <v>66</v>
      </c>
      <c r="AA1334" t="str">
        <f>VLOOKUP(H1334,Departments!$A:$B,2,0)</f>
        <v>Pulmonology</v>
      </c>
      <c r="AB1334" t="str">
        <f>VLOOKUP(J1334,Diagnosis_Guide!$A:$B,2,0)</f>
        <v>Pneumonia</v>
      </c>
      <c r="AC1334" s="4" t="str">
        <f>VLOOKUP(J1334,Diagnosis_Guide!$A:$C,3,0)</f>
        <v>Respiratory</v>
      </c>
      <c r="AD1334" s="4" t="str">
        <f>VLOOKUP(R1334,Insurance_Plans!$A:$C,3,0)</f>
        <v>Private</v>
      </c>
      <c r="AE1334" s="13" t="str">
        <f t="shared" si="60"/>
        <v/>
      </c>
      <c r="AF1334" s="13" t="str">
        <f t="shared" si="61"/>
        <v/>
      </c>
      <c r="AG1334" s="4" t="str">
        <f t="shared" si="62"/>
        <v>Not Available</v>
      </c>
    </row>
    <row r="1335" spans="1:33">
      <c r="A1335" t="s">
        <v>2094</v>
      </c>
      <c r="B1335" t="s">
        <v>1537</v>
      </c>
      <c r="C1335" s="11">
        <v>46129</v>
      </c>
      <c r="D1335" t="s">
        <v>183</v>
      </c>
      <c r="E1335" t="s">
        <v>70</v>
      </c>
      <c r="F1335" s="4">
        <v>46129</v>
      </c>
      <c r="G1335" s="4">
        <v>46129</v>
      </c>
      <c r="H1335" t="s">
        <v>90</v>
      </c>
      <c r="I1335" t="s">
        <v>388</v>
      </c>
      <c r="J1335" t="s">
        <v>92</v>
      </c>
      <c r="K1335" t="s">
        <v>60</v>
      </c>
      <c r="L1335" t="s">
        <v>146</v>
      </c>
      <c r="M1335" s="5">
        <v>44700</v>
      </c>
      <c r="N1335" s="5">
        <v>5150</v>
      </c>
      <c r="O1335" s="5">
        <v>10350</v>
      </c>
      <c r="P1335" s="5">
        <v>0</v>
      </c>
      <c r="Q1335" s="13">
        <v>61700</v>
      </c>
      <c r="R1335" t="s">
        <v>62</v>
      </c>
      <c r="S1335" t="s">
        <v>76</v>
      </c>
      <c r="T1335" s="5">
        <v>18910</v>
      </c>
      <c r="U1335" s="6">
        <v>5</v>
      </c>
      <c r="V1335" t="s">
        <v>64</v>
      </c>
      <c r="W1335" s="4"/>
      <c r="X1335" t="s">
        <v>65</v>
      </c>
      <c r="Y1335" t="s">
        <v>64</v>
      </c>
      <c r="Z1335" t="s">
        <v>96</v>
      </c>
      <c r="AA1335" t="str">
        <f>VLOOKUP(H1335,Departments!$A:$B,2,0)</f>
        <v>Cardiology</v>
      </c>
      <c r="AB1335" t="str">
        <f>VLOOKUP(J1335,Diagnosis_Guide!$A:$B,2,0)</f>
        <v>Heart Failure</v>
      </c>
      <c r="AC1335" s="4" t="str">
        <f>VLOOKUP(J1335,Diagnosis_Guide!$A:$C,3,0)</f>
        <v>Cardiovascular</v>
      </c>
      <c r="AD1335" s="4" t="str">
        <f>VLOOKUP(R1335,Insurance_Plans!$A:$C,3,0)</f>
        <v>Public</v>
      </c>
      <c r="AE1335" s="13">
        <f t="shared" si="60"/>
        <v>3085</v>
      </c>
      <c r="AF1335" s="13">
        <f t="shared" si="61"/>
        <v>64785</v>
      </c>
      <c r="AG1335" s="4" t="str">
        <f t="shared" si="62"/>
        <v>High</v>
      </c>
    </row>
    <row r="1336" spans="1:33">
      <c r="A1336" t="s">
        <v>2095</v>
      </c>
      <c r="B1336" t="s">
        <v>789</v>
      </c>
      <c r="C1336" s="11">
        <v>46155</v>
      </c>
      <c r="D1336" t="s">
        <v>168</v>
      </c>
      <c r="E1336" t="s">
        <v>70</v>
      </c>
      <c r="F1336" s="4">
        <v>46155</v>
      </c>
      <c r="G1336" s="4">
        <v>46158</v>
      </c>
      <c r="H1336" t="s">
        <v>103</v>
      </c>
      <c r="I1336" t="s">
        <v>104</v>
      </c>
      <c r="J1336" t="s">
        <v>105</v>
      </c>
      <c r="K1336" t="s">
        <v>73</v>
      </c>
      <c r="L1336" t="s">
        <v>61</v>
      </c>
      <c r="M1336" s="5">
        <v>62400</v>
      </c>
      <c r="N1336" s="5">
        <v>5600</v>
      </c>
      <c r="O1336" s="5">
        <v>11300</v>
      </c>
      <c r="P1336" s="5">
        <v>9000</v>
      </c>
      <c r="Q1336" s="13">
        <v>90100</v>
      </c>
      <c r="R1336" t="s">
        <v>62</v>
      </c>
      <c r="S1336" t="s">
        <v>76</v>
      </c>
      <c r="T1336" s="5">
        <v>27430</v>
      </c>
      <c r="U1336" s="6">
        <v>4</v>
      </c>
      <c r="V1336" t="s">
        <v>77</v>
      </c>
      <c r="W1336" s="4">
        <v>46172</v>
      </c>
      <c r="X1336" t="s">
        <v>64</v>
      </c>
      <c r="Y1336" t="s">
        <v>64</v>
      </c>
      <c r="Z1336" t="s">
        <v>96</v>
      </c>
      <c r="AA1336" t="str">
        <f>VLOOKUP(H1336,Departments!$A:$B,2,0)</f>
        <v>Nephrology</v>
      </c>
      <c r="AB1336" t="str">
        <f>VLOOKUP(J1336,Diagnosis_Guide!$A:$B,2,0)</f>
        <v>Dialysis Complication</v>
      </c>
      <c r="AC1336" s="4" t="str">
        <f>VLOOKUP(J1336,Diagnosis_Guide!$A:$C,3,0)</f>
        <v>Renal</v>
      </c>
      <c r="AD1336" s="4" t="str">
        <f>VLOOKUP(R1336,Insurance_Plans!$A:$C,3,0)</f>
        <v>Public</v>
      </c>
      <c r="AE1336" s="13">
        <f t="shared" si="60"/>
        <v>4505</v>
      </c>
      <c r="AF1336" s="13">
        <f t="shared" si="61"/>
        <v>94605</v>
      </c>
      <c r="AG1336" s="4" t="str">
        <f t="shared" si="62"/>
        <v>High</v>
      </c>
    </row>
    <row r="1337" spans="1:33">
      <c r="A1337" t="s">
        <v>2096</v>
      </c>
      <c r="B1337" t="s">
        <v>403</v>
      </c>
      <c r="C1337" s="11">
        <v>46171</v>
      </c>
      <c r="D1337" t="s">
        <v>298</v>
      </c>
      <c r="E1337" t="s">
        <v>70</v>
      </c>
      <c r="F1337" s="4">
        <v>46171</v>
      </c>
      <c r="G1337" s="4">
        <v>46174</v>
      </c>
      <c r="H1337" t="s">
        <v>57</v>
      </c>
      <c r="I1337" t="s">
        <v>184</v>
      </c>
      <c r="J1337" t="s">
        <v>170</v>
      </c>
      <c r="K1337" t="s">
        <v>124</v>
      </c>
      <c r="L1337" t="s">
        <v>74</v>
      </c>
      <c r="M1337" s="5">
        <v>56800</v>
      </c>
      <c r="N1337" s="5">
        <v>4800</v>
      </c>
      <c r="O1337" s="5">
        <v>10700</v>
      </c>
      <c r="P1337" s="5">
        <v>10500</v>
      </c>
      <c r="Q1337" s="13">
        <v>84000</v>
      </c>
      <c r="R1337" t="s">
        <v>75</v>
      </c>
      <c r="S1337" t="s">
        <v>86</v>
      </c>
      <c r="T1337" s="5">
        <v>38100</v>
      </c>
      <c r="U1337" s="6">
        <v>4</v>
      </c>
      <c r="V1337" t="s">
        <v>64</v>
      </c>
      <c r="W1337" s="4"/>
      <c r="X1337" t="s">
        <v>65</v>
      </c>
      <c r="Y1337" t="s">
        <v>64</v>
      </c>
      <c r="Z1337" t="s">
        <v>78</v>
      </c>
      <c r="AA1337" t="str">
        <f>VLOOKUP(H1337,Departments!$A:$B,2,0)</f>
        <v>Pulmonology</v>
      </c>
      <c r="AB1337" t="str">
        <f>VLOOKUP(J1337,Diagnosis_Guide!$A:$B,2,0)</f>
        <v>COPD Exacerbation</v>
      </c>
      <c r="AC1337" s="4" t="str">
        <f>VLOOKUP(J1337,Diagnosis_Guide!$A:$C,3,0)</f>
        <v>Respiratory</v>
      </c>
      <c r="AD1337" s="4" t="str">
        <f>VLOOKUP(R1337,Insurance_Plans!$A:$C,3,0)</f>
        <v>Public</v>
      </c>
      <c r="AE1337" s="13">
        <f t="shared" si="60"/>
        <v>4200</v>
      </c>
      <c r="AF1337" s="13">
        <f t="shared" si="61"/>
        <v>88200</v>
      </c>
      <c r="AG1337" s="4" t="str">
        <f t="shared" si="62"/>
        <v>High</v>
      </c>
    </row>
    <row r="1338" spans="1:33">
      <c r="A1338" t="s">
        <v>2097</v>
      </c>
      <c r="B1338" t="s">
        <v>1515</v>
      </c>
      <c r="C1338" s="11">
        <v>46057</v>
      </c>
      <c r="D1338" t="s">
        <v>206</v>
      </c>
      <c r="E1338" t="s">
        <v>70</v>
      </c>
      <c r="F1338" s="4">
        <v>46057</v>
      </c>
      <c r="G1338" s="4">
        <v>46059</v>
      </c>
      <c r="H1338" t="s">
        <v>138</v>
      </c>
      <c r="I1338" t="s">
        <v>260</v>
      </c>
      <c r="J1338" t="s">
        <v>261</v>
      </c>
      <c r="K1338" t="s">
        <v>73</v>
      </c>
      <c r="L1338" t="s">
        <v>61</v>
      </c>
      <c r="M1338" s="5">
        <v>4600</v>
      </c>
      <c r="N1338" s="5">
        <v>400</v>
      </c>
      <c r="O1338" s="5">
        <v>1000</v>
      </c>
      <c r="P1338" s="5">
        <v>9000</v>
      </c>
      <c r="Q1338" s="13">
        <v>17500</v>
      </c>
      <c r="R1338" t="s">
        <v>106</v>
      </c>
      <c r="S1338" t="s">
        <v>76</v>
      </c>
      <c r="T1338" s="5">
        <v>6820</v>
      </c>
      <c r="U1338" s="6">
        <v>4</v>
      </c>
      <c r="V1338" t="s">
        <v>77</v>
      </c>
      <c r="W1338" s="4">
        <v>46069</v>
      </c>
      <c r="X1338" t="s">
        <v>77</v>
      </c>
      <c r="Y1338" t="s">
        <v>64</v>
      </c>
      <c r="Z1338" t="s">
        <v>107</v>
      </c>
      <c r="AA1338" t="str">
        <f>VLOOKUP(H1338,Departments!$A:$B,2,0)</f>
        <v>Pediatrics</v>
      </c>
      <c r="AB1338" t="str">
        <f>VLOOKUP(J1338,Diagnosis_Guide!$A:$B,2,0)</f>
        <v>Child Fever</v>
      </c>
      <c r="AC1338" s="4" t="str">
        <f>VLOOKUP(J1338,Diagnosis_Guide!$A:$C,3,0)</f>
        <v>Pediatric</v>
      </c>
      <c r="AD1338" s="4" t="str">
        <f>VLOOKUP(R1338,Insurance_Plans!$A:$C,3,0)</f>
        <v>Private</v>
      </c>
      <c r="AE1338" s="13">
        <f t="shared" si="60"/>
        <v>875</v>
      </c>
      <c r="AF1338" s="13">
        <f t="shared" si="61"/>
        <v>18375</v>
      </c>
      <c r="AG1338" s="4" t="str">
        <f t="shared" si="62"/>
        <v>High</v>
      </c>
    </row>
    <row r="1339" spans="1:33">
      <c r="A1339" t="s">
        <v>2098</v>
      </c>
      <c r="B1339" t="s">
        <v>532</v>
      </c>
      <c r="C1339" s="11">
        <v>46113</v>
      </c>
      <c r="D1339" t="s">
        <v>161</v>
      </c>
      <c r="E1339" t="s">
        <v>70</v>
      </c>
      <c r="F1339" s="4">
        <v>46113</v>
      </c>
      <c r="G1339" s="4">
        <v>46114</v>
      </c>
      <c r="H1339" t="s">
        <v>178</v>
      </c>
      <c r="I1339" t="s">
        <v>622</v>
      </c>
      <c r="J1339" t="s">
        <v>358</v>
      </c>
      <c r="K1339" t="s">
        <v>93</v>
      </c>
      <c r="L1339" t="s">
        <v>94</v>
      </c>
      <c r="M1339" s="5">
        <v>69000</v>
      </c>
      <c r="N1339" s="5">
        <v>5650</v>
      </c>
      <c r="O1339" s="5">
        <v>9250</v>
      </c>
      <c r="P1339" s="5">
        <v>2500</v>
      </c>
      <c r="Q1339" s="13">
        <v>87900</v>
      </c>
      <c r="R1339" t="s">
        <v>141</v>
      </c>
      <c r="S1339" t="s">
        <v>76</v>
      </c>
      <c r="T1339" s="5">
        <v>14390</v>
      </c>
      <c r="U1339" s="6">
        <v>5</v>
      </c>
      <c r="V1339" t="s">
        <v>77</v>
      </c>
      <c r="W1339" s="4">
        <v>46127</v>
      </c>
      <c r="X1339" t="s">
        <v>77</v>
      </c>
      <c r="Y1339" t="s">
        <v>64</v>
      </c>
      <c r="Z1339" t="s">
        <v>78</v>
      </c>
      <c r="AA1339" t="str">
        <f>VLOOKUP(H1339,Departments!$A:$B,2,0)</f>
        <v>Surgery</v>
      </c>
      <c r="AB1339" t="str">
        <f>VLOOKUP(J1339,Diagnosis_Guide!$A:$B,2,0)</f>
        <v>Gallbladder Surgery</v>
      </c>
      <c r="AC1339" s="4" t="str">
        <f>VLOOKUP(J1339,Diagnosis_Guide!$A:$C,3,0)</f>
        <v>Surgical</v>
      </c>
      <c r="AD1339" s="4" t="str">
        <f>VLOOKUP(R1339,Insurance_Plans!$A:$C,3,0)</f>
        <v>Private</v>
      </c>
      <c r="AE1339" s="13">
        <f t="shared" si="60"/>
        <v>4395</v>
      </c>
      <c r="AF1339" s="13">
        <f t="shared" si="61"/>
        <v>92295</v>
      </c>
      <c r="AG1339" s="4" t="str">
        <f t="shared" si="62"/>
        <v>High</v>
      </c>
    </row>
    <row r="1340" spans="1:33">
      <c r="A1340" t="s">
        <v>2099</v>
      </c>
      <c r="B1340" t="s">
        <v>919</v>
      </c>
      <c r="C1340" s="11">
        <v>46149</v>
      </c>
      <c r="D1340" t="s">
        <v>294</v>
      </c>
      <c r="E1340" t="s">
        <v>70</v>
      </c>
      <c r="F1340" s="4">
        <v>46149</v>
      </c>
      <c r="G1340" s="4">
        <v>46152</v>
      </c>
      <c r="H1340" t="s">
        <v>201</v>
      </c>
      <c r="I1340" t="s">
        <v>280</v>
      </c>
      <c r="J1340" t="s">
        <v>295</v>
      </c>
      <c r="K1340" t="s">
        <v>124</v>
      </c>
      <c r="L1340" t="s">
        <v>61</v>
      </c>
      <c r="M1340" s="5">
        <v>54900</v>
      </c>
      <c r="N1340" s="5">
        <v>6000</v>
      </c>
      <c r="O1340" s="5">
        <v>9350</v>
      </c>
      <c r="P1340" s="5">
        <v>9000</v>
      </c>
      <c r="Q1340" s="13">
        <v>80250</v>
      </c>
      <c r="R1340" t="s">
        <v>85</v>
      </c>
      <c r="S1340" t="s">
        <v>76</v>
      </c>
      <c r="T1340" s="5">
        <v>20960</v>
      </c>
      <c r="U1340" s="6"/>
      <c r="V1340" t="s">
        <v>77</v>
      </c>
      <c r="W1340" s="4">
        <v>46166</v>
      </c>
      <c r="X1340" t="s">
        <v>64</v>
      </c>
      <c r="Y1340" t="s">
        <v>64</v>
      </c>
      <c r="Z1340" t="s">
        <v>78</v>
      </c>
      <c r="AA1340" t="str">
        <f>VLOOKUP(H1340,Departments!$A:$B,2,0)</f>
        <v>Emergency</v>
      </c>
      <c r="AB1340" t="str">
        <f>VLOOKUP(J1340,Diagnosis_Guide!$A:$B,2,0)</f>
        <v>Accident Injury</v>
      </c>
      <c r="AC1340" s="4" t="str">
        <f>VLOOKUP(J1340,Diagnosis_Guide!$A:$C,3,0)</f>
        <v>Emergency</v>
      </c>
      <c r="AD1340" s="4" t="str">
        <f>VLOOKUP(R1340,Insurance_Plans!$A:$C,3,0)</f>
        <v>Employer</v>
      </c>
      <c r="AE1340" s="13">
        <f t="shared" si="60"/>
        <v>4012.5</v>
      </c>
      <c r="AF1340" s="13">
        <f t="shared" si="61"/>
        <v>84262.5</v>
      </c>
      <c r="AG1340" s="4" t="str">
        <f t="shared" si="62"/>
        <v>Not Available</v>
      </c>
    </row>
    <row r="1341" spans="1:33">
      <c r="A1341" t="s">
        <v>2100</v>
      </c>
      <c r="B1341" t="s">
        <v>596</v>
      </c>
      <c r="C1341" s="11">
        <v>46124</v>
      </c>
      <c r="D1341" t="s">
        <v>89</v>
      </c>
      <c r="E1341" t="s">
        <v>70</v>
      </c>
      <c r="F1341" s="4">
        <v>46125</v>
      </c>
      <c r="G1341" s="4">
        <v>46130</v>
      </c>
      <c r="H1341" t="s">
        <v>150</v>
      </c>
      <c r="I1341" t="s">
        <v>239</v>
      </c>
      <c r="J1341" t="s">
        <v>188</v>
      </c>
      <c r="K1341" t="s">
        <v>73</v>
      </c>
      <c r="L1341" t="s">
        <v>94</v>
      </c>
      <c r="M1341" s="5">
        <v>132300</v>
      </c>
      <c r="N1341" s="5">
        <v>16450</v>
      </c>
      <c r="O1341" s="5">
        <v>17600</v>
      </c>
      <c r="P1341" s="5">
        <v>22500</v>
      </c>
      <c r="Q1341" s="13">
        <v>190650</v>
      </c>
      <c r="R1341" t="s">
        <v>95</v>
      </c>
      <c r="S1341" t="s">
        <v>63</v>
      </c>
      <c r="T1341" s="5">
        <v>190650</v>
      </c>
      <c r="U1341" s="6">
        <v>2</v>
      </c>
      <c r="V1341" t="s">
        <v>77</v>
      </c>
      <c r="W1341" s="4">
        <v>46150</v>
      </c>
      <c r="X1341" t="s">
        <v>64</v>
      </c>
      <c r="Y1341" t="s">
        <v>64</v>
      </c>
      <c r="Z1341" t="s">
        <v>78</v>
      </c>
      <c r="AA1341" t="str">
        <f>VLOOKUP(H1341,Departments!$A:$B,2,0)</f>
        <v>Obstetrics</v>
      </c>
      <c r="AB1341" t="str">
        <f>VLOOKUP(J1341,Diagnosis_Guide!$A:$B,2,0)</f>
        <v>Emergency C-Section</v>
      </c>
      <c r="AC1341" s="4" t="str">
        <f>VLOOKUP(J1341,Diagnosis_Guide!$A:$C,3,0)</f>
        <v>Maternal Health</v>
      </c>
      <c r="AD1341" s="4" t="str">
        <f>VLOOKUP(R1341,Insurance_Plans!$A:$C,3,0)</f>
        <v>Self-Pay</v>
      </c>
      <c r="AE1341" s="13">
        <f t="shared" si="60"/>
        <v>9532.5</v>
      </c>
      <c r="AF1341" s="13">
        <f t="shared" si="61"/>
        <v>200182.5</v>
      </c>
      <c r="AG1341" s="4" t="str">
        <f t="shared" si="62"/>
        <v>Low</v>
      </c>
    </row>
    <row r="1342" spans="1:33">
      <c r="A1342" t="s">
        <v>2101</v>
      </c>
      <c r="B1342" t="s">
        <v>2102</v>
      </c>
      <c r="C1342" s="11">
        <v>46114</v>
      </c>
      <c r="D1342" t="s">
        <v>259</v>
      </c>
      <c r="E1342" t="s">
        <v>70</v>
      </c>
      <c r="F1342" s="4">
        <v>46114</v>
      </c>
      <c r="G1342" s="4">
        <v>46115</v>
      </c>
      <c r="H1342" t="s">
        <v>138</v>
      </c>
      <c r="I1342" t="s">
        <v>260</v>
      </c>
      <c r="J1342" t="s">
        <v>236</v>
      </c>
      <c r="K1342" t="s">
        <v>60</v>
      </c>
      <c r="L1342" t="s">
        <v>61</v>
      </c>
      <c r="M1342" s="5">
        <v>34700</v>
      </c>
      <c r="N1342" s="5">
        <v>6150</v>
      </c>
      <c r="O1342" s="5">
        <v>5400</v>
      </c>
      <c r="P1342" s="5">
        <v>4500</v>
      </c>
      <c r="Q1342" s="13">
        <v>53250</v>
      </c>
      <c r="R1342" t="s">
        <v>141</v>
      </c>
      <c r="S1342" t="s">
        <v>76</v>
      </c>
      <c r="T1342" s="5">
        <v>9190</v>
      </c>
      <c r="U1342" s="6">
        <v>4</v>
      </c>
      <c r="V1342" t="s">
        <v>77</v>
      </c>
      <c r="W1342" s="4">
        <v>46122</v>
      </c>
      <c r="X1342" t="s">
        <v>77</v>
      </c>
      <c r="Y1342" t="s">
        <v>64</v>
      </c>
      <c r="Z1342" t="s">
        <v>78</v>
      </c>
      <c r="AA1342" t="str">
        <f>VLOOKUP(H1342,Departments!$A:$B,2,0)</f>
        <v>Pediatrics</v>
      </c>
      <c r="AB1342" t="str">
        <f>VLOOKUP(J1342,Diagnosis_Guide!$A:$B,2,0)</f>
        <v>Neonatal Observation</v>
      </c>
      <c r="AC1342" s="4" t="str">
        <f>VLOOKUP(J1342,Diagnosis_Guide!$A:$C,3,0)</f>
        <v>Pediatric</v>
      </c>
      <c r="AD1342" s="4" t="str">
        <f>VLOOKUP(R1342,Insurance_Plans!$A:$C,3,0)</f>
        <v>Private</v>
      </c>
      <c r="AE1342" s="13">
        <f t="shared" si="60"/>
        <v>2662.5</v>
      </c>
      <c r="AF1342" s="13">
        <f t="shared" si="61"/>
        <v>55912.5</v>
      </c>
      <c r="AG1342" s="4" t="str">
        <f t="shared" si="62"/>
        <v>High</v>
      </c>
    </row>
    <row r="1343" spans="1:33">
      <c r="A1343" t="s">
        <v>2103</v>
      </c>
      <c r="B1343" t="s">
        <v>2026</v>
      </c>
      <c r="C1343" s="11">
        <v>46085</v>
      </c>
      <c r="D1343" t="s">
        <v>266</v>
      </c>
      <c r="E1343" t="s">
        <v>338</v>
      </c>
      <c r="F1343" s="4"/>
      <c r="G1343" s="4"/>
      <c r="H1343" t="s">
        <v>90</v>
      </c>
      <c r="I1343" t="s">
        <v>162</v>
      </c>
      <c r="J1343" t="s">
        <v>129</v>
      </c>
      <c r="K1343" t="s">
        <v>124</v>
      </c>
      <c r="L1343" t="s">
        <v>146</v>
      </c>
      <c r="M1343" s="5"/>
      <c r="N1343" s="5"/>
      <c r="O1343" s="5"/>
      <c r="P1343" s="5"/>
      <c r="R1343" t="s">
        <v>106</v>
      </c>
      <c r="S1343" t="s">
        <v>63</v>
      </c>
      <c r="T1343" s="5"/>
      <c r="U1343" s="6"/>
      <c r="V1343" t="s">
        <v>64</v>
      </c>
      <c r="W1343" s="4"/>
      <c r="X1343" t="s">
        <v>65</v>
      </c>
      <c r="Z1343" t="s">
        <v>66</v>
      </c>
      <c r="AA1343" t="str">
        <f>VLOOKUP(H1343,Departments!$A:$B,2,0)</f>
        <v>Cardiology</v>
      </c>
      <c r="AB1343" t="str">
        <f>VLOOKUP(J1343,Diagnosis_Guide!$A:$B,2,0)</f>
        <v>Hypertension Crisis</v>
      </c>
      <c r="AC1343" s="4" t="str">
        <f>VLOOKUP(J1343,Diagnosis_Guide!$A:$C,3,0)</f>
        <v>Cardiovascular</v>
      </c>
      <c r="AD1343" s="4" t="str">
        <f>VLOOKUP(R1343,Insurance_Plans!$A:$C,3,0)</f>
        <v>Private</v>
      </c>
      <c r="AE1343" s="13" t="str">
        <f t="shared" si="60"/>
        <v/>
      </c>
      <c r="AF1343" s="13" t="str">
        <f t="shared" si="61"/>
        <v/>
      </c>
      <c r="AG1343" s="4" t="str">
        <f t="shared" si="62"/>
        <v>Not Available</v>
      </c>
    </row>
    <row r="1344" spans="1:33">
      <c r="A1344" t="s">
        <v>2104</v>
      </c>
      <c r="B1344" t="s">
        <v>88</v>
      </c>
      <c r="C1344" s="11">
        <v>46114</v>
      </c>
      <c r="D1344" t="s">
        <v>210</v>
      </c>
      <c r="E1344" t="s">
        <v>70</v>
      </c>
      <c r="F1344" s="4">
        <v>46114</v>
      </c>
      <c r="G1344" s="4">
        <v>46116</v>
      </c>
      <c r="H1344" t="s">
        <v>90</v>
      </c>
      <c r="I1344" t="s">
        <v>133</v>
      </c>
      <c r="J1344" t="s">
        <v>197</v>
      </c>
      <c r="K1344" t="s">
        <v>124</v>
      </c>
      <c r="L1344" t="s">
        <v>94</v>
      </c>
      <c r="M1344" s="5">
        <v>20600</v>
      </c>
      <c r="N1344" s="5">
        <v>2750</v>
      </c>
      <c r="O1344" s="5">
        <v>3150</v>
      </c>
      <c r="P1344" s="5">
        <v>6000</v>
      </c>
      <c r="Q1344" s="13">
        <v>34500</v>
      </c>
      <c r="R1344" t="s">
        <v>85</v>
      </c>
      <c r="S1344" t="s">
        <v>76</v>
      </c>
      <c r="T1344" s="5">
        <v>9520</v>
      </c>
      <c r="U1344" s="6">
        <v>3</v>
      </c>
      <c r="V1344" t="s">
        <v>64</v>
      </c>
      <c r="W1344" s="4"/>
      <c r="X1344" t="s">
        <v>65</v>
      </c>
      <c r="Y1344" t="s">
        <v>64</v>
      </c>
      <c r="Z1344" t="s">
        <v>96</v>
      </c>
      <c r="AA1344" t="str">
        <f>VLOOKUP(H1344,Departments!$A:$B,2,0)</f>
        <v>Cardiology</v>
      </c>
      <c r="AB1344" t="str">
        <f>VLOOKUP(J1344,Diagnosis_Guide!$A:$B,2,0)</f>
        <v>Chest Pain</v>
      </c>
      <c r="AC1344" s="4" t="str">
        <f>VLOOKUP(J1344,Diagnosis_Guide!$A:$C,3,0)</f>
        <v>Cardiovascular</v>
      </c>
      <c r="AD1344" s="4" t="str">
        <f>VLOOKUP(R1344,Insurance_Plans!$A:$C,3,0)</f>
        <v>Employer</v>
      </c>
      <c r="AE1344" s="13">
        <f t="shared" si="60"/>
        <v>1725</v>
      </c>
      <c r="AF1344" s="13">
        <f t="shared" si="61"/>
        <v>36225</v>
      </c>
      <c r="AG1344" s="4" t="str">
        <f t="shared" si="62"/>
        <v>Medium</v>
      </c>
    </row>
    <row r="1345" spans="1:33">
      <c r="A1345" t="s">
        <v>2105</v>
      </c>
      <c r="B1345" t="s">
        <v>545</v>
      </c>
      <c r="C1345" s="11">
        <v>46148</v>
      </c>
      <c r="D1345" t="s">
        <v>363</v>
      </c>
      <c r="E1345" t="s">
        <v>191</v>
      </c>
      <c r="F1345" s="4"/>
      <c r="G1345" s="4"/>
      <c r="H1345" t="s">
        <v>201</v>
      </c>
      <c r="I1345" t="s">
        <v>327</v>
      </c>
      <c r="J1345" t="s">
        <v>281</v>
      </c>
      <c r="K1345" t="s">
        <v>124</v>
      </c>
      <c r="L1345" t="s">
        <v>74</v>
      </c>
      <c r="M1345" s="5"/>
      <c r="N1345" s="5"/>
      <c r="O1345" s="5"/>
      <c r="P1345" s="5"/>
      <c r="R1345" t="s">
        <v>95</v>
      </c>
      <c r="S1345" t="s">
        <v>63</v>
      </c>
      <c r="T1345" s="5"/>
      <c r="U1345" s="6"/>
      <c r="V1345" t="s">
        <v>64</v>
      </c>
      <c r="W1345" s="4"/>
      <c r="X1345" t="s">
        <v>65</v>
      </c>
      <c r="Z1345" t="s">
        <v>66</v>
      </c>
      <c r="AA1345" t="str">
        <f>VLOOKUP(H1345,Departments!$A:$B,2,0)</f>
        <v>Emergency</v>
      </c>
      <c r="AB1345" t="str">
        <f>VLOOKUP(J1345,Diagnosis_Guide!$A:$B,2,0)</f>
        <v>Food Poisoning</v>
      </c>
      <c r="AC1345" s="4" t="str">
        <f>VLOOKUP(J1345,Diagnosis_Guide!$A:$C,3,0)</f>
        <v>Emergency</v>
      </c>
      <c r="AD1345" s="4" t="str">
        <f>VLOOKUP(R1345,Insurance_Plans!$A:$C,3,0)</f>
        <v>Self-Pay</v>
      </c>
      <c r="AE1345" s="13" t="str">
        <f t="shared" si="60"/>
        <v/>
      </c>
      <c r="AF1345" s="13" t="str">
        <f t="shared" si="61"/>
        <v/>
      </c>
      <c r="AG1345" s="4" t="str">
        <f t="shared" si="62"/>
        <v>Not Available</v>
      </c>
    </row>
    <row r="1346" spans="1:33">
      <c r="A1346" t="s">
        <v>2106</v>
      </c>
      <c r="B1346" t="s">
        <v>409</v>
      </c>
      <c r="C1346" s="11">
        <v>46109</v>
      </c>
      <c r="D1346" t="s">
        <v>242</v>
      </c>
      <c r="E1346" t="s">
        <v>177</v>
      </c>
      <c r="F1346" s="4"/>
      <c r="G1346" s="4"/>
      <c r="H1346" t="s">
        <v>82</v>
      </c>
      <c r="I1346" t="s">
        <v>155</v>
      </c>
      <c r="J1346" t="s">
        <v>84</v>
      </c>
      <c r="K1346" t="s">
        <v>60</v>
      </c>
      <c r="L1346" t="s">
        <v>74</v>
      </c>
      <c r="M1346" s="5"/>
      <c r="N1346" s="5"/>
      <c r="O1346" s="5"/>
      <c r="P1346" s="5"/>
      <c r="R1346" t="s">
        <v>134</v>
      </c>
      <c r="S1346" t="s">
        <v>63</v>
      </c>
      <c r="T1346" s="5"/>
      <c r="U1346" s="6"/>
      <c r="V1346" t="s">
        <v>64</v>
      </c>
      <c r="W1346" s="4"/>
      <c r="X1346" t="s">
        <v>65</v>
      </c>
      <c r="Z1346" t="s">
        <v>66</v>
      </c>
      <c r="AA1346" t="str">
        <f>VLOOKUP(H1346,Departments!$A:$B,2,0)</f>
        <v>Orthopedics</v>
      </c>
      <c r="AB1346" t="str">
        <f>VLOOKUP(J1346,Diagnosis_Guide!$A:$B,2,0)</f>
        <v>Joint Pain</v>
      </c>
      <c r="AC1346" s="4" t="str">
        <f>VLOOKUP(J1346,Diagnosis_Guide!$A:$C,3,0)</f>
        <v>Musculoskeletal</v>
      </c>
      <c r="AD1346" s="4" t="str">
        <f>VLOOKUP(R1346,Insurance_Plans!$A:$C,3,0)</f>
        <v>Community</v>
      </c>
      <c r="AE1346" s="13" t="str">
        <f t="shared" ref="AE1346:AE1401" si="63">IF(Q1346="","",Q1346*0.05)</f>
        <v/>
      </c>
      <c r="AF1346" s="13" t="str">
        <f t="shared" ref="AF1346:AF1401" si="64">IF(Q1346="","",Q1346+AE1346)</f>
        <v/>
      </c>
      <c r="AG1346" s="4" t="str">
        <f t="shared" ref="AG1346:AG1401" si="65">IF(U1346="","Not Available",IF(U1346&gt;=4,"High",IF(U1346=3,"Medium","Low")))</f>
        <v>Not Available</v>
      </c>
    </row>
    <row r="1347" spans="1:33">
      <c r="A1347" t="s">
        <v>2107</v>
      </c>
      <c r="B1347" t="s">
        <v>890</v>
      </c>
      <c r="C1347" s="11">
        <v>46087</v>
      </c>
      <c r="D1347" t="s">
        <v>120</v>
      </c>
      <c r="E1347" t="s">
        <v>70</v>
      </c>
      <c r="F1347" s="4">
        <v>46087</v>
      </c>
      <c r="G1347" s="4">
        <v>46090</v>
      </c>
      <c r="H1347" t="s">
        <v>57</v>
      </c>
      <c r="I1347" t="s">
        <v>169</v>
      </c>
      <c r="J1347" t="s">
        <v>72</v>
      </c>
      <c r="K1347" t="s">
        <v>124</v>
      </c>
      <c r="L1347" t="s">
        <v>74</v>
      </c>
      <c r="M1347" s="5">
        <v>8600</v>
      </c>
      <c r="N1347" s="5">
        <v>950</v>
      </c>
      <c r="O1347" s="5">
        <v>1000</v>
      </c>
      <c r="P1347" s="5">
        <v>13500</v>
      </c>
      <c r="Q1347" s="13">
        <v>24850</v>
      </c>
      <c r="R1347" t="s">
        <v>134</v>
      </c>
      <c r="S1347" t="s">
        <v>76</v>
      </c>
      <c r="T1347" s="5">
        <v>13870</v>
      </c>
      <c r="U1347" s="6"/>
      <c r="V1347" t="s">
        <v>64</v>
      </c>
      <c r="W1347" s="4"/>
      <c r="X1347" t="s">
        <v>65</v>
      </c>
      <c r="Y1347" t="s">
        <v>64</v>
      </c>
      <c r="Z1347" t="s">
        <v>107</v>
      </c>
      <c r="AA1347" t="str">
        <f>VLOOKUP(H1347,Departments!$A:$B,2,0)</f>
        <v>Pulmonology</v>
      </c>
      <c r="AB1347" t="str">
        <f>VLOOKUP(J1347,Diagnosis_Guide!$A:$B,2,0)</f>
        <v>Acute Bronchitis</v>
      </c>
      <c r="AC1347" s="4" t="str">
        <f>VLOOKUP(J1347,Diagnosis_Guide!$A:$C,3,0)</f>
        <v>Respiratory</v>
      </c>
      <c r="AD1347" s="4" t="str">
        <f>VLOOKUP(R1347,Insurance_Plans!$A:$C,3,0)</f>
        <v>Community</v>
      </c>
      <c r="AE1347" s="13">
        <f t="shared" si="63"/>
        <v>1242.5</v>
      </c>
      <c r="AF1347" s="13">
        <f t="shared" si="64"/>
        <v>26092.5</v>
      </c>
      <c r="AG1347" s="4" t="str">
        <f t="shared" si="65"/>
        <v>Not Available</v>
      </c>
    </row>
    <row r="1348" spans="1:33">
      <c r="A1348" t="s">
        <v>2108</v>
      </c>
      <c r="B1348" t="s">
        <v>1444</v>
      </c>
      <c r="C1348" s="11">
        <v>46139</v>
      </c>
      <c r="D1348" t="s">
        <v>132</v>
      </c>
      <c r="E1348" t="s">
        <v>70</v>
      </c>
      <c r="F1348" s="4">
        <v>46139</v>
      </c>
      <c r="G1348" s="4">
        <v>46143</v>
      </c>
      <c r="H1348" t="s">
        <v>57</v>
      </c>
      <c r="I1348" t="s">
        <v>211</v>
      </c>
      <c r="J1348" t="s">
        <v>170</v>
      </c>
      <c r="K1348" t="s">
        <v>73</v>
      </c>
      <c r="L1348" t="s">
        <v>94</v>
      </c>
      <c r="M1348" s="5">
        <v>52800</v>
      </c>
      <c r="N1348" s="5">
        <v>5200</v>
      </c>
      <c r="O1348" s="5">
        <v>8550</v>
      </c>
      <c r="P1348" s="5">
        <v>14000</v>
      </c>
      <c r="Q1348" s="13">
        <v>82550</v>
      </c>
      <c r="R1348" t="s">
        <v>95</v>
      </c>
      <c r="S1348" t="s">
        <v>63</v>
      </c>
      <c r="T1348" s="5">
        <v>82550</v>
      </c>
      <c r="U1348" s="6">
        <v>5</v>
      </c>
      <c r="V1348" t="s">
        <v>77</v>
      </c>
      <c r="W1348" s="4">
        <v>46154</v>
      </c>
      <c r="X1348" t="s">
        <v>77</v>
      </c>
      <c r="Y1348" t="s">
        <v>64</v>
      </c>
      <c r="Z1348" t="s">
        <v>96</v>
      </c>
      <c r="AA1348" t="str">
        <f>VLOOKUP(H1348,Departments!$A:$B,2,0)</f>
        <v>Pulmonology</v>
      </c>
      <c r="AB1348" t="str">
        <f>VLOOKUP(J1348,Diagnosis_Guide!$A:$B,2,0)</f>
        <v>COPD Exacerbation</v>
      </c>
      <c r="AC1348" s="4" t="str">
        <f>VLOOKUP(J1348,Diagnosis_Guide!$A:$C,3,0)</f>
        <v>Respiratory</v>
      </c>
      <c r="AD1348" s="4" t="str">
        <f>VLOOKUP(R1348,Insurance_Plans!$A:$C,3,0)</f>
        <v>Self-Pay</v>
      </c>
      <c r="AE1348" s="13">
        <f t="shared" si="63"/>
        <v>4127.5</v>
      </c>
      <c r="AF1348" s="13">
        <f t="shared" si="64"/>
        <v>86677.5</v>
      </c>
      <c r="AG1348" s="4" t="str">
        <f t="shared" si="65"/>
        <v>High</v>
      </c>
    </row>
    <row r="1349" spans="1:33">
      <c r="A1349" t="s">
        <v>2109</v>
      </c>
      <c r="B1349" t="s">
        <v>986</v>
      </c>
      <c r="C1349" s="11">
        <v>46063</v>
      </c>
      <c r="D1349" t="s">
        <v>419</v>
      </c>
      <c r="E1349" t="s">
        <v>70</v>
      </c>
      <c r="F1349" s="4">
        <v>46063</v>
      </c>
      <c r="G1349" s="4">
        <v>46063</v>
      </c>
      <c r="H1349" t="s">
        <v>150</v>
      </c>
      <c r="I1349" t="s">
        <v>247</v>
      </c>
      <c r="J1349" t="s">
        <v>152</v>
      </c>
      <c r="K1349" t="s">
        <v>60</v>
      </c>
      <c r="L1349" t="s">
        <v>94</v>
      </c>
      <c r="M1349" s="5">
        <v>25700</v>
      </c>
      <c r="N1349" s="5">
        <v>3450</v>
      </c>
      <c r="O1349" s="5">
        <v>4000</v>
      </c>
      <c r="P1349" s="5">
        <v>0</v>
      </c>
      <c r="Q1349" s="13">
        <v>34150</v>
      </c>
      <c r="R1349" t="s">
        <v>85</v>
      </c>
      <c r="S1349" t="s">
        <v>76</v>
      </c>
      <c r="T1349" s="5">
        <v>9440</v>
      </c>
      <c r="U1349" s="6">
        <v>5</v>
      </c>
      <c r="V1349" t="s">
        <v>64</v>
      </c>
      <c r="W1349" s="4"/>
      <c r="X1349" t="s">
        <v>65</v>
      </c>
      <c r="Y1349" t="s">
        <v>64</v>
      </c>
      <c r="Z1349" t="s">
        <v>96</v>
      </c>
      <c r="AA1349" t="str">
        <f>VLOOKUP(H1349,Departments!$A:$B,2,0)</f>
        <v>Obstetrics</v>
      </c>
      <c r="AB1349" t="str">
        <f>VLOOKUP(J1349,Diagnosis_Guide!$A:$B,2,0)</f>
        <v>Antenatal Complication</v>
      </c>
      <c r="AC1349" s="4" t="str">
        <f>VLOOKUP(J1349,Diagnosis_Guide!$A:$C,3,0)</f>
        <v>Maternal Health</v>
      </c>
      <c r="AD1349" s="4" t="str">
        <f>VLOOKUP(R1349,Insurance_Plans!$A:$C,3,0)</f>
        <v>Employer</v>
      </c>
      <c r="AE1349" s="13">
        <f t="shared" si="63"/>
        <v>1707.5</v>
      </c>
      <c r="AF1349" s="13">
        <f t="shared" si="64"/>
        <v>35857.5</v>
      </c>
      <c r="AG1349" s="4" t="str">
        <f t="shared" si="65"/>
        <v>High</v>
      </c>
    </row>
    <row r="1350" spans="1:33">
      <c r="A1350" t="s">
        <v>2110</v>
      </c>
      <c r="B1350" t="s">
        <v>1760</v>
      </c>
      <c r="C1350" s="11">
        <v>46072</v>
      </c>
      <c r="D1350" t="s">
        <v>307</v>
      </c>
      <c r="E1350" t="s">
        <v>70</v>
      </c>
      <c r="F1350" s="4">
        <v>46073</v>
      </c>
      <c r="G1350" s="4">
        <v>46077</v>
      </c>
      <c r="H1350" t="s">
        <v>150</v>
      </c>
      <c r="I1350" t="s">
        <v>187</v>
      </c>
      <c r="J1350" t="s">
        <v>152</v>
      </c>
      <c r="K1350" t="s">
        <v>124</v>
      </c>
      <c r="L1350" t="s">
        <v>61</v>
      </c>
      <c r="M1350" s="5">
        <v>23100</v>
      </c>
      <c r="N1350" s="5">
        <v>3050</v>
      </c>
      <c r="O1350" s="5">
        <v>3600</v>
      </c>
      <c r="P1350" s="5">
        <v>18000</v>
      </c>
      <c r="Q1350" s="13">
        <v>50250</v>
      </c>
      <c r="R1350" t="s">
        <v>134</v>
      </c>
      <c r="S1350" t="s">
        <v>76</v>
      </c>
      <c r="T1350" s="5">
        <v>27840</v>
      </c>
      <c r="U1350" s="6">
        <v>4</v>
      </c>
      <c r="V1350" t="s">
        <v>64</v>
      </c>
      <c r="W1350" s="4"/>
      <c r="X1350" t="s">
        <v>65</v>
      </c>
      <c r="Y1350" t="s">
        <v>64</v>
      </c>
      <c r="Z1350" t="s">
        <v>78</v>
      </c>
      <c r="AA1350" t="str">
        <f>VLOOKUP(H1350,Departments!$A:$B,2,0)</f>
        <v>Obstetrics</v>
      </c>
      <c r="AB1350" t="str">
        <f>VLOOKUP(J1350,Diagnosis_Guide!$A:$B,2,0)</f>
        <v>Antenatal Complication</v>
      </c>
      <c r="AC1350" s="4" t="str">
        <f>VLOOKUP(J1350,Diagnosis_Guide!$A:$C,3,0)</f>
        <v>Maternal Health</v>
      </c>
      <c r="AD1350" s="4" t="str">
        <f>VLOOKUP(R1350,Insurance_Plans!$A:$C,3,0)</f>
        <v>Community</v>
      </c>
      <c r="AE1350" s="13">
        <f t="shared" si="63"/>
        <v>2512.5</v>
      </c>
      <c r="AF1350" s="13">
        <f t="shared" si="64"/>
        <v>52762.5</v>
      </c>
      <c r="AG1350" s="4" t="str">
        <f t="shared" si="65"/>
        <v>High</v>
      </c>
    </row>
    <row r="1351" spans="1:33">
      <c r="A1351" t="s">
        <v>2111</v>
      </c>
      <c r="B1351" t="s">
        <v>1461</v>
      </c>
      <c r="C1351" s="11">
        <v>46092</v>
      </c>
      <c r="D1351" t="s">
        <v>234</v>
      </c>
      <c r="E1351" t="s">
        <v>70</v>
      </c>
      <c r="F1351" s="4">
        <v>46092</v>
      </c>
      <c r="G1351" s="4">
        <v>46092</v>
      </c>
      <c r="H1351" t="s">
        <v>90</v>
      </c>
      <c r="I1351" t="s">
        <v>299</v>
      </c>
      <c r="J1351" t="s">
        <v>92</v>
      </c>
      <c r="K1351" t="s">
        <v>60</v>
      </c>
      <c r="L1351" t="s">
        <v>61</v>
      </c>
      <c r="M1351" s="5">
        <v>65100</v>
      </c>
      <c r="N1351" s="5">
        <v>9150</v>
      </c>
      <c r="O1351" s="5">
        <v>8050</v>
      </c>
      <c r="P1351" s="5">
        <v>0</v>
      </c>
      <c r="Q1351" s="13">
        <v>83800</v>
      </c>
      <c r="R1351" t="s">
        <v>141</v>
      </c>
      <c r="S1351" t="s">
        <v>76</v>
      </c>
      <c r="T1351" s="5">
        <v>13770</v>
      </c>
      <c r="U1351" s="6">
        <v>4</v>
      </c>
      <c r="V1351" t="s">
        <v>77</v>
      </c>
      <c r="W1351" s="4">
        <v>46107</v>
      </c>
      <c r="X1351" t="s">
        <v>77</v>
      </c>
      <c r="Y1351" t="s">
        <v>64</v>
      </c>
      <c r="Z1351" t="s">
        <v>436</v>
      </c>
      <c r="AA1351" t="str">
        <f>VLOOKUP(H1351,Departments!$A:$B,2,0)</f>
        <v>Cardiology</v>
      </c>
      <c r="AB1351" t="str">
        <f>VLOOKUP(J1351,Diagnosis_Guide!$A:$B,2,0)</f>
        <v>Heart Failure</v>
      </c>
      <c r="AC1351" s="4" t="str">
        <f>VLOOKUP(J1351,Diagnosis_Guide!$A:$C,3,0)</f>
        <v>Cardiovascular</v>
      </c>
      <c r="AD1351" s="4" t="str">
        <f>VLOOKUP(R1351,Insurance_Plans!$A:$C,3,0)</f>
        <v>Private</v>
      </c>
      <c r="AE1351" s="13">
        <f t="shared" si="63"/>
        <v>4190</v>
      </c>
      <c r="AF1351" s="13">
        <f t="shared" si="64"/>
        <v>87990</v>
      </c>
      <c r="AG1351" s="4" t="str">
        <f t="shared" si="65"/>
        <v>High</v>
      </c>
    </row>
    <row r="1352" spans="1:33">
      <c r="A1352" t="s">
        <v>2112</v>
      </c>
      <c r="B1352" t="s">
        <v>446</v>
      </c>
      <c r="C1352" s="11">
        <v>46061</v>
      </c>
      <c r="D1352" t="s">
        <v>168</v>
      </c>
      <c r="E1352" t="s">
        <v>314</v>
      </c>
      <c r="F1352" s="4"/>
      <c r="G1352" s="4"/>
      <c r="H1352" t="s">
        <v>103</v>
      </c>
      <c r="I1352" t="s">
        <v>412</v>
      </c>
      <c r="J1352" t="s">
        <v>145</v>
      </c>
      <c r="K1352" t="s">
        <v>73</v>
      </c>
      <c r="L1352" t="s">
        <v>94</v>
      </c>
      <c r="M1352" s="5"/>
      <c r="N1352" s="5"/>
      <c r="O1352" s="5"/>
      <c r="P1352" s="5"/>
      <c r="R1352" t="s">
        <v>134</v>
      </c>
      <c r="S1352" t="s">
        <v>63</v>
      </c>
      <c r="T1352" s="5"/>
      <c r="U1352" s="6"/>
      <c r="V1352" t="s">
        <v>64</v>
      </c>
      <c r="W1352" s="4"/>
      <c r="X1352" t="s">
        <v>65</v>
      </c>
      <c r="Z1352" t="s">
        <v>66</v>
      </c>
      <c r="AA1352" t="str">
        <f>VLOOKUP(H1352,Departments!$A:$B,2,0)</f>
        <v>Nephrology</v>
      </c>
      <c r="AB1352" t="str">
        <f>VLOOKUP(J1352,Diagnosis_Guide!$A:$B,2,0)</f>
        <v>Kidney Stone</v>
      </c>
      <c r="AC1352" s="4" t="str">
        <f>VLOOKUP(J1352,Diagnosis_Guide!$A:$C,3,0)</f>
        <v>Renal</v>
      </c>
      <c r="AD1352" s="4" t="str">
        <f>VLOOKUP(R1352,Insurance_Plans!$A:$C,3,0)</f>
        <v>Community</v>
      </c>
      <c r="AE1352" s="13" t="str">
        <f t="shared" si="63"/>
        <v/>
      </c>
      <c r="AF1352" s="13" t="str">
        <f t="shared" si="64"/>
        <v/>
      </c>
      <c r="AG1352" s="4" t="str">
        <f t="shared" si="65"/>
        <v>Not Available</v>
      </c>
    </row>
    <row r="1353" spans="1:33">
      <c r="A1353" t="s">
        <v>2113</v>
      </c>
      <c r="B1353" t="s">
        <v>1164</v>
      </c>
      <c r="C1353" s="11">
        <v>46093</v>
      </c>
      <c r="D1353" t="s">
        <v>383</v>
      </c>
      <c r="E1353" t="s">
        <v>70</v>
      </c>
      <c r="F1353" s="4">
        <v>46093</v>
      </c>
      <c r="G1353" s="4">
        <v>46099</v>
      </c>
      <c r="H1353" t="s">
        <v>111</v>
      </c>
      <c r="I1353" t="s">
        <v>355</v>
      </c>
      <c r="J1353" t="s">
        <v>384</v>
      </c>
      <c r="K1353" t="s">
        <v>124</v>
      </c>
      <c r="L1353" t="s">
        <v>94</v>
      </c>
      <c r="M1353" s="5">
        <v>53400</v>
      </c>
      <c r="N1353" s="5">
        <v>4650</v>
      </c>
      <c r="O1353" s="5">
        <v>5800</v>
      </c>
      <c r="P1353" s="5">
        <v>21000</v>
      </c>
      <c r="Q1353" s="13">
        <v>86350</v>
      </c>
      <c r="R1353" t="s">
        <v>75</v>
      </c>
      <c r="S1353" t="s">
        <v>76</v>
      </c>
      <c r="T1353" s="5">
        <v>39160</v>
      </c>
      <c r="U1353" s="6">
        <v>4</v>
      </c>
      <c r="V1353" t="s">
        <v>77</v>
      </c>
      <c r="W1353" s="4">
        <v>46111</v>
      </c>
      <c r="X1353" t="s">
        <v>77</v>
      </c>
      <c r="Y1353" t="s">
        <v>64</v>
      </c>
      <c r="Z1353" t="s">
        <v>78</v>
      </c>
      <c r="AA1353" t="str">
        <f>VLOOKUP(H1353,Departments!$A:$B,2,0)</f>
        <v>General Medicine</v>
      </c>
      <c r="AB1353" t="str">
        <f>VLOOKUP(J1353,Diagnosis_Guide!$A:$B,2,0)</f>
        <v>Severe Infection</v>
      </c>
      <c r="AC1353" s="4" t="str">
        <f>VLOOKUP(J1353,Diagnosis_Guide!$A:$C,3,0)</f>
        <v>Infectious/General</v>
      </c>
      <c r="AD1353" s="4" t="str">
        <f>VLOOKUP(R1353,Insurance_Plans!$A:$C,3,0)</f>
        <v>Public</v>
      </c>
      <c r="AE1353" s="13">
        <f t="shared" si="63"/>
        <v>4317.5</v>
      </c>
      <c r="AF1353" s="13">
        <f t="shared" si="64"/>
        <v>90667.5</v>
      </c>
      <c r="AG1353" s="4" t="str">
        <f t="shared" si="65"/>
        <v>High</v>
      </c>
    </row>
    <row r="1354" spans="1:33">
      <c r="A1354" t="s">
        <v>2114</v>
      </c>
      <c r="B1354" t="s">
        <v>366</v>
      </c>
      <c r="C1354" s="11">
        <v>46144</v>
      </c>
      <c r="D1354" t="s">
        <v>161</v>
      </c>
      <c r="E1354" t="s">
        <v>70</v>
      </c>
      <c r="F1354" s="4">
        <v>46144</v>
      </c>
      <c r="G1354" s="4">
        <v>46144</v>
      </c>
      <c r="H1354" t="s">
        <v>57</v>
      </c>
      <c r="I1354" t="s">
        <v>100</v>
      </c>
      <c r="J1354" t="s">
        <v>59</v>
      </c>
      <c r="K1354" t="s">
        <v>60</v>
      </c>
      <c r="L1354" t="s">
        <v>146</v>
      </c>
      <c r="M1354" s="5">
        <v>70400</v>
      </c>
      <c r="N1354" s="5">
        <v>8500</v>
      </c>
      <c r="O1354" s="5">
        <v>11250</v>
      </c>
      <c r="P1354" s="5">
        <v>0</v>
      </c>
      <c r="Q1354" s="13">
        <v>92150</v>
      </c>
      <c r="R1354" t="s">
        <v>141</v>
      </c>
      <c r="S1354" t="s">
        <v>76</v>
      </c>
      <c r="T1354" s="5">
        <v>15020</v>
      </c>
      <c r="U1354" s="6">
        <v>4</v>
      </c>
      <c r="V1354" t="s">
        <v>77</v>
      </c>
      <c r="W1354" s="4">
        <v>46151</v>
      </c>
      <c r="X1354" t="s">
        <v>77</v>
      </c>
      <c r="Y1354" t="s">
        <v>64</v>
      </c>
      <c r="Z1354" t="s">
        <v>78</v>
      </c>
      <c r="AA1354" t="str">
        <f>VLOOKUP(H1354,Departments!$A:$B,2,0)</f>
        <v>Pulmonology</v>
      </c>
      <c r="AB1354" t="str">
        <f>VLOOKUP(J1354,Diagnosis_Guide!$A:$B,2,0)</f>
        <v>Pneumonia</v>
      </c>
      <c r="AC1354" s="4" t="str">
        <f>VLOOKUP(J1354,Diagnosis_Guide!$A:$C,3,0)</f>
        <v>Respiratory</v>
      </c>
      <c r="AD1354" s="4" t="str">
        <f>VLOOKUP(R1354,Insurance_Plans!$A:$C,3,0)</f>
        <v>Private</v>
      </c>
      <c r="AE1354" s="13">
        <f t="shared" si="63"/>
        <v>4607.5</v>
      </c>
      <c r="AF1354" s="13">
        <f t="shared" si="64"/>
        <v>96757.5</v>
      </c>
      <c r="AG1354" s="4" t="str">
        <f t="shared" si="65"/>
        <v>High</v>
      </c>
    </row>
    <row r="1355" spans="1:33">
      <c r="A1355" t="s">
        <v>2115</v>
      </c>
      <c r="B1355" t="s">
        <v>115</v>
      </c>
      <c r="C1355" s="11">
        <v>46068</v>
      </c>
      <c r="D1355" t="s">
        <v>307</v>
      </c>
      <c r="E1355" t="s">
        <v>70</v>
      </c>
      <c r="F1355" s="4">
        <v>46068</v>
      </c>
      <c r="G1355" s="4">
        <v>46073</v>
      </c>
      <c r="H1355" t="s">
        <v>90</v>
      </c>
      <c r="I1355" t="s">
        <v>162</v>
      </c>
      <c r="J1355" t="s">
        <v>197</v>
      </c>
      <c r="K1355" t="s">
        <v>73</v>
      </c>
      <c r="L1355" t="s">
        <v>61</v>
      </c>
      <c r="M1355" s="5">
        <v>17400</v>
      </c>
      <c r="N1355" s="5">
        <v>2350</v>
      </c>
      <c r="O1355" s="5">
        <v>2000</v>
      </c>
      <c r="P1355" s="5">
        <v>22500</v>
      </c>
      <c r="Q1355" s="13">
        <v>45450</v>
      </c>
      <c r="R1355" t="s">
        <v>141</v>
      </c>
      <c r="S1355" t="s">
        <v>76</v>
      </c>
      <c r="T1355" s="5">
        <v>8020</v>
      </c>
      <c r="U1355" s="6">
        <v>3</v>
      </c>
      <c r="V1355" t="s">
        <v>64</v>
      </c>
      <c r="W1355" s="4"/>
      <c r="X1355" t="s">
        <v>65</v>
      </c>
      <c r="Y1355" t="s">
        <v>64</v>
      </c>
      <c r="Z1355" t="s">
        <v>96</v>
      </c>
      <c r="AA1355" t="str">
        <f>VLOOKUP(H1355,Departments!$A:$B,2,0)</f>
        <v>Cardiology</v>
      </c>
      <c r="AB1355" t="str">
        <f>VLOOKUP(J1355,Diagnosis_Guide!$A:$B,2,0)</f>
        <v>Chest Pain</v>
      </c>
      <c r="AC1355" s="4" t="str">
        <f>VLOOKUP(J1355,Diagnosis_Guide!$A:$C,3,0)</f>
        <v>Cardiovascular</v>
      </c>
      <c r="AD1355" s="4" t="str">
        <f>VLOOKUP(R1355,Insurance_Plans!$A:$C,3,0)</f>
        <v>Private</v>
      </c>
      <c r="AE1355" s="13">
        <f t="shared" si="63"/>
        <v>2272.5</v>
      </c>
      <c r="AF1355" s="13">
        <f t="shared" si="64"/>
        <v>47722.5</v>
      </c>
      <c r="AG1355" s="4" t="str">
        <f t="shared" si="65"/>
        <v>Medium</v>
      </c>
    </row>
    <row r="1356" spans="1:33">
      <c r="A1356" t="s">
        <v>2116</v>
      </c>
      <c r="B1356" t="s">
        <v>532</v>
      </c>
      <c r="C1356" s="11">
        <v>46153</v>
      </c>
      <c r="D1356" t="s">
        <v>55</v>
      </c>
      <c r="E1356" t="s">
        <v>70</v>
      </c>
      <c r="F1356" s="4">
        <v>46153</v>
      </c>
      <c r="G1356" s="4">
        <v>46156</v>
      </c>
      <c r="H1356" t="s">
        <v>103</v>
      </c>
      <c r="I1356" t="s">
        <v>364</v>
      </c>
      <c r="J1356" t="s">
        <v>145</v>
      </c>
      <c r="K1356" t="s">
        <v>73</v>
      </c>
      <c r="L1356" t="s">
        <v>74</v>
      </c>
      <c r="M1356" s="5">
        <v>32700</v>
      </c>
      <c r="N1356" s="5">
        <v>5550</v>
      </c>
      <c r="O1356" s="5">
        <v>4050</v>
      </c>
      <c r="P1356" s="5">
        <v>7500</v>
      </c>
      <c r="Q1356" s="13">
        <v>50600</v>
      </c>
      <c r="R1356" t="s">
        <v>95</v>
      </c>
      <c r="S1356" t="s">
        <v>63</v>
      </c>
      <c r="T1356" s="5">
        <v>50600</v>
      </c>
      <c r="U1356" s="6">
        <v>4</v>
      </c>
      <c r="V1356" t="s">
        <v>77</v>
      </c>
      <c r="W1356" s="4">
        <v>46163</v>
      </c>
      <c r="X1356" t="s">
        <v>77</v>
      </c>
      <c r="Y1356" t="s">
        <v>64</v>
      </c>
      <c r="Z1356" t="s">
        <v>78</v>
      </c>
      <c r="AA1356" t="str">
        <f>VLOOKUP(H1356,Departments!$A:$B,2,0)</f>
        <v>Nephrology</v>
      </c>
      <c r="AB1356" t="str">
        <f>VLOOKUP(J1356,Diagnosis_Guide!$A:$B,2,0)</f>
        <v>Kidney Stone</v>
      </c>
      <c r="AC1356" s="4" t="str">
        <f>VLOOKUP(J1356,Diagnosis_Guide!$A:$C,3,0)</f>
        <v>Renal</v>
      </c>
      <c r="AD1356" s="4" t="str">
        <f>VLOOKUP(R1356,Insurance_Plans!$A:$C,3,0)</f>
        <v>Self-Pay</v>
      </c>
      <c r="AE1356" s="13">
        <f t="shared" si="63"/>
        <v>2530</v>
      </c>
      <c r="AF1356" s="13">
        <f t="shared" si="64"/>
        <v>53130</v>
      </c>
      <c r="AG1356" s="4" t="str">
        <f t="shared" si="65"/>
        <v>High</v>
      </c>
    </row>
    <row r="1357" spans="1:33">
      <c r="A1357" t="s">
        <v>2117</v>
      </c>
      <c r="B1357" t="s">
        <v>740</v>
      </c>
      <c r="C1357" s="11">
        <v>46143</v>
      </c>
      <c r="D1357" t="s">
        <v>69</v>
      </c>
      <c r="E1357" t="s">
        <v>191</v>
      </c>
      <c r="F1357" s="4"/>
      <c r="G1357" s="4"/>
      <c r="H1357" t="s">
        <v>82</v>
      </c>
      <c r="I1357" t="s">
        <v>194</v>
      </c>
      <c r="J1357" t="s">
        <v>84</v>
      </c>
      <c r="K1357" t="s">
        <v>124</v>
      </c>
      <c r="L1357" t="s">
        <v>94</v>
      </c>
      <c r="M1357" s="5"/>
      <c r="N1357" s="5"/>
      <c r="O1357" s="5"/>
      <c r="P1357" s="5"/>
      <c r="R1357" t="s">
        <v>85</v>
      </c>
      <c r="S1357" t="s">
        <v>63</v>
      </c>
      <c r="T1357" s="5"/>
      <c r="U1357" s="6"/>
      <c r="V1357" t="s">
        <v>64</v>
      </c>
      <c r="W1357" s="4"/>
      <c r="X1357" t="s">
        <v>65</v>
      </c>
      <c r="Z1357" t="s">
        <v>66</v>
      </c>
      <c r="AA1357" t="str">
        <f>VLOOKUP(H1357,Departments!$A:$B,2,0)</f>
        <v>Orthopedics</v>
      </c>
      <c r="AB1357" t="str">
        <f>VLOOKUP(J1357,Diagnosis_Guide!$A:$B,2,0)</f>
        <v>Joint Pain</v>
      </c>
      <c r="AC1357" s="4" t="str">
        <f>VLOOKUP(J1357,Diagnosis_Guide!$A:$C,3,0)</f>
        <v>Musculoskeletal</v>
      </c>
      <c r="AD1357" s="4" t="str">
        <f>VLOOKUP(R1357,Insurance_Plans!$A:$C,3,0)</f>
        <v>Employer</v>
      </c>
      <c r="AE1357" s="13" t="str">
        <f t="shared" si="63"/>
        <v/>
      </c>
      <c r="AF1357" s="13" t="str">
        <f t="shared" si="64"/>
        <v/>
      </c>
      <c r="AG1357" s="4" t="str">
        <f t="shared" si="65"/>
        <v>Not Available</v>
      </c>
    </row>
    <row r="1358" spans="1:33">
      <c r="A1358" t="s">
        <v>2118</v>
      </c>
      <c r="B1358" t="s">
        <v>489</v>
      </c>
      <c r="C1358" s="11">
        <v>46096</v>
      </c>
      <c r="D1358" t="s">
        <v>120</v>
      </c>
      <c r="E1358" t="s">
        <v>70</v>
      </c>
      <c r="F1358" s="4">
        <v>46096</v>
      </c>
      <c r="G1358" s="4">
        <v>46096</v>
      </c>
      <c r="H1358" t="s">
        <v>82</v>
      </c>
      <c r="I1358" t="s">
        <v>331</v>
      </c>
      <c r="J1358" t="s">
        <v>84</v>
      </c>
      <c r="K1358" t="s">
        <v>73</v>
      </c>
      <c r="L1358" t="s">
        <v>61</v>
      </c>
      <c r="M1358" s="5">
        <v>9000</v>
      </c>
      <c r="N1358" s="5">
        <v>1100</v>
      </c>
      <c r="O1358" s="5">
        <v>1650</v>
      </c>
      <c r="P1358" s="5">
        <v>0</v>
      </c>
      <c r="Q1358" s="13">
        <v>13250</v>
      </c>
      <c r="R1358" t="s">
        <v>75</v>
      </c>
      <c r="S1358" t="s">
        <v>76</v>
      </c>
      <c r="T1358" s="5">
        <v>6260</v>
      </c>
      <c r="U1358" s="6">
        <v>4</v>
      </c>
      <c r="V1358" t="s">
        <v>77</v>
      </c>
      <c r="W1358" s="4">
        <v>46111</v>
      </c>
      <c r="X1358" t="s">
        <v>64</v>
      </c>
      <c r="Y1358" t="s">
        <v>64</v>
      </c>
      <c r="Z1358" t="s">
        <v>96</v>
      </c>
      <c r="AA1358" t="str">
        <f>VLOOKUP(H1358,Departments!$A:$B,2,0)</f>
        <v>Orthopedics</v>
      </c>
      <c r="AB1358" t="str">
        <f>VLOOKUP(J1358,Diagnosis_Guide!$A:$B,2,0)</f>
        <v>Joint Pain</v>
      </c>
      <c r="AC1358" s="4" t="str">
        <f>VLOOKUP(J1358,Diagnosis_Guide!$A:$C,3,0)</f>
        <v>Musculoskeletal</v>
      </c>
      <c r="AD1358" s="4" t="str">
        <f>VLOOKUP(R1358,Insurance_Plans!$A:$C,3,0)</f>
        <v>Public</v>
      </c>
      <c r="AE1358" s="13">
        <f t="shared" si="63"/>
        <v>662.5</v>
      </c>
      <c r="AF1358" s="13">
        <f t="shared" si="64"/>
        <v>13912.5</v>
      </c>
      <c r="AG1358" s="4" t="str">
        <f t="shared" si="65"/>
        <v>High</v>
      </c>
    </row>
    <row r="1359" spans="1:33">
      <c r="A1359" t="s">
        <v>2119</v>
      </c>
      <c r="B1359" t="s">
        <v>1320</v>
      </c>
      <c r="C1359" s="11">
        <v>46138</v>
      </c>
      <c r="D1359" t="s">
        <v>127</v>
      </c>
      <c r="E1359" t="s">
        <v>70</v>
      </c>
      <c r="F1359" s="4">
        <v>46139</v>
      </c>
      <c r="G1359" s="4">
        <v>46139</v>
      </c>
      <c r="H1359" t="s">
        <v>90</v>
      </c>
      <c r="I1359" t="s">
        <v>162</v>
      </c>
      <c r="J1359" t="s">
        <v>92</v>
      </c>
      <c r="K1359" t="s">
        <v>60</v>
      </c>
      <c r="L1359" t="s">
        <v>94</v>
      </c>
      <c r="M1359" s="5">
        <v>45500</v>
      </c>
      <c r="N1359" s="5">
        <v>3800</v>
      </c>
      <c r="O1359" s="5">
        <v>4650</v>
      </c>
      <c r="P1359" s="5">
        <v>0</v>
      </c>
      <c r="Q1359" s="13">
        <v>55150</v>
      </c>
      <c r="R1359" t="s">
        <v>95</v>
      </c>
      <c r="S1359" t="s">
        <v>63</v>
      </c>
      <c r="T1359" s="5">
        <v>55150</v>
      </c>
      <c r="U1359" s="6">
        <v>5</v>
      </c>
      <c r="V1359" t="s">
        <v>77</v>
      </c>
      <c r="W1359" s="4">
        <v>46153</v>
      </c>
      <c r="X1359" t="s">
        <v>77</v>
      </c>
      <c r="Y1359" t="s">
        <v>64</v>
      </c>
      <c r="Z1359" t="s">
        <v>96</v>
      </c>
      <c r="AA1359" t="str">
        <f>VLOOKUP(H1359,Departments!$A:$B,2,0)</f>
        <v>Cardiology</v>
      </c>
      <c r="AB1359" t="str">
        <f>VLOOKUP(J1359,Diagnosis_Guide!$A:$B,2,0)</f>
        <v>Heart Failure</v>
      </c>
      <c r="AC1359" s="4" t="str">
        <f>VLOOKUP(J1359,Diagnosis_Guide!$A:$C,3,0)</f>
        <v>Cardiovascular</v>
      </c>
      <c r="AD1359" s="4" t="str">
        <f>VLOOKUP(R1359,Insurance_Plans!$A:$C,3,0)</f>
        <v>Self-Pay</v>
      </c>
      <c r="AE1359" s="13">
        <f t="shared" si="63"/>
        <v>2757.5</v>
      </c>
      <c r="AF1359" s="13">
        <f t="shared" si="64"/>
        <v>57907.5</v>
      </c>
      <c r="AG1359" s="4" t="str">
        <f t="shared" si="65"/>
        <v>High</v>
      </c>
    </row>
    <row r="1360" spans="1:33">
      <c r="A1360" t="s">
        <v>2120</v>
      </c>
      <c r="B1360" t="s">
        <v>246</v>
      </c>
      <c r="C1360" s="11">
        <v>46071</v>
      </c>
      <c r="D1360" t="s">
        <v>89</v>
      </c>
      <c r="E1360" t="s">
        <v>70</v>
      </c>
      <c r="F1360" s="4">
        <v>46072</v>
      </c>
      <c r="G1360" s="4">
        <v>46075</v>
      </c>
      <c r="H1360" t="s">
        <v>111</v>
      </c>
      <c r="I1360" t="s">
        <v>112</v>
      </c>
      <c r="J1360" t="s">
        <v>117</v>
      </c>
      <c r="K1360" t="s">
        <v>93</v>
      </c>
      <c r="L1360" t="s">
        <v>74</v>
      </c>
      <c r="M1360" s="5">
        <v>6200</v>
      </c>
      <c r="N1360" s="5">
        <v>1050</v>
      </c>
      <c r="O1360" s="5">
        <v>850</v>
      </c>
      <c r="P1360" s="5">
        <v>13500</v>
      </c>
      <c r="Q1360" s="13">
        <v>22400</v>
      </c>
      <c r="R1360" t="s">
        <v>75</v>
      </c>
      <c r="S1360" t="s">
        <v>76</v>
      </c>
      <c r="T1360" s="5">
        <v>10380</v>
      </c>
      <c r="U1360" s="6">
        <v>4</v>
      </c>
      <c r="V1360" t="s">
        <v>77</v>
      </c>
      <c r="W1360" s="4">
        <v>46092</v>
      </c>
      <c r="X1360" t="s">
        <v>77</v>
      </c>
      <c r="Y1360" t="s">
        <v>64</v>
      </c>
      <c r="Z1360" t="s">
        <v>436</v>
      </c>
      <c r="AA1360" t="str">
        <f>VLOOKUP(H1360,Departments!$A:$B,2,0)</f>
        <v>General Medicine</v>
      </c>
      <c r="AB1360" t="str">
        <f>VLOOKUP(J1360,Diagnosis_Guide!$A:$B,2,0)</f>
        <v>Fever Investigation</v>
      </c>
      <c r="AC1360" s="4" t="str">
        <f>VLOOKUP(J1360,Diagnosis_Guide!$A:$C,3,0)</f>
        <v>Infectious/General</v>
      </c>
      <c r="AD1360" s="4" t="str">
        <f>VLOOKUP(R1360,Insurance_Plans!$A:$C,3,0)</f>
        <v>Public</v>
      </c>
      <c r="AE1360" s="13">
        <f t="shared" si="63"/>
        <v>1120</v>
      </c>
      <c r="AF1360" s="13">
        <f t="shared" si="64"/>
        <v>23520</v>
      </c>
      <c r="AG1360" s="4" t="str">
        <f t="shared" si="65"/>
        <v>High</v>
      </c>
    </row>
    <row r="1361" spans="1:33">
      <c r="A1361" t="s">
        <v>2121</v>
      </c>
      <c r="B1361" t="s">
        <v>1179</v>
      </c>
      <c r="C1361" s="11">
        <v>46144</v>
      </c>
      <c r="D1361" t="s">
        <v>337</v>
      </c>
      <c r="E1361" t="s">
        <v>70</v>
      </c>
      <c r="F1361" s="4">
        <v>46144</v>
      </c>
      <c r="G1361" s="4">
        <v>46146</v>
      </c>
      <c r="H1361" t="s">
        <v>201</v>
      </c>
      <c r="I1361" t="s">
        <v>449</v>
      </c>
      <c r="J1361" t="s">
        <v>203</v>
      </c>
      <c r="K1361" t="s">
        <v>73</v>
      </c>
      <c r="L1361" t="s">
        <v>61</v>
      </c>
      <c r="M1361" s="5">
        <v>32800</v>
      </c>
      <c r="N1361" s="5">
        <v>4750</v>
      </c>
      <c r="O1361" s="5">
        <v>6550</v>
      </c>
      <c r="P1361" s="5">
        <v>12000</v>
      </c>
      <c r="Q1361" s="13">
        <v>56900</v>
      </c>
      <c r="R1361" t="s">
        <v>134</v>
      </c>
      <c r="S1361" t="s">
        <v>76</v>
      </c>
      <c r="T1361" s="5">
        <v>31500</v>
      </c>
      <c r="U1361" s="6">
        <v>2</v>
      </c>
      <c r="V1361" t="s">
        <v>77</v>
      </c>
      <c r="W1361" s="4">
        <v>46156</v>
      </c>
      <c r="X1361" t="s">
        <v>64</v>
      </c>
      <c r="Y1361" t="s">
        <v>64</v>
      </c>
      <c r="Z1361" t="s">
        <v>78</v>
      </c>
      <c r="AA1361" t="str">
        <f>VLOOKUP(H1361,Departments!$A:$B,2,0)</f>
        <v>Emergency</v>
      </c>
      <c r="AB1361" t="str">
        <f>VLOOKUP(J1361,Diagnosis_Guide!$A:$B,2,0)</f>
        <v>Trauma Observation</v>
      </c>
      <c r="AC1361" s="4" t="str">
        <f>VLOOKUP(J1361,Diagnosis_Guide!$A:$C,3,0)</f>
        <v>Emergency</v>
      </c>
      <c r="AD1361" s="4" t="str">
        <f>VLOOKUP(R1361,Insurance_Plans!$A:$C,3,0)</f>
        <v>Community</v>
      </c>
      <c r="AE1361" s="13">
        <f t="shared" si="63"/>
        <v>2845</v>
      </c>
      <c r="AF1361" s="13">
        <f t="shared" si="64"/>
        <v>59745</v>
      </c>
      <c r="AG1361" s="4" t="str">
        <f t="shared" si="65"/>
        <v>Low</v>
      </c>
    </row>
    <row r="1362" spans="1:33">
      <c r="A1362" t="s">
        <v>2122</v>
      </c>
      <c r="B1362" t="s">
        <v>1011</v>
      </c>
      <c r="C1362" s="11">
        <v>46061</v>
      </c>
      <c r="D1362" t="s">
        <v>298</v>
      </c>
      <c r="E1362" t="s">
        <v>314</v>
      </c>
      <c r="F1362" s="4"/>
      <c r="G1362" s="4"/>
      <c r="H1362" t="s">
        <v>57</v>
      </c>
      <c r="I1362" t="s">
        <v>71</v>
      </c>
      <c r="J1362" t="s">
        <v>59</v>
      </c>
      <c r="K1362" t="s">
        <v>124</v>
      </c>
      <c r="L1362" t="s">
        <v>94</v>
      </c>
      <c r="M1362" s="5"/>
      <c r="N1362" s="5"/>
      <c r="O1362" s="5"/>
      <c r="P1362" s="5"/>
      <c r="R1362" t="s">
        <v>75</v>
      </c>
      <c r="S1362" t="s">
        <v>63</v>
      </c>
      <c r="T1362" s="5"/>
      <c r="U1362" s="6"/>
      <c r="V1362" t="s">
        <v>64</v>
      </c>
      <c r="W1362" s="4"/>
      <c r="X1362" t="s">
        <v>65</v>
      </c>
      <c r="Z1362" t="s">
        <v>66</v>
      </c>
      <c r="AA1362" t="str">
        <f>VLOOKUP(H1362,Departments!$A:$B,2,0)</f>
        <v>Pulmonology</v>
      </c>
      <c r="AB1362" t="str">
        <f>VLOOKUP(J1362,Diagnosis_Guide!$A:$B,2,0)</f>
        <v>Pneumonia</v>
      </c>
      <c r="AC1362" s="4" t="str">
        <f>VLOOKUP(J1362,Diagnosis_Guide!$A:$C,3,0)</f>
        <v>Respiratory</v>
      </c>
      <c r="AD1362" s="4" t="str">
        <f>VLOOKUP(R1362,Insurance_Plans!$A:$C,3,0)</f>
        <v>Public</v>
      </c>
      <c r="AE1362" s="13" t="str">
        <f t="shared" si="63"/>
        <v/>
      </c>
      <c r="AF1362" s="13" t="str">
        <f t="shared" si="64"/>
        <v/>
      </c>
      <c r="AG1362" s="4" t="str">
        <f t="shared" si="65"/>
        <v>Not Available</v>
      </c>
    </row>
    <row r="1363" spans="1:33">
      <c r="A1363" t="s">
        <v>2123</v>
      </c>
      <c r="B1363" t="s">
        <v>1743</v>
      </c>
      <c r="C1363" s="11">
        <v>46050</v>
      </c>
      <c r="D1363" t="s">
        <v>206</v>
      </c>
      <c r="E1363" t="s">
        <v>70</v>
      </c>
      <c r="F1363" s="4">
        <v>46050</v>
      </c>
      <c r="G1363" s="4">
        <v>46061</v>
      </c>
      <c r="H1363" t="s">
        <v>90</v>
      </c>
      <c r="I1363" t="s">
        <v>388</v>
      </c>
      <c r="J1363" t="s">
        <v>92</v>
      </c>
      <c r="K1363" t="s">
        <v>124</v>
      </c>
      <c r="L1363" t="s">
        <v>61</v>
      </c>
      <c r="M1363" s="5">
        <v>52900</v>
      </c>
      <c r="N1363" s="5">
        <v>9350</v>
      </c>
      <c r="O1363" s="5">
        <v>7300</v>
      </c>
      <c r="P1363" s="5">
        <v>49500</v>
      </c>
      <c r="Q1363" s="13">
        <v>120550</v>
      </c>
      <c r="R1363" t="s">
        <v>95</v>
      </c>
      <c r="S1363" t="s">
        <v>63</v>
      </c>
      <c r="T1363" s="5">
        <v>120550</v>
      </c>
      <c r="U1363" s="6">
        <v>2</v>
      </c>
      <c r="V1363" t="s">
        <v>64</v>
      </c>
      <c r="W1363" s="4"/>
      <c r="X1363" t="s">
        <v>65</v>
      </c>
      <c r="Y1363" t="s">
        <v>64</v>
      </c>
      <c r="Z1363" t="s">
        <v>107</v>
      </c>
      <c r="AA1363" t="str">
        <f>VLOOKUP(H1363,Departments!$A:$B,2,0)</f>
        <v>Cardiology</v>
      </c>
      <c r="AB1363" t="str">
        <f>VLOOKUP(J1363,Diagnosis_Guide!$A:$B,2,0)</f>
        <v>Heart Failure</v>
      </c>
      <c r="AC1363" s="4" t="str">
        <f>VLOOKUP(J1363,Diagnosis_Guide!$A:$C,3,0)</f>
        <v>Cardiovascular</v>
      </c>
      <c r="AD1363" s="4" t="str">
        <f>VLOOKUP(R1363,Insurance_Plans!$A:$C,3,0)</f>
        <v>Self-Pay</v>
      </c>
      <c r="AE1363" s="13">
        <f t="shared" si="63"/>
        <v>6027.5</v>
      </c>
      <c r="AF1363" s="13">
        <f t="shared" si="64"/>
        <v>126577.5</v>
      </c>
      <c r="AG1363" s="4" t="str">
        <f t="shared" si="65"/>
        <v>Low</v>
      </c>
    </row>
    <row r="1364" spans="1:33">
      <c r="A1364" t="s">
        <v>2124</v>
      </c>
      <c r="B1364" t="s">
        <v>2047</v>
      </c>
      <c r="C1364" s="11">
        <v>46156</v>
      </c>
      <c r="D1364" t="s">
        <v>120</v>
      </c>
      <c r="E1364" t="s">
        <v>70</v>
      </c>
      <c r="F1364" s="4">
        <v>46156</v>
      </c>
      <c r="G1364" s="4">
        <v>46157</v>
      </c>
      <c r="H1364" t="s">
        <v>90</v>
      </c>
      <c r="I1364" t="s">
        <v>388</v>
      </c>
      <c r="J1364" t="s">
        <v>197</v>
      </c>
      <c r="K1364" t="s">
        <v>124</v>
      </c>
      <c r="L1364" t="s">
        <v>94</v>
      </c>
      <c r="M1364" s="5">
        <v>22500</v>
      </c>
      <c r="N1364" s="5">
        <v>1900</v>
      </c>
      <c r="O1364" s="5">
        <v>2650</v>
      </c>
      <c r="P1364" s="5">
        <v>2500</v>
      </c>
      <c r="Q1364" s="13">
        <v>31050</v>
      </c>
      <c r="R1364" t="s">
        <v>75</v>
      </c>
      <c r="S1364" t="s">
        <v>76</v>
      </c>
      <c r="T1364" s="5">
        <v>14270</v>
      </c>
      <c r="U1364" s="6">
        <v>4</v>
      </c>
      <c r="V1364" t="s">
        <v>64</v>
      </c>
      <c r="W1364" s="4"/>
      <c r="X1364" t="s">
        <v>65</v>
      </c>
      <c r="Y1364" t="s">
        <v>64</v>
      </c>
      <c r="Z1364" t="s">
        <v>107</v>
      </c>
      <c r="AA1364" t="str">
        <f>VLOOKUP(H1364,Departments!$A:$B,2,0)</f>
        <v>Cardiology</v>
      </c>
      <c r="AB1364" t="str">
        <f>VLOOKUP(J1364,Diagnosis_Guide!$A:$B,2,0)</f>
        <v>Chest Pain</v>
      </c>
      <c r="AC1364" s="4" t="str">
        <f>VLOOKUP(J1364,Diagnosis_Guide!$A:$C,3,0)</f>
        <v>Cardiovascular</v>
      </c>
      <c r="AD1364" s="4" t="str">
        <f>VLOOKUP(R1364,Insurance_Plans!$A:$C,3,0)</f>
        <v>Public</v>
      </c>
      <c r="AE1364" s="13">
        <f t="shared" si="63"/>
        <v>1552.5</v>
      </c>
      <c r="AF1364" s="13">
        <f t="shared" si="64"/>
        <v>32602.5</v>
      </c>
      <c r="AG1364" s="4" t="str">
        <f t="shared" si="65"/>
        <v>High</v>
      </c>
    </row>
    <row r="1365" spans="1:33">
      <c r="A1365" t="s">
        <v>2125</v>
      </c>
      <c r="B1365" t="s">
        <v>2126</v>
      </c>
      <c r="C1365" s="11">
        <v>46155</v>
      </c>
      <c r="D1365" t="s">
        <v>439</v>
      </c>
      <c r="E1365" t="s">
        <v>70</v>
      </c>
      <c r="F1365" s="4">
        <v>46155</v>
      </c>
      <c r="G1365" s="4">
        <v>46165</v>
      </c>
      <c r="H1365" t="s">
        <v>111</v>
      </c>
      <c r="I1365" t="s">
        <v>116</v>
      </c>
      <c r="J1365" t="s">
        <v>384</v>
      </c>
      <c r="K1365" t="s">
        <v>93</v>
      </c>
      <c r="L1365" t="s">
        <v>94</v>
      </c>
      <c r="M1365" s="5">
        <v>58600</v>
      </c>
      <c r="N1365" s="5">
        <v>6450</v>
      </c>
      <c r="O1365" s="5">
        <v>6050</v>
      </c>
      <c r="P1365" s="5">
        <v>30000</v>
      </c>
      <c r="Q1365" s="13">
        <v>101900</v>
      </c>
      <c r="R1365" t="s">
        <v>134</v>
      </c>
      <c r="S1365" t="s">
        <v>76</v>
      </c>
      <c r="T1365" s="5">
        <v>56250</v>
      </c>
      <c r="U1365" s="6">
        <v>3</v>
      </c>
      <c r="V1365" t="s">
        <v>64</v>
      </c>
      <c r="W1365" s="4"/>
      <c r="X1365" t="s">
        <v>65</v>
      </c>
      <c r="Y1365" t="s">
        <v>64</v>
      </c>
      <c r="Z1365" t="s">
        <v>107</v>
      </c>
      <c r="AA1365" t="str">
        <f>VLOOKUP(H1365,Departments!$A:$B,2,0)</f>
        <v>General Medicine</v>
      </c>
      <c r="AB1365" t="str">
        <f>VLOOKUP(J1365,Diagnosis_Guide!$A:$B,2,0)</f>
        <v>Severe Infection</v>
      </c>
      <c r="AC1365" s="4" t="str">
        <f>VLOOKUP(J1365,Diagnosis_Guide!$A:$C,3,0)</f>
        <v>Infectious/General</v>
      </c>
      <c r="AD1365" s="4" t="str">
        <f>VLOOKUP(R1365,Insurance_Plans!$A:$C,3,0)</f>
        <v>Community</v>
      </c>
      <c r="AE1365" s="13">
        <f t="shared" si="63"/>
        <v>5095</v>
      </c>
      <c r="AF1365" s="13">
        <f t="shared" si="64"/>
        <v>106995</v>
      </c>
      <c r="AG1365" s="4" t="str">
        <f t="shared" si="65"/>
        <v>Medium</v>
      </c>
    </row>
    <row r="1366" spans="1:33">
      <c r="A1366" t="s">
        <v>2127</v>
      </c>
      <c r="B1366" t="s">
        <v>1044</v>
      </c>
      <c r="C1366" s="11">
        <v>46124</v>
      </c>
      <c r="D1366" t="s">
        <v>217</v>
      </c>
      <c r="E1366" t="s">
        <v>70</v>
      </c>
      <c r="F1366" s="4">
        <v>46124</v>
      </c>
      <c r="G1366" s="4">
        <v>46124</v>
      </c>
      <c r="H1366" t="s">
        <v>103</v>
      </c>
      <c r="I1366" t="s">
        <v>104</v>
      </c>
      <c r="J1366" t="s">
        <v>145</v>
      </c>
      <c r="K1366" t="s">
        <v>124</v>
      </c>
      <c r="L1366" t="s">
        <v>94</v>
      </c>
      <c r="M1366" s="5">
        <v>26800</v>
      </c>
      <c r="N1366" s="5">
        <v>2350</v>
      </c>
      <c r="O1366" s="5">
        <v>3350</v>
      </c>
      <c r="P1366" s="5">
        <v>0</v>
      </c>
      <c r="Q1366" s="13">
        <v>34300</v>
      </c>
      <c r="R1366" t="s">
        <v>75</v>
      </c>
      <c r="S1366" t="s">
        <v>76</v>
      </c>
      <c r="T1366" s="5">
        <v>15730</v>
      </c>
      <c r="U1366" s="6">
        <v>5</v>
      </c>
      <c r="V1366" t="s">
        <v>77</v>
      </c>
      <c r="W1366" s="4">
        <v>46134</v>
      </c>
      <c r="X1366" t="s">
        <v>77</v>
      </c>
      <c r="Y1366" t="s">
        <v>64</v>
      </c>
      <c r="Z1366" t="s">
        <v>436</v>
      </c>
      <c r="AA1366" t="str">
        <f>VLOOKUP(H1366,Departments!$A:$B,2,0)</f>
        <v>Nephrology</v>
      </c>
      <c r="AB1366" t="str">
        <f>VLOOKUP(J1366,Diagnosis_Guide!$A:$B,2,0)</f>
        <v>Kidney Stone</v>
      </c>
      <c r="AC1366" s="4" t="str">
        <f>VLOOKUP(J1366,Diagnosis_Guide!$A:$C,3,0)</f>
        <v>Renal</v>
      </c>
      <c r="AD1366" s="4" t="str">
        <f>VLOOKUP(R1366,Insurance_Plans!$A:$C,3,0)</f>
        <v>Public</v>
      </c>
      <c r="AE1366" s="13">
        <f t="shared" si="63"/>
        <v>1715</v>
      </c>
      <c r="AF1366" s="13">
        <f t="shared" si="64"/>
        <v>36015</v>
      </c>
      <c r="AG1366" s="4" t="str">
        <f t="shared" si="65"/>
        <v>High</v>
      </c>
    </row>
    <row r="1367" spans="1:33">
      <c r="A1367" t="s">
        <v>2128</v>
      </c>
      <c r="B1367" t="s">
        <v>1412</v>
      </c>
      <c r="C1367" s="11">
        <v>46154</v>
      </c>
      <c r="D1367" t="s">
        <v>330</v>
      </c>
      <c r="E1367" t="s">
        <v>70</v>
      </c>
      <c r="F1367" s="4">
        <v>46154</v>
      </c>
      <c r="G1367" s="4">
        <v>46160</v>
      </c>
      <c r="H1367" t="s">
        <v>178</v>
      </c>
      <c r="I1367" t="s">
        <v>622</v>
      </c>
      <c r="J1367" t="s">
        <v>180</v>
      </c>
      <c r="K1367" t="s">
        <v>73</v>
      </c>
      <c r="L1367" t="s">
        <v>94</v>
      </c>
      <c r="M1367" s="5">
        <v>68200</v>
      </c>
      <c r="N1367" s="5">
        <v>10600</v>
      </c>
      <c r="O1367" s="5">
        <v>9800</v>
      </c>
      <c r="P1367" s="5">
        <v>15000</v>
      </c>
      <c r="Q1367" s="13">
        <v>105100</v>
      </c>
      <c r="R1367" t="s">
        <v>106</v>
      </c>
      <c r="S1367" t="s">
        <v>76</v>
      </c>
      <c r="T1367" s="5">
        <v>37480</v>
      </c>
      <c r="U1367" s="6">
        <v>4</v>
      </c>
      <c r="V1367" t="s">
        <v>77</v>
      </c>
      <c r="W1367" s="4">
        <v>46169</v>
      </c>
      <c r="X1367" t="s">
        <v>64</v>
      </c>
      <c r="Y1367" t="s">
        <v>64</v>
      </c>
      <c r="Z1367" t="s">
        <v>96</v>
      </c>
      <c r="AA1367" t="str">
        <f>VLOOKUP(H1367,Departments!$A:$B,2,0)</f>
        <v>Surgery</v>
      </c>
      <c r="AB1367" t="str">
        <f>VLOOKUP(J1367,Diagnosis_Guide!$A:$B,2,0)</f>
        <v>Appendicitis Surgery</v>
      </c>
      <c r="AC1367" s="4" t="str">
        <f>VLOOKUP(J1367,Diagnosis_Guide!$A:$C,3,0)</f>
        <v>Surgical</v>
      </c>
      <c r="AD1367" s="4" t="str">
        <f>VLOOKUP(R1367,Insurance_Plans!$A:$C,3,0)</f>
        <v>Private</v>
      </c>
      <c r="AE1367" s="13">
        <f t="shared" si="63"/>
        <v>5255</v>
      </c>
      <c r="AF1367" s="13">
        <f t="shared" si="64"/>
        <v>110355</v>
      </c>
      <c r="AG1367" s="4" t="str">
        <f t="shared" si="65"/>
        <v>High</v>
      </c>
    </row>
    <row r="1368" spans="1:33">
      <c r="A1368" t="s">
        <v>2129</v>
      </c>
      <c r="B1368" t="s">
        <v>706</v>
      </c>
      <c r="C1368" s="11">
        <v>46092</v>
      </c>
      <c r="D1368" t="s">
        <v>284</v>
      </c>
      <c r="E1368" t="s">
        <v>70</v>
      </c>
      <c r="F1368" s="4">
        <v>46092</v>
      </c>
      <c r="G1368" s="4">
        <v>46092</v>
      </c>
      <c r="H1368" t="s">
        <v>138</v>
      </c>
      <c r="I1368" t="s">
        <v>260</v>
      </c>
      <c r="J1368" t="s">
        <v>140</v>
      </c>
      <c r="K1368" t="s">
        <v>60</v>
      </c>
      <c r="L1368" t="s">
        <v>61</v>
      </c>
      <c r="M1368" s="5">
        <v>17400</v>
      </c>
      <c r="N1368" s="5">
        <v>3000</v>
      </c>
      <c r="O1368" s="5">
        <v>2700</v>
      </c>
      <c r="P1368" s="5">
        <v>0</v>
      </c>
      <c r="Q1368" s="13">
        <v>25600</v>
      </c>
      <c r="R1368" t="s">
        <v>106</v>
      </c>
      <c r="S1368" t="s">
        <v>76</v>
      </c>
      <c r="T1368" s="5">
        <v>9660</v>
      </c>
      <c r="U1368" s="6">
        <v>5</v>
      </c>
      <c r="V1368" t="s">
        <v>77</v>
      </c>
      <c r="W1368" s="4">
        <v>46110</v>
      </c>
      <c r="X1368" t="s">
        <v>77</v>
      </c>
      <c r="Y1368" t="s">
        <v>64</v>
      </c>
      <c r="Z1368" t="s">
        <v>96</v>
      </c>
      <c r="AA1368" t="str">
        <f>VLOOKUP(H1368,Departments!$A:$B,2,0)</f>
        <v>Pediatrics</v>
      </c>
      <c r="AB1368" t="str">
        <f>VLOOKUP(J1368,Diagnosis_Guide!$A:$B,2,0)</f>
        <v>Pediatric Asthma</v>
      </c>
      <c r="AC1368" s="4" t="str">
        <f>VLOOKUP(J1368,Diagnosis_Guide!$A:$C,3,0)</f>
        <v>Pediatric</v>
      </c>
      <c r="AD1368" s="4" t="str">
        <f>VLOOKUP(R1368,Insurance_Plans!$A:$C,3,0)</f>
        <v>Private</v>
      </c>
      <c r="AE1368" s="13">
        <f t="shared" si="63"/>
        <v>1280</v>
      </c>
      <c r="AF1368" s="13">
        <f t="shared" si="64"/>
        <v>26880</v>
      </c>
      <c r="AG1368" s="4" t="str">
        <f t="shared" si="65"/>
        <v>High</v>
      </c>
    </row>
    <row r="1369" spans="1:33">
      <c r="A1369" t="s">
        <v>2130</v>
      </c>
      <c r="B1369" t="s">
        <v>1110</v>
      </c>
      <c r="C1369" s="11">
        <v>46059</v>
      </c>
      <c r="D1369" t="s">
        <v>383</v>
      </c>
      <c r="E1369" t="s">
        <v>70</v>
      </c>
      <c r="F1369" s="4">
        <v>46059</v>
      </c>
      <c r="G1369" s="4">
        <v>46065</v>
      </c>
      <c r="H1369" t="s">
        <v>103</v>
      </c>
      <c r="I1369" t="s">
        <v>364</v>
      </c>
      <c r="J1369" t="s">
        <v>105</v>
      </c>
      <c r="K1369" t="s">
        <v>93</v>
      </c>
      <c r="L1369" t="s">
        <v>61</v>
      </c>
      <c r="M1369" s="5">
        <v>47300</v>
      </c>
      <c r="N1369" s="5">
        <v>5600</v>
      </c>
      <c r="O1369" s="5">
        <v>6100</v>
      </c>
      <c r="P1369" s="5">
        <v>21000</v>
      </c>
      <c r="Q1369" s="13">
        <v>80800</v>
      </c>
      <c r="R1369" t="s">
        <v>85</v>
      </c>
      <c r="S1369" t="s">
        <v>76</v>
      </c>
      <c r="T1369" s="5">
        <v>21100</v>
      </c>
      <c r="U1369" s="6">
        <v>4</v>
      </c>
      <c r="V1369" t="s">
        <v>64</v>
      </c>
      <c r="W1369" s="4"/>
      <c r="X1369" t="s">
        <v>65</v>
      </c>
      <c r="Y1369" t="s">
        <v>64</v>
      </c>
      <c r="Z1369" t="s">
        <v>96</v>
      </c>
      <c r="AA1369" t="str">
        <f>VLOOKUP(H1369,Departments!$A:$B,2,0)</f>
        <v>Nephrology</v>
      </c>
      <c r="AB1369" t="str">
        <f>VLOOKUP(J1369,Diagnosis_Guide!$A:$B,2,0)</f>
        <v>Dialysis Complication</v>
      </c>
      <c r="AC1369" s="4" t="str">
        <f>VLOOKUP(J1369,Diagnosis_Guide!$A:$C,3,0)</f>
        <v>Renal</v>
      </c>
      <c r="AD1369" s="4" t="str">
        <f>VLOOKUP(R1369,Insurance_Plans!$A:$C,3,0)</f>
        <v>Employer</v>
      </c>
      <c r="AE1369" s="13">
        <f t="shared" si="63"/>
        <v>4040</v>
      </c>
      <c r="AF1369" s="13">
        <f t="shared" si="64"/>
        <v>84840</v>
      </c>
      <c r="AG1369" s="4" t="str">
        <f t="shared" si="65"/>
        <v>High</v>
      </c>
    </row>
    <row r="1370" spans="1:33">
      <c r="A1370" t="s">
        <v>2131</v>
      </c>
      <c r="B1370" t="s">
        <v>495</v>
      </c>
      <c r="C1370" s="11">
        <v>46159</v>
      </c>
      <c r="D1370" t="s">
        <v>210</v>
      </c>
      <c r="E1370" t="s">
        <v>177</v>
      </c>
      <c r="F1370" s="4"/>
      <c r="G1370" s="4"/>
      <c r="H1370" t="s">
        <v>201</v>
      </c>
      <c r="I1370" t="s">
        <v>421</v>
      </c>
      <c r="J1370" t="s">
        <v>203</v>
      </c>
      <c r="K1370" t="s">
        <v>124</v>
      </c>
      <c r="L1370" t="s">
        <v>94</v>
      </c>
      <c r="M1370" s="5"/>
      <c r="N1370" s="5"/>
      <c r="O1370" s="5"/>
      <c r="P1370" s="5"/>
      <c r="R1370" t="s">
        <v>62</v>
      </c>
      <c r="S1370" t="s">
        <v>63</v>
      </c>
      <c r="T1370" s="5"/>
      <c r="U1370" s="6"/>
      <c r="V1370" t="s">
        <v>64</v>
      </c>
      <c r="W1370" s="4"/>
      <c r="X1370" t="s">
        <v>65</v>
      </c>
      <c r="Z1370" t="s">
        <v>66</v>
      </c>
      <c r="AA1370" t="str">
        <f>VLOOKUP(H1370,Departments!$A:$B,2,0)</f>
        <v>Emergency</v>
      </c>
      <c r="AB1370" t="str">
        <f>VLOOKUP(J1370,Diagnosis_Guide!$A:$B,2,0)</f>
        <v>Trauma Observation</v>
      </c>
      <c r="AC1370" s="4" t="str">
        <f>VLOOKUP(J1370,Diagnosis_Guide!$A:$C,3,0)</f>
        <v>Emergency</v>
      </c>
      <c r="AD1370" s="4" t="str">
        <f>VLOOKUP(R1370,Insurance_Plans!$A:$C,3,0)</f>
        <v>Public</v>
      </c>
      <c r="AE1370" s="13" t="str">
        <f t="shared" si="63"/>
        <v/>
      </c>
      <c r="AF1370" s="13" t="str">
        <f t="shared" si="64"/>
        <v/>
      </c>
      <c r="AG1370" s="4" t="str">
        <f t="shared" si="65"/>
        <v>Not Available</v>
      </c>
    </row>
    <row r="1371" spans="1:33">
      <c r="A1371" t="s">
        <v>2132</v>
      </c>
      <c r="B1371" t="s">
        <v>907</v>
      </c>
      <c r="C1371" s="11">
        <v>46154</v>
      </c>
      <c r="D1371" t="s">
        <v>225</v>
      </c>
      <c r="E1371" t="s">
        <v>314</v>
      </c>
      <c r="F1371" s="4"/>
      <c r="G1371" s="4"/>
      <c r="H1371" t="s">
        <v>90</v>
      </c>
      <c r="I1371" t="s">
        <v>91</v>
      </c>
      <c r="J1371" t="s">
        <v>129</v>
      </c>
      <c r="K1371" t="s">
        <v>73</v>
      </c>
      <c r="L1371" t="s">
        <v>61</v>
      </c>
      <c r="M1371" s="5"/>
      <c r="N1371" s="5"/>
      <c r="O1371" s="5"/>
      <c r="P1371" s="5"/>
      <c r="R1371" t="s">
        <v>106</v>
      </c>
      <c r="S1371" t="s">
        <v>63</v>
      </c>
      <c r="T1371" s="5"/>
      <c r="U1371" s="6"/>
      <c r="V1371" t="s">
        <v>64</v>
      </c>
      <c r="W1371" s="4"/>
      <c r="X1371" t="s">
        <v>65</v>
      </c>
      <c r="Z1371" t="s">
        <v>66</v>
      </c>
      <c r="AA1371" t="str">
        <f>VLOOKUP(H1371,Departments!$A:$B,2,0)</f>
        <v>Cardiology</v>
      </c>
      <c r="AB1371" t="str">
        <f>VLOOKUP(J1371,Diagnosis_Guide!$A:$B,2,0)</f>
        <v>Hypertension Crisis</v>
      </c>
      <c r="AC1371" s="4" t="str">
        <f>VLOOKUP(J1371,Diagnosis_Guide!$A:$C,3,0)</f>
        <v>Cardiovascular</v>
      </c>
      <c r="AD1371" s="4" t="str">
        <f>VLOOKUP(R1371,Insurance_Plans!$A:$C,3,0)</f>
        <v>Private</v>
      </c>
      <c r="AE1371" s="13" t="str">
        <f t="shared" si="63"/>
        <v/>
      </c>
      <c r="AF1371" s="13" t="str">
        <f t="shared" si="64"/>
        <v/>
      </c>
      <c r="AG1371" s="4" t="str">
        <f t="shared" si="65"/>
        <v>Not Available</v>
      </c>
    </row>
    <row r="1372" spans="1:33">
      <c r="A1372" t="s">
        <v>2133</v>
      </c>
      <c r="B1372" t="s">
        <v>2134</v>
      </c>
      <c r="C1372" s="11">
        <v>46057</v>
      </c>
      <c r="D1372" t="s">
        <v>250</v>
      </c>
      <c r="E1372" t="s">
        <v>70</v>
      </c>
      <c r="F1372" s="4">
        <v>46057</v>
      </c>
      <c r="G1372" s="4">
        <v>46058</v>
      </c>
      <c r="H1372" t="s">
        <v>111</v>
      </c>
      <c r="I1372" t="s">
        <v>267</v>
      </c>
      <c r="J1372" t="s">
        <v>117</v>
      </c>
      <c r="K1372" t="s">
        <v>60</v>
      </c>
      <c r="L1372" t="s">
        <v>74</v>
      </c>
      <c r="M1372" s="5">
        <v>5300</v>
      </c>
      <c r="N1372" s="5">
        <v>550</v>
      </c>
      <c r="O1372" s="5">
        <v>600</v>
      </c>
      <c r="P1372" s="5">
        <v>3000</v>
      </c>
      <c r="Q1372" s="13">
        <v>10650</v>
      </c>
      <c r="R1372" t="s">
        <v>75</v>
      </c>
      <c r="S1372" t="s">
        <v>76</v>
      </c>
      <c r="T1372" s="5">
        <v>5090</v>
      </c>
      <c r="U1372" s="6">
        <v>5</v>
      </c>
      <c r="V1372" t="s">
        <v>64</v>
      </c>
      <c r="W1372" s="4"/>
      <c r="X1372" t="s">
        <v>65</v>
      </c>
      <c r="Y1372" t="s">
        <v>64</v>
      </c>
      <c r="Z1372" t="s">
        <v>107</v>
      </c>
      <c r="AA1372" t="str">
        <f>VLOOKUP(H1372,Departments!$A:$B,2,0)</f>
        <v>General Medicine</v>
      </c>
      <c r="AB1372" t="str">
        <f>VLOOKUP(J1372,Diagnosis_Guide!$A:$B,2,0)</f>
        <v>Fever Investigation</v>
      </c>
      <c r="AC1372" s="4" t="str">
        <f>VLOOKUP(J1372,Diagnosis_Guide!$A:$C,3,0)</f>
        <v>Infectious/General</v>
      </c>
      <c r="AD1372" s="4" t="str">
        <f>VLOOKUP(R1372,Insurance_Plans!$A:$C,3,0)</f>
        <v>Public</v>
      </c>
      <c r="AE1372" s="13">
        <f t="shared" si="63"/>
        <v>532.5</v>
      </c>
      <c r="AF1372" s="13">
        <f t="shared" si="64"/>
        <v>11182.5</v>
      </c>
      <c r="AG1372" s="4" t="str">
        <f t="shared" si="65"/>
        <v>High</v>
      </c>
    </row>
    <row r="1373" spans="1:33">
      <c r="A1373" t="s">
        <v>2135</v>
      </c>
      <c r="B1373" t="s">
        <v>429</v>
      </c>
      <c r="C1373" s="11">
        <v>46088</v>
      </c>
      <c r="D1373" t="s">
        <v>266</v>
      </c>
      <c r="E1373" t="s">
        <v>70</v>
      </c>
      <c r="F1373" s="4">
        <v>46088</v>
      </c>
      <c r="G1373" s="4">
        <v>46096</v>
      </c>
      <c r="H1373" t="s">
        <v>178</v>
      </c>
      <c r="I1373" t="s">
        <v>622</v>
      </c>
      <c r="J1373" t="s">
        <v>358</v>
      </c>
      <c r="K1373" t="s">
        <v>93</v>
      </c>
      <c r="L1373" t="s">
        <v>94</v>
      </c>
      <c r="M1373" s="5">
        <v>51900</v>
      </c>
      <c r="N1373" s="5">
        <v>4450</v>
      </c>
      <c r="O1373" s="5">
        <v>5200</v>
      </c>
      <c r="P1373" s="5">
        <v>24000</v>
      </c>
      <c r="Q1373" s="13">
        <v>87050</v>
      </c>
      <c r="R1373" t="s">
        <v>141</v>
      </c>
      <c r="S1373" t="s">
        <v>76</v>
      </c>
      <c r="T1373" s="5">
        <v>14260</v>
      </c>
      <c r="U1373" s="6">
        <v>1</v>
      </c>
      <c r="V1373" t="s">
        <v>77</v>
      </c>
      <c r="W1373" s="4">
        <v>46111</v>
      </c>
      <c r="X1373" t="s">
        <v>77</v>
      </c>
      <c r="Y1373" t="s">
        <v>77</v>
      </c>
      <c r="Z1373" t="s">
        <v>78</v>
      </c>
      <c r="AA1373" t="str">
        <f>VLOOKUP(H1373,Departments!$A:$B,2,0)</f>
        <v>Surgery</v>
      </c>
      <c r="AB1373" t="str">
        <f>VLOOKUP(J1373,Diagnosis_Guide!$A:$B,2,0)</f>
        <v>Gallbladder Surgery</v>
      </c>
      <c r="AC1373" s="4" t="str">
        <f>VLOOKUP(J1373,Diagnosis_Guide!$A:$C,3,0)</f>
        <v>Surgical</v>
      </c>
      <c r="AD1373" s="4" t="str">
        <f>VLOOKUP(R1373,Insurance_Plans!$A:$C,3,0)</f>
        <v>Private</v>
      </c>
      <c r="AE1373" s="13">
        <f t="shared" si="63"/>
        <v>4352.5</v>
      </c>
      <c r="AF1373" s="13">
        <f t="shared" si="64"/>
        <v>91402.5</v>
      </c>
      <c r="AG1373" s="4" t="str">
        <f t="shared" si="65"/>
        <v>Low</v>
      </c>
    </row>
    <row r="1374" spans="1:33">
      <c r="A1374" t="s">
        <v>2136</v>
      </c>
      <c r="B1374" t="s">
        <v>941</v>
      </c>
      <c r="C1374" s="11">
        <v>46095</v>
      </c>
      <c r="D1374" t="s">
        <v>298</v>
      </c>
      <c r="E1374" t="s">
        <v>70</v>
      </c>
      <c r="F1374" s="4">
        <v>46095</v>
      </c>
      <c r="G1374" s="4">
        <v>46097</v>
      </c>
      <c r="H1374" t="s">
        <v>111</v>
      </c>
      <c r="I1374" t="s">
        <v>116</v>
      </c>
      <c r="J1374" t="s">
        <v>117</v>
      </c>
      <c r="K1374" t="s">
        <v>73</v>
      </c>
      <c r="L1374" t="s">
        <v>146</v>
      </c>
      <c r="M1374" s="5">
        <v>7100</v>
      </c>
      <c r="N1374" s="5">
        <v>900</v>
      </c>
      <c r="O1374" s="5">
        <v>1200</v>
      </c>
      <c r="P1374" s="5">
        <v>6000</v>
      </c>
      <c r="Q1374" s="13">
        <v>16000</v>
      </c>
      <c r="R1374" t="s">
        <v>141</v>
      </c>
      <c r="S1374" t="s">
        <v>76</v>
      </c>
      <c r="T1374" s="5">
        <v>3600</v>
      </c>
      <c r="U1374" s="6">
        <v>4</v>
      </c>
      <c r="V1374" t="s">
        <v>64</v>
      </c>
      <c r="W1374" s="4"/>
      <c r="X1374" t="s">
        <v>65</v>
      </c>
      <c r="Y1374" t="s">
        <v>64</v>
      </c>
      <c r="Z1374" t="s">
        <v>78</v>
      </c>
      <c r="AA1374" t="str">
        <f>VLOOKUP(H1374,Departments!$A:$B,2,0)</f>
        <v>General Medicine</v>
      </c>
      <c r="AB1374" t="str">
        <f>VLOOKUP(J1374,Diagnosis_Guide!$A:$B,2,0)</f>
        <v>Fever Investigation</v>
      </c>
      <c r="AC1374" s="4" t="str">
        <f>VLOOKUP(J1374,Diagnosis_Guide!$A:$C,3,0)</f>
        <v>Infectious/General</v>
      </c>
      <c r="AD1374" s="4" t="str">
        <f>VLOOKUP(R1374,Insurance_Plans!$A:$C,3,0)</f>
        <v>Private</v>
      </c>
      <c r="AE1374" s="13">
        <f t="shared" si="63"/>
        <v>800</v>
      </c>
      <c r="AF1374" s="13">
        <f t="shared" si="64"/>
        <v>16800</v>
      </c>
      <c r="AG1374" s="4" t="str">
        <f t="shared" si="65"/>
        <v>High</v>
      </c>
    </row>
    <row r="1375" spans="1:33">
      <c r="A1375" t="s">
        <v>2137</v>
      </c>
      <c r="B1375" t="s">
        <v>451</v>
      </c>
      <c r="C1375" s="11">
        <v>46157</v>
      </c>
      <c r="D1375" t="s">
        <v>55</v>
      </c>
      <c r="E1375" t="s">
        <v>177</v>
      </c>
      <c r="F1375" s="4"/>
      <c r="G1375" s="4"/>
      <c r="H1375" t="s">
        <v>201</v>
      </c>
      <c r="I1375" t="s">
        <v>327</v>
      </c>
      <c r="J1375" t="s">
        <v>295</v>
      </c>
      <c r="K1375" t="s">
        <v>124</v>
      </c>
      <c r="L1375" t="s">
        <v>74</v>
      </c>
      <c r="M1375" s="5"/>
      <c r="N1375" s="5"/>
      <c r="O1375" s="5"/>
      <c r="P1375" s="5"/>
      <c r="R1375" t="s">
        <v>95</v>
      </c>
      <c r="S1375" t="s">
        <v>63</v>
      </c>
      <c r="T1375" s="5"/>
      <c r="U1375" s="6"/>
      <c r="V1375" t="s">
        <v>64</v>
      </c>
      <c r="W1375" s="4"/>
      <c r="X1375" t="s">
        <v>65</v>
      </c>
      <c r="Z1375" t="s">
        <v>66</v>
      </c>
      <c r="AA1375" t="str">
        <f>VLOOKUP(H1375,Departments!$A:$B,2,0)</f>
        <v>Emergency</v>
      </c>
      <c r="AB1375" t="str">
        <f>VLOOKUP(J1375,Diagnosis_Guide!$A:$B,2,0)</f>
        <v>Accident Injury</v>
      </c>
      <c r="AC1375" s="4" t="str">
        <f>VLOOKUP(J1375,Diagnosis_Guide!$A:$C,3,0)</f>
        <v>Emergency</v>
      </c>
      <c r="AD1375" s="4" t="str">
        <f>VLOOKUP(R1375,Insurance_Plans!$A:$C,3,0)</f>
        <v>Self-Pay</v>
      </c>
      <c r="AE1375" s="13" t="str">
        <f t="shared" si="63"/>
        <v/>
      </c>
      <c r="AF1375" s="13" t="str">
        <f t="shared" si="64"/>
        <v/>
      </c>
      <c r="AG1375" s="4" t="str">
        <f t="shared" si="65"/>
        <v>Not Available</v>
      </c>
    </row>
    <row r="1376" spans="1:33">
      <c r="A1376" t="s">
        <v>2138</v>
      </c>
      <c r="B1376" t="s">
        <v>1123</v>
      </c>
      <c r="C1376" s="11">
        <v>46148</v>
      </c>
      <c r="D1376" t="s">
        <v>337</v>
      </c>
      <c r="E1376" t="s">
        <v>70</v>
      </c>
      <c r="F1376" s="4">
        <v>46148</v>
      </c>
      <c r="G1376" s="4">
        <v>46154</v>
      </c>
      <c r="H1376" t="s">
        <v>57</v>
      </c>
      <c r="I1376" t="s">
        <v>211</v>
      </c>
      <c r="J1376" t="s">
        <v>170</v>
      </c>
      <c r="K1376" t="s">
        <v>124</v>
      </c>
      <c r="L1376" t="s">
        <v>94</v>
      </c>
      <c r="M1376" s="5">
        <v>81600</v>
      </c>
      <c r="N1376" s="5">
        <v>11650</v>
      </c>
      <c r="O1376" s="5">
        <v>19000</v>
      </c>
      <c r="P1376" s="5">
        <v>36000</v>
      </c>
      <c r="Q1376" s="13">
        <v>150250</v>
      </c>
      <c r="R1376" t="s">
        <v>106</v>
      </c>
      <c r="S1376" t="s">
        <v>76</v>
      </c>
      <c r="T1376" s="5">
        <v>53290</v>
      </c>
      <c r="U1376" s="6">
        <v>5</v>
      </c>
      <c r="V1376" t="s">
        <v>77</v>
      </c>
      <c r="W1376" s="4">
        <v>46173</v>
      </c>
      <c r="X1376" t="s">
        <v>77</v>
      </c>
      <c r="Y1376" t="s">
        <v>64</v>
      </c>
      <c r="Z1376" t="s">
        <v>78</v>
      </c>
      <c r="AA1376" t="str">
        <f>VLOOKUP(H1376,Departments!$A:$B,2,0)</f>
        <v>Pulmonology</v>
      </c>
      <c r="AB1376" t="str">
        <f>VLOOKUP(J1376,Diagnosis_Guide!$A:$B,2,0)</f>
        <v>COPD Exacerbation</v>
      </c>
      <c r="AC1376" s="4" t="str">
        <f>VLOOKUP(J1376,Diagnosis_Guide!$A:$C,3,0)</f>
        <v>Respiratory</v>
      </c>
      <c r="AD1376" s="4" t="str">
        <f>VLOOKUP(R1376,Insurance_Plans!$A:$C,3,0)</f>
        <v>Private</v>
      </c>
      <c r="AE1376" s="13">
        <f t="shared" si="63"/>
        <v>7512.5</v>
      </c>
      <c r="AF1376" s="13">
        <f t="shared" si="64"/>
        <v>157762.5</v>
      </c>
      <c r="AG1376" s="4" t="str">
        <f t="shared" si="65"/>
        <v>High</v>
      </c>
    </row>
    <row r="1377" spans="1:33">
      <c r="A1377" t="s">
        <v>2139</v>
      </c>
      <c r="B1377" t="s">
        <v>2140</v>
      </c>
      <c r="C1377" s="11">
        <v>46036</v>
      </c>
      <c r="D1377" t="s">
        <v>259</v>
      </c>
      <c r="E1377" t="s">
        <v>70</v>
      </c>
      <c r="F1377" s="4">
        <v>46037</v>
      </c>
      <c r="G1377" s="4">
        <v>46037</v>
      </c>
      <c r="H1377" t="s">
        <v>121</v>
      </c>
      <c r="I1377" t="s">
        <v>122</v>
      </c>
      <c r="J1377" t="s">
        <v>123</v>
      </c>
      <c r="K1377" t="s">
        <v>60</v>
      </c>
      <c r="L1377" t="s">
        <v>74</v>
      </c>
      <c r="M1377" s="5">
        <v>36200</v>
      </c>
      <c r="N1377" s="5">
        <v>5300</v>
      </c>
      <c r="O1377" s="5">
        <v>4000</v>
      </c>
      <c r="P1377" s="5">
        <v>0</v>
      </c>
      <c r="Q1377" s="13">
        <v>46500</v>
      </c>
      <c r="R1377" t="s">
        <v>134</v>
      </c>
      <c r="S1377" t="s">
        <v>76</v>
      </c>
      <c r="T1377" s="5">
        <v>25780</v>
      </c>
      <c r="U1377" s="6">
        <v>3</v>
      </c>
      <c r="V1377" t="s">
        <v>77</v>
      </c>
      <c r="W1377" s="4">
        <v>46050</v>
      </c>
      <c r="X1377" t="s">
        <v>64</v>
      </c>
      <c r="Y1377" t="s">
        <v>77</v>
      </c>
      <c r="Z1377" t="s">
        <v>96</v>
      </c>
      <c r="AA1377" t="str">
        <f>VLOOKUP(H1377,Departments!$A:$B,2,0)</f>
        <v>Neurology</v>
      </c>
      <c r="AB1377" t="str">
        <f>VLOOKUP(J1377,Diagnosis_Guide!$A:$B,2,0)</f>
        <v>Seizure Episode</v>
      </c>
      <c r="AC1377" s="4" t="str">
        <f>VLOOKUP(J1377,Diagnosis_Guide!$A:$C,3,0)</f>
        <v>Neurological</v>
      </c>
      <c r="AD1377" s="4" t="str">
        <f>VLOOKUP(R1377,Insurance_Plans!$A:$C,3,0)</f>
        <v>Community</v>
      </c>
      <c r="AE1377" s="13">
        <f t="shared" si="63"/>
        <v>2325</v>
      </c>
      <c r="AF1377" s="13">
        <f t="shared" si="64"/>
        <v>48825</v>
      </c>
      <c r="AG1377" s="4" t="str">
        <f t="shared" si="65"/>
        <v>Medium</v>
      </c>
    </row>
    <row r="1378" spans="1:33">
      <c r="A1378" t="s">
        <v>2141</v>
      </c>
      <c r="B1378" t="s">
        <v>926</v>
      </c>
      <c r="C1378" s="11">
        <v>46052</v>
      </c>
      <c r="D1378" t="s">
        <v>337</v>
      </c>
      <c r="E1378" t="s">
        <v>70</v>
      </c>
      <c r="F1378" s="4">
        <v>46052</v>
      </c>
      <c r="G1378" s="4">
        <v>46053</v>
      </c>
      <c r="H1378" t="s">
        <v>121</v>
      </c>
      <c r="I1378" t="s">
        <v>386</v>
      </c>
      <c r="J1378" t="s">
        <v>256</v>
      </c>
      <c r="K1378" t="s">
        <v>60</v>
      </c>
      <c r="L1378" t="s">
        <v>146</v>
      </c>
      <c r="M1378" s="5">
        <v>12300</v>
      </c>
      <c r="N1378" s="5">
        <v>1750</v>
      </c>
      <c r="O1378" s="5">
        <v>2100</v>
      </c>
      <c r="P1378" s="5">
        <v>4500</v>
      </c>
      <c r="Q1378" s="13">
        <v>23150</v>
      </c>
      <c r="R1378" t="s">
        <v>141</v>
      </c>
      <c r="S1378" t="s">
        <v>76</v>
      </c>
      <c r="T1378" s="5">
        <v>4670</v>
      </c>
      <c r="U1378" s="6">
        <v>5</v>
      </c>
      <c r="V1378" t="s">
        <v>64</v>
      </c>
      <c r="W1378" s="4"/>
      <c r="X1378" t="s">
        <v>65</v>
      </c>
      <c r="Y1378" t="s">
        <v>64</v>
      </c>
      <c r="Z1378" t="s">
        <v>107</v>
      </c>
      <c r="AA1378" t="str">
        <f>VLOOKUP(H1378,Departments!$A:$B,2,0)</f>
        <v>Neurology</v>
      </c>
      <c r="AB1378" t="str">
        <f>VLOOKUP(J1378,Diagnosis_Guide!$A:$B,2,0)</f>
        <v>Migraine Complication</v>
      </c>
      <c r="AC1378" s="4" t="str">
        <f>VLOOKUP(J1378,Diagnosis_Guide!$A:$C,3,0)</f>
        <v>Neurological</v>
      </c>
      <c r="AD1378" s="4" t="str">
        <f>VLOOKUP(R1378,Insurance_Plans!$A:$C,3,0)</f>
        <v>Private</v>
      </c>
      <c r="AE1378" s="13">
        <f t="shared" si="63"/>
        <v>1157.5</v>
      </c>
      <c r="AF1378" s="13">
        <f t="shared" si="64"/>
        <v>24307.5</v>
      </c>
      <c r="AG1378" s="4" t="str">
        <f t="shared" si="65"/>
        <v>High</v>
      </c>
    </row>
    <row r="1379" spans="1:33">
      <c r="A1379" t="s">
        <v>2142</v>
      </c>
      <c r="B1379" t="s">
        <v>642</v>
      </c>
      <c r="C1379" s="11">
        <v>46044</v>
      </c>
      <c r="D1379" t="s">
        <v>307</v>
      </c>
      <c r="E1379" t="s">
        <v>314</v>
      </c>
      <c r="F1379" s="4"/>
      <c r="G1379" s="4"/>
      <c r="H1379" t="s">
        <v>57</v>
      </c>
      <c r="I1379" t="s">
        <v>211</v>
      </c>
      <c r="J1379" t="s">
        <v>72</v>
      </c>
      <c r="K1379" t="s">
        <v>60</v>
      </c>
      <c r="L1379" t="s">
        <v>94</v>
      </c>
      <c r="M1379" s="5"/>
      <c r="N1379" s="5"/>
      <c r="O1379" s="5"/>
      <c r="P1379" s="5"/>
      <c r="R1379" t="s">
        <v>62</v>
      </c>
      <c r="S1379" t="s">
        <v>63</v>
      </c>
      <c r="T1379" s="5"/>
      <c r="U1379" s="6"/>
      <c r="V1379" t="s">
        <v>64</v>
      </c>
      <c r="W1379" s="4"/>
      <c r="X1379" t="s">
        <v>65</v>
      </c>
      <c r="Z1379" t="s">
        <v>66</v>
      </c>
      <c r="AA1379" t="str">
        <f>VLOOKUP(H1379,Departments!$A:$B,2,0)</f>
        <v>Pulmonology</v>
      </c>
      <c r="AB1379" t="str">
        <f>VLOOKUP(J1379,Diagnosis_Guide!$A:$B,2,0)</f>
        <v>Acute Bronchitis</v>
      </c>
      <c r="AC1379" s="4" t="str">
        <f>VLOOKUP(J1379,Diagnosis_Guide!$A:$C,3,0)</f>
        <v>Respiratory</v>
      </c>
      <c r="AD1379" s="4" t="str">
        <f>VLOOKUP(R1379,Insurance_Plans!$A:$C,3,0)</f>
        <v>Public</v>
      </c>
      <c r="AE1379" s="13" t="str">
        <f t="shared" si="63"/>
        <v/>
      </c>
      <c r="AF1379" s="13" t="str">
        <f t="shared" si="64"/>
        <v/>
      </c>
      <c r="AG1379" s="4" t="str">
        <f t="shared" si="65"/>
        <v>Not Available</v>
      </c>
    </row>
    <row r="1380" spans="1:33">
      <c r="A1380" t="s">
        <v>2143</v>
      </c>
      <c r="B1380" t="s">
        <v>476</v>
      </c>
      <c r="C1380" s="11">
        <v>46047</v>
      </c>
      <c r="D1380" t="s">
        <v>161</v>
      </c>
      <c r="E1380" t="s">
        <v>70</v>
      </c>
      <c r="F1380" s="4">
        <v>46047</v>
      </c>
      <c r="G1380" s="4">
        <v>46047</v>
      </c>
      <c r="H1380" t="s">
        <v>90</v>
      </c>
      <c r="I1380" t="s">
        <v>388</v>
      </c>
      <c r="J1380" t="s">
        <v>92</v>
      </c>
      <c r="K1380" t="s">
        <v>60</v>
      </c>
      <c r="L1380" t="s">
        <v>74</v>
      </c>
      <c r="M1380" s="5">
        <v>45600</v>
      </c>
      <c r="N1380" s="5">
        <v>7600</v>
      </c>
      <c r="O1380" s="5">
        <v>9800</v>
      </c>
      <c r="P1380" s="5">
        <v>0</v>
      </c>
      <c r="Q1380" s="13">
        <v>64500</v>
      </c>
      <c r="R1380" t="s">
        <v>95</v>
      </c>
      <c r="S1380" t="s">
        <v>63</v>
      </c>
      <c r="T1380" s="5">
        <v>64500</v>
      </c>
      <c r="U1380" s="6">
        <v>4</v>
      </c>
      <c r="V1380" t="s">
        <v>77</v>
      </c>
      <c r="W1380" s="4">
        <v>46060</v>
      </c>
      <c r="X1380" t="s">
        <v>77</v>
      </c>
      <c r="Y1380" t="s">
        <v>64</v>
      </c>
      <c r="Z1380" t="s">
        <v>96</v>
      </c>
      <c r="AA1380" t="str">
        <f>VLOOKUP(H1380,Departments!$A:$B,2,0)</f>
        <v>Cardiology</v>
      </c>
      <c r="AB1380" t="str">
        <f>VLOOKUP(J1380,Diagnosis_Guide!$A:$B,2,0)</f>
        <v>Heart Failure</v>
      </c>
      <c r="AC1380" s="4" t="str">
        <f>VLOOKUP(J1380,Diagnosis_Guide!$A:$C,3,0)</f>
        <v>Cardiovascular</v>
      </c>
      <c r="AD1380" s="4" t="str">
        <f>VLOOKUP(R1380,Insurance_Plans!$A:$C,3,0)</f>
        <v>Self-Pay</v>
      </c>
      <c r="AE1380" s="13">
        <f t="shared" si="63"/>
        <v>3225</v>
      </c>
      <c r="AF1380" s="13">
        <f t="shared" si="64"/>
        <v>67725</v>
      </c>
      <c r="AG1380" s="4" t="str">
        <f t="shared" si="65"/>
        <v>High</v>
      </c>
    </row>
    <row r="1381" spans="1:33">
      <c r="A1381" t="s">
        <v>2144</v>
      </c>
      <c r="B1381" t="s">
        <v>1889</v>
      </c>
      <c r="C1381" s="11">
        <v>46063</v>
      </c>
      <c r="D1381" t="s">
        <v>110</v>
      </c>
      <c r="E1381" t="s">
        <v>314</v>
      </c>
      <c r="F1381" s="4"/>
      <c r="G1381" s="4"/>
      <c r="H1381" t="s">
        <v>150</v>
      </c>
      <c r="I1381" t="s">
        <v>187</v>
      </c>
      <c r="J1381" t="s">
        <v>188</v>
      </c>
      <c r="K1381" t="s">
        <v>60</v>
      </c>
      <c r="L1381" t="s">
        <v>146</v>
      </c>
      <c r="M1381" s="5"/>
      <c r="N1381" s="5"/>
      <c r="O1381" s="5"/>
      <c r="P1381" s="5"/>
      <c r="R1381" t="s">
        <v>62</v>
      </c>
      <c r="S1381" t="s">
        <v>63</v>
      </c>
      <c r="T1381" s="5"/>
      <c r="U1381" s="6"/>
      <c r="V1381" t="s">
        <v>64</v>
      </c>
      <c r="W1381" s="4"/>
      <c r="X1381" t="s">
        <v>65</v>
      </c>
      <c r="Z1381" t="s">
        <v>66</v>
      </c>
      <c r="AA1381" t="str">
        <f>VLOOKUP(H1381,Departments!$A:$B,2,0)</f>
        <v>Obstetrics</v>
      </c>
      <c r="AB1381" t="str">
        <f>VLOOKUP(J1381,Diagnosis_Guide!$A:$B,2,0)</f>
        <v>Emergency C-Section</v>
      </c>
      <c r="AC1381" s="4" t="str">
        <f>VLOOKUP(J1381,Diagnosis_Guide!$A:$C,3,0)</f>
        <v>Maternal Health</v>
      </c>
      <c r="AD1381" s="4" t="str">
        <f>VLOOKUP(R1381,Insurance_Plans!$A:$C,3,0)</f>
        <v>Public</v>
      </c>
      <c r="AE1381" s="13" t="str">
        <f t="shared" si="63"/>
        <v/>
      </c>
      <c r="AF1381" s="13" t="str">
        <f t="shared" si="64"/>
        <v/>
      </c>
      <c r="AG1381" s="4" t="str">
        <f t="shared" si="65"/>
        <v>Not Available</v>
      </c>
    </row>
    <row r="1382" spans="1:33">
      <c r="A1382" t="s">
        <v>2145</v>
      </c>
      <c r="B1382" t="s">
        <v>485</v>
      </c>
      <c r="C1382" s="11">
        <v>46055</v>
      </c>
      <c r="D1382" t="s">
        <v>144</v>
      </c>
      <c r="E1382" t="s">
        <v>191</v>
      </c>
      <c r="F1382" s="4"/>
      <c r="G1382" s="4"/>
      <c r="H1382" t="s">
        <v>138</v>
      </c>
      <c r="I1382" t="s">
        <v>139</v>
      </c>
      <c r="J1382" t="s">
        <v>140</v>
      </c>
      <c r="K1382" t="s">
        <v>93</v>
      </c>
      <c r="L1382" t="s">
        <v>74</v>
      </c>
      <c r="M1382" s="5"/>
      <c r="N1382" s="5"/>
      <c r="O1382" s="5"/>
      <c r="P1382" s="5"/>
      <c r="R1382" t="s">
        <v>85</v>
      </c>
      <c r="S1382" t="s">
        <v>63</v>
      </c>
      <c r="T1382" s="5"/>
      <c r="U1382" s="6"/>
      <c r="V1382" t="s">
        <v>64</v>
      </c>
      <c r="W1382" s="4"/>
      <c r="X1382" t="s">
        <v>65</v>
      </c>
      <c r="Z1382" t="s">
        <v>66</v>
      </c>
      <c r="AA1382" t="str">
        <f>VLOOKUP(H1382,Departments!$A:$B,2,0)</f>
        <v>Pediatrics</v>
      </c>
      <c r="AB1382" t="str">
        <f>VLOOKUP(J1382,Diagnosis_Guide!$A:$B,2,0)</f>
        <v>Pediatric Asthma</v>
      </c>
      <c r="AC1382" s="4" t="str">
        <f>VLOOKUP(J1382,Diagnosis_Guide!$A:$C,3,0)</f>
        <v>Pediatric</v>
      </c>
      <c r="AD1382" s="4" t="str">
        <f>VLOOKUP(R1382,Insurance_Plans!$A:$C,3,0)</f>
        <v>Employer</v>
      </c>
      <c r="AE1382" s="13" t="str">
        <f t="shared" si="63"/>
        <v/>
      </c>
      <c r="AF1382" s="13" t="str">
        <f t="shared" si="64"/>
        <v/>
      </c>
      <c r="AG1382" s="4" t="str">
        <f t="shared" si="65"/>
        <v>Not Available</v>
      </c>
    </row>
    <row r="1383" spans="1:33">
      <c r="A1383" t="s">
        <v>2146</v>
      </c>
      <c r="B1383" t="s">
        <v>1185</v>
      </c>
      <c r="C1383" s="11">
        <v>46107</v>
      </c>
      <c r="D1383" t="s">
        <v>330</v>
      </c>
      <c r="E1383" t="s">
        <v>70</v>
      </c>
      <c r="F1383" s="4">
        <v>46107</v>
      </c>
      <c r="G1383" s="4">
        <v>46114</v>
      </c>
      <c r="H1383" t="s">
        <v>138</v>
      </c>
      <c r="I1383" t="s">
        <v>260</v>
      </c>
      <c r="J1383" t="s">
        <v>236</v>
      </c>
      <c r="K1383" t="s">
        <v>124</v>
      </c>
      <c r="L1383" t="s">
        <v>61</v>
      </c>
      <c r="M1383" s="5">
        <v>42200</v>
      </c>
      <c r="N1383" s="5">
        <v>6250</v>
      </c>
      <c r="O1383" s="5">
        <v>8500</v>
      </c>
      <c r="P1383" s="5">
        <v>31500</v>
      </c>
      <c r="Q1383" s="13">
        <v>90950</v>
      </c>
      <c r="R1383" t="s">
        <v>141</v>
      </c>
      <c r="S1383" t="s">
        <v>76</v>
      </c>
      <c r="T1383" s="5">
        <v>14840</v>
      </c>
      <c r="U1383" s="6">
        <v>3</v>
      </c>
      <c r="V1383" t="s">
        <v>77</v>
      </c>
      <c r="W1383" s="4">
        <v>46134</v>
      </c>
      <c r="Y1383" t="s">
        <v>64</v>
      </c>
      <c r="Z1383" t="s">
        <v>78</v>
      </c>
      <c r="AA1383" t="str">
        <f>VLOOKUP(H1383,Departments!$A:$B,2,0)</f>
        <v>Pediatrics</v>
      </c>
      <c r="AB1383" t="str">
        <f>VLOOKUP(J1383,Diagnosis_Guide!$A:$B,2,0)</f>
        <v>Neonatal Observation</v>
      </c>
      <c r="AC1383" s="4" t="str">
        <f>VLOOKUP(J1383,Diagnosis_Guide!$A:$C,3,0)</f>
        <v>Pediatric</v>
      </c>
      <c r="AD1383" s="4" t="str">
        <f>VLOOKUP(R1383,Insurance_Plans!$A:$C,3,0)</f>
        <v>Private</v>
      </c>
      <c r="AE1383" s="13">
        <f t="shared" si="63"/>
        <v>4547.5</v>
      </c>
      <c r="AF1383" s="13">
        <f t="shared" si="64"/>
        <v>95497.5</v>
      </c>
      <c r="AG1383" s="4" t="str">
        <f t="shared" si="65"/>
        <v>Medium</v>
      </c>
    </row>
    <row r="1384" spans="1:33">
      <c r="A1384" t="s">
        <v>2147</v>
      </c>
      <c r="B1384" t="s">
        <v>68</v>
      </c>
      <c r="C1384" s="11">
        <v>46023</v>
      </c>
      <c r="D1384" t="s">
        <v>266</v>
      </c>
      <c r="E1384" t="s">
        <v>70</v>
      </c>
      <c r="F1384" s="4">
        <v>46023</v>
      </c>
      <c r="G1384" s="4">
        <v>46030</v>
      </c>
      <c r="H1384" t="s">
        <v>103</v>
      </c>
      <c r="I1384" t="s">
        <v>364</v>
      </c>
      <c r="J1384" t="s">
        <v>244</v>
      </c>
      <c r="K1384" t="s">
        <v>124</v>
      </c>
      <c r="L1384" t="s">
        <v>94</v>
      </c>
      <c r="M1384" s="5">
        <v>75000</v>
      </c>
      <c r="N1384" s="5">
        <v>10450</v>
      </c>
      <c r="O1384" s="5">
        <v>12900</v>
      </c>
      <c r="P1384" s="5">
        <v>24500</v>
      </c>
      <c r="Q1384" s="13">
        <v>123650</v>
      </c>
      <c r="R1384" t="s">
        <v>134</v>
      </c>
      <c r="S1384" t="s">
        <v>76</v>
      </c>
      <c r="T1384" s="5">
        <v>68210</v>
      </c>
      <c r="U1384" s="6">
        <v>4</v>
      </c>
      <c r="V1384" t="s">
        <v>77</v>
      </c>
      <c r="W1384" s="4">
        <v>46043</v>
      </c>
      <c r="X1384" t="s">
        <v>77</v>
      </c>
      <c r="Y1384" t="s">
        <v>64</v>
      </c>
      <c r="Z1384" t="s">
        <v>107</v>
      </c>
      <c r="AA1384" t="str">
        <f>VLOOKUP(H1384,Departments!$A:$B,2,0)</f>
        <v>Nephrology</v>
      </c>
      <c r="AB1384" t="str">
        <f>VLOOKUP(J1384,Diagnosis_Guide!$A:$B,2,0)</f>
        <v>Chronic Kidney Disease</v>
      </c>
      <c r="AC1384" s="4" t="str">
        <f>VLOOKUP(J1384,Diagnosis_Guide!$A:$C,3,0)</f>
        <v>Renal</v>
      </c>
      <c r="AD1384" s="4" t="str">
        <f>VLOOKUP(R1384,Insurance_Plans!$A:$C,3,0)</f>
        <v>Community</v>
      </c>
      <c r="AE1384" s="13">
        <f t="shared" si="63"/>
        <v>6182.5</v>
      </c>
      <c r="AF1384" s="13">
        <f t="shared" si="64"/>
        <v>129832.5</v>
      </c>
      <c r="AG1384" s="4" t="str">
        <f t="shared" si="65"/>
        <v>High</v>
      </c>
    </row>
    <row r="1385" spans="1:33">
      <c r="A1385" t="s">
        <v>2148</v>
      </c>
      <c r="B1385" t="s">
        <v>578</v>
      </c>
      <c r="C1385" s="11">
        <v>46117</v>
      </c>
      <c r="D1385" t="s">
        <v>183</v>
      </c>
      <c r="E1385" t="s">
        <v>70</v>
      </c>
      <c r="F1385" s="4">
        <v>46117</v>
      </c>
      <c r="G1385" s="4">
        <v>46122</v>
      </c>
      <c r="H1385" t="s">
        <v>90</v>
      </c>
      <c r="J1385" t="s">
        <v>129</v>
      </c>
      <c r="K1385" t="s">
        <v>124</v>
      </c>
      <c r="L1385" t="s">
        <v>94</v>
      </c>
      <c r="M1385" s="5">
        <v>52200</v>
      </c>
      <c r="N1385" s="5">
        <v>6200</v>
      </c>
      <c r="O1385" s="5">
        <v>12950</v>
      </c>
      <c r="P1385" s="5">
        <v>30000</v>
      </c>
      <c r="Q1385" s="13">
        <v>102550</v>
      </c>
      <c r="R1385" t="s">
        <v>106</v>
      </c>
      <c r="S1385" t="s">
        <v>76</v>
      </c>
      <c r="T1385" s="5">
        <v>36590</v>
      </c>
      <c r="U1385" s="6">
        <v>4</v>
      </c>
      <c r="V1385" t="s">
        <v>77</v>
      </c>
      <c r="W1385" s="4">
        <v>46137</v>
      </c>
      <c r="X1385" t="s">
        <v>77</v>
      </c>
      <c r="Y1385" t="s">
        <v>64</v>
      </c>
      <c r="Z1385" t="s">
        <v>96</v>
      </c>
      <c r="AA1385" t="str">
        <f>VLOOKUP(H1385,Departments!$A:$B,2,0)</f>
        <v>Cardiology</v>
      </c>
      <c r="AB1385" t="str">
        <f>VLOOKUP(J1385,Diagnosis_Guide!$A:$B,2,0)</f>
        <v>Hypertension Crisis</v>
      </c>
      <c r="AC1385" s="4" t="str">
        <f>VLOOKUP(J1385,Diagnosis_Guide!$A:$C,3,0)</f>
        <v>Cardiovascular</v>
      </c>
      <c r="AD1385" s="4" t="str">
        <f>VLOOKUP(R1385,Insurance_Plans!$A:$C,3,0)</f>
        <v>Private</v>
      </c>
      <c r="AE1385" s="13">
        <f t="shared" si="63"/>
        <v>5127.5</v>
      </c>
      <c r="AF1385" s="13">
        <f t="shared" si="64"/>
        <v>107677.5</v>
      </c>
      <c r="AG1385" s="4" t="str">
        <f t="shared" si="65"/>
        <v>High</v>
      </c>
    </row>
    <row r="1386" spans="1:33">
      <c r="A1386" t="s">
        <v>2149</v>
      </c>
      <c r="B1386" t="s">
        <v>591</v>
      </c>
      <c r="C1386" s="11">
        <v>46156</v>
      </c>
      <c r="D1386" t="s">
        <v>210</v>
      </c>
      <c r="E1386" t="s">
        <v>314</v>
      </c>
      <c r="F1386" s="4"/>
      <c r="G1386" s="4"/>
      <c r="H1386" t="s">
        <v>57</v>
      </c>
      <c r="I1386" t="s">
        <v>71</v>
      </c>
      <c r="J1386" t="s">
        <v>59</v>
      </c>
      <c r="K1386" t="s">
        <v>60</v>
      </c>
      <c r="L1386" t="s">
        <v>94</v>
      </c>
      <c r="M1386" s="5"/>
      <c r="N1386" s="5"/>
      <c r="O1386" s="5"/>
      <c r="P1386" s="5"/>
      <c r="R1386" t="s">
        <v>62</v>
      </c>
      <c r="S1386" t="s">
        <v>63</v>
      </c>
      <c r="T1386" s="5"/>
      <c r="U1386" s="6"/>
      <c r="V1386" t="s">
        <v>64</v>
      </c>
      <c r="W1386" s="4"/>
      <c r="X1386" t="s">
        <v>65</v>
      </c>
      <c r="Z1386" t="s">
        <v>66</v>
      </c>
      <c r="AA1386" t="str">
        <f>VLOOKUP(H1386,Departments!$A:$B,2,0)</f>
        <v>Pulmonology</v>
      </c>
      <c r="AB1386" t="str">
        <f>VLOOKUP(J1386,Diagnosis_Guide!$A:$B,2,0)</f>
        <v>Pneumonia</v>
      </c>
      <c r="AC1386" s="4" t="str">
        <f>VLOOKUP(J1386,Diagnosis_Guide!$A:$C,3,0)</f>
        <v>Respiratory</v>
      </c>
      <c r="AD1386" s="4" t="str">
        <f>VLOOKUP(R1386,Insurance_Plans!$A:$C,3,0)</f>
        <v>Public</v>
      </c>
      <c r="AE1386" s="13" t="str">
        <f t="shared" si="63"/>
        <v/>
      </c>
      <c r="AF1386" s="13" t="str">
        <f t="shared" si="64"/>
        <v/>
      </c>
      <c r="AG1386" s="4" t="str">
        <f t="shared" si="65"/>
        <v>Not Available</v>
      </c>
    </row>
    <row r="1387" spans="1:33">
      <c r="A1387" t="s">
        <v>2150</v>
      </c>
      <c r="B1387" t="s">
        <v>1418</v>
      </c>
      <c r="C1387" s="11">
        <v>46045</v>
      </c>
      <c r="D1387" t="s">
        <v>161</v>
      </c>
      <c r="E1387" t="s">
        <v>70</v>
      </c>
      <c r="F1387" s="4">
        <v>46046</v>
      </c>
      <c r="G1387" s="4">
        <v>46054</v>
      </c>
      <c r="H1387" t="s">
        <v>121</v>
      </c>
      <c r="I1387" t="s">
        <v>174</v>
      </c>
      <c r="J1387" t="s">
        <v>252</v>
      </c>
      <c r="K1387" t="s">
        <v>73</v>
      </c>
      <c r="L1387" t="s">
        <v>61</v>
      </c>
      <c r="M1387" s="5">
        <v>75600</v>
      </c>
      <c r="N1387" s="5">
        <v>8300</v>
      </c>
      <c r="O1387" s="5">
        <v>10100</v>
      </c>
      <c r="P1387" s="5">
        <v>20000</v>
      </c>
      <c r="Q1387" s="13">
        <v>115800</v>
      </c>
      <c r="R1387" t="s">
        <v>85</v>
      </c>
      <c r="S1387" t="s">
        <v>76</v>
      </c>
      <c r="T1387" s="5">
        <v>29850</v>
      </c>
      <c r="U1387" s="6">
        <v>4</v>
      </c>
      <c r="V1387" t="s">
        <v>77</v>
      </c>
      <c r="W1387" s="4">
        <v>46066</v>
      </c>
      <c r="X1387" t="s">
        <v>77</v>
      </c>
      <c r="Y1387" t="s">
        <v>64</v>
      </c>
      <c r="Z1387" t="s">
        <v>96</v>
      </c>
      <c r="AA1387" t="str">
        <f>VLOOKUP(H1387,Departments!$A:$B,2,0)</f>
        <v>Neurology</v>
      </c>
      <c r="AB1387" t="str">
        <f>VLOOKUP(J1387,Diagnosis_Guide!$A:$B,2,0)</f>
        <v>Stroke Assessment</v>
      </c>
      <c r="AC1387" s="4" t="str">
        <f>VLOOKUP(J1387,Diagnosis_Guide!$A:$C,3,0)</f>
        <v>Neurological</v>
      </c>
      <c r="AD1387" s="4" t="str">
        <f>VLOOKUP(R1387,Insurance_Plans!$A:$C,3,0)</f>
        <v>Employer</v>
      </c>
      <c r="AE1387" s="13">
        <f t="shared" si="63"/>
        <v>5790</v>
      </c>
      <c r="AF1387" s="13">
        <f t="shared" si="64"/>
        <v>121590</v>
      </c>
      <c r="AG1387" s="4" t="str">
        <f t="shared" si="65"/>
        <v>High</v>
      </c>
    </row>
    <row r="1388" spans="1:33">
      <c r="A1388" t="s">
        <v>2151</v>
      </c>
      <c r="B1388" t="s">
        <v>274</v>
      </c>
      <c r="C1388" s="11">
        <v>46114</v>
      </c>
      <c r="D1388" t="s">
        <v>137</v>
      </c>
      <c r="E1388" t="s">
        <v>70</v>
      </c>
      <c r="F1388" s="4">
        <v>46114</v>
      </c>
      <c r="G1388" s="4">
        <v>46119</v>
      </c>
      <c r="H1388" t="s">
        <v>57</v>
      </c>
      <c r="I1388" t="s">
        <v>100</v>
      </c>
      <c r="J1388" t="s">
        <v>72</v>
      </c>
      <c r="K1388" t="s">
        <v>73</v>
      </c>
      <c r="L1388" t="s">
        <v>74</v>
      </c>
      <c r="M1388" s="5">
        <v>10300</v>
      </c>
      <c r="N1388" s="5">
        <v>1700</v>
      </c>
      <c r="O1388" s="5">
        <v>1800</v>
      </c>
      <c r="P1388" s="5">
        <v>12500</v>
      </c>
      <c r="Q1388" s="13">
        <v>28300</v>
      </c>
      <c r="R1388" t="s">
        <v>75</v>
      </c>
      <c r="S1388" t="s">
        <v>76</v>
      </c>
      <c r="T1388" s="5">
        <v>13030</v>
      </c>
      <c r="U1388" s="6">
        <v>2</v>
      </c>
      <c r="V1388" t="s">
        <v>77</v>
      </c>
      <c r="W1388" s="4">
        <v>46140</v>
      </c>
      <c r="X1388" t="s">
        <v>64</v>
      </c>
      <c r="Y1388" t="s">
        <v>64</v>
      </c>
      <c r="Z1388" t="s">
        <v>219</v>
      </c>
      <c r="AA1388" t="str">
        <f>VLOOKUP(H1388,Departments!$A:$B,2,0)</f>
        <v>Pulmonology</v>
      </c>
      <c r="AB1388" t="str">
        <f>VLOOKUP(J1388,Diagnosis_Guide!$A:$B,2,0)</f>
        <v>Acute Bronchitis</v>
      </c>
      <c r="AC1388" s="4" t="str">
        <f>VLOOKUP(J1388,Diagnosis_Guide!$A:$C,3,0)</f>
        <v>Respiratory</v>
      </c>
      <c r="AD1388" s="4" t="str">
        <f>VLOOKUP(R1388,Insurance_Plans!$A:$C,3,0)</f>
        <v>Public</v>
      </c>
      <c r="AE1388" s="13">
        <f t="shared" si="63"/>
        <v>1415</v>
      </c>
      <c r="AF1388" s="13">
        <f t="shared" si="64"/>
        <v>29715</v>
      </c>
      <c r="AG1388" s="4" t="str">
        <f t="shared" si="65"/>
        <v>Low</v>
      </c>
    </row>
    <row r="1389" spans="1:33">
      <c r="A1389" t="s">
        <v>2152</v>
      </c>
      <c r="B1389" t="s">
        <v>1978</v>
      </c>
      <c r="C1389" s="11">
        <v>46064</v>
      </c>
      <c r="D1389" t="s">
        <v>144</v>
      </c>
      <c r="E1389" t="s">
        <v>70</v>
      </c>
      <c r="F1389" s="4">
        <v>46065</v>
      </c>
      <c r="G1389" s="4">
        <v>46066</v>
      </c>
      <c r="H1389" t="s">
        <v>138</v>
      </c>
      <c r="I1389" t="s">
        <v>139</v>
      </c>
      <c r="J1389" t="s">
        <v>261</v>
      </c>
      <c r="K1389" t="s">
        <v>73</v>
      </c>
      <c r="L1389" t="s">
        <v>74</v>
      </c>
      <c r="M1389" s="5">
        <v>4900</v>
      </c>
      <c r="N1389" s="5">
        <v>700</v>
      </c>
      <c r="O1389" s="5">
        <v>1000</v>
      </c>
      <c r="P1389" s="5">
        <v>2500</v>
      </c>
      <c r="Q1389" s="13">
        <v>11100</v>
      </c>
      <c r="R1389" t="s">
        <v>141</v>
      </c>
      <c r="S1389" t="s">
        <v>163</v>
      </c>
      <c r="T1389" s="5">
        <v>2860</v>
      </c>
      <c r="U1389" s="6">
        <v>5</v>
      </c>
      <c r="V1389" t="s">
        <v>64</v>
      </c>
      <c r="W1389" s="4"/>
      <c r="X1389" t="s">
        <v>65</v>
      </c>
      <c r="Y1389" t="s">
        <v>64</v>
      </c>
      <c r="Z1389" t="s">
        <v>78</v>
      </c>
      <c r="AA1389" t="str">
        <f>VLOOKUP(H1389,Departments!$A:$B,2,0)</f>
        <v>Pediatrics</v>
      </c>
      <c r="AB1389" t="str">
        <f>VLOOKUP(J1389,Diagnosis_Guide!$A:$B,2,0)</f>
        <v>Child Fever</v>
      </c>
      <c r="AC1389" s="4" t="str">
        <f>VLOOKUP(J1389,Diagnosis_Guide!$A:$C,3,0)</f>
        <v>Pediatric</v>
      </c>
      <c r="AD1389" s="4" t="str">
        <f>VLOOKUP(R1389,Insurance_Plans!$A:$C,3,0)</f>
        <v>Private</v>
      </c>
      <c r="AE1389" s="13">
        <f t="shared" si="63"/>
        <v>555</v>
      </c>
      <c r="AF1389" s="13">
        <f t="shared" si="64"/>
        <v>11655</v>
      </c>
      <c r="AG1389" s="4" t="str">
        <f t="shared" si="65"/>
        <v>High</v>
      </c>
    </row>
    <row r="1390" spans="1:33">
      <c r="A1390" t="s">
        <v>2153</v>
      </c>
      <c r="B1390" t="s">
        <v>856</v>
      </c>
      <c r="C1390" s="11">
        <v>46055</v>
      </c>
      <c r="D1390" t="s">
        <v>279</v>
      </c>
      <c r="E1390" t="s">
        <v>70</v>
      </c>
      <c r="F1390" s="4">
        <v>46055</v>
      </c>
      <c r="G1390" s="4">
        <v>46056</v>
      </c>
      <c r="H1390" t="s">
        <v>90</v>
      </c>
      <c r="I1390" t="s">
        <v>299</v>
      </c>
      <c r="J1390" t="s">
        <v>197</v>
      </c>
      <c r="K1390" t="s">
        <v>124</v>
      </c>
      <c r="L1390" t="s">
        <v>61</v>
      </c>
      <c r="M1390" s="5">
        <v>19300</v>
      </c>
      <c r="N1390" s="5">
        <v>2650</v>
      </c>
      <c r="O1390" s="5">
        <v>3300</v>
      </c>
      <c r="P1390" s="5">
        <v>3500</v>
      </c>
      <c r="Q1390" s="13">
        <v>30250</v>
      </c>
      <c r="R1390" t="s">
        <v>141</v>
      </c>
      <c r="S1390" t="s">
        <v>76</v>
      </c>
      <c r="T1390" s="5">
        <v>5740</v>
      </c>
      <c r="U1390" s="6">
        <v>4</v>
      </c>
      <c r="V1390" t="s">
        <v>77</v>
      </c>
      <c r="W1390" s="4">
        <v>46075</v>
      </c>
      <c r="X1390" t="s">
        <v>77</v>
      </c>
      <c r="Y1390" t="s">
        <v>64</v>
      </c>
      <c r="Z1390" t="s">
        <v>78</v>
      </c>
      <c r="AA1390" t="str">
        <f>VLOOKUP(H1390,Departments!$A:$B,2,0)</f>
        <v>Cardiology</v>
      </c>
      <c r="AB1390" t="str">
        <f>VLOOKUP(J1390,Diagnosis_Guide!$A:$B,2,0)</f>
        <v>Chest Pain</v>
      </c>
      <c r="AC1390" s="4" t="str">
        <f>VLOOKUP(J1390,Diagnosis_Guide!$A:$C,3,0)</f>
        <v>Cardiovascular</v>
      </c>
      <c r="AD1390" s="4" t="str">
        <f>VLOOKUP(R1390,Insurance_Plans!$A:$C,3,0)</f>
        <v>Private</v>
      </c>
      <c r="AE1390" s="13">
        <f t="shared" si="63"/>
        <v>1512.5</v>
      </c>
      <c r="AF1390" s="13">
        <f t="shared" si="64"/>
        <v>31762.5</v>
      </c>
      <c r="AG1390" s="4" t="str">
        <f t="shared" si="65"/>
        <v>High</v>
      </c>
    </row>
    <row r="1391" spans="1:33">
      <c r="A1391" t="s">
        <v>2154</v>
      </c>
      <c r="B1391" t="s">
        <v>1291</v>
      </c>
      <c r="C1391" s="11">
        <v>46118</v>
      </c>
      <c r="D1391" t="s">
        <v>294</v>
      </c>
      <c r="E1391" t="s">
        <v>314</v>
      </c>
      <c r="F1391" s="4"/>
      <c r="G1391" s="4"/>
      <c r="H1391" t="s">
        <v>82</v>
      </c>
      <c r="I1391" t="s">
        <v>272</v>
      </c>
      <c r="J1391" t="s">
        <v>156</v>
      </c>
      <c r="K1391" t="s">
        <v>73</v>
      </c>
      <c r="L1391" t="s">
        <v>94</v>
      </c>
      <c r="M1391" s="5"/>
      <c r="N1391" s="5"/>
      <c r="O1391" s="5"/>
      <c r="P1391" s="5"/>
      <c r="R1391" t="s">
        <v>141</v>
      </c>
      <c r="S1391" t="s">
        <v>63</v>
      </c>
      <c r="T1391" s="5"/>
      <c r="U1391" s="6"/>
      <c r="V1391" t="s">
        <v>64</v>
      </c>
      <c r="W1391" s="4"/>
      <c r="X1391" t="s">
        <v>65</v>
      </c>
      <c r="Z1391" t="s">
        <v>66</v>
      </c>
      <c r="AA1391" t="str">
        <f>VLOOKUP(H1391,Departments!$A:$B,2,0)</f>
        <v>Orthopedics</v>
      </c>
      <c r="AB1391" t="str">
        <f>VLOOKUP(J1391,Diagnosis_Guide!$A:$B,2,0)</f>
        <v>Spinal Injury</v>
      </c>
      <c r="AC1391" s="4" t="str">
        <f>VLOOKUP(J1391,Diagnosis_Guide!$A:$C,3,0)</f>
        <v>Musculoskeletal</v>
      </c>
      <c r="AD1391" s="4" t="str">
        <f>VLOOKUP(R1391,Insurance_Plans!$A:$C,3,0)</f>
        <v>Private</v>
      </c>
      <c r="AE1391" s="13" t="str">
        <f t="shared" si="63"/>
        <v/>
      </c>
      <c r="AF1391" s="13" t="str">
        <f t="shared" si="64"/>
        <v/>
      </c>
      <c r="AG1391" s="4" t="str">
        <f t="shared" si="65"/>
        <v>Not Available</v>
      </c>
    </row>
    <row r="1392" spans="1:33">
      <c r="A1392" t="s">
        <v>2155</v>
      </c>
      <c r="B1392" t="s">
        <v>635</v>
      </c>
      <c r="C1392" s="11">
        <v>46062</v>
      </c>
      <c r="D1392" t="s">
        <v>210</v>
      </c>
      <c r="E1392" t="s">
        <v>70</v>
      </c>
      <c r="F1392" s="4">
        <v>46063</v>
      </c>
      <c r="G1392" s="4">
        <v>46064</v>
      </c>
      <c r="H1392" t="s">
        <v>138</v>
      </c>
      <c r="I1392" t="s">
        <v>260</v>
      </c>
      <c r="J1392" t="s">
        <v>261</v>
      </c>
      <c r="K1392" t="s">
        <v>60</v>
      </c>
      <c r="L1392" t="s">
        <v>74</v>
      </c>
      <c r="M1392" s="5">
        <v>4600</v>
      </c>
      <c r="N1392" s="5">
        <v>750</v>
      </c>
      <c r="O1392" s="5">
        <v>550</v>
      </c>
      <c r="P1392" s="5">
        <v>3000</v>
      </c>
      <c r="Q1392" s="13">
        <v>11400</v>
      </c>
      <c r="R1392" t="s">
        <v>85</v>
      </c>
      <c r="S1392" t="s">
        <v>86</v>
      </c>
      <c r="T1392" s="5">
        <v>3750</v>
      </c>
      <c r="U1392" s="6">
        <v>5</v>
      </c>
      <c r="V1392" t="s">
        <v>77</v>
      </c>
      <c r="W1392" s="4">
        <v>46085</v>
      </c>
      <c r="X1392" t="s">
        <v>77</v>
      </c>
      <c r="Y1392" t="s">
        <v>64</v>
      </c>
      <c r="Z1392" t="s">
        <v>78</v>
      </c>
      <c r="AA1392" t="str">
        <f>VLOOKUP(H1392,Departments!$A:$B,2,0)</f>
        <v>Pediatrics</v>
      </c>
      <c r="AB1392" t="str">
        <f>VLOOKUP(J1392,Diagnosis_Guide!$A:$B,2,0)</f>
        <v>Child Fever</v>
      </c>
      <c r="AC1392" s="4" t="str">
        <f>VLOOKUP(J1392,Diagnosis_Guide!$A:$C,3,0)</f>
        <v>Pediatric</v>
      </c>
      <c r="AD1392" s="4" t="str">
        <f>VLOOKUP(R1392,Insurance_Plans!$A:$C,3,0)</f>
        <v>Employer</v>
      </c>
      <c r="AE1392" s="13">
        <f t="shared" si="63"/>
        <v>570</v>
      </c>
      <c r="AF1392" s="13">
        <f t="shared" si="64"/>
        <v>11970</v>
      </c>
      <c r="AG1392" s="4" t="str">
        <f t="shared" si="65"/>
        <v>High</v>
      </c>
    </row>
    <row r="1393" spans="1:33">
      <c r="A1393" t="s">
        <v>2156</v>
      </c>
      <c r="B1393" t="s">
        <v>1076</v>
      </c>
      <c r="C1393" s="11">
        <v>46127</v>
      </c>
      <c r="D1393" t="s">
        <v>55</v>
      </c>
      <c r="E1393" t="s">
        <v>177</v>
      </c>
      <c r="F1393" s="4"/>
      <c r="G1393" s="4"/>
      <c r="H1393" t="s">
        <v>111</v>
      </c>
      <c r="I1393" t="s">
        <v>397</v>
      </c>
      <c r="J1393" t="s">
        <v>384</v>
      </c>
      <c r="K1393" t="s">
        <v>60</v>
      </c>
      <c r="L1393" t="s">
        <v>94</v>
      </c>
      <c r="M1393" s="5"/>
      <c r="N1393" s="5"/>
      <c r="O1393" s="5"/>
      <c r="P1393" s="5"/>
      <c r="R1393" t="s">
        <v>134</v>
      </c>
      <c r="S1393" t="s">
        <v>63</v>
      </c>
      <c r="T1393" s="5"/>
      <c r="U1393" s="6"/>
      <c r="V1393" t="s">
        <v>64</v>
      </c>
      <c r="W1393" s="4"/>
      <c r="X1393" t="s">
        <v>65</v>
      </c>
      <c r="Z1393" t="s">
        <v>66</v>
      </c>
      <c r="AA1393" t="str">
        <f>VLOOKUP(H1393,Departments!$A:$B,2,0)</f>
        <v>General Medicine</v>
      </c>
      <c r="AB1393" t="str">
        <f>VLOOKUP(J1393,Diagnosis_Guide!$A:$B,2,0)</f>
        <v>Severe Infection</v>
      </c>
      <c r="AC1393" s="4" t="str">
        <f>VLOOKUP(J1393,Diagnosis_Guide!$A:$C,3,0)</f>
        <v>Infectious/General</v>
      </c>
      <c r="AD1393" s="4" t="str">
        <f>VLOOKUP(R1393,Insurance_Plans!$A:$C,3,0)</f>
        <v>Community</v>
      </c>
      <c r="AE1393" s="13" t="str">
        <f t="shared" si="63"/>
        <v/>
      </c>
      <c r="AF1393" s="13" t="str">
        <f t="shared" si="64"/>
        <v/>
      </c>
      <c r="AG1393" s="4" t="str">
        <f t="shared" si="65"/>
        <v>Not Available</v>
      </c>
    </row>
    <row r="1394" spans="1:33">
      <c r="A1394" t="s">
        <v>2157</v>
      </c>
      <c r="B1394" t="s">
        <v>425</v>
      </c>
      <c r="C1394" s="11">
        <v>46115</v>
      </c>
      <c r="D1394" t="s">
        <v>168</v>
      </c>
      <c r="E1394" t="s">
        <v>70</v>
      </c>
      <c r="F1394" s="4">
        <v>46115</v>
      </c>
      <c r="G1394" s="4">
        <v>46115</v>
      </c>
      <c r="H1394" t="s">
        <v>111</v>
      </c>
      <c r="I1394" t="s">
        <v>355</v>
      </c>
      <c r="J1394" t="s">
        <v>113</v>
      </c>
      <c r="K1394" t="s">
        <v>60</v>
      </c>
      <c r="L1394" t="s">
        <v>74</v>
      </c>
      <c r="M1394" s="5">
        <v>30400</v>
      </c>
      <c r="N1394" s="5">
        <v>2800</v>
      </c>
      <c r="O1394" s="5">
        <v>5550</v>
      </c>
      <c r="P1394" s="5">
        <v>0</v>
      </c>
      <c r="Q1394" s="13">
        <v>40250</v>
      </c>
      <c r="R1394" t="s">
        <v>106</v>
      </c>
      <c r="S1394" t="s">
        <v>76</v>
      </c>
      <c r="T1394" s="5">
        <v>14790</v>
      </c>
      <c r="U1394" s="6">
        <v>4</v>
      </c>
      <c r="V1394" t="s">
        <v>64</v>
      </c>
      <c r="W1394" s="4"/>
      <c r="X1394" t="s">
        <v>65</v>
      </c>
      <c r="Y1394" t="s">
        <v>77</v>
      </c>
      <c r="Z1394" t="s">
        <v>96</v>
      </c>
      <c r="AA1394" t="str">
        <f>VLOOKUP(H1394,Departments!$A:$B,2,0)</f>
        <v>General Medicine</v>
      </c>
      <c r="AB1394" t="str">
        <f>VLOOKUP(J1394,Diagnosis_Guide!$A:$B,2,0)</f>
        <v>Diabetes Complication</v>
      </c>
      <c r="AC1394" s="4" t="str">
        <f>VLOOKUP(J1394,Diagnosis_Guide!$A:$C,3,0)</f>
        <v>Endocrine/General</v>
      </c>
      <c r="AD1394" s="4" t="str">
        <f>VLOOKUP(R1394,Insurance_Plans!$A:$C,3,0)</f>
        <v>Private</v>
      </c>
      <c r="AE1394" s="13">
        <f t="shared" si="63"/>
        <v>2012.5</v>
      </c>
      <c r="AF1394" s="13">
        <f t="shared" si="64"/>
        <v>42262.5</v>
      </c>
      <c r="AG1394" s="4" t="str">
        <f t="shared" si="65"/>
        <v>High</v>
      </c>
    </row>
    <row r="1395" spans="1:33">
      <c r="A1395" t="s">
        <v>2158</v>
      </c>
      <c r="B1395" t="s">
        <v>627</v>
      </c>
      <c r="C1395" s="11">
        <v>46161</v>
      </c>
      <c r="D1395" t="s">
        <v>81</v>
      </c>
      <c r="E1395" t="s">
        <v>70</v>
      </c>
      <c r="F1395" s="4">
        <v>46162</v>
      </c>
      <c r="G1395" s="4">
        <v>46162</v>
      </c>
      <c r="H1395" t="s">
        <v>57</v>
      </c>
      <c r="I1395" t="s">
        <v>184</v>
      </c>
      <c r="J1395" t="s">
        <v>59</v>
      </c>
      <c r="K1395" t="s">
        <v>60</v>
      </c>
      <c r="L1395" t="s">
        <v>61</v>
      </c>
      <c r="M1395" s="5">
        <v>50000</v>
      </c>
      <c r="N1395" s="5">
        <v>6950</v>
      </c>
      <c r="O1395" s="5">
        <v>8350</v>
      </c>
      <c r="P1395" s="5">
        <v>0</v>
      </c>
      <c r="Q1395" s="13">
        <v>66500</v>
      </c>
      <c r="R1395" t="s">
        <v>95</v>
      </c>
      <c r="S1395" t="s">
        <v>63</v>
      </c>
      <c r="T1395" s="5">
        <v>66500</v>
      </c>
      <c r="U1395" s="6">
        <v>5</v>
      </c>
      <c r="V1395" t="s">
        <v>77</v>
      </c>
      <c r="W1395" s="4">
        <v>46175</v>
      </c>
      <c r="X1395" t="s">
        <v>77</v>
      </c>
      <c r="Y1395" t="s">
        <v>64</v>
      </c>
      <c r="Z1395" t="s">
        <v>96</v>
      </c>
      <c r="AA1395" t="str">
        <f>VLOOKUP(H1395,Departments!$A:$B,2,0)</f>
        <v>Pulmonology</v>
      </c>
      <c r="AB1395" t="str">
        <f>VLOOKUP(J1395,Diagnosis_Guide!$A:$B,2,0)</f>
        <v>Pneumonia</v>
      </c>
      <c r="AC1395" s="4" t="str">
        <f>VLOOKUP(J1395,Diagnosis_Guide!$A:$C,3,0)</f>
        <v>Respiratory</v>
      </c>
      <c r="AD1395" s="4" t="str">
        <f>VLOOKUP(R1395,Insurance_Plans!$A:$C,3,0)</f>
        <v>Self-Pay</v>
      </c>
      <c r="AE1395" s="13">
        <f t="shared" si="63"/>
        <v>3325</v>
      </c>
      <c r="AF1395" s="13">
        <f t="shared" si="64"/>
        <v>69825</v>
      </c>
      <c r="AG1395" s="4" t="str">
        <f t="shared" si="65"/>
        <v>High</v>
      </c>
    </row>
    <row r="1396" spans="1:33">
      <c r="A1396" t="s">
        <v>2159</v>
      </c>
      <c r="B1396" t="s">
        <v>962</v>
      </c>
      <c r="C1396" s="11">
        <v>46127</v>
      </c>
      <c r="D1396" t="s">
        <v>127</v>
      </c>
      <c r="E1396" t="s">
        <v>177</v>
      </c>
      <c r="F1396" s="4"/>
      <c r="G1396" s="4"/>
      <c r="H1396" t="s">
        <v>82</v>
      </c>
      <c r="I1396" t="s">
        <v>83</v>
      </c>
      <c r="J1396" t="s">
        <v>156</v>
      </c>
      <c r="K1396" t="s">
        <v>73</v>
      </c>
      <c r="L1396" t="s">
        <v>94</v>
      </c>
      <c r="M1396" s="5"/>
      <c r="N1396" s="5"/>
      <c r="O1396" s="5"/>
      <c r="P1396" s="5"/>
      <c r="R1396" t="s">
        <v>106</v>
      </c>
      <c r="S1396" t="s">
        <v>63</v>
      </c>
      <c r="T1396" s="5"/>
      <c r="U1396" s="6"/>
      <c r="V1396" t="s">
        <v>64</v>
      </c>
      <c r="W1396" s="4"/>
      <c r="X1396" t="s">
        <v>65</v>
      </c>
      <c r="Z1396" t="s">
        <v>66</v>
      </c>
      <c r="AA1396" t="str">
        <f>VLOOKUP(H1396,Departments!$A:$B,2,0)</f>
        <v>Orthopedics</v>
      </c>
      <c r="AB1396" t="str">
        <f>VLOOKUP(J1396,Diagnosis_Guide!$A:$B,2,0)</f>
        <v>Spinal Injury</v>
      </c>
      <c r="AC1396" s="4" t="str">
        <f>VLOOKUP(J1396,Diagnosis_Guide!$A:$C,3,0)</f>
        <v>Musculoskeletal</v>
      </c>
      <c r="AD1396" s="4" t="str">
        <f>VLOOKUP(R1396,Insurance_Plans!$A:$C,3,0)</f>
        <v>Private</v>
      </c>
      <c r="AE1396" s="13" t="str">
        <f t="shared" si="63"/>
        <v/>
      </c>
      <c r="AF1396" s="13" t="str">
        <f t="shared" si="64"/>
        <v/>
      </c>
      <c r="AG1396" s="4" t="str">
        <f t="shared" si="65"/>
        <v>Not Available</v>
      </c>
    </row>
    <row r="1397" spans="1:33">
      <c r="A1397" t="s">
        <v>2160</v>
      </c>
      <c r="B1397" t="s">
        <v>2161</v>
      </c>
      <c r="C1397" s="11">
        <v>46151</v>
      </c>
      <c r="D1397" t="s">
        <v>81</v>
      </c>
      <c r="E1397" t="s">
        <v>70</v>
      </c>
      <c r="F1397" s="4">
        <v>46152</v>
      </c>
      <c r="G1397" s="4">
        <v>46157</v>
      </c>
      <c r="H1397" t="s">
        <v>201</v>
      </c>
      <c r="I1397" t="s">
        <v>449</v>
      </c>
      <c r="J1397" t="s">
        <v>295</v>
      </c>
      <c r="K1397" t="s">
        <v>124</v>
      </c>
      <c r="L1397" t="s">
        <v>61</v>
      </c>
      <c r="M1397" s="5">
        <v>33100</v>
      </c>
      <c r="N1397" s="5">
        <v>5850</v>
      </c>
      <c r="O1397" s="5">
        <v>3900</v>
      </c>
      <c r="P1397" s="5">
        <v>17500</v>
      </c>
      <c r="Q1397" s="13">
        <v>61150</v>
      </c>
      <c r="R1397" t="s">
        <v>75</v>
      </c>
      <c r="S1397" t="s">
        <v>86</v>
      </c>
      <c r="T1397" s="5">
        <v>27820</v>
      </c>
      <c r="U1397" s="6">
        <v>5</v>
      </c>
      <c r="V1397" t="s">
        <v>77</v>
      </c>
      <c r="W1397" s="4">
        <v>46171</v>
      </c>
      <c r="X1397" t="s">
        <v>77</v>
      </c>
      <c r="Y1397" t="s">
        <v>64</v>
      </c>
      <c r="Z1397" t="s">
        <v>107</v>
      </c>
      <c r="AA1397" t="str">
        <f>VLOOKUP(H1397,Departments!$A:$B,2,0)</f>
        <v>Emergency</v>
      </c>
      <c r="AB1397" t="str">
        <f>VLOOKUP(J1397,Diagnosis_Guide!$A:$B,2,0)</f>
        <v>Accident Injury</v>
      </c>
      <c r="AC1397" s="4" t="str">
        <f>VLOOKUP(J1397,Diagnosis_Guide!$A:$C,3,0)</f>
        <v>Emergency</v>
      </c>
      <c r="AD1397" s="4" t="str">
        <f>VLOOKUP(R1397,Insurance_Plans!$A:$C,3,0)</f>
        <v>Public</v>
      </c>
      <c r="AE1397" s="13">
        <f t="shared" si="63"/>
        <v>3057.5</v>
      </c>
      <c r="AF1397" s="13">
        <f t="shared" si="64"/>
        <v>64207.5</v>
      </c>
      <c r="AG1397" s="4" t="str">
        <f t="shared" si="65"/>
        <v>High</v>
      </c>
    </row>
    <row r="1398" spans="1:33">
      <c r="A1398" t="s">
        <v>2162</v>
      </c>
      <c r="B1398" t="s">
        <v>2163</v>
      </c>
      <c r="C1398" s="11">
        <v>46138</v>
      </c>
      <c r="D1398" t="s">
        <v>363</v>
      </c>
      <c r="E1398" t="s">
        <v>70</v>
      </c>
      <c r="F1398" s="4">
        <v>46138</v>
      </c>
      <c r="G1398" s="4">
        <v>46141</v>
      </c>
      <c r="H1398" t="s">
        <v>201</v>
      </c>
      <c r="I1398" t="s">
        <v>202</v>
      </c>
      <c r="J1398" t="s">
        <v>295</v>
      </c>
      <c r="K1398" t="s">
        <v>73</v>
      </c>
      <c r="L1398" t="s">
        <v>146</v>
      </c>
      <c r="M1398" s="5">
        <v>54900</v>
      </c>
      <c r="N1398" s="5">
        <v>8350</v>
      </c>
      <c r="O1398" s="5">
        <v>8700</v>
      </c>
      <c r="P1398" s="5">
        <v>10500</v>
      </c>
      <c r="Q1398" s="13">
        <v>84950</v>
      </c>
      <c r="R1398" t="s">
        <v>75</v>
      </c>
      <c r="S1398" t="s">
        <v>76</v>
      </c>
      <c r="T1398" s="5">
        <v>38530</v>
      </c>
      <c r="U1398" s="6">
        <v>5</v>
      </c>
      <c r="V1398" t="s">
        <v>77</v>
      </c>
      <c r="W1398" s="4">
        <v>46153</v>
      </c>
      <c r="X1398" t="s">
        <v>77</v>
      </c>
      <c r="Y1398" t="s">
        <v>64</v>
      </c>
      <c r="Z1398" t="s">
        <v>78</v>
      </c>
      <c r="AA1398" t="str">
        <f>VLOOKUP(H1398,Departments!$A:$B,2,0)</f>
        <v>Emergency</v>
      </c>
      <c r="AB1398" t="str">
        <f>VLOOKUP(J1398,Diagnosis_Guide!$A:$B,2,0)</f>
        <v>Accident Injury</v>
      </c>
      <c r="AC1398" s="4" t="str">
        <f>VLOOKUP(J1398,Diagnosis_Guide!$A:$C,3,0)</f>
        <v>Emergency</v>
      </c>
      <c r="AD1398" s="4" t="str">
        <f>VLOOKUP(R1398,Insurance_Plans!$A:$C,3,0)</f>
        <v>Public</v>
      </c>
      <c r="AE1398" s="13">
        <f t="shared" si="63"/>
        <v>4247.5</v>
      </c>
      <c r="AF1398" s="13">
        <f t="shared" si="64"/>
        <v>89197.5</v>
      </c>
      <c r="AG1398" s="4" t="str">
        <f t="shared" si="65"/>
        <v>High</v>
      </c>
    </row>
    <row r="1399" spans="1:33">
      <c r="A1399" t="s">
        <v>2164</v>
      </c>
      <c r="B1399" t="s">
        <v>2165</v>
      </c>
      <c r="C1399" s="11">
        <v>46160</v>
      </c>
      <c r="D1399" t="s">
        <v>200</v>
      </c>
      <c r="E1399" t="s">
        <v>70</v>
      </c>
      <c r="F1399" s="4">
        <v>46161</v>
      </c>
      <c r="G1399" s="4">
        <v>46166</v>
      </c>
      <c r="H1399" t="s">
        <v>90</v>
      </c>
      <c r="I1399" t="s">
        <v>299</v>
      </c>
      <c r="J1399" t="s">
        <v>129</v>
      </c>
      <c r="K1399" t="s">
        <v>124</v>
      </c>
      <c r="L1399" t="s">
        <v>94</v>
      </c>
      <c r="M1399" s="5">
        <v>35400</v>
      </c>
      <c r="N1399" s="5">
        <v>4850</v>
      </c>
      <c r="O1399" s="5">
        <v>4500</v>
      </c>
      <c r="P1399" s="5">
        <v>22500</v>
      </c>
      <c r="Q1399" s="13">
        <v>68750</v>
      </c>
      <c r="R1399" t="s">
        <v>106</v>
      </c>
      <c r="S1399" t="s">
        <v>76</v>
      </c>
      <c r="T1399" s="5">
        <v>24760</v>
      </c>
      <c r="U1399" s="6">
        <v>3</v>
      </c>
      <c r="V1399" t="s">
        <v>77</v>
      </c>
      <c r="W1399" s="4">
        <v>46180</v>
      </c>
      <c r="X1399" t="s">
        <v>77</v>
      </c>
      <c r="Y1399" t="s">
        <v>77</v>
      </c>
      <c r="Z1399" t="s">
        <v>78</v>
      </c>
      <c r="AA1399" t="str">
        <f>VLOOKUP(H1399,Departments!$A:$B,2,0)</f>
        <v>Cardiology</v>
      </c>
      <c r="AB1399" t="str">
        <f>VLOOKUP(J1399,Diagnosis_Guide!$A:$B,2,0)</f>
        <v>Hypertension Crisis</v>
      </c>
      <c r="AC1399" s="4" t="str">
        <f>VLOOKUP(J1399,Diagnosis_Guide!$A:$C,3,0)</f>
        <v>Cardiovascular</v>
      </c>
      <c r="AD1399" s="4" t="str">
        <f>VLOOKUP(R1399,Insurance_Plans!$A:$C,3,0)</f>
        <v>Private</v>
      </c>
      <c r="AE1399" s="13">
        <f t="shared" si="63"/>
        <v>3437.5</v>
      </c>
      <c r="AF1399" s="13">
        <f t="shared" si="64"/>
        <v>72187.5</v>
      </c>
      <c r="AG1399" s="4" t="str">
        <f t="shared" si="65"/>
        <v>Medium</v>
      </c>
    </row>
    <row r="1400" spans="1:33">
      <c r="A1400" t="s">
        <v>2166</v>
      </c>
      <c r="B1400" t="s">
        <v>2167</v>
      </c>
      <c r="C1400" s="11">
        <v>46155</v>
      </c>
      <c r="D1400" t="s">
        <v>383</v>
      </c>
      <c r="E1400" t="s">
        <v>70</v>
      </c>
      <c r="F1400" s="4">
        <v>46155</v>
      </c>
      <c r="G1400" s="4">
        <v>46159</v>
      </c>
      <c r="H1400" t="s">
        <v>201</v>
      </c>
      <c r="I1400" t="s">
        <v>280</v>
      </c>
      <c r="J1400" t="s">
        <v>295</v>
      </c>
      <c r="K1400" t="s">
        <v>124</v>
      </c>
      <c r="L1400" t="s">
        <v>94</v>
      </c>
      <c r="M1400" s="5">
        <v>46200</v>
      </c>
      <c r="N1400" s="5">
        <v>3850</v>
      </c>
      <c r="O1400" s="5">
        <v>5050</v>
      </c>
      <c r="P1400" s="5">
        <v>24000</v>
      </c>
      <c r="Q1400" s="13">
        <v>80100</v>
      </c>
      <c r="R1400" t="s">
        <v>75</v>
      </c>
      <c r="S1400" t="s">
        <v>76</v>
      </c>
      <c r="T1400" s="5">
        <v>36340</v>
      </c>
      <c r="U1400" s="6">
        <v>4</v>
      </c>
      <c r="V1400" t="s">
        <v>77</v>
      </c>
      <c r="W1400" s="4">
        <v>46173</v>
      </c>
      <c r="X1400" t="s">
        <v>77</v>
      </c>
      <c r="Y1400" t="s">
        <v>64</v>
      </c>
      <c r="Z1400" t="s">
        <v>96</v>
      </c>
      <c r="AA1400" t="str">
        <f>VLOOKUP(H1400,Departments!$A:$B,2,0)</f>
        <v>Emergency</v>
      </c>
      <c r="AB1400" t="str">
        <f>VLOOKUP(J1400,Diagnosis_Guide!$A:$B,2,0)</f>
        <v>Accident Injury</v>
      </c>
      <c r="AC1400" s="4" t="str">
        <f>VLOOKUP(J1400,Diagnosis_Guide!$A:$C,3,0)</f>
        <v>Emergency</v>
      </c>
      <c r="AD1400" s="4" t="str">
        <f>VLOOKUP(R1400,Insurance_Plans!$A:$C,3,0)</f>
        <v>Public</v>
      </c>
      <c r="AE1400" s="13">
        <f t="shared" si="63"/>
        <v>4005</v>
      </c>
      <c r="AF1400" s="13">
        <f t="shared" si="64"/>
        <v>84105</v>
      </c>
      <c r="AG1400" s="4" t="str">
        <f t="shared" si="65"/>
        <v>High</v>
      </c>
    </row>
    <row r="1401" spans="1:33">
      <c r="A1401" t="s">
        <v>2168</v>
      </c>
      <c r="B1401" t="s">
        <v>2169</v>
      </c>
      <c r="C1401" s="11">
        <v>46143</v>
      </c>
      <c r="D1401" t="s">
        <v>330</v>
      </c>
      <c r="E1401" t="s">
        <v>70</v>
      </c>
      <c r="F1401" s="4">
        <v>46143</v>
      </c>
      <c r="G1401" s="4">
        <v>46144</v>
      </c>
      <c r="H1401" t="s">
        <v>121</v>
      </c>
      <c r="I1401" t="s">
        <v>334</v>
      </c>
      <c r="J1401" t="s">
        <v>123</v>
      </c>
      <c r="K1401" t="s">
        <v>60</v>
      </c>
      <c r="L1401" t="s">
        <v>146</v>
      </c>
      <c r="M1401" s="5">
        <v>34000</v>
      </c>
      <c r="N1401" s="5">
        <v>3400</v>
      </c>
      <c r="O1401" s="5">
        <v>7850</v>
      </c>
      <c r="P1401" s="5">
        <v>3000</v>
      </c>
      <c r="Q1401" s="13">
        <v>49250</v>
      </c>
      <c r="R1401" t="s">
        <v>95</v>
      </c>
      <c r="S1401" t="s">
        <v>63</v>
      </c>
      <c r="T1401" s="5">
        <v>49250</v>
      </c>
      <c r="U1401" s="6">
        <v>5</v>
      </c>
      <c r="V1401" t="s">
        <v>77</v>
      </c>
      <c r="W1401" s="4">
        <v>46158</v>
      </c>
      <c r="X1401" t="s">
        <v>77</v>
      </c>
      <c r="Y1401" t="s">
        <v>64</v>
      </c>
      <c r="Z1401" t="s">
        <v>96</v>
      </c>
      <c r="AA1401" t="str">
        <f>VLOOKUP(H1401,Departments!$A:$B,2,0)</f>
        <v>Neurology</v>
      </c>
      <c r="AB1401" t="str">
        <f>VLOOKUP(J1401,Diagnosis_Guide!$A:$B,2,0)</f>
        <v>Seizure Episode</v>
      </c>
      <c r="AC1401" t="str">
        <f>VLOOKUP(J1401,Diagnosis_Guide!$A:$C,3,0)</f>
        <v>Neurological</v>
      </c>
      <c r="AD1401" t="str">
        <f>VLOOKUP(R1401,Insurance_Plans!$A:$C,3,0)</f>
        <v>Self-Pay</v>
      </c>
      <c r="AE1401" s="13">
        <f t="shared" si="63"/>
        <v>2462.5</v>
      </c>
      <c r="AF1401" s="13">
        <f t="shared" si="64"/>
        <v>51712.5</v>
      </c>
      <c r="AG1401" t="str">
        <f t="shared" si="65"/>
        <v>High</v>
      </c>
    </row>
  </sheetData>
  <conditionalFormatting sqref="Q2:Q1401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{40E0A3F0-68C5-4F9A-930E-BDE4D3A4A862}</x14:id>
        </ext>
      </extLst>
    </cfRule>
  </conditionalFormatting>
  <conditionalFormatting sqref="Y2:Y1401">
    <cfRule type="expression" dxfId="1" priority="2">
      <formula>Y2="Yes"</formula>
    </cfRule>
  </conditionalFormatting>
  <dataValidations count="2">
    <dataValidation type="list" sqref="E2:E1401" xr:uid="{8EEEA4D9-2B5A-4DA0-98D2-1C961C1EB45F}">
      <formula1>"Attended,No Show,Cancelled,Rescheduled,No-show,Missed,Canceled"</formula1>
    </dataValidation>
    <dataValidation type="list" sqref="U2:U1401" xr:uid="{6E89D7CF-BE4D-49B2-ABBF-FF852B682F54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0A3F0-68C5-4F9A-930E-BDE4D3A4A862}">
            <x14:dataBar>
              <x14:cfvo type="min"/>
              <x14:cfvo type="max"/>
              <x14:negativeFillColor auto="1"/>
              <x14:axisColor auto="1"/>
            </x14:dataBar>
          </x14:cfRule>
          <xm:sqref>Q2:Q1401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1"/>
  <sheetViews>
    <sheetView topLeftCell="A4" workbookViewId="0"/>
  </sheetViews>
  <sheetFormatPr defaultRowHeight="13.8"/>
  <cols>
    <col min="1" max="1" width="14" customWidth="1"/>
    <col min="2" max="2" width="22" customWidth="1"/>
    <col min="3" max="10" width="16" customWidth="1"/>
    <col min="11" max="11" width="15" customWidth="1"/>
    <col min="12" max="12" width="24" customWidth="1"/>
  </cols>
  <sheetData>
    <row r="1" spans="1:12" ht="24" customHeight="1">
      <c r="A1" s="3" t="s">
        <v>28</v>
      </c>
      <c r="B1" s="3" t="s">
        <v>2170</v>
      </c>
      <c r="C1" s="3" t="s">
        <v>2171</v>
      </c>
      <c r="D1" s="3" t="s">
        <v>2172</v>
      </c>
      <c r="E1" s="3" t="s">
        <v>2173</v>
      </c>
      <c r="F1" s="3" t="s">
        <v>2174</v>
      </c>
      <c r="G1" s="3" t="s">
        <v>2175</v>
      </c>
      <c r="H1" s="3" t="s">
        <v>2176</v>
      </c>
      <c r="I1" s="3" t="s">
        <v>2177</v>
      </c>
      <c r="J1" s="3" t="s">
        <v>2178</v>
      </c>
      <c r="K1" s="3" t="s">
        <v>2179</v>
      </c>
      <c r="L1" s="3" t="s">
        <v>2180</v>
      </c>
    </row>
    <row r="2" spans="1:12">
      <c r="A2" t="s">
        <v>1803</v>
      </c>
      <c r="B2" t="s">
        <v>2181</v>
      </c>
      <c r="C2" s="6">
        <v>28</v>
      </c>
      <c r="D2" t="s">
        <v>2182</v>
      </c>
      <c r="E2" t="s">
        <v>2183</v>
      </c>
      <c r="F2" t="s">
        <v>2184</v>
      </c>
      <c r="G2" t="s">
        <v>2185</v>
      </c>
      <c r="H2" t="s">
        <v>2186</v>
      </c>
      <c r="I2" t="s">
        <v>2187</v>
      </c>
      <c r="J2" t="s">
        <v>2188</v>
      </c>
      <c r="K2" s="4">
        <v>44488</v>
      </c>
      <c r="L2" t="s">
        <v>77</v>
      </c>
    </row>
    <row r="3" spans="1:12">
      <c r="A3" t="s">
        <v>838</v>
      </c>
      <c r="B3" t="s">
        <v>2189</v>
      </c>
      <c r="C3" s="6">
        <v>80</v>
      </c>
      <c r="D3" t="s">
        <v>2182</v>
      </c>
      <c r="E3" t="s">
        <v>2190</v>
      </c>
      <c r="F3" t="s">
        <v>2191</v>
      </c>
      <c r="G3" t="s">
        <v>2185</v>
      </c>
      <c r="H3" t="s">
        <v>2186</v>
      </c>
      <c r="I3" t="s">
        <v>2192</v>
      </c>
      <c r="J3" t="s">
        <v>2193</v>
      </c>
      <c r="K3" s="4">
        <v>44131</v>
      </c>
      <c r="L3" t="s">
        <v>64</v>
      </c>
    </row>
    <row r="4" spans="1:12">
      <c r="A4" t="s">
        <v>366</v>
      </c>
      <c r="B4" t="s">
        <v>2194</v>
      </c>
      <c r="C4" s="6">
        <v>73</v>
      </c>
      <c r="D4" t="s">
        <v>2195</v>
      </c>
      <c r="E4" t="s">
        <v>2196</v>
      </c>
      <c r="F4" t="s">
        <v>2184</v>
      </c>
      <c r="G4" t="s">
        <v>2185</v>
      </c>
      <c r="H4" t="s">
        <v>2197</v>
      </c>
      <c r="I4" t="s">
        <v>2198</v>
      </c>
      <c r="J4" t="s">
        <v>2193</v>
      </c>
      <c r="K4" s="4">
        <v>44482</v>
      </c>
      <c r="L4" t="s">
        <v>77</v>
      </c>
    </row>
    <row r="5" spans="1:12">
      <c r="A5" t="s">
        <v>1170</v>
      </c>
      <c r="B5" t="s">
        <v>2199</v>
      </c>
      <c r="C5" s="6">
        <v>47</v>
      </c>
      <c r="D5" t="s">
        <v>2182</v>
      </c>
      <c r="E5" t="s">
        <v>2183</v>
      </c>
      <c r="F5" t="s">
        <v>2184</v>
      </c>
      <c r="G5" t="s">
        <v>2200</v>
      </c>
      <c r="H5" t="s">
        <v>2186</v>
      </c>
      <c r="I5" t="s">
        <v>2187</v>
      </c>
      <c r="J5" t="s">
        <v>2188</v>
      </c>
      <c r="K5" s="4">
        <v>45351</v>
      </c>
      <c r="L5" t="s">
        <v>77</v>
      </c>
    </row>
    <row r="6" spans="1:12">
      <c r="A6" t="s">
        <v>1461</v>
      </c>
      <c r="B6" t="s">
        <v>2201</v>
      </c>
      <c r="C6" s="6">
        <v>55</v>
      </c>
      <c r="D6" t="s">
        <v>2195</v>
      </c>
      <c r="E6" t="s">
        <v>2183</v>
      </c>
      <c r="F6" t="s">
        <v>2184</v>
      </c>
      <c r="G6" t="s">
        <v>2202</v>
      </c>
      <c r="H6" t="s">
        <v>2186</v>
      </c>
      <c r="I6" t="s">
        <v>2198</v>
      </c>
      <c r="J6" t="s">
        <v>2203</v>
      </c>
      <c r="K6" s="4">
        <v>44904</v>
      </c>
      <c r="L6" t="s">
        <v>77</v>
      </c>
    </row>
    <row r="7" spans="1:12">
      <c r="A7" t="s">
        <v>1325</v>
      </c>
      <c r="B7" t="s">
        <v>2204</v>
      </c>
      <c r="C7" s="6">
        <v>44</v>
      </c>
      <c r="D7" t="s">
        <v>2182</v>
      </c>
      <c r="E7" t="s">
        <v>2205</v>
      </c>
      <c r="F7" t="s">
        <v>2206</v>
      </c>
      <c r="G7" t="s">
        <v>2207</v>
      </c>
      <c r="H7" t="s">
        <v>2208</v>
      </c>
      <c r="I7" t="s">
        <v>2187</v>
      </c>
      <c r="J7" t="s">
        <v>2203</v>
      </c>
      <c r="K7" s="4">
        <v>45844</v>
      </c>
      <c r="L7" t="s">
        <v>64</v>
      </c>
    </row>
    <row r="8" spans="1:12">
      <c r="A8" t="s">
        <v>2209</v>
      </c>
      <c r="B8" t="s">
        <v>2210</v>
      </c>
      <c r="C8" s="6">
        <v>28</v>
      </c>
      <c r="D8" t="s">
        <v>2182</v>
      </c>
      <c r="E8" t="s">
        <v>2211</v>
      </c>
      <c r="F8" t="s">
        <v>2212</v>
      </c>
      <c r="G8" t="s">
        <v>2213</v>
      </c>
      <c r="H8" t="s">
        <v>2197</v>
      </c>
      <c r="I8" t="s">
        <v>2187</v>
      </c>
      <c r="J8" t="s">
        <v>2188</v>
      </c>
      <c r="K8" s="4">
        <v>45043</v>
      </c>
      <c r="L8" t="s">
        <v>77</v>
      </c>
    </row>
    <row r="9" spans="1:12">
      <c r="A9" t="s">
        <v>2214</v>
      </c>
      <c r="B9" t="s">
        <v>2215</v>
      </c>
      <c r="C9" s="6">
        <v>33</v>
      </c>
      <c r="D9" t="s">
        <v>2182</v>
      </c>
      <c r="E9" t="s">
        <v>2216</v>
      </c>
      <c r="F9" t="s">
        <v>2206</v>
      </c>
      <c r="G9" t="s">
        <v>2202</v>
      </c>
      <c r="H9" t="s">
        <v>2186</v>
      </c>
      <c r="I9" t="s">
        <v>2198</v>
      </c>
      <c r="J9" t="s">
        <v>2188</v>
      </c>
      <c r="K9" s="4">
        <v>44273</v>
      </c>
      <c r="L9" t="s">
        <v>77</v>
      </c>
    </row>
    <row r="10" spans="1:12">
      <c r="A10" t="s">
        <v>945</v>
      </c>
      <c r="B10" t="s">
        <v>2217</v>
      </c>
      <c r="C10" s="6">
        <v>37</v>
      </c>
      <c r="D10" t="s">
        <v>2182</v>
      </c>
      <c r="E10" t="s">
        <v>2218</v>
      </c>
      <c r="F10" t="s">
        <v>2219</v>
      </c>
      <c r="G10" t="s">
        <v>2200</v>
      </c>
      <c r="H10" t="s">
        <v>2186</v>
      </c>
      <c r="I10" t="s">
        <v>2187</v>
      </c>
      <c r="J10" t="s">
        <v>2188</v>
      </c>
      <c r="K10" s="4">
        <v>45114</v>
      </c>
      <c r="L10" t="s">
        <v>77</v>
      </c>
    </row>
    <row r="11" spans="1:12">
      <c r="A11" t="s">
        <v>510</v>
      </c>
      <c r="B11" t="s">
        <v>2201</v>
      </c>
      <c r="C11" s="6">
        <v>34</v>
      </c>
      <c r="D11" t="s">
        <v>2195</v>
      </c>
      <c r="E11" t="s">
        <v>2211</v>
      </c>
      <c r="F11" t="s">
        <v>2212</v>
      </c>
      <c r="G11" t="s">
        <v>2213</v>
      </c>
      <c r="H11" t="s">
        <v>2197</v>
      </c>
      <c r="I11" t="s">
        <v>2192</v>
      </c>
      <c r="J11" t="s">
        <v>2203</v>
      </c>
      <c r="K11" s="4">
        <v>45987</v>
      </c>
      <c r="L11" t="s">
        <v>77</v>
      </c>
    </row>
    <row r="12" spans="1:12">
      <c r="A12" t="s">
        <v>504</v>
      </c>
      <c r="B12" t="s">
        <v>2220</v>
      </c>
      <c r="C12" s="6">
        <v>38</v>
      </c>
      <c r="D12" t="s">
        <v>2182</v>
      </c>
      <c r="E12" t="s">
        <v>2221</v>
      </c>
      <c r="F12" t="s">
        <v>2219</v>
      </c>
      <c r="G12" t="s">
        <v>2222</v>
      </c>
      <c r="H12" t="s">
        <v>2197</v>
      </c>
      <c r="I12" t="s">
        <v>2187</v>
      </c>
      <c r="J12" t="s">
        <v>2203</v>
      </c>
      <c r="K12" s="4">
        <v>45277</v>
      </c>
      <c r="L12" t="s">
        <v>77</v>
      </c>
    </row>
    <row r="13" spans="1:12">
      <c r="A13" t="s">
        <v>1592</v>
      </c>
      <c r="B13" t="s">
        <v>2223</v>
      </c>
      <c r="C13" s="6">
        <v>55</v>
      </c>
      <c r="D13" t="s">
        <v>2182</v>
      </c>
      <c r="E13" t="s">
        <v>2224</v>
      </c>
      <c r="F13" t="s">
        <v>2206</v>
      </c>
      <c r="G13" t="s">
        <v>2225</v>
      </c>
      <c r="H13" t="s">
        <v>2186</v>
      </c>
      <c r="I13" t="s">
        <v>2187</v>
      </c>
      <c r="J13" t="s">
        <v>2188</v>
      </c>
      <c r="K13" s="4">
        <v>44838</v>
      </c>
      <c r="L13" t="s">
        <v>77</v>
      </c>
    </row>
    <row r="14" spans="1:12">
      <c r="A14" t="s">
        <v>1083</v>
      </c>
      <c r="B14" t="s">
        <v>2226</v>
      </c>
      <c r="C14" s="6">
        <v>45</v>
      </c>
      <c r="D14" t="s">
        <v>2195</v>
      </c>
      <c r="E14" t="s">
        <v>2227</v>
      </c>
      <c r="F14" t="s">
        <v>2191</v>
      </c>
      <c r="G14" t="s">
        <v>2200</v>
      </c>
      <c r="H14" t="s">
        <v>2228</v>
      </c>
      <c r="I14" t="s">
        <v>2187</v>
      </c>
      <c r="J14" t="s">
        <v>2203</v>
      </c>
      <c r="K14" s="4">
        <v>43764</v>
      </c>
      <c r="L14" t="s">
        <v>77</v>
      </c>
    </row>
    <row r="15" spans="1:12">
      <c r="A15" t="s">
        <v>497</v>
      </c>
      <c r="B15" t="s">
        <v>2229</v>
      </c>
      <c r="C15" s="6">
        <v>55</v>
      </c>
      <c r="D15" t="s">
        <v>2182</v>
      </c>
      <c r="E15" t="s">
        <v>2211</v>
      </c>
      <c r="F15" t="s">
        <v>2212</v>
      </c>
      <c r="G15" t="s">
        <v>2185</v>
      </c>
      <c r="H15" t="s">
        <v>2186</v>
      </c>
      <c r="I15" t="s">
        <v>2187</v>
      </c>
      <c r="J15" t="s">
        <v>2188</v>
      </c>
      <c r="K15" s="4">
        <v>43488</v>
      </c>
      <c r="L15" t="s">
        <v>77</v>
      </c>
    </row>
    <row r="16" spans="1:12">
      <c r="A16" t="s">
        <v>671</v>
      </c>
      <c r="B16" t="s">
        <v>2230</v>
      </c>
      <c r="C16" s="6">
        <v>49</v>
      </c>
      <c r="D16" t="s">
        <v>2182</v>
      </c>
      <c r="E16" t="s">
        <v>2231</v>
      </c>
      <c r="F16" t="s">
        <v>2212</v>
      </c>
      <c r="G16" t="s">
        <v>2202</v>
      </c>
      <c r="H16" t="s">
        <v>2186</v>
      </c>
      <c r="I16" t="s">
        <v>2187</v>
      </c>
      <c r="J16" t="s">
        <v>2188</v>
      </c>
      <c r="K16" s="4">
        <v>43963</v>
      </c>
      <c r="L16" t="s">
        <v>77</v>
      </c>
    </row>
    <row r="17" spans="1:12">
      <c r="A17" t="s">
        <v>789</v>
      </c>
      <c r="B17" t="s">
        <v>2232</v>
      </c>
      <c r="C17" s="6">
        <v>76</v>
      </c>
      <c r="D17" t="s">
        <v>2182</v>
      </c>
      <c r="E17" t="s">
        <v>2196</v>
      </c>
      <c r="F17" t="s">
        <v>2184</v>
      </c>
      <c r="G17" t="s">
        <v>2233</v>
      </c>
      <c r="H17" t="s">
        <v>2197</v>
      </c>
      <c r="I17" t="s">
        <v>2198</v>
      </c>
      <c r="J17" t="s">
        <v>2193</v>
      </c>
      <c r="K17" s="4">
        <v>45533</v>
      </c>
      <c r="L17" t="s">
        <v>77</v>
      </c>
    </row>
    <row r="18" spans="1:12">
      <c r="A18" t="s">
        <v>98</v>
      </c>
      <c r="B18" t="s">
        <v>2220</v>
      </c>
      <c r="C18" s="6">
        <v>68</v>
      </c>
      <c r="D18" t="s">
        <v>2195</v>
      </c>
      <c r="E18" t="s">
        <v>2224</v>
      </c>
      <c r="F18" t="s">
        <v>2206</v>
      </c>
      <c r="G18" t="s">
        <v>2200</v>
      </c>
      <c r="H18" t="s">
        <v>2208</v>
      </c>
      <c r="I18" t="s">
        <v>2198</v>
      </c>
      <c r="J18" t="s">
        <v>2193</v>
      </c>
      <c r="K18" s="4">
        <v>44601</v>
      </c>
      <c r="L18" t="s">
        <v>77</v>
      </c>
    </row>
    <row r="19" spans="1:12">
      <c r="A19" t="s">
        <v>1125</v>
      </c>
      <c r="B19" t="s">
        <v>2234</v>
      </c>
      <c r="C19" s="6">
        <v>24</v>
      </c>
      <c r="D19" t="s">
        <v>2195</v>
      </c>
      <c r="E19" t="s">
        <v>2205</v>
      </c>
      <c r="F19" t="s">
        <v>2206</v>
      </c>
      <c r="G19" t="s">
        <v>2222</v>
      </c>
      <c r="H19" t="s">
        <v>2235</v>
      </c>
      <c r="I19" t="s">
        <v>2187</v>
      </c>
      <c r="J19" t="s">
        <v>2188</v>
      </c>
      <c r="K19" s="4">
        <v>44841</v>
      </c>
      <c r="L19" t="s">
        <v>77</v>
      </c>
    </row>
    <row r="20" spans="1:12">
      <c r="A20" t="s">
        <v>1160</v>
      </c>
      <c r="B20" t="s">
        <v>2236</v>
      </c>
      <c r="C20" s="6">
        <v>53</v>
      </c>
      <c r="D20" t="s">
        <v>2195</v>
      </c>
      <c r="E20" t="s">
        <v>2227</v>
      </c>
      <c r="F20" t="s">
        <v>2191</v>
      </c>
      <c r="G20" t="s">
        <v>2185</v>
      </c>
      <c r="H20" t="s">
        <v>2186</v>
      </c>
      <c r="I20" t="s">
        <v>2187</v>
      </c>
      <c r="J20" t="s">
        <v>2188</v>
      </c>
      <c r="K20" s="4">
        <v>45688</v>
      </c>
      <c r="L20" t="s">
        <v>77</v>
      </c>
    </row>
    <row r="21" spans="1:12">
      <c r="A21" t="s">
        <v>241</v>
      </c>
      <c r="B21" t="s">
        <v>2237</v>
      </c>
      <c r="C21" s="6">
        <v>58</v>
      </c>
      <c r="D21" t="s">
        <v>2195</v>
      </c>
      <c r="E21" t="s">
        <v>2238</v>
      </c>
      <c r="F21" t="s">
        <v>2212</v>
      </c>
      <c r="G21" t="s">
        <v>2225</v>
      </c>
      <c r="H21" t="s">
        <v>2197</v>
      </c>
      <c r="I21" t="s">
        <v>2198</v>
      </c>
      <c r="J21" t="s">
        <v>2193</v>
      </c>
      <c r="K21" s="4">
        <v>45824</v>
      </c>
      <c r="L21" t="s">
        <v>77</v>
      </c>
    </row>
    <row r="22" spans="1:12">
      <c r="A22" t="s">
        <v>659</v>
      </c>
      <c r="B22" t="s">
        <v>2239</v>
      </c>
      <c r="C22" s="6">
        <v>43</v>
      </c>
      <c r="D22" t="s">
        <v>2182</v>
      </c>
      <c r="E22" t="s">
        <v>2211</v>
      </c>
      <c r="F22" t="s">
        <v>2212</v>
      </c>
      <c r="G22" t="s">
        <v>2225</v>
      </c>
      <c r="H22" t="s">
        <v>2186</v>
      </c>
      <c r="I22" t="s">
        <v>2198</v>
      </c>
      <c r="J22" t="s">
        <v>2188</v>
      </c>
      <c r="K22" s="4">
        <v>45936</v>
      </c>
      <c r="L22" t="s">
        <v>77</v>
      </c>
    </row>
    <row r="23" spans="1:12">
      <c r="A23" t="s">
        <v>1782</v>
      </c>
      <c r="B23" t="s">
        <v>2240</v>
      </c>
      <c r="C23" s="6">
        <v>5</v>
      </c>
      <c r="D23" t="s">
        <v>2195</v>
      </c>
      <c r="E23" t="s">
        <v>2216</v>
      </c>
      <c r="F23" t="s">
        <v>2206</v>
      </c>
      <c r="G23" t="s">
        <v>2222</v>
      </c>
      <c r="H23" t="s">
        <v>2186</v>
      </c>
      <c r="I23" t="s">
        <v>2198</v>
      </c>
      <c r="J23" t="s">
        <v>2188</v>
      </c>
      <c r="K23" s="4">
        <v>45122</v>
      </c>
      <c r="L23" t="s">
        <v>77</v>
      </c>
    </row>
    <row r="24" spans="1:12">
      <c r="A24" t="s">
        <v>2241</v>
      </c>
      <c r="B24" t="s">
        <v>2242</v>
      </c>
      <c r="C24" s="6">
        <v>66</v>
      </c>
      <c r="D24" t="s">
        <v>2182</v>
      </c>
      <c r="E24" t="s">
        <v>2221</v>
      </c>
      <c r="F24" t="s">
        <v>2219</v>
      </c>
      <c r="G24" t="s">
        <v>2213</v>
      </c>
      <c r="H24" t="s">
        <v>2235</v>
      </c>
      <c r="I24" t="s">
        <v>2187</v>
      </c>
      <c r="J24" t="s">
        <v>2193</v>
      </c>
      <c r="K24" s="4">
        <v>45221</v>
      </c>
      <c r="L24" t="s">
        <v>77</v>
      </c>
    </row>
    <row r="25" spans="1:12">
      <c r="A25" t="s">
        <v>706</v>
      </c>
      <c r="B25" t="s">
        <v>2243</v>
      </c>
      <c r="C25" s="6">
        <v>40</v>
      </c>
      <c r="D25" t="s">
        <v>2195</v>
      </c>
      <c r="E25" t="s">
        <v>2244</v>
      </c>
      <c r="F25" t="s">
        <v>2206</v>
      </c>
      <c r="G25" t="s">
        <v>2225</v>
      </c>
      <c r="H25" t="s">
        <v>2186</v>
      </c>
      <c r="I25" t="s">
        <v>2187</v>
      </c>
      <c r="J25" t="s">
        <v>2188</v>
      </c>
      <c r="K25" s="4">
        <v>45018</v>
      </c>
      <c r="L25" t="s">
        <v>77</v>
      </c>
    </row>
    <row r="26" spans="1:12">
      <c r="A26" t="s">
        <v>2245</v>
      </c>
      <c r="B26" t="s">
        <v>2246</v>
      </c>
      <c r="C26" s="6">
        <v>53</v>
      </c>
      <c r="D26" t="s">
        <v>2182</v>
      </c>
      <c r="E26" t="s">
        <v>2216</v>
      </c>
      <c r="F26" t="s">
        <v>2206</v>
      </c>
      <c r="G26" t="s">
        <v>2213</v>
      </c>
      <c r="H26" t="s">
        <v>2228</v>
      </c>
      <c r="I26" t="s">
        <v>2187</v>
      </c>
      <c r="J26" t="s">
        <v>2203</v>
      </c>
      <c r="K26" s="4">
        <v>43747</v>
      </c>
      <c r="L26" t="s">
        <v>77</v>
      </c>
    </row>
    <row r="27" spans="1:12">
      <c r="A27" t="s">
        <v>1022</v>
      </c>
      <c r="B27" t="s">
        <v>2247</v>
      </c>
      <c r="C27" s="6">
        <v>24</v>
      </c>
      <c r="D27" t="s">
        <v>2182</v>
      </c>
      <c r="E27" t="s">
        <v>2227</v>
      </c>
      <c r="F27" t="s">
        <v>2191</v>
      </c>
      <c r="G27" t="s">
        <v>2200</v>
      </c>
      <c r="H27" t="s">
        <v>2235</v>
      </c>
      <c r="I27" t="s">
        <v>2187</v>
      </c>
      <c r="J27" t="s">
        <v>2188</v>
      </c>
      <c r="K27" s="4">
        <v>44443</v>
      </c>
      <c r="L27" t="s">
        <v>77</v>
      </c>
    </row>
    <row r="28" spans="1:12">
      <c r="A28" t="s">
        <v>627</v>
      </c>
      <c r="B28" t="s">
        <v>2248</v>
      </c>
      <c r="C28" s="6">
        <v>28</v>
      </c>
      <c r="D28" t="s">
        <v>2195</v>
      </c>
      <c r="E28" t="s">
        <v>2221</v>
      </c>
      <c r="F28" t="s">
        <v>2219</v>
      </c>
      <c r="G28" t="s">
        <v>2207</v>
      </c>
      <c r="H28" t="s">
        <v>2197</v>
      </c>
      <c r="I28" t="s">
        <v>2198</v>
      </c>
      <c r="J28" t="s">
        <v>2203</v>
      </c>
      <c r="K28" s="4">
        <v>43935</v>
      </c>
      <c r="L28" t="s">
        <v>77</v>
      </c>
    </row>
    <row r="29" spans="1:12">
      <c r="A29" t="s">
        <v>950</v>
      </c>
      <c r="B29" t="s">
        <v>2249</v>
      </c>
      <c r="C29" s="6">
        <v>46</v>
      </c>
      <c r="D29" t="s">
        <v>2182</v>
      </c>
      <c r="E29" t="s">
        <v>2196</v>
      </c>
      <c r="F29" t="s">
        <v>2184</v>
      </c>
      <c r="G29" t="s">
        <v>2207</v>
      </c>
      <c r="H29" t="s">
        <v>2186</v>
      </c>
      <c r="I29" t="s">
        <v>2198</v>
      </c>
      <c r="J29" t="s">
        <v>2188</v>
      </c>
      <c r="K29" s="4">
        <v>45003</v>
      </c>
      <c r="L29" t="s">
        <v>77</v>
      </c>
    </row>
    <row r="30" spans="1:12">
      <c r="A30" t="s">
        <v>1617</v>
      </c>
      <c r="B30" t="s">
        <v>2250</v>
      </c>
      <c r="C30" s="6">
        <v>13</v>
      </c>
      <c r="D30" t="s">
        <v>2195</v>
      </c>
      <c r="E30" t="s">
        <v>2190</v>
      </c>
      <c r="F30" t="s">
        <v>2191</v>
      </c>
      <c r="G30" t="s">
        <v>2213</v>
      </c>
      <c r="H30" t="s">
        <v>2186</v>
      </c>
      <c r="I30" t="s">
        <v>2198</v>
      </c>
      <c r="J30" t="s">
        <v>2188</v>
      </c>
      <c r="K30" s="4">
        <v>45925</v>
      </c>
      <c r="L30" t="s">
        <v>77</v>
      </c>
    </row>
    <row r="31" spans="1:12">
      <c r="A31" t="s">
        <v>1645</v>
      </c>
      <c r="B31" t="s">
        <v>2251</v>
      </c>
      <c r="C31" s="6">
        <v>23</v>
      </c>
      <c r="D31" t="s">
        <v>2195</v>
      </c>
      <c r="E31" t="s">
        <v>2211</v>
      </c>
      <c r="F31" t="s">
        <v>2212</v>
      </c>
      <c r="G31" t="s">
        <v>2207</v>
      </c>
      <c r="H31" t="s">
        <v>2197</v>
      </c>
      <c r="I31" t="s">
        <v>2187</v>
      </c>
      <c r="J31" t="s">
        <v>2188</v>
      </c>
      <c r="K31" s="4">
        <v>44863</v>
      </c>
      <c r="L31" t="s">
        <v>77</v>
      </c>
    </row>
    <row r="32" spans="1:12">
      <c r="A32" t="s">
        <v>557</v>
      </c>
      <c r="B32" t="s">
        <v>2252</v>
      </c>
      <c r="C32" s="6">
        <v>26</v>
      </c>
      <c r="D32" t="s">
        <v>2182</v>
      </c>
      <c r="E32" t="s">
        <v>2231</v>
      </c>
      <c r="F32" t="s">
        <v>2212</v>
      </c>
      <c r="G32" t="s">
        <v>2233</v>
      </c>
      <c r="H32" t="s">
        <v>2197</v>
      </c>
      <c r="I32" t="s">
        <v>2187</v>
      </c>
      <c r="J32" t="s">
        <v>2188</v>
      </c>
      <c r="K32" s="4">
        <v>45603</v>
      </c>
      <c r="L32" t="s">
        <v>64</v>
      </c>
    </row>
    <row r="33" spans="1:12">
      <c r="A33" t="s">
        <v>1524</v>
      </c>
      <c r="B33" t="s">
        <v>2253</v>
      </c>
      <c r="C33" s="6">
        <v>50</v>
      </c>
      <c r="D33" t="s">
        <v>2195</v>
      </c>
      <c r="E33" t="s">
        <v>2183</v>
      </c>
      <c r="F33" t="s">
        <v>2184</v>
      </c>
      <c r="G33" t="s">
        <v>2233</v>
      </c>
      <c r="H33" t="s">
        <v>2235</v>
      </c>
      <c r="I33" t="s">
        <v>2187</v>
      </c>
      <c r="J33" t="s">
        <v>2203</v>
      </c>
      <c r="K33" s="4">
        <v>44471</v>
      </c>
      <c r="L33" t="s">
        <v>77</v>
      </c>
    </row>
    <row r="34" spans="1:12">
      <c r="A34" t="s">
        <v>890</v>
      </c>
      <c r="B34" t="s">
        <v>2254</v>
      </c>
      <c r="C34" s="6">
        <v>43</v>
      </c>
      <c r="D34" t="s">
        <v>2182</v>
      </c>
      <c r="E34" t="s">
        <v>2211</v>
      </c>
      <c r="F34" t="s">
        <v>2212</v>
      </c>
      <c r="G34" t="s">
        <v>2225</v>
      </c>
      <c r="H34" t="s">
        <v>2186</v>
      </c>
      <c r="I34" t="s">
        <v>2187</v>
      </c>
      <c r="J34" t="s">
        <v>2188</v>
      </c>
      <c r="K34" s="4">
        <v>44797</v>
      </c>
      <c r="L34" t="s">
        <v>77</v>
      </c>
    </row>
    <row r="35" spans="1:12">
      <c r="A35" t="s">
        <v>907</v>
      </c>
      <c r="B35" t="s">
        <v>2255</v>
      </c>
      <c r="C35" s="6">
        <v>64</v>
      </c>
      <c r="D35" t="s">
        <v>2195</v>
      </c>
      <c r="E35" t="s">
        <v>2196</v>
      </c>
      <c r="F35" t="s">
        <v>2184</v>
      </c>
      <c r="G35" t="s">
        <v>2200</v>
      </c>
      <c r="H35" t="s">
        <v>2235</v>
      </c>
      <c r="I35" t="s">
        <v>2192</v>
      </c>
      <c r="J35" t="s">
        <v>2193</v>
      </c>
      <c r="K35" s="4">
        <v>45742</v>
      </c>
      <c r="L35" t="s">
        <v>77</v>
      </c>
    </row>
    <row r="36" spans="1:12">
      <c r="A36" t="s">
        <v>265</v>
      </c>
      <c r="B36" t="s">
        <v>2256</v>
      </c>
      <c r="C36" s="6">
        <v>38</v>
      </c>
      <c r="D36" t="s">
        <v>2182</v>
      </c>
      <c r="E36" t="s">
        <v>2190</v>
      </c>
      <c r="F36" t="s">
        <v>2191</v>
      </c>
      <c r="G36" t="s">
        <v>2200</v>
      </c>
      <c r="H36" t="s">
        <v>2186</v>
      </c>
      <c r="I36" t="s">
        <v>2198</v>
      </c>
      <c r="J36" t="s">
        <v>2188</v>
      </c>
      <c r="K36" s="4">
        <v>45301</v>
      </c>
      <c r="L36" t="s">
        <v>77</v>
      </c>
    </row>
    <row r="37" spans="1:12">
      <c r="A37" t="s">
        <v>457</v>
      </c>
      <c r="B37" t="s">
        <v>2257</v>
      </c>
      <c r="C37" s="6">
        <v>21</v>
      </c>
      <c r="D37" t="s">
        <v>2195</v>
      </c>
      <c r="E37" t="s">
        <v>2227</v>
      </c>
      <c r="F37" t="s">
        <v>2191</v>
      </c>
      <c r="G37" t="s">
        <v>2202</v>
      </c>
      <c r="H37" t="s">
        <v>2186</v>
      </c>
      <c r="I37" t="s">
        <v>2187</v>
      </c>
      <c r="J37" t="s">
        <v>2188</v>
      </c>
      <c r="K37" s="4">
        <v>45404</v>
      </c>
      <c r="L37" t="s">
        <v>77</v>
      </c>
    </row>
    <row r="38" spans="1:12">
      <c r="A38" t="s">
        <v>2258</v>
      </c>
      <c r="B38" t="s">
        <v>2259</v>
      </c>
      <c r="C38" s="6">
        <v>30</v>
      </c>
      <c r="D38" t="s">
        <v>2195</v>
      </c>
      <c r="E38" t="s">
        <v>2227</v>
      </c>
      <c r="F38" t="s">
        <v>2191</v>
      </c>
      <c r="G38" t="s">
        <v>2200</v>
      </c>
      <c r="H38" t="s">
        <v>2186</v>
      </c>
      <c r="I38" t="s">
        <v>2187</v>
      </c>
      <c r="J38" t="s">
        <v>2188</v>
      </c>
      <c r="K38" s="4">
        <v>43955</v>
      </c>
      <c r="L38" t="s">
        <v>77</v>
      </c>
    </row>
    <row r="39" spans="1:12">
      <c r="A39" t="s">
        <v>664</v>
      </c>
      <c r="B39" t="s">
        <v>2260</v>
      </c>
      <c r="C39" s="6">
        <v>59</v>
      </c>
      <c r="D39" t="s">
        <v>2195</v>
      </c>
      <c r="E39" t="s">
        <v>2231</v>
      </c>
      <c r="F39" t="s">
        <v>2212</v>
      </c>
      <c r="G39" t="s">
        <v>2225</v>
      </c>
      <c r="H39" t="s">
        <v>2186</v>
      </c>
      <c r="I39" t="s">
        <v>2187</v>
      </c>
      <c r="J39" t="s">
        <v>2188</v>
      </c>
      <c r="K39" s="4">
        <v>45614</v>
      </c>
      <c r="L39" t="s">
        <v>77</v>
      </c>
    </row>
    <row r="40" spans="1:12">
      <c r="A40" t="s">
        <v>1191</v>
      </c>
      <c r="B40" t="s">
        <v>2261</v>
      </c>
      <c r="C40" s="6">
        <v>44</v>
      </c>
      <c r="D40" t="s">
        <v>2195</v>
      </c>
      <c r="E40" t="s">
        <v>2218</v>
      </c>
      <c r="F40" t="s">
        <v>2219</v>
      </c>
      <c r="G40" t="s">
        <v>2233</v>
      </c>
      <c r="H40" t="s">
        <v>2186</v>
      </c>
      <c r="I40" t="s">
        <v>2187</v>
      </c>
      <c r="J40" t="s">
        <v>2188</v>
      </c>
      <c r="K40" s="4">
        <v>43689</v>
      </c>
      <c r="L40" t="s">
        <v>77</v>
      </c>
    </row>
    <row r="41" spans="1:12">
      <c r="A41" t="s">
        <v>678</v>
      </c>
      <c r="B41" t="s">
        <v>2262</v>
      </c>
      <c r="C41" s="6">
        <v>54</v>
      </c>
      <c r="D41" t="s">
        <v>2195</v>
      </c>
      <c r="E41" t="s">
        <v>2216</v>
      </c>
      <c r="F41" t="s">
        <v>2206</v>
      </c>
      <c r="G41" t="s">
        <v>2233</v>
      </c>
      <c r="H41" t="s">
        <v>2197</v>
      </c>
      <c r="I41" t="s">
        <v>2187</v>
      </c>
      <c r="J41" t="s">
        <v>2203</v>
      </c>
      <c r="K41" s="4">
        <v>45270</v>
      </c>
      <c r="L41" t="s">
        <v>77</v>
      </c>
    </row>
    <row r="42" spans="1:12">
      <c r="A42" t="s">
        <v>1213</v>
      </c>
      <c r="B42" t="s">
        <v>2263</v>
      </c>
      <c r="C42" s="6">
        <v>48</v>
      </c>
      <c r="D42" t="s">
        <v>2182</v>
      </c>
      <c r="E42" t="s">
        <v>2221</v>
      </c>
      <c r="F42" t="s">
        <v>2219</v>
      </c>
      <c r="G42" t="s">
        <v>2200</v>
      </c>
      <c r="H42" t="s">
        <v>2197</v>
      </c>
      <c r="I42" t="s">
        <v>2187</v>
      </c>
      <c r="J42" t="s">
        <v>2203</v>
      </c>
      <c r="K42" s="4">
        <v>44077</v>
      </c>
      <c r="L42" t="s">
        <v>77</v>
      </c>
    </row>
    <row r="43" spans="1:12">
      <c r="A43" t="s">
        <v>342</v>
      </c>
      <c r="B43" t="s">
        <v>2264</v>
      </c>
      <c r="C43" s="6">
        <v>47</v>
      </c>
      <c r="D43" t="s">
        <v>2195</v>
      </c>
      <c r="E43" t="s">
        <v>2238</v>
      </c>
      <c r="F43" t="s">
        <v>2212</v>
      </c>
      <c r="G43" t="s">
        <v>2233</v>
      </c>
      <c r="H43" t="s">
        <v>2186</v>
      </c>
      <c r="I43" t="s">
        <v>2187</v>
      </c>
      <c r="J43" t="s">
        <v>2188</v>
      </c>
      <c r="K43" s="4">
        <v>45999</v>
      </c>
      <c r="L43" t="s">
        <v>77</v>
      </c>
    </row>
    <row r="44" spans="1:12">
      <c r="A44" t="s">
        <v>847</v>
      </c>
      <c r="B44" t="s">
        <v>2260</v>
      </c>
      <c r="C44" s="6">
        <v>56</v>
      </c>
      <c r="D44" t="s">
        <v>2182</v>
      </c>
      <c r="E44" t="s">
        <v>2211</v>
      </c>
      <c r="F44" t="s">
        <v>2212</v>
      </c>
      <c r="G44" t="s">
        <v>2200</v>
      </c>
      <c r="H44" t="s">
        <v>2186</v>
      </c>
      <c r="I44" t="s">
        <v>2187</v>
      </c>
      <c r="J44" t="s">
        <v>2188</v>
      </c>
      <c r="K44" s="4">
        <v>45963</v>
      </c>
      <c r="L44" t="s">
        <v>64</v>
      </c>
    </row>
    <row r="45" spans="1:12">
      <c r="A45" t="s">
        <v>186</v>
      </c>
      <c r="B45" t="s">
        <v>2265</v>
      </c>
      <c r="C45" s="6">
        <v>34</v>
      </c>
      <c r="D45" t="s">
        <v>2195</v>
      </c>
      <c r="E45" t="s">
        <v>2205</v>
      </c>
      <c r="F45" t="s">
        <v>2206</v>
      </c>
      <c r="G45" t="s">
        <v>2233</v>
      </c>
      <c r="H45" t="s">
        <v>2186</v>
      </c>
      <c r="I45" t="s">
        <v>2187</v>
      </c>
      <c r="J45" t="s">
        <v>2188</v>
      </c>
      <c r="K45" s="4">
        <v>43773</v>
      </c>
      <c r="L45" t="s">
        <v>77</v>
      </c>
    </row>
    <row r="46" spans="1:12">
      <c r="A46" t="s">
        <v>1432</v>
      </c>
      <c r="B46" t="s">
        <v>2250</v>
      </c>
      <c r="C46" s="6">
        <v>39</v>
      </c>
      <c r="D46" t="s">
        <v>2182</v>
      </c>
      <c r="E46" t="s">
        <v>2190</v>
      </c>
      <c r="F46" t="s">
        <v>2191</v>
      </c>
      <c r="G46" t="s">
        <v>2200</v>
      </c>
      <c r="H46" t="s">
        <v>2208</v>
      </c>
      <c r="I46" t="s">
        <v>2187</v>
      </c>
      <c r="J46" t="s">
        <v>2203</v>
      </c>
      <c r="K46" s="4">
        <v>44422</v>
      </c>
      <c r="L46" t="s">
        <v>64</v>
      </c>
    </row>
    <row r="47" spans="1:12">
      <c r="A47" t="s">
        <v>1642</v>
      </c>
      <c r="B47" t="s">
        <v>2266</v>
      </c>
      <c r="C47" s="6">
        <v>56</v>
      </c>
      <c r="D47" t="s">
        <v>2195</v>
      </c>
      <c r="E47" t="s">
        <v>2218</v>
      </c>
      <c r="F47" t="s">
        <v>2219</v>
      </c>
      <c r="G47" t="s">
        <v>2222</v>
      </c>
      <c r="H47" t="s">
        <v>2186</v>
      </c>
      <c r="I47" t="s">
        <v>2187</v>
      </c>
      <c r="J47" t="s">
        <v>2188</v>
      </c>
      <c r="K47" s="4">
        <v>44554</v>
      </c>
      <c r="L47" t="s">
        <v>77</v>
      </c>
    </row>
    <row r="48" spans="1:12">
      <c r="A48" t="s">
        <v>702</v>
      </c>
      <c r="B48" t="s">
        <v>2267</v>
      </c>
      <c r="C48" s="6">
        <v>49</v>
      </c>
      <c r="D48" t="s">
        <v>2182</v>
      </c>
      <c r="E48" t="s">
        <v>2196</v>
      </c>
      <c r="F48" t="s">
        <v>2184</v>
      </c>
      <c r="G48" t="s">
        <v>2233</v>
      </c>
      <c r="H48" t="s">
        <v>2186</v>
      </c>
      <c r="I48" t="s">
        <v>2187</v>
      </c>
      <c r="J48" t="s">
        <v>2188</v>
      </c>
      <c r="K48" s="4">
        <v>44711</v>
      </c>
      <c r="L48" t="s">
        <v>77</v>
      </c>
    </row>
    <row r="49" spans="1:12">
      <c r="A49" t="s">
        <v>1093</v>
      </c>
      <c r="B49" t="s">
        <v>2268</v>
      </c>
      <c r="C49" s="6">
        <v>18</v>
      </c>
      <c r="D49" t="s">
        <v>2195</v>
      </c>
      <c r="E49" t="s">
        <v>2221</v>
      </c>
      <c r="F49" t="s">
        <v>2219</v>
      </c>
      <c r="G49" t="s">
        <v>2200</v>
      </c>
      <c r="H49" t="s">
        <v>2186</v>
      </c>
      <c r="I49" t="s">
        <v>2187</v>
      </c>
      <c r="J49" t="s">
        <v>2188</v>
      </c>
      <c r="K49" s="4">
        <v>44786</v>
      </c>
      <c r="L49" t="s">
        <v>77</v>
      </c>
    </row>
    <row r="50" spans="1:12">
      <c r="A50" t="s">
        <v>1100</v>
      </c>
      <c r="B50" t="s">
        <v>2259</v>
      </c>
      <c r="C50" s="6">
        <v>78</v>
      </c>
      <c r="D50" t="s">
        <v>2269</v>
      </c>
      <c r="E50" t="s">
        <v>2216</v>
      </c>
      <c r="F50" t="s">
        <v>2206</v>
      </c>
      <c r="G50" t="s">
        <v>2233</v>
      </c>
      <c r="H50" t="s">
        <v>2228</v>
      </c>
      <c r="I50" t="s">
        <v>2198</v>
      </c>
      <c r="J50" t="s">
        <v>2193</v>
      </c>
      <c r="K50" s="4">
        <v>44569</v>
      </c>
      <c r="L50" t="s">
        <v>77</v>
      </c>
    </row>
    <row r="51" spans="1:12">
      <c r="A51" t="s">
        <v>2270</v>
      </c>
      <c r="B51" t="s">
        <v>2271</v>
      </c>
      <c r="C51" s="6">
        <v>34</v>
      </c>
      <c r="D51" t="s">
        <v>2182</v>
      </c>
      <c r="E51" t="s">
        <v>2231</v>
      </c>
      <c r="F51" t="s">
        <v>2212</v>
      </c>
      <c r="G51" t="s">
        <v>2207</v>
      </c>
      <c r="H51" t="s">
        <v>2272</v>
      </c>
      <c r="I51" t="s">
        <v>2187</v>
      </c>
      <c r="J51" t="s">
        <v>2188</v>
      </c>
      <c r="K51" s="4">
        <v>45863</v>
      </c>
      <c r="L51" t="s">
        <v>77</v>
      </c>
    </row>
    <row r="52" spans="1:12">
      <c r="A52" t="s">
        <v>655</v>
      </c>
      <c r="B52" t="s">
        <v>2201</v>
      </c>
      <c r="C52" s="6">
        <v>23</v>
      </c>
      <c r="D52" t="s">
        <v>2195</v>
      </c>
      <c r="E52" t="s">
        <v>2205</v>
      </c>
      <c r="F52" t="s">
        <v>2206</v>
      </c>
      <c r="G52" t="s">
        <v>2213</v>
      </c>
      <c r="H52" t="s">
        <v>2208</v>
      </c>
      <c r="I52" t="s">
        <v>2187</v>
      </c>
      <c r="J52" t="s">
        <v>2188</v>
      </c>
      <c r="K52" s="4">
        <v>45495</v>
      </c>
      <c r="L52" t="s">
        <v>77</v>
      </c>
    </row>
    <row r="53" spans="1:12">
      <c r="A53" t="s">
        <v>929</v>
      </c>
      <c r="B53" t="s">
        <v>2273</v>
      </c>
      <c r="C53" s="6">
        <v>46</v>
      </c>
      <c r="D53" t="s">
        <v>2195</v>
      </c>
      <c r="E53" t="s">
        <v>2244</v>
      </c>
      <c r="F53" t="s">
        <v>2206</v>
      </c>
      <c r="G53" t="s">
        <v>2233</v>
      </c>
      <c r="H53" t="s">
        <v>2186</v>
      </c>
      <c r="I53" t="s">
        <v>2187</v>
      </c>
      <c r="J53" t="s">
        <v>2188</v>
      </c>
      <c r="K53" s="4">
        <v>45121</v>
      </c>
      <c r="L53" t="s">
        <v>77</v>
      </c>
    </row>
    <row r="54" spans="1:12">
      <c r="A54" t="s">
        <v>1915</v>
      </c>
      <c r="B54" t="s">
        <v>2217</v>
      </c>
      <c r="C54" s="6">
        <v>32</v>
      </c>
      <c r="D54" t="s">
        <v>2195</v>
      </c>
      <c r="E54" t="s">
        <v>2238</v>
      </c>
      <c r="F54" t="s">
        <v>2212</v>
      </c>
      <c r="G54" t="s">
        <v>2225</v>
      </c>
      <c r="H54" t="s">
        <v>2186</v>
      </c>
      <c r="I54" t="s">
        <v>2187</v>
      </c>
      <c r="J54" t="s">
        <v>2188</v>
      </c>
      <c r="K54" s="4">
        <v>43677</v>
      </c>
      <c r="L54" t="s">
        <v>77</v>
      </c>
    </row>
    <row r="55" spans="1:12">
      <c r="A55" t="s">
        <v>615</v>
      </c>
      <c r="B55" t="s">
        <v>2274</v>
      </c>
      <c r="C55" s="6">
        <v>49</v>
      </c>
      <c r="D55" t="s">
        <v>2195</v>
      </c>
      <c r="E55" t="s">
        <v>2190</v>
      </c>
      <c r="F55" t="s">
        <v>2191</v>
      </c>
      <c r="G55" t="s">
        <v>2225</v>
      </c>
      <c r="H55" t="s">
        <v>2186</v>
      </c>
      <c r="I55" t="s">
        <v>2187</v>
      </c>
      <c r="J55" t="s">
        <v>2188</v>
      </c>
      <c r="K55" s="4">
        <v>45959</v>
      </c>
      <c r="L55" t="s">
        <v>77</v>
      </c>
    </row>
    <row r="56" spans="1:12">
      <c r="A56" t="s">
        <v>835</v>
      </c>
      <c r="B56" t="s">
        <v>2275</v>
      </c>
      <c r="C56" s="6">
        <v>20</v>
      </c>
      <c r="D56" t="s">
        <v>2195</v>
      </c>
      <c r="E56" t="s">
        <v>2183</v>
      </c>
      <c r="F56" t="s">
        <v>2184</v>
      </c>
      <c r="G56" t="s">
        <v>2225</v>
      </c>
      <c r="H56" t="s">
        <v>2272</v>
      </c>
      <c r="I56" t="s">
        <v>2187</v>
      </c>
      <c r="J56" t="s">
        <v>2188</v>
      </c>
      <c r="K56" s="4">
        <v>43947</v>
      </c>
      <c r="L56" t="s">
        <v>77</v>
      </c>
    </row>
    <row r="57" spans="1:12">
      <c r="A57" t="s">
        <v>587</v>
      </c>
      <c r="B57" t="s">
        <v>2217</v>
      </c>
      <c r="C57" s="6">
        <v>35</v>
      </c>
      <c r="D57" t="s">
        <v>2182</v>
      </c>
      <c r="E57" t="s">
        <v>2224</v>
      </c>
      <c r="F57" t="s">
        <v>2206</v>
      </c>
      <c r="G57" t="s">
        <v>2185</v>
      </c>
      <c r="H57" t="s">
        <v>2186</v>
      </c>
      <c r="I57" t="s">
        <v>2187</v>
      </c>
      <c r="J57" t="s">
        <v>2188</v>
      </c>
      <c r="K57" s="4">
        <v>45400</v>
      </c>
      <c r="L57" t="s">
        <v>77</v>
      </c>
    </row>
    <row r="58" spans="1:12">
      <c r="A58" t="s">
        <v>591</v>
      </c>
      <c r="B58" t="s">
        <v>2276</v>
      </c>
      <c r="C58" s="6">
        <v>52</v>
      </c>
      <c r="D58" t="s">
        <v>2182</v>
      </c>
      <c r="E58" t="s">
        <v>2277</v>
      </c>
      <c r="F58" t="s">
        <v>2191</v>
      </c>
      <c r="G58" t="s">
        <v>2225</v>
      </c>
      <c r="H58" t="s">
        <v>2208</v>
      </c>
      <c r="I58" t="s">
        <v>2187</v>
      </c>
      <c r="J58" t="s">
        <v>2203</v>
      </c>
      <c r="K58" s="4">
        <v>45165</v>
      </c>
      <c r="L58" t="s">
        <v>77</v>
      </c>
    </row>
    <row r="59" spans="1:12">
      <c r="A59" t="s">
        <v>1677</v>
      </c>
      <c r="B59" t="s">
        <v>2278</v>
      </c>
      <c r="C59" s="6">
        <v>66</v>
      </c>
      <c r="D59" t="s">
        <v>2182</v>
      </c>
      <c r="E59" t="s">
        <v>2224</v>
      </c>
      <c r="F59" t="s">
        <v>2206</v>
      </c>
      <c r="G59" t="s">
        <v>2233</v>
      </c>
      <c r="H59" t="s">
        <v>2208</v>
      </c>
      <c r="I59" t="s">
        <v>2198</v>
      </c>
      <c r="J59" t="s">
        <v>2193</v>
      </c>
      <c r="K59" s="4">
        <v>45841</v>
      </c>
      <c r="L59" t="s">
        <v>64</v>
      </c>
    </row>
    <row r="60" spans="1:12">
      <c r="A60" t="s">
        <v>1515</v>
      </c>
      <c r="B60" t="s">
        <v>2279</v>
      </c>
      <c r="C60" s="6">
        <v>26</v>
      </c>
      <c r="D60" t="s">
        <v>2182</v>
      </c>
      <c r="E60" t="s">
        <v>2218</v>
      </c>
      <c r="F60" t="s">
        <v>2219</v>
      </c>
      <c r="G60" t="s">
        <v>2185</v>
      </c>
      <c r="H60" t="s">
        <v>2186</v>
      </c>
      <c r="I60" t="s">
        <v>2192</v>
      </c>
      <c r="J60" t="s">
        <v>2188</v>
      </c>
      <c r="K60" s="4">
        <v>44238</v>
      </c>
      <c r="L60" t="s">
        <v>64</v>
      </c>
    </row>
    <row r="61" spans="1:12">
      <c r="A61" t="s">
        <v>1474</v>
      </c>
      <c r="B61" t="s">
        <v>2280</v>
      </c>
      <c r="C61" s="6">
        <v>38</v>
      </c>
      <c r="D61" t="s">
        <v>2195</v>
      </c>
      <c r="E61" t="s">
        <v>2238</v>
      </c>
      <c r="F61" t="s">
        <v>2212</v>
      </c>
      <c r="G61" t="s">
        <v>2185</v>
      </c>
      <c r="H61" t="s">
        <v>2186</v>
      </c>
      <c r="I61" t="s">
        <v>2187</v>
      </c>
      <c r="J61" t="s">
        <v>2188</v>
      </c>
      <c r="K61" s="4">
        <v>45403</v>
      </c>
      <c r="L61" t="s">
        <v>77</v>
      </c>
    </row>
    <row r="62" spans="1:12">
      <c r="A62" t="s">
        <v>606</v>
      </c>
      <c r="B62" t="s">
        <v>2281</v>
      </c>
      <c r="C62" s="6">
        <v>76</v>
      </c>
      <c r="D62" t="s">
        <v>2182</v>
      </c>
      <c r="E62" t="s">
        <v>2277</v>
      </c>
      <c r="F62" t="s">
        <v>2191</v>
      </c>
      <c r="G62" t="s">
        <v>2233</v>
      </c>
      <c r="H62" t="s">
        <v>2235</v>
      </c>
      <c r="I62" t="s">
        <v>2187</v>
      </c>
      <c r="J62" t="s">
        <v>2193</v>
      </c>
      <c r="K62" s="4">
        <v>45523</v>
      </c>
      <c r="L62" t="s">
        <v>64</v>
      </c>
    </row>
    <row r="63" spans="1:12">
      <c r="A63" t="s">
        <v>326</v>
      </c>
      <c r="B63" t="s">
        <v>2282</v>
      </c>
      <c r="C63" s="6">
        <v>40</v>
      </c>
      <c r="D63" t="s">
        <v>2195</v>
      </c>
      <c r="E63" t="s">
        <v>2196</v>
      </c>
      <c r="F63" t="s">
        <v>2184</v>
      </c>
      <c r="G63" t="s">
        <v>2233</v>
      </c>
      <c r="H63" t="s">
        <v>2186</v>
      </c>
      <c r="I63" t="s">
        <v>2198</v>
      </c>
      <c r="J63" t="s">
        <v>2188</v>
      </c>
      <c r="K63" s="4">
        <v>45145</v>
      </c>
      <c r="L63" t="s">
        <v>77</v>
      </c>
    </row>
    <row r="64" spans="1:12">
      <c r="A64" t="s">
        <v>680</v>
      </c>
      <c r="B64" t="s">
        <v>2283</v>
      </c>
      <c r="C64" s="6">
        <v>45</v>
      </c>
      <c r="D64" t="s">
        <v>2182</v>
      </c>
      <c r="E64" t="s">
        <v>2211</v>
      </c>
      <c r="F64" t="s">
        <v>2212</v>
      </c>
      <c r="G64" t="s">
        <v>2213</v>
      </c>
      <c r="H64" t="s">
        <v>2197</v>
      </c>
      <c r="I64" t="s">
        <v>2198</v>
      </c>
      <c r="J64" t="s">
        <v>2203</v>
      </c>
      <c r="K64" s="4">
        <v>45651</v>
      </c>
      <c r="L64" t="s">
        <v>77</v>
      </c>
    </row>
    <row r="65" spans="1:12">
      <c r="A65" t="s">
        <v>811</v>
      </c>
      <c r="B65" t="s">
        <v>2284</v>
      </c>
      <c r="C65" s="6">
        <v>28</v>
      </c>
      <c r="D65" t="s">
        <v>2182</v>
      </c>
      <c r="E65" t="s">
        <v>2227</v>
      </c>
      <c r="F65" t="s">
        <v>2191</v>
      </c>
      <c r="G65" t="s">
        <v>2207</v>
      </c>
      <c r="H65" t="s">
        <v>2197</v>
      </c>
      <c r="I65" t="s">
        <v>2192</v>
      </c>
      <c r="J65" t="s">
        <v>2203</v>
      </c>
      <c r="K65" s="4">
        <v>44397</v>
      </c>
      <c r="L65" t="s">
        <v>77</v>
      </c>
    </row>
    <row r="66" spans="1:12">
      <c r="A66" t="s">
        <v>2285</v>
      </c>
      <c r="B66" t="s">
        <v>2286</v>
      </c>
      <c r="C66" s="6">
        <v>15</v>
      </c>
      <c r="D66" t="s">
        <v>2182</v>
      </c>
      <c r="E66" t="s">
        <v>2216</v>
      </c>
      <c r="F66" t="s">
        <v>2206</v>
      </c>
      <c r="G66" t="s">
        <v>2185</v>
      </c>
      <c r="H66" t="s">
        <v>2186</v>
      </c>
      <c r="I66" t="s">
        <v>2187</v>
      </c>
      <c r="J66" t="s">
        <v>2188</v>
      </c>
      <c r="K66" s="4">
        <v>44934</v>
      </c>
      <c r="L66" t="s">
        <v>77</v>
      </c>
    </row>
    <row r="67" spans="1:12">
      <c r="A67" t="s">
        <v>723</v>
      </c>
      <c r="B67" t="s">
        <v>2287</v>
      </c>
      <c r="C67" s="6">
        <v>53</v>
      </c>
      <c r="D67" t="s">
        <v>2182</v>
      </c>
      <c r="E67" t="s">
        <v>2238</v>
      </c>
      <c r="F67" t="s">
        <v>2212</v>
      </c>
      <c r="G67" t="s">
        <v>2233</v>
      </c>
      <c r="H67" t="s">
        <v>2186</v>
      </c>
      <c r="I67" t="s">
        <v>2187</v>
      </c>
      <c r="J67" t="s">
        <v>2188</v>
      </c>
      <c r="K67" s="4">
        <v>45962</v>
      </c>
      <c r="L67" t="s">
        <v>77</v>
      </c>
    </row>
    <row r="68" spans="1:12">
      <c r="A68" t="s">
        <v>740</v>
      </c>
      <c r="B68" t="s">
        <v>2288</v>
      </c>
      <c r="C68" s="6">
        <v>52</v>
      </c>
      <c r="D68" t="s">
        <v>2195</v>
      </c>
      <c r="E68" t="s">
        <v>2224</v>
      </c>
      <c r="F68" t="s">
        <v>2206</v>
      </c>
      <c r="G68" t="s">
        <v>2222</v>
      </c>
      <c r="H68" t="s">
        <v>2186</v>
      </c>
      <c r="I68" t="s">
        <v>2198</v>
      </c>
      <c r="J68" t="s">
        <v>2203</v>
      </c>
      <c r="K68" s="4">
        <v>45371</v>
      </c>
      <c r="L68" t="s">
        <v>77</v>
      </c>
    </row>
    <row r="69" spans="1:12">
      <c r="A69" t="s">
        <v>154</v>
      </c>
      <c r="B69" t="s">
        <v>2289</v>
      </c>
      <c r="C69" s="6">
        <v>37</v>
      </c>
      <c r="D69" t="s">
        <v>2195</v>
      </c>
      <c r="E69" t="s">
        <v>2244</v>
      </c>
      <c r="F69" t="s">
        <v>2206</v>
      </c>
      <c r="G69" t="s">
        <v>2200</v>
      </c>
      <c r="H69" t="s">
        <v>2228</v>
      </c>
      <c r="I69" t="s">
        <v>2187</v>
      </c>
      <c r="J69" t="s">
        <v>2203</v>
      </c>
      <c r="K69" s="4">
        <v>45203</v>
      </c>
      <c r="L69" t="s">
        <v>77</v>
      </c>
    </row>
    <row r="70" spans="1:12">
      <c r="A70" t="s">
        <v>881</v>
      </c>
      <c r="B70" t="s">
        <v>2290</v>
      </c>
      <c r="C70" s="6">
        <v>80</v>
      </c>
      <c r="D70" t="s">
        <v>2195</v>
      </c>
      <c r="E70" t="s">
        <v>2211</v>
      </c>
      <c r="F70" t="s">
        <v>2212</v>
      </c>
      <c r="G70" t="s">
        <v>2225</v>
      </c>
      <c r="H70" t="s">
        <v>2235</v>
      </c>
      <c r="I70" t="s">
        <v>2187</v>
      </c>
      <c r="J70" t="s">
        <v>2193</v>
      </c>
      <c r="K70" s="4">
        <v>44675</v>
      </c>
      <c r="L70" t="s">
        <v>77</v>
      </c>
    </row>
    <row r="71" spans="1:12">
      <c r="A71" t="s">
        <v>830</v>
      </c>
      <c r="B71" t="s">
        <v>2291</v>
      </c>
      <c r="C71" s="6">
        <v>42</v>
      </c>
      <c r="D71" t="s">
        <v>2195</v>
      </c>
      <c r="E71" t="s">
        <v>2183</v>
      </c>
      <c r="F71" t="s">
        <v>2184</v>
      </c>
      <c r="G71" t="s">
        <v>2225</v>
      </c>
      <c r="H71" t="s">
        <v>2197</v>
      </c>
      <c r="I71" t="s">
        <v>2198</v>
      </c>
      <c r="J71" t="s">
        <v>2203</v>
      </c>
      <c r="K71" s="4">
        <v>43666</v>
      </c>
      <c r="L71" t="s">
        <v>64</v>
      </c>
    </row>
    <row r="72" spans="1:12">
      <c r="A72" t="s">
        <v>382</v>
      </c>
      <c r="B72" t="s">
        <v>2292</v>
      </c>
      <c r="C72" s="6">
        <v>45</v>
      </c>
      <c r="D72" t="s">
        <v>2182</v>
      </c>
      <c r="E72" t="s">
        <v>2227</v>
      </c>
      <c r="F72" t="s">
        <v>2191</v>
      </c>
      <c r="G72" t="s">
        <v>2225</v>
      </c>
      <c r="H72" t="s">
        <v>2197</v>
      </c>
      <c r="I72" t="s">
        <v>2187</v>
      </c>
      <c r="J72" t="s">
        <v>2203</v>
      </c>
      <c r="K72" s="4">
        <v>44026</v>
      </c>
      <c r="L72" t="s">
        <v>77</v>
      </c>
    </row>
    <row r="73" spans="1:12">
      <c r="A73" t="s">
        <v>1234</v>
      </c>
      <c r="B73" t="s">
        <v>2293</v>
      </c>
      <c r="C73" s="6">
        <v>29</v>
      </c>
      <c r="D73" t="s">
        <v>2182</v>
      </c>
      <c r="E73" t="s">
        <v>2216</v>
      </c>
      <c r="F73" t="s">
        <v>2206</v>
      </c>
      <c r="G73" t="s">
        <v>2222</v>
      </c>
      <c r="H73" t="s">
        <v>2197</v>
      </c>
      <c r="I73" t="s">
        <v>2198</v>
      </c>
      <c r="J73" t="s">
        <v>2203</v>
      </c>
      <c r="K73" s="4">
        <v>43835</v>
      </c>
      <c r="L73" t="s">
        <v>77</v>
      </c>
    </row>
    <row r="74" spans="1:12">
      <c r="A74" t="s">
        <v>1074</v>
      </c>
      <c r="B74" t="s">
        <v>2271</v>
      </c>
      <c r="C74" s="6">
        <v>53</v>
      </c>
      <c r="D74" t="s">
        <v>2182</v>
      </c>
      <c r="E74" t="s">
        <v>2244</v>
      </c>
      <c r="F74" t="s">
        <v>2206</v>
      </c>
      <c r="G74" t="s">
        <v>2225</v>
      </c>
      <c r="H74" t="s">
        <v>2186</v>
      </c>
      <c r="I74" t="s">
        <v>2192</v>
      </c>
      <c r="J74" t="s">
        <v>2203</v>
      </c>
      <c r="K74" s="4">
        <v>44139</v>
      </c>
      <c r="L74" t="s">
        <v>77</v>
      </c>
    </row>
    <row r="75" spans="1:12">
      <c r="A75" t="s">
        <v>1418</v>
      </c>
      <c r="B75" t="s">
        <v>2294</v>
      </c>
      <c r="C75" s="6">
        <v>74</v>
      </c>
      <c r="D75" t="s">
        <v>2182</v>
      </c>
      <c r="E75" t="s">
        <v>2244</v>
      </c>
      <c r="F75" t="s">
        <v>2206</v>
      </c>
      <c r="G75" t="s">
        <v>2202</v>
      </c>
      <c r="H75" t="s">
        <v>2272</v>
      </c>
      <c r="I75" t="s">
        <v>2187</v>
      </c>
      <c r="J75" t="s">
        <v>2193</v>
      </c>
      <c r="K75" s="4">
        <v>43774</v>
      </c>
      <c r="L75" t="s">
        <v>77</v>
      </c>
    </row>
    <row r="76" spans="1:12">
      <c r="A76" t="s">
        <v>1145</v>
      </c>
      <c r="B76" t="s">
        <v>2295</v>
      </c>
      <c r="C76" s="6">
        <v>59</v>
      </c>
      <c r="D76" t="s">
        <v>2195</v>
      </c>
      <c r="E76" t="s">
        <v>2205</v>
      </c>
      <c r="F76" t="s">
        <v>2206</v>
      </c>
      <c r="G76" t="s">
        <v>2207</v>
      </c>
      <c r="H76" t="s">
        <v>2186</v>
      </c>
      <c r="I76" t="s">
        <v>2198</v>
      </c>
      <c r="J76" t="s">
        <v>2203</v>
      </c>
      <c r="K76" s="4">
        <v>44539</v>
      </c>
      <c r="L76" t="s">
        <v>77</v>
      </c>
    </row>
    <row r="77" spans="1:12">
      <c r="A77" t="s">
        <v>2296</v>
      </c>
      <c r="B77" t="s">
        <v>2287</v>
      </c>
      <c r="C77" s="6">
        <v>53</v>
      </c>
      <c r="D77" t="s">
        <v>2182</v>
      </c>
      <c r="E77" t="s">
        <v>2231</v>
      </c>
      <c r="F77" t="s">
        <v>2212</v>
      </c>
      <c r="G77" t="s">
        <v>2207</v>
      </c>
      <c r="H77" t="s">
        <v>2186</v>
      </c>
      <c r="I77" t="s">
        <v>2192</v>
      </c>
      <c r="J77" t="s">
        <v>2203</v>
      </c>
      <c r="K77" s="4">
        <v>45765</v>
      </c>
      <c r="L77" t="s">
        <v>77</v>
      </c>
    </row>
    <row r="78" spans="1:12">
      <c r="A78" t="s">
        <v>1067</v>
      </c>
      <c r="B78" t="s">
        <v>2297</v>
      </c>
      <c r="C78" s="6">
        <v>29</v>
      </c>
      <c r="D78" t="s">
        <v>2182</v>
      </c>
      <c r="E78" t="s">
        <v>2298</v>
      </c>
      <c r="F78" t="s">
        <v>2219</v>
      </c>
      <c r="G78" t="s">
        <v>2207</v>
      </c>
      <c r="H78" t="s">
        <v>2186</v>
      </c>
      <c r="I78" t="s">
        <v>2187</v>
      </c>
      <c r="J78" t="s">
        <v>2188</v>
      </c>
      <c r="K78" s="4">
        <v>43618</v>
      </c>
      <c r="L78" t="s">
        <v>77</v>
      </c>
    </row>
    <row r="79" spans="1:12">
      <c r="A79" t="s">
        <v>1179</v>
      </c>
      <c r="B79" t="s">
        <v>2299</v>
      </c>
      <c r="C79" s="6">
        <v>27</v>
      </c>
      <c r="D79" t="s">
        <v>2195</v>
      </c>
      <c r="E79" t="s">
        <v>2218</v>
      </c>
      <c r="F79" t="s">
        <v>2219</v>
      </c>
      <c r="G79" t="s">
        <v>2185</v>
      </c>
      <c r="H79" t="s">
        <v>2186</v>
      </c>
      <c r="I79" t="s">
        <v>2187</v>
      </c>
      <c r="J79" t="s">
        <v>2188</v>
      </c>
      <c r="K79" s="4">
        <v>45678</v>
      </c>
      <c r="L79" t="s">
        <v>77</v>
      </c>
    </row>
    <row r="80" spans="1:12">
      <c r="A80" t="s">
        <v>2300</v>
      </c>
      <c r="B80" t="s">
        <v>2301</v>
      </c>
      <c r="C80" s="6">
        <v>22</v>
      </c>
      <c r="D80" t="s">
        <v>2182</v>
      </c>
      <c r="E80" t="s">
        <v>2224</v>
      </c>
      <c r="F80" t="s">
        <v>2206</v>
      </c>
      <c r="G80" t="s">
        <v>2207</v>
      </c>
      <c r="H80" t="s">
        <v>2186</v>
      </c>
      <c r="I80" t="s">
        <v>2187</v>
      </c>
      <c r="J80" t="s">
        <v>2188</v>
      </c>
      <c r="K80" s="4">
        <v>45282</v>
      </c>
      <c r="L80" t="s">
        <v>77</v>
      </c>
    </row>
    <row r="81" spans="1:12">
      <c r="A81" t="s">
        <v>2302</v>
      </c>
      <c r="B81" t="s">
        <v>2303</v>
      </c>
      <c r="C81" s="6">
        <v>13</v>
      </c>
      <c r="D81" t="s">
        <v>2182</v>
      </c>
      <c r="E81" t="s">
        <v>2244</v>
      </c>
      <c r="F81" t="s">
        <v>2206</v>
      </c>
      <c r="G81" t="s">
        <v>2207</v>
      </c>
      <c r="H81" t="s">
        <v>2186</v>
      </c>
      <c r="I81" t="s">
        <v>2192</v>
      </c>
      <c r="J81" t="s">
        <v>2188</v>
      </c>
      <c r="K81" s="4">
        <v>44935</v>
      </c>
      <c r="L81" t="s">
        <v>77</v>
      </c>
    </row>
    <row r="82" spans="1:12">
      <c r="A82" t="s">
        <v>1491</v>
      </c>
      <c r="B82" t="s">
        <v>2304</v>
      </c>
      <c r="C82" s="6">
        <v>76</v>
      </c>
      <c r="D82" t="s">
        <v>2195</v>
      </c>
      <c r="E82" t="s">
        <v>2227</v>
      </c>
      <c r="F82" t="s">
        <v>2191</v>
      </c>
      <c r="G82" t="s">
        <v>2222</v>
      </c>
      <c r="H82" t="s">
        <v>2235</v>
      </c>
      <c r="I82" t="s">
        <v>2187</v>
      </c>
      <c r="J82" t="s">
        <v>2193</v>
      </c>
      <c r="K82" s="4">
        <v>43553</v>
      </c>
      <c r="L82" t="s">
        <v>77</v>
      </c>
    </row>
    <row r="83" spans="1:12">
      <c r="A83" t="s">
        <v>431</v>
      </c>
      <c r="B83" t="s">
        <v>2199</v>
      </c>
      <c r="C83" s="6">
        <v>31</v>
      </c>
      <c r="D83" t="s">
        <v>2182</v>
      </c>
      <c r="E83" t="s">
        <v>2227</v>
      </c>
      <c r="F83" t="s">
        <v>2191</v>
      </c>
      <c r="G83" t="s">
        <v>2202</v>
      </c>
      <c r="H83" t="s">
        <v>2186</v>
      </c>
      <c r="I83" t="s">
        <v>2198</v>
      </c>
      <c r="J83" t="s">
        <v>2188</v>
      </c>
      <c r="K83" s="4">
        <v>44314</v>
      </c>
      <c r="L83" t="s">
        <v>77</v>
      </c>
    </row>
    <row r="84" spans="1:12">
      <c r="A84" t="s">
        <v>1302</v>
      </c>
      <c r="B84" t="s">
        <v>2189</v>
      </c>
      <c r="C84" s="6">
        <v>48</v>
      </c>
      <c r="D84" t="s">
        <v>2182</v>
      </c>
      <c r="E84" t="s">
        <v>2224</v>
      </c>
      <c r="F84" t="s">
        <v>2206</v>
      </c>
      <c r="G84" t="s">
        <v>2207</v>
      </c>
      <c r="H84" t="s">
        <v>2208</v>
      </c>
      <c r="I84" t="s">
        <v>2187</v>
      </c>
      <c r="J84" t="s">
        <v>2203</v>
      </c>
      <c r="K84" s="4">
        <v>43998</v>
      </c>
      <c r="L84" t="s">
        <v>77</v>
      </c>
    </row>
    <row r="85" spans="1:12">
      <c r="A85" t="s">
        <v>2167</v>
      </c>
      <c r="B85" t="s">
        <v>2305</v>
      </c>
      <c r="C85" s="6">
        <v>9</v>
      </c>
      <c r="D85" t="s">
        <v>2182</v>
      </c>
      <c r="E85" t="s">
        <v>2216</v>
      </c>
      <c r="F85" t="s">
        <v>2206</v>
      </c>
      <c r="G85" t="s">
        <v>2225</v>
      </c>
      <c r="H85" t="s">
        <v>2186</v>
      </c>
      <c r="I85" t="s">
        <v>2187</v>
      </c>
      <c r="J85" t="s">
        <v>2188</v>
      </c>
      <c r="K85" s="4">
        <v>44440</v>
      </c>
      <c r="L85" t="s">
        <v>77</v>
      </c>
    </row>
    <row r="86" spans="1:12">
      <c r="A86" t="s">
        <v>1562</v>
      </c>
      <c r="B86" t="s">
        <v>2306</v>
      </c>
      <c r="C86" s="6">
        <v>72</v>
      </c>
      <c r="D86" t="s">
        <v>2182</v>
      </c>
      <c r="E86" t="s">
        <v>2190</v>
      </c>
      <c r="F86" t="s">
        <v>2191</v>
      </c>
      <c r="G86" t="s">
        <v>2200</v>
      </c>
      <c r="H86" t="s">
        <v>2186</v>
      </c>
      <c r="I86" t="s">
        <v>2187</v>
      </c>
      <c r="J86" t="s">
        <v>2203</v>
      </c>
      <c r="K86" s="4">
        <v>44948</v>
      </c>
      <c r="L86" t="s">
        <v>77</v>
      </c>
    </row>
    <row r="87" spans="1:12">
      <c r="A87" t="s">
        <v>249</v>
      </c>
      <c r="B87" t="s">
        <v>2307</v>
      </c>
      <c r="C87" s="6">
        <v>53</v>
      </c>
      <c r="D87" t="s">
        <v>2182</v>
      </c>
      <c r="E87" t="s">
        <v>2216</v>
      </c>
      <c r="F87" t="s">
        <v>2206</v>
      </c>
      <c r="G87" t="s">
        <v>2213</v>
      </c>
      <c r="H87" t="s">
        <v>2235</v>
      </c>
      <c r="I87" t="s">
        <v>2192</v>
      </c>
      <c r="J87" t="s">
        <v>2193</v>
      </c>
      <c r="K87" s="4">
        <v>45601</v>
      </c>
      <c r="L87" t="s">
        <v>77</v>
      </c>
    </row>
    <row r="88" spans="1:12">
      <c r="A88" t="s">
        <v>2308</v>
      </c>
      <c r="B88" t="s">
        <v>2309</v>
      </c>
      <c r="C88" s="6">
        <v>79</v>
      </c>
      <c r="D88" t="s">
        <v>2195</v>
      </c>
      <c r="E88" t="s">
        <v>2205</v>
      </c>
      <c r="F88" t="s">
        <v>2206</v>
      </c>
      <c r="G88" t="s">
        <v>2222</v>
      </c>
      <c r="H88" t="s">
        <v>2235</v>
      </c>
      <c r="I88" t="s">
        <v>2192</v>
      </c>
      <c r="J88" t="s">
        <v>2193</v>
      </c>
      <c r="K88" s="4">
        <v>43767</v>
      </c>
      <c r="L88" t="s">
        <v>77</v>
      </c>
    </row>
    <row r="89" spans="1:12">
      <c r="A89" t="s">
        <v>1455</v>
      </c>
      <c r="B89" t="s">
        <v>2310</v>
      </c>
      <c r="C89" s="6">
        <v>42</v>
      </c>
      <c r="D89" t="s">
        <v>2195</v>
      </c>
      <c r="E89" t="s">
        <v>2224</v>
      </c>
      <c r="F89" t="s">
        <v>2206</v>
      </c>
      <c r="G89" t="s">
        <v>2225</v>
      </c>
      <c r="H89" t="s">
        <v>2197</v>
      </c>
      <c r="I89" t="s">
        <v>2187</v>
      </c>
      <c r="J89" t="s">
        <v>2203</v>
      </c>
      <c r="K89" s="4">
        <v>44797</v>
      </c>
      <c r="L89" t="s">
        <v>77</v>
      </c>
    </row>
    <row r="90" spans="1:12">
      <c r="A90" t="s">
        <v>903</v>
      </c>
      <c r="B90" t="s">
        <v>2311</v>
      </c>
      <c r="C90" s="6">
        <v>18</v>
      </c>
      <c r="D90" t="s">
        <v>2195</v>
      </c>
      <c r="E90" t="s">
        <v>2190</v>
      </c>
      <c r="F90" t="s">
        <v>2191</v>
      </c>
      <c r="G90" t="s">
        <v>2233</v>
      </c>
      <c r="H90" t="s">
        <v>2186</v>
      </c>
      <c r="I90" t="s">
        <v>2198</v>
      </c>
      <c r="J90" t="s">
        <v>2188</v>
      </c>
      <c r="K90" s="4">
        <v>45724</v>
      </c>
      <c r="L90" t="s">
        <v>77</v>
      </c>
    </row>
    <row r="91" spans="1:12">
      <c r="A91" t="s">
        <v>479</v>
      </c>
      <c r="B91" t="s">
        <v>2293</v>
      </c>
      <c r="C91" s="6">
        <v>50</v>
      </c>
      <c r="D91" t="s">
        <v>2182</v>
      </c>
      <c r="E91" t="s">
        <v>2211</v>
      </c>
      <c r="F91" t="s">
        <v>2212</v>
      </c>
      <c r="G91" t="s">
        <v>2202</v>
      </c>
      <c r="H91" t="s">
        <v>2186</v>
      </c>
      <c r="I91" t="s">
        <v>2187</v>
      </c>
      <c r="J91" t="s">
        <v>2188</v>
      </c>
      <c r="K91" s="4">
        <v>45169</v>
      </c>
      <c r="L91" t="s">
        <v>77</v>
      </c>
    </row>
    <row r="92" spans="1:12">
      <c r="A92" t="s">
        <v>1378</v>
      </c>
      <c r="B92" t="s">
        <v>2312</v>
      </c>
      <c r="C92" s="6">
        <v>33</v>
      </c>
      <c r="D92" t="s">
        <v>2195</v>
      </c>
      <c r="E92" t="s">
        <v>2196</v>
      </c>
      <c r="F92" t="s">
        <v>2184</v>
      </c>
      <c r="G92" t="s">
        <v>2222</v>
      </c>
      <c r="H92" t="s">
        <v>2186</v>
      </c>
      <c r="I92" t="s">
        <v>2187</v>
      </c>
      <c r="J92" t="s">
        <v>2188</v>
      </c>
      <c r="K92" s="4">
        <v>43815</v>
      </c>
      <c r="L92" t="s">
        <v>77</v>
      </c>
    </row>
    <row r="93" spans="1:12">
      <c r="A93" t="s">
        <v>2313</v>
      </c>
      <c r="B93" t="s">
        <v>2314</v>
      </c>
      <c r="C93" s="6">
        <v>27</v>
      </c>
      <c r="D93" t="s">
        <v>2182</v>
      </c>
      <c r="E93" t="s">
        <v>2221</v>
      </c>
      <c r="F93" t="s">
        <v>2219</v>
      </c>
      <c r="G93" t="s">
        <v>2213</v>
      </c>
      <c r="H93" t="s">
        <v>2315</v>
      </c>
      <c r="I93" t="s">
        <v>2187</v>
      </c>
      <c r="J93" t="s">
        <v>2188</v>
      </c>
      <c r="K93" s="4">
        <v>43966</v>
      </c>
      <c r="L93" t="s">
        <v>77</v>
      </c>
    </row>
    <row r="94" spans="1:12">
      <c r="A94" t="s">
        <v>1554</v>
      </c>
      <c r="B94" t="s">
        <v>2312</v>
      </c>
      <c r="C94" s="6">
        <v>68</v>
      </c>
      <c r="D94" t="s">
        <v>2195</v>
      </c>
      <c r="E94" t="s">
        <v>2221</v>
      </c>
      <c r="F94" t="s">
        <v>2219</v>
      </c>
      <c r="G94" t="s">
        <v>2202</v>
      </c>
      <c r="H94" t="s">
        <v>2235</v>
      </c>
      <c r="I94" t="s">
        <v>2187</v>
      </c>
      <c r="J94" t="s">
        <v>2193</v>
      </c>
      <c r="K94" s="4">
        <v>45441</v>
      </c>
      <c r="L94" t="s">
        <v>77</v>
      </c>
    </row>
    <row r="95" spans="1:12">
      <c r="A95" t="s">
        <v>673</v>
      </c>
      <c r="B95" t="s">
        <v>2316</v>
      </c>
      <c r="C95" s="6">
        <v>37</v>
      </c>
      <c r="D95" t="s">
        <v>2195</v>
      </c>
      <c r="E95" t="s">
        <v>2224</v>
      </c>
      <c r="F95" t="s">
        <v>2206</v>
      </c>
      <c r="G95" t="s">
        <v>2213</v>
      </c>
      <c r="H95" t="s">
        <v>2197</v>
      </c>
      <c r="I95" t="s">
        <v>2198</v>
      </c>
      <c r="J95" t="s">
        <v>2203</v>
      </c>
      <c r="K95" s="4">
        <v>45763</v>
      </c>
      <c r="L95" t="s">
        <v>64</v>
      </c>
    </row>
    <row r="96" spans="1:12">
      <c r="A96" t="s">
        <v>238</v>
      </c>
      <c r="B96" t="s">
        <v>2317</v>
      </c>
      <c r="C96" s="6">
        <v>21</v>
      </c>
      <c r="D96" t="s">
        <v>2182</v>
      </c>
      <c r="E96" t="s">
        <v>2216</v>
      </c>
      <c r="F96" t="s">
        <v>2206</v>
      </c>
      <c r="G96" t="s">
        <v>2222</v>
      </c>
      <c r="H96" t="s">
        <v>2186</v>
      </c>
      <c r="I96" t="s">
        <v>2198</v>
      </c>
      <c r="J96" t="s">
        <v>2188</v>
      </c>
      <c r="K96" s="4">
        <v>44731</v>
      </c>
      <c r="L96" t="s">
        <v>64</v>
      </c>
    </row>
    <row r="97" spans="1:12">
      <c r="A97" t="s">
        <v>909</v>
      </c>
      <c r="B97" t="s">
        <v>2318</v>
      </c>
      <c r="C97" s="6">
        <v>25</v>
      </c>
      <c r="D97" t="s">
        <v>2182</v>
      </c>
      <c r="E97" t="s">
        <v>2221</v>
      </c>
      <c r="F97" t="s">
        <v>2219</v>
      </c>
      <c r="G97" t="s">
        <v>2185</v>
      </c>
      <c r="H97" t="s">
        <v>2197</v>
      </c>
      <c r="I97" t="s">
        <v>2187</v>
      </c>
      <c r="J97" t="s">
        <v>2188</v>
      </c>
      <c r="K97" s="4">
        <v>43591</v>
      </c>
      <c r="L97" t="s">
        <v>77</v>
      </c>
    </row>
    <row r="98" spans="1:12">
      <c r="A98" t="s">
        <v>849</v>
      </c>
      <c r="B98" t="s">
        <v>2319</v>
      </c>
      <c r="C98" s="6">
        <v>27</v>
      </c>
      <c r="D98" t="s">
        <v>2195</v>
      </c>
      <c r="E98" t="s">
        <v>2190</v>
      </c>
      <c r="F98" t="s">
        <v>2191</v>
      </c>
      <c r="G98" t="s">
        <v>2222</v>
      </c>
      <c r="H98" t="s">
        <v>2186</v>
      </c>
      <c r="I98" t="s">
        <v>2192</v>
      </c>
      <c r="J98" t="s">
        <v>2188</v>
      </c>
      <c r="K98" s="4">
        <v>45908</v>
      </c>
      <c r="L98" t="s">
        <v>77</v>
      </c>
    </row>
    <row r="99" spans="1:12">
      <c r="A99" t="s">
        <v>423</v>
      </c>
      <c r="B99" t="s">
        <v>2320</v>
      </c>
      <c r="C99" s="6">
        <v>51</v>
      </c>
      <c r="D99" t="s">
        <v>2182</v>
      </c>
      <c r="E99" t="s">
        <v>2216</v>
      </c>
      <c r="F99" t="s">
        <v>2206</v>
      </c>
      <c r="G99" t="s">
        <v>2225</v>
      </c>
      <c r="H99" t="s">
        <v>2197</v>
      </c>
      <c r="I99" t="s">
        <v>2187</v>
      </c>
      <c r="J99" t="s">
        <v>2203</v>
      </c>
      <c r="K99" s="4">
        <v>45202</v>
      </c>
      <c r="L99" t="s">
        <v>77</v>
      </c>
    </row>
    <row r="100" spans="1:12">
      <c r="A100" t="s">
        <v>773</v>
      </c>
      <c r="B100" t="s">
        <v>2321</v>
      </c>
      <c r="C100" s="6">
        <v>47</v>
      </c>
      <c r="D100" t="s">
        <v>2195</v>
      </c>
      <c r="E100" t="s">
        <v>2205</v>
      </c>
      <c r="F100" t="s">
        <v>2206</v>
      </c>
      <c r="G100" t="s">
        <v>2200</v>
      </c>
      <c r="H100" t="s">
        <v>2186</v>
      </c>
      <c r="I100" t="s">
        <v>2198</v>
      </c>
      <c r="J100" t="s">
        <v>2188</v>
      </c>
      <c r="K100" s="4">
        <v>45459</v>
      </c>
      <c r="L100" t="s">
        <v>77</v>
      </c>
    </row>
    <row r="101" spans="1:12">
      <c r="A101" t="s">
        <v>375</v>
      </c>
      <c r="B101" t="s">
        <v>2322</v>
      </c>
      <c r="C101" s="6">
        <v>65</v>
      </c>
      <c r="D101" t="s">
        <v>2195</v>
      </c>
      <c r="E101" t="s">
        <v>2221</v>
      </c>
      <c r="F101" t="s">
        <v>2219</v>
      </c>
      <c r="G101" t="s">
        <v>2225</v>
      </c>
      <c r="H101" t="s">
        <v>2186</v>
      </c>
      <c r="I101" t="s">
        <v>2187</v>
      </c>
      <c r="J101" t="s">
        <v>2203</v>
      </c>
      <c r="K101" s="4">
        <v>44331</v>
      </c>
      <c r="L101" t="s">
        <v>77</v>
      </c>
    </row>
    <row r="102" spans="1:12">
      <c r="A102" t="s">
        <v>762</v>
      </c>
      <c r="B102" t="s">
        <v>2295</v>
      </c>
      <c r="C102" s="6">
        <v>41</v>
      </c>
      <c r="D102" t="s">
        <v>2182</v>
      </c>
      <c r="E102" t="s">
        <v>2277</v>
      </c>
      <c r="F102" t="s">
        <v>2191</v>
      </c>
      <c r="G102" t="s">
        <v>2207</v>
      </c>
      <c r="H102" t="s">
        <v>2186</v>
      </c>
      <c r="I102" t="s">
        <v>2187</v>
      </c>
      <c r="J102" t="s">
        <v>2188</v>
      </c>
      <c r="K102" s="4">
        <v>44408</v>
      </c>
      <c r="L102" t="s">
        <v>77</v>
      </c>
    </row>
    <row r="103" spans="1:12">
      <c r="A103" t="s">
        <v>351</v>
      </c>
      <c r="B103" t="s">
        <v>2323</v>
      </c>
      <c r="C103" s="6">
        <v>45</v>
      </c>
      <c r="D103" t="s">
        <v>2195</v>
      </c>
      <c r="E103" t="s">
        <v>2190</v>
      </c>
      <c r="F103" t="s">
        <v>2191</v>
      </c>
      <c r="G103" t="s">
        <v>2185</v>
      </c>
      <c r="H103" t="s">
        <v>2186</v>
      </c>
      <c r="I103" t="s">
        <v>2187</v>
      </c>
      <c r="J103" t="s">
        <v>2188</v>
      </c>
      <c r="K103" s="4">
        <v>43784</v>
      </c>
      <c r="L103" t="s">
        <v>77</v>
      </c>
    </row>
    <row r="104" spans="1:12">
      <c r="A104" t="s">
        <v>451</v>
      </c>
      <c r="B104" t="s">
        <v>2324</v>
      </c>
      <c r="C104" s="6">
        <v>38</v>
      </c>
      <c r="D104" t="s">
        <v>2195</v>
      </c>
      <c r="E104" t="s">
        <v>2216</v>
      </c>
      <c r="F104" t="s">
        <v>2206</v>
      </c>
      <c r="G104" t="s">
        <v>2207</v>
      </c>
      <c r="H104" t="s">
        <v>2315</v>
      </c>
      <c r="I104" t="s">
        <v>2187</v>
      </c>
      <c r="J104" t="s">
        <v>2203</v>
      </c>
      <c r="K104" s="4">
        <v>45997</v>
      </c>
      <c r="L104" t="s">
        <v>77</v>
      </c>
    </row>
    <row r="105" spans="1:12">
      <c r="A105" t="s">
        <v>700</v>
      </c>
      <c r="B105" t="s">
        <v>2325</v>
      </c>
      <c r="C105" s="6">
        <v>23</v>
      </c>
      <c r="D105" t="s">
        <v>2195</v>
      </c>
      <c r="E105" t="s">
        <v>2205</v>
      </c>
      <c r="F105" t="s">
        <v>2206</v>
      </c>
      <c r="G105" t="s">
        <v>2202</v>
      </c>
      <c r="H105" t="s">
        <v>2186</v>
      </c>
      <c r="I105" t="s">
        <v>2187</v>
      </c>
      <c r="J105" t="s">
        <v>2188</v>
      </c>
      <c r="K105" s="4">
        <v>45612</v>
      </c>
      <c r="L105" t="s">
        <v>77</v>
      </c>
    </row>
    <row r="106" spans="1:12">
      <c r="A106" t="s">
        <v>2326</v>
      </c>
      <c r="B106" t="s">
        <v>2327</v>
      </c>
      <c r="C106" s="6">
        <v>48</v>
      </c>
      <c r="D106" t="s">
        <v>2195</v>
      </c>
      <c r="E106" t="s">
        <v>2298</v>
      </c>
      <c r="F106" t="s">
        <v>2219</v>
      </c>
      <c r="G106" t="s">
        <v>2200</v>
      </c>
      <c r="H106" t="s">
        <v>2186</v>
      </c>
      <c r="I106" t="s">
        <v>2187</v>
      </c>
      <c r="J106" t="s">
        <v>2188</v>
      </c>
      <c r="K106" s="4">
        <v>44897</v>
      </c>
      <c r="L106" t="s">
        <v>77</v>
      </c>
    </row>
    <row r="107" spans="1:12">
      <c r="A107" t="s">
        <v>921</v>
      </c>
      <c r="B107" t="s">
        <v>2328</v>
      </c>
      <c r="C107" s="6">
        <v>75</v>
      </c>
      <c r="D107" t="s">
        <v>2195</v>
      </c>
      <c r="E107" t="s">
        <v>2224</v>
      </c>
      <c r="F107" t="s">
        <v>2206</v>
      </c>
      <c r="G107" t="s">
        <v>2233</v>
      </c>
      <c r="H107" t="s">
        <v>2186</v>
      </c>
      <c r="I107" t="s">
        <v>2187</v>
      </c>
      <c r="J107" t="s">
        <v>2203</v>
      </c>
      <c r="K107" s="4">
        <v>43774</v>
      </c>
      <c r="L107" t="s">
        <v>77</v>
      </c>
    </row>
    <row r="108" spans="1:12">
      <c r="A108" t="s">
        <v>1697</v>
      </c>
      <c r="B108" t="s">
        <v>2329</v>
      </c>
      <c r="C108" s="6">
        <v>43</v>
      </c>
      <c r="D108" t="s">
        <v>2195</v>
      </c>
      <c r="E108" t="s">
        <v>2196</v>
      </c>
      <c r="F108" t="s">
        <v>2184</v>
      </c>
      <c r="G108" t="s">
        <v>2222</v>
      </c>
      <c r="H108" t="s">
        <v>2208</v>
      </c>
      <c r="I108" t="s">
        <v>2198</v>
      </c>
      <c r="J108" t="s">
        <v>2203</v>
      </c>
      <c r="K108" s="4">
        <v>44789</v>
      </c>
      <c r="L108" t="s">
        <v>77</v>
      </c>
    </row>
    <row r="109" spans="1:12">
      <c r="A109" t="s">
        <v>1404</v>
      </c>
      <c r="B109" t="s">
        <v>2330</v>
      </c>
      <c r="C109" s="6">
        <v>10</v>
      </c>
      <c r="D109" t="s">
        <v>2195</v>
      </c>
      <c r="E109" t="s">
        <v>2231</v>
      </c>
      <c r="F109" t="s">
        <v>2212</v>
      </c>
      <c r="G109" t="s">
        <v>2207</v>
      </c>
      <c r="H109" t="s">
        <v>2186</v>
      </c>
      <c r="I109" t="s">
        <v>2187</v>
      </c>
      <c r="J109" t="s">
        <v>2188</v>
      </c>
      <c r="K109" s="4">
        <v>44591</v>
      </c>
      <c r="L109" t="s">
        <v>77</v>
      </c>
    </row>
    <row r="110" spans="1:12">
      <c r="A110" t="s">
        <v>640</v>
      </c>
      <c r="B110" t="s">
        <v>2264</v>
      </c>
      <c r="C110" s="6">
        <v>35</v>
      </c>
      <c r="D110" t="s">
        <v>2195</v>
      </c>
      <c r="E110" t="s">
        <v>2183</v>
      </c>
      <c r="F110" t="s">
        <v>2184</v>
      </c>
      <c r="G110" t="s">
        <v>2233</v>
      </c>
      <c r="H110" t="s">
        <v>2186</v>
      </c>
      <c r="I110" t="s">
        <v>2198</v>
      </c>
      <c r="J110" t="s">
        <v>2188</v>
      </c>
      <c r="K110" s="4">
        <v>43835</v>
      </c>
      <c r="L110" t="s">
        <v>77</v>
      </c>
    </row>
    <row r="111" spans="1:12">
      <c r="A111" t="s">
        <v>254</v>
      </c>
      <c r="B111" t="s">
        <v>2309</v>
      </c>
      <c r="C111" s="6">
        <v>62</v>
      </c>
      <c r="D111" t="s">
        <v>2182</v>
      </c>
      <c r="E111" t="s">
        <v>2238</v>
      </c>
      <c r="F111" t="s">
        <v>2212</v>
      </c>
      <c r="G111" t="s">
        <v>2233</v>
      </c>
      <c r="H111" t="s">
        <v>2208</v>
      </c>
      <c r="I111" t="s">
        <v>2187</v>
      </c>
      <c r="J111" t="s">
        <v>2203</v>
      </c>
      <c r="K111" s="4">
        <v>45807</v>
      </c>
      <c r="L111" t="s">
        <v>77</v>
      </c>
    </row>
    <row r="112" spans="1:12">
      <c r="A112" t="s">
        <v>1798</v>
      </c>
      <c r="B112" t="s">
        <v>2331</v>
      </c>
      <c r="C112" s="6">
        <v>1</v>
      </c>
      <c r="D112" t="s">
        <v>2195</v>
      </c>
      <c r="E112" t="s">
        <v>2238</v>
      </c>
      <c r="F112" t="s">
        <v>2212</v>
      </c>
      <c r="G112" t="s">
        <v>2200</v>
      </c>
      <c r="H112" t="s">
        <v>2208</v>
      </c>
      <c r="I112" t="s">
        <v>2187</v>
      </c>
      <c r="J112" t="s">
        <v>2188</v>
      </c>
      <c r="K112" s="4">
        <v>43811</v>
      </c>
      <c r="L112" t="s">
        <v>77</v>
      </c>
    </row>
    <row r="113" spans="1:12">
      <c r="A113" t="s">
        <v>1699</v>
      </c>
      <c r="B113" t="s">
        <v>2332</v>
      </c>
      <c r="C113" s="6">
        <v>42</v>
      </c>
      <c r="D113" t="s">
        <v>2182</v>
      </c>
      <c r="E113" t="s">
        <v>2231</v>
      </c>
      <c r="F113" t="s">
        <v>2212</v>
      </c>
      <c r="G113" t="s">
        <v>2185</v>
      </c>
      <c r="H113" t="s">
        <v>2186</v>
      </c>
      <c r="I113" t="s">
        <v>2187</v>
      </c>
      <c r="J113" t="s">
        <v>2188</v>
      </c>
      <c r="K113" s="4">
        <v>44956</v>
      </c>
      <c r="L113" t="s">
        <v>77</v>
      </c>
    </row>
    <row r="114" spans="1:12">
      <c r="A114" t="s">
        <v>2333</v>
      </c>
      <c r="B114" t="s">
        <v>2334</v>
      </c>
      <c r="C114" s="6">
        <v>47</v>
      </c>
      <c r="D114" t="s">
        <v>2195</v>
      </c>
      <c r="E114" t="s">
        <v>2298</v>
      </c>
      <c r="F114" t="s">
        <v>2219</v>
      </c>
      <c r="G114" t="s">
        <v>2225</v>
      </c>
      <c r="H114" t="s">
        <v>2197</v>
      </c>
      <c r="I114" t="s">
        <v>2187</v>
      </c>
      <c r="J114" t="s">
        <v>2203</v>
      </c>
      <c r="K114" s="4">
        <v>43853</v>
      </c>
      <c r="L114" t="s">
        <v>77</v>
      </c>
    </row>
    <row r="115" spans="1:12">
      <c r="A115" t="s">
        <v>1894</v>
      </c>
      <c r="B115" t="s">
        <v>2335</v>
      </c>
      <c r="C115" s="6">
        <v>14</v>
      </c>
      <c r="D115" t="s">
        <v>2182</v>
      </c>
      <c r="E115" t="s">
        <v>2298</v>
      </c>
      <c r="F115" t="s">
        <v>2219</v>
      </c>
      <c r="G115" t="s">
        <v>2202</v>
      </c>
      <c r="H115" t="s">
        <v>2208</v>
      </c>
      <c r="I115" t="s">
        <v>2187</v>
      </c>
      <c r="J115" t="s">
        <v>2188</v>
      </c>
      <c r="K115" s="4">
        <v>44081</v>
      </c>
      <c r="L115" t="s">
        <v>77</v>
      </c>
    </row>
    <row r="116" spans="1:12">
      <c r="A116" t="s">
        <v>158</v>
      </c>
      <c r="B116" t="s">
        <v>2329</v>
      </c>
      <c r="C116" s="6">
        <v>32</v>
      </c>
      <c r="D116" t="s">
        <v>2182</v>
      </c>
      <c r="E116" t="s">
        <v>2277</v>
      </c>
      <c r="F116" t="s">
        <v>2191</v>
      </c>
      <c r="G116" t="s">
        <v>2222</v>
      </c>
      <c r="H116" t="s">
        <v>2197</v>
      </c>
      <c r="I116" t="s">
        <v>2192</v>
      </c>
      <c r="J116" t="s">
        <v>2203</v>
      </c>
      <c r="K116" s="4">
        <v>44734</v>
      </c>
      <c r="L116" t="s">
        <v>77</v>
      </c>
    </row>
    <row r="117" spans="1:12">
      <c r="A117" t="s">
        <v>1870</v>
      </c>
      <c r="B117" t="s">
        <v>2336</v>
      </c>
      <c r="C117" s="6">
        <v>68</v>
      </c>
      <c r="D117" t="s">
        <v>2182</v>
      </c>
      <c r="E117" t="s">
        <v>2183</v>
      </c>
      <c r="F117" t="s">
        <v>2184</v>
      </c>
      <c r="G117" t="s">
        <v>2202</v>
      </c>
      <c r="H117" t="s">
        <v>2315</v>
      </c>
      <c r="I117" t="s">
        <v>2192</v>
      </c>
      <c r="J117" t="s">
        <v>2193</v>
      </c>
      <c r="K117" s="4">
        <v>45622</v>
      </c>
      <c r="L117" t="s">
        <v>77</v>
      </c>
    </row>
    <row r="118" spans="1:12">
      <c r="A118" t="s">
        <v>667</v>
      </c>
      <c r="B118" t="s">
        <v>2282</v>
      </c>
      <c r="C118" s="6">
        <v>59</v>
      </c>
      <c r="D118" t="s">
        <v>2182</v>
      </c>
      <c r="E118" t="s">
        <v>2244</v>
      </c>
      <c r="F118" t="s">
        <v>2206</v>
      </c>
      <c r="G118" t="s">
        <v>2225</v>
      </c>
      <c r="H118" t="s">
        <v>2315</v>
      </c>
      <c r="I118" t="s">
        <v>2187</v>
      </c>
      <c r="J118" t="s">
        <v>2203</v>
      </c>
      <c r="K118" s="4">
        <v>44393</v>
      </c>
      <c r="L118" t="s">
        <v>64</v>
      </c>
    </row>
    <row r="119" spans="1:12">
      <c r="A119" t="s">
        <v>354</v>
      </c>
      <c r="B119" t="s">
        <v>2309</v>
      </c>
      <c r="C119" s="6">
        <v>44</v>
      </c>
      <c r="D119" t="s">
        <v>2182</v>
      </c>
      <c r="E119" t="s">
        <v>2205</v>
      </c>
      <c r="F119" t="s">
        <v>2206</v>
      </c>
      <c r="G119" t="s">
        <v>2222</v>
      </c>
      <c r="H119" t="s">
        <v>2186</v>
      </c>
      <c r="I119" t="s">
        <v>2187</v>
      </c>
      <c r="J119" t="s">
        <v>2188</v>
      </c>
      <c r="K119" s="4">
        <v>45622</v>
      </c>
      <c r="L119" t="s">
        <v>77</v>
      </c>
    </row>
    <row r="120" spans="1:12">
      <c r="A120" t="s">
        <v>631</v>
      </c>
      <c r="B120" t="s">
        <v>2337</v>
      </c>
      <c r="C120" s="6">
        <v>33</v>
      </c>
      <c r="D120" t="s">
        <v>2195</v>
      </c>
      <c r="E120" t="s">
        <v>2190</v>
      </c>
      <c r="F120" t="s">
        <v>2191</v>
      </c>
      <c r="G120" t="s">
        <v>2202</v>
      </c>
      <c r="H120" t="s">
        <v>2235</v>
      </c>
      <c r="I120" t="s">
        <v>2198</v>
      </c>
      <c r="J120" t="s">
        <v>2203</v>
      </c>
      <c r="K120" s="4">
        <v>44144</v>
      </c>
      <c r="L120" t="s">
        <v>77</v>
      </c>
    </row>
    <row r="121" spans="1:12">
      <c r="A121" t="s">
        <v>2165</v>
      </c>
      <c r="B121" t="s">
        <v>2338</v>
      </c>
      <c r="C121" s="6">
        <v>36</v>
      </c>
      <c r="D121" t="s">
        <v>2182</v>
      </c>
      <c r="E121" t="s">
        <v>2227</v>
      </c>
      <c r="F121" t="s">
        <v>2191</v>
      </c>
      <c r="G121" t="s">
        <v>2233</v>
      </c>
      <c r="H121" t="s">
        <v>2315</v>
      </c>
      <c r="I121" t="s">
        <v>2187</v>
      </c>
      <c r="J121" t="s">
        <v>2203</v>
      </c>
      <c r="K121" s="4">
        <v>45304</v>
      </c>
      <c r="L121" t="s">
        <v>77</v>
      </c>
    </row>
    <row r="122" spans="1:12">
      <c r="A122" t="s">
        <v>274</v>
      </c>
      <c r="B122" t="s">
        <v>2339</v>
      </c>
      <c r="C122" s="6">
        <v>53</v>
      </c>
      <c r="D122" t="s">
        <v>2182</v>
      </c>
      <c r="E122" t="s">
        <v>2221</v>
      </c>
      <c r="F122" t="s">
        <v>2219</v>
      </c>
      <c r="G122" t="s">
        <v>2185</v>
      </c>
      <c r="H122" t="s">
        <v>2228</v>
      </c>
      <c r="I122" t="s">
        <v>2187</v>
      </c>
      <c r="J122" t="s">
        <v>2203</v>
      </c>
      <c r="K122" s="4">
        <v>44620</v>
      </c>
      <c r="L122" t="s">
        <v>77</v>
      </c>
    </row>
    <row r="123" spans="1:12">
      <c r="A123" t="s">
        <v>2340</v>
      </c>
      <c r="B123" t="s">
        <v>2341</v>
      </c>
      <c r="C123" s="6">
        <v>35</v>
      </c>
      <c r="D123" t="s">
        <v>2182</v>
      </c>
      <c r="E123" t="s">
        <v>2183</v>
      </c>
      <c r="F123" t="s">
        <v>2184</v>
      </c>
      <c r="G123" t="s">
        <v>2207</v>
      </c>
      <c r="H123" t="s">
        <v>2186</v>
      </c>
      <c r="I123" t="s">
        <v>2187</v>
      </c>
      <c r="J123" t="s">
        <v>2188</v>
      </c>
      <c r="K123" s="4">
        <v>44490</v>
      </c>
      <c r="L123" t="s">
        <v>77</v>
      </c>
    </row>
    <row r="124" spans="1:12">
      <c r="A124" t="s">
        <v>776</v>
      </c>
      <c r="B124" t="s">
        <v>2342</v>
      </c>
      <c r="C124" s="6">
        <v>37</v>
      </c>
      <c r="D124" t="s">
        <v>2195</v>
      </c>
      <c r="E124" t="s">
        <v>2205</v>
      </c>
      <c r="F124" t="s">
        <v>2206</v>
      </c>
      <c r="G124" t="s">
        <v>2200</v>
      </c>
      <c r="H124" t="s">
        <v>2235</v>
      </c>
      <c r="I124" t="s">
        <v>2187</v>
      </c>
      <c r="J124" t="s">
        <v>2203</v>
      </c>
      <c r="K124" s="4">
        <v>45568</v>
      </c>
      <c r="L124" t="s">
        <v>77</v>
      </c>
    </row>
    <row r="125" spans="1:12">
      <c r="A125" t="s">
        <v>783</v>
      </c>
      <c r="B125" t="s">
        <v>2343</v>
      </c>
      <c r="C125" s="6">
        <v>20</v>
      </c>
      <c r="D125" t="s">
        <v>2182</v>
      </c>
      <c r="E125" t="s">
        <v>2196</v>
      </c>
      <c r="F125" t="s">
        <v>2184</v>
      </c>
      <c r="G125" t="s">
        <v>2185</v>
      </c>
      <c r="H125" t="s">
        <v>2186</v>
      </c>
      <c r="I125" t="s">
        <v>2187</v>
      </c>
      <c r="J125" t="s">
        <v>2188</v>
      </c>
      <c r="K125" s="4">
        <v>43684</v>
      </c>
      <c r="L125" t="s">
        <v>77</v>
      </c>
    </row>
    <row r="126" spans="1:12">
      <c r="A126" t="s">
        <v>992</v>
      </c>
      <c r="B126" t="s">
        <v>2344</v>
      </c>
      <c r="C126" s="6">
        <v>61</v>
      </c>
      <c r="D126" t="s">
        <v>2195</v>
      </c>
      <c r="E126" t="s">
        <v>2196</v>
      </c>
      <c r="F126" t="s">
        <v>2184</v>
      </c>
      <c r="G126" t="s">
        <v>2225</v>
      </c>
      <c r="H126" t="s">
        <v>2186</v>
      </c>
      <c r="I126" t="s">
        <v>2198</v>
      </c>
      <c r="J126" t="s">
        <v>2203</v>
      </c>
      <c r="K126" s="4">
        <v>44839</v>
      </c>
      <c r="L126" t="s">
        <v>77</v>
      </c>
    </row>
    <row r="127" spans="1:12">
      <c r="A127" t="s">
        <v>221</v>
      </c>
      <c r="B127" t="s">
        <v>2268</v>
      </c>
      <c r="C127" s="6">
        <v>42</v>
      </c>
      <c r="D127" t="s">
        <v>2182</v>
      </c>
      <c r="E127" t="s">
        <v>2231</v>
      </c>
      <c r="F127" t="s">
        <v>2212</v>
      </c>
      <c r="G127" t="s">
        <v>2213</v>
      </c>
      <c r="H127" t="s">
        <v>2197</v>
      </c>
      <c r="I127" t="s">
        <v>2187</v>
      </c>
      <c r="J127" t="s">
        <v>2203</v>
      </c>
      <c r="K127" s="4">
        <v>45387</v>
      </c>
      <c r="L127" t="s">
        <v>77</v>
      </c>
    </row>
    <row r="128" spans="1:12">
      <c r="A128" t="s">
        <v>476</v>
      </c>
      <c r="B128" t="s">
        <v>2345</v>
      </c>
      <c r="C128" s="6">
        <v>41</v>
      </c>
      <c r="D128" t="s">
        <v>2182</v>
      </c>
      <c r="E128" t="s">
        <v>2190</v>
      </c>
      <c r="F128" t="s">
        <v>2191</v>
      </c>
      <c r="G128" t="s">
        <v>2200</v>
      </c>
      <c r="H128" t="s">
        <v>2197</v>
      </c>
      <c r="I128" t="s">
        <v>2187</v>
      </c>
      <c r="J128" t="s">
        <v>2203</v>
      </c>
      <c r="K128" s="4">
        <v>44646</v>
      </c>
      <c r="L128" t="s">
        <v>77</v>
      </c>
    </row>
    <row r="129" spans="1:12">
      <c r="A129" t="s">
        <v>1185</v>
      </c>
      <c r="B129" t="s">
        <v>2346</v>
      </c>
      <c r="C129" s="6">
        <v>79</v>
      </c>
      <c r="D129" t="s">
        <v>2195</v>
      </c>
      <c r="E129" t="s">
        <v>2238</v>
      </c>
      <c r="F129" t="s">
        <v>2212</v>
      </c>
      <c r="G129" t="s">
        <v>2200</v>
      </c>
      <c r="H129" t="s">
        <v>2235</v>
      </c>
      <c r="I129" t="s">
        <v>2187</v>
      </c>
      <c r="J129" t="s">
        <v>2193</v>
      </c>
      <c r="K129" s="4">
        <v>45513</v>
      </c>
      <c r="L129" t="s">
        <v>77</v>
      </c>
    </row>
    <row r="130" spans="1:12">
      <c r="A130" t="s">
        <v>1087</v>
      </c>
      <c r="B130" t="s">
        <v>2347</v>
      </c>
      <c r="C130" s="6">
        <v>39</v>
      </c>
      <c r="D130" t="s">
        <v>2195</v>
      </c>
      <c r="E130" t="s">
        <v>2244</v>
      </c>
      <c r="F130" t="s">
        <v>2206</v>
      </c>
      <c r="G130" t="s">
        <v>2213</v>
      </c>
      <c r="H130" t="s">
        <v>2186</v>
      </c>
      <c r="I130" t="s">
        <v>2187</v>
      </c>
      <c r="J130" t="s">
        <v>2188</v>
      </c>
      <c r="K130" s="4">
        <v>43816</v>
      </c>
      <c r="L130" t="s">
        <v>77</v>
      </c>
    </row>
    <row r="131" spans="1:12">
      <c r="A131" t="s">
        <v>559</v>
      </c>
      <c r="B131" t="s">
        <v>2237</v>
      </c>
      <c r="C131" s="6">
        <v>27</v>
      </c>
      <c r="D131" t="s">
        <v>2195</v>
      </c>
      <c r="E131" t="s">
        <v>2231</v>
      </c>
      <c r="F131" t="s">
        <v>2212</v>
      </c>
      <c r="G131" t="s">
        <v>2207</v>
      </c>
      <c r="H131" t="s">
        <v>2186</v>
      </c>
      <c r="I131" t="s">
        <v>2187</v>
      </c>
      <c r="J131" t="s">
        <v>2188</v>
      </c>
      <c r="K131" s="4">
        <v>44995</v>
      </c>
      <c r="L131" t="s">
        <v>77</v>
      </c>
    </row>
    <row r="132" spans="1:12">
      <c r="A132" t="s">
        <v>455</v>
      </c>
      <c r="B132" t="s">
        <v>2348</v>
      </c>
      <c r="C132" s="6">
        <v>25</v>
      </c>
      <c r="D132" t="s">
        <v>2182</v>
      </c>
      <c r="E132" t="s">
        <v>2238</v>
      </c>
      <c r="F132" t="s">
        <v>2212</v>
      </c>
      <c r="G132" t="s">
        <v>2222</v>
      </c>
      <c r="H132" t="s">
        <v>2197</v>
      </c>
      <c r="I132" t="s">
        <v>2198</v>
      </c>
      <c r="J132" t="s">
        <v>2203</v>
      </c>
      <c r="K132" s="4">
        <v>44012</v>
      </c>
      <c r="L132" t="s">
        <v>77</v>
      </c>
    </row>
    <row r="133" spans="1:12">
      <c r="A133" t="s">
        <v>1350</v>
      </c>
      <c r="B133" t="s">
        <v>2349</v>
      </c>
      <c r="C133" s="6">
        <v>68</v>
      </c>
      <c r="D133" t="s">
        <v>2182</v>
      </c>
      <c r="E133" t="s">
        <v>2298</v>
      </c>
      <c r="F133" t="s">
        <v>2219</v>
      </c>
      <c r="G133" t="s">
        <v>2213</v>
      </c>
      <c r="H133" t="s">
        <v>2197</v>
      </c>
      <c r="I133" t="s">
        <v>2198</v>
      </c>
      <c r="J133" t="s">
        <v>2193</v>
      </c>
      <c r="K133" s="4">
        <v>44212</v>
      </c>
      <c r="L133" t="s">
        <v>77</v>
      </c>
    </row>
    <row r="134" spans="1:12">
      <c r="A134" t="s">
        <v>535</v>
      </c>
      <c r="B134" t="s">
        <v>2350</v>
      </c>
      <c r="C134" s="6">
        <v>41</v>
      </c>
      <c r="D134" t="s">
        <v>2195</v>
      </c>
      <c r="E134" t="s">
        <v>2216</v>
      </c>
      <c r="F134" t="s">
        <v>2206</v>
      </c>
      <c r="G134" t="s">
        <v>2225</v>
      </c>
      <c r="H134" t="s">
        <v>2186</v>
      </c>
      <c r="I134" t="s">
        <v>2187</v>
      </c>
      <c r="J134" t="s">
        <v>2188</v>
      </c>
      <c r="K134" s="4">
        <v>45097</v>
      </c>
      <c r="L134" t="s">
        <v>64</v>
      </c>
    </row>
    <row r="135" spans="1:12">
      <c r="A135" t="s">
        <v>2351</v>
      </c>
      <c r="B135" t="s">
        <v>2352</v>
      </c>
      <c r="C135" s="6">
        <v>48</v>
      </c>
      <c r="D135" t="s">
        <v>2195</v>
      </c>
      <c r="E135" t="s">
        <v>2298</v>
      </c>
      <c r="F135" t="s">
        <v>2219</v>
      </c>
      <c r="G135" t="s">
        <v>2207</v>
      </c>
      <c r="H135" t="s">
        <v>2186</v>
      </c>
      <c r="I135" t="s">
        <v>2187</v>
      </c>
      <c r="J135" t="s">
        <v>2188</v>
      </c>
      <c r="K135" s="4">
        <v>43661</v>
      </c>
      <c r="L135" t="s">
        <v>77</v>
      </c>
    </row>
    <row r="136" spans="1:12">
      <c r="A136" t="s">
        <v>199</v>
      </c>
      <c r="B136" t="s">
        <v>2341</v>
      </c>
      <c r="C136" s="6">
        <v>49</v>
      </c>
      <c r="D136" t="s">
        <v>2195</v>
      </c>
      <c r="E136" t="s">
        <v>2231</v>
      </c>
      <c r="F136" t="s">
        <v>2212</v>
      </c>
      <c r="G136" t="s">
        <v>2225</v>
      </c>
      <c r="H136" t="s">
        <v>2208</v>
      </c>
      <c r="I136" t="s">
        <v>2187</v>
      </c>
      <c r="J136" t="s">
        <v>2203</v>
      </c>
      <c r="K136" s="4">
        <v>44231</v>
      </c>
      <c r="L136" t="s">
        <v>77</v>
      </c>
    </row>
    <row r="137" spans="1:12">
      <c r="A137" t="s">
        <v>278</v>
      </c>
      <c r="B137" t="s">
        <v>2281</v>
      </c>
      <c r="C137" s="6">
        <v>23</v>
      </c>
      <c r="D137" t="s">
        <v>2182</v>
      </c>
      <c r="E137" t="s">
        <v>2190</v>
      </c>
      <c r="F137" t="s">
        <v>2191</v>
      </c>
      <c r="G137" t="s">
        <v>2207</v>
      </c>
      <c r="H137" t="s">
        <v>2186</v>
      </c>
      <c r="I137" t="s">
        <v>2187</v>
      </c>
      <c r="J137" t="s">
        <v>2188</v>
      </c>
      <c r="K137" s="4">
        <v>44205</v>
      </c>
      <c r="L137" t="s">
        <v>77</v>
      </c>
    </row>
    <row r="138" spans="1:12">
      <c r="A138" t="s">
        <v>271</v>
      </c>
      <c r="B138" t="s">
        <v>2353</v>
      </c>
      <c r="C138" s="6">
        <v>35</v>
      </c>
      <c r="D138" t="s">
        <v>2195</v>
      </c>
      <c r="E138" t="s">
        <v>2190</v>
      </c>
      <c r="F138" t="s">
        <v>2191</v>
      </c>
      <c r="G138" t="s">
        <v>2185</v>
      </c>
      <c r="H138" t="s">
        <v>2186</v>
      </c>
      <c r="I138" t="s">
        <v>2198</v>
      </c>
      <c r="J138" t="s">
        <v>2188</v>
      </c>
      <c r="K138" s="4">
        <v>44905</v>
      </c>
      <c r="L138" t="s">
        <v>77</v>
      </c>
    </row>
    <row r="139" spans="1:12">
      <c r="A139" t="s">
        <v>1526</v>
      </c>
      <c r="B139" t="s">
        <v>2189</v>
      </c>
      <c r="C139" s="6">
        <v>57</v>
      </c>
      <c r="D139" t="s">
        <v>2195</v>
      </c>
      <c r="E139" t="s">
        <v>2238</v>
      </c>
      <c r="F139" t="s">
        <v>2212</v>
      </c>
      <c r="G139" t="s">
        <v>2213</v>
      </c>
      <c r="H139" t="s">
        <v>2315</v>
      </c>
      <c r="I139" t="s">
        <v>2187</v>
      </c>
      <c r="J139" t="s">
        <v>2203</v>
      </c>
      <c r="K139" s="4">
        <v>45129</v>
      </c>
      <c r="L139" t="s">
        <v>77</v>
      </c>
    </row>
    <row r="140" spans="1:12">
      <c r="A140" t="s">
        <v>193</v>
      </c>
      <c r="B140" t="s">
        <v>2354</v>
      </c>
      <c r="C140" s="6">
        <v>59</v>
      </c>
      <c r="D140" t="s">
        <v>2182</v>
      </c>
      <c r="E140" t="s">
        <v>2216</v>
      </c>
      <c r="F140" t="s">
        <v>2206</v>
      </c>
      <c r="G140" t="s">
        <v>2222</v>
      </c>
      <c r="H140" t="s">
        <v>2186</v>
      </c>
      <c r="I140" t="s">
        <v>2187</v>
      </c>
      <c r="J140" t="s">
        <v>2188</v>
      </c>
      <c r="K140" s="4">
        <v>44966</v>
      </c>
      <c r="L140" t="s">
        <v>77</v>
      </c>
    </row>
    <row r="141" spans="1:12">
      <c r="A141" t="s">
        <v>2355</v>
      </c>
      <c r="B141" t="s">
        <v>2356</v>
      </c>
      <c r="C141" s="6">
        <v>63</v>
      </c>
      <c r="D141" t="s">
        <v>2182</v>
      </c>
      <c r="E141" t="s">
        <v>2244</v>
      </c>
      <c r="F141" t="s">
        <v>2206</v>
      </c>
      <c r="G141" t="s">
        <v>2202</v>
      </c>
      <c r="H141" t="s">
        <v>2197</v>
      </c>
      <c r="I141" t="s">
        <v>2198</v>
      </c>
      <c r="J141" t="s">
        <v>2193</v>
      </c>
      <c r="K141" s="4">
        <v>45816</v>
      </c>
      <c r="L141" t="s">
        <v>77</v>
      </c>
    </row>
    <row r="142" spans="1:12">
      <c r="A142" t="s">
        <v>964</v>
      </c>
      <c r="B142" t="s">
        <v>2322</v>
      </c>
      <c r="C142" s="6">
        <v>34</v>
      </c>
      <c r="D142" t="s">
        <v>2195</v>
      </c>
      <c r="E142" t="s">
        <v>2190</v>
      </c>
      <c r="F142" t="s">
        <v>2191</v>
      </c>
      <c r="G142" t="s">
        <v>2233</v>
      </c>
      <c r="H142" t="s">
        <v>2186</v>
      </c>
      <c r="I142" t="s">
        <v>2187</v>
      </c>
      <c r="J142" t="s">
        <v>2188</v>
      </c>
      <c r="K142" s="4">
        <v>45766</v>
      </c>
      <c r="L142" t="s">
        <v>77</v>
      </c>
    </row>
    <row r="143" spans="1:12">
      <c r="A143" t="s">
        <v>709</v>
      </c>
      <c r="B143" t="s">
        <v>2282</v>
      </c>
      <c r="C143" s="6">
        <v>31</v>
      </c>
      <c r="D143" t="s">
        <v>2195</v>
      </c>
      <c r="E143" t="s">
        <v>2221</v>
      </c>
      <c r="F143" t="s">
        <v>2219</v>
      </c>
      <c r="G143" t="s">
        <v>2233</v>
      </c>
      <c r="H143" t="s">
        <v>2186</v>
      </c>
      <c r="I143" t="s">
        <v>2192</v>
      </c>
      <c r="J143" t="s">
        <v>2188</v>
      </c>
      <c r="K143" s="4">
        <v>45477</v>
      </c>
      <c r="L143" t="s">
        <v>77</v>
      </c>
    </row>
    <row r="144" spans="1:12">
      <c r="A144" t="s">
        <v>1485</v>
      </c>
      <c r="B144" t="s">
        <v>2357</v>
      </c>
      <c r="C144" s="6">
        <v>57</v>
      </c>
      <c r="D144" t="s">
        <v>2358</v>
      </c>
      <c r="E144" t="s">
        <v>2238</v>
      </c>
      <c r="F144" t="s">
        <v>2212</v>
      </c>
      <c r="G144" t="s">
        <v>2225</v>
      </c>
      <c r="H144" t="s">
        <v>2197</v>
      </c>
      <c r="I144" t="s">
        <v>2198</v>
      </c>
      <c r="J144" t="s">
        <v>2193</v>
      </c>
      <c r="K144" s="4">
        <v>44775</v>
      </c>
      <c r="L144" t="s">
        <v>77</v>
      </c>
    </row>
    <row r="145" spans="1:12">
      <c r="A145" t="s">
        <v>1391</v>
      </c>
      <c r="B145" t="s">
        <v>2359</v>
      </c>
      <c r="C145" s="6">
        <v>69</v>
      </c>
      <c r="D145" t="s">
        <v>2182</v>
      </c>
      <c r="E145" t="s">
        <v>2183</v>
      </c>
      <c r="F145" t="s">
        <v>2184</v>
      </c>
      <c r="G145" t="s">
        <v>2207</v>
      </c>
      <c r="H145" t="s">
        <v>2186</v>
      </c>
      <c r="I145" t="s">
        <v>2198</v>
      </c>
      <c r="J145" t="s">
        <v>2203</v>
      </c>
      <c r="K145" s="4">
        <v>44179</v>
      </c>
      <c r="L145" t="s">
        <v>77</v>
      </c>
    </row>
    <row r="146" spans="1:12">
      <c r="A146" t="s">
        <v>1148</v>
      </c>
      <c r="B146" t="s">
        <v>2217</v>
      </c>
      <c r="C146" s="6">
        <v>76</v>
      </c>
      <c r="D146" t="s">
        <v>2195</v>
      </c>
      <c r="E146" t="s">
        <v>2231</v>
      </c>
      <c r="F146" t="s">
        <v>2212</v>
      </c>
      <c r="G146" t="s">
        <v>2207</v>
      </c>
      <c r="H146" t="s">
        <v>2186</v>
      </c>
      <c r="I146" t="s">
        <v>2187</v>
      </c>
      <c r="J146" t="s">
        <v>2203</v>
      </c>
      <c r="K146" s="4">
        <v>44977</v>
      </c>
      <c r="L146" t="s">
        <v>77</v>
      </c>
    </row>
    <row r="147" spans="1:12">
      <c r="A147" t="s">
        <v>1306</v>
      </c>
      <c r="B147" t="s">
        <v>2360</v>
      </c>
      <c r="C147" s="6">
        <v>39</v>
      </c>
      <c r="D147" t="s">
        <v>2195</v>
      </c>
      <c r="E147" t="s">
        <v>2211</v>
      </c>
      <c r="F147" t="s">
        <v>2212</v>
      </c>
      <c r="G147" t="s">
        <v>2207</v>
      </c>
      <c r="H147" t="s">
        <v>2228</v>
      </c>
      <c r="I147" t="s">
        <v>2198</v>
      </c>
      <c r="J147" t="s">
        <v>2203</v>
      </c>
      <c r="K147" s="4">
        <v>45619</v>
      </c>
      <c r="L147" t="s">
        <v>77</v>
      </c>
    </row>
    <row r="148" spans="1:12">
      <c r="A148" t="s">
        <v>1311</v>
      </c>
      <c r="B148" t="s">
        <v>2361</v>
      </c>
      <c r="C148" s="6">
        <v>54</v>
      </c>
      <c r="D148" t="s">
        <v>2195</v>
      </c>
      <c r="E148" t="s">
        <v>2231</v>
      </c>
      <c r="F148" t="s">
        <v>2212</v>
      </c>
      <c r="G148" t="s">
        <v>2185</v>
      </c>
      <c r="H148" t="s">
        <v>2197</v>
      </c>
      <c r="I148" t="s">
        <v>2187</v>
      </c>
      <c r="J148" t="s">
        <v>2203</v>
      </c>
      <c r="K148" s="4">
        <v>45724</v>
      </c>
      <c r="L148" t="s">
        <v>77</v>
      </c>
    </row>
    <row r="149" spans="1:12">
      <c r="A149" t="s">
        <v>196</v>
      </c>
      <c r="B149" t="s">
        <v>2362</v>
      </c>
      <c r="C149" s="6">
        <v>54</v>
      </c>
      <c r="D149" t="s">
        <v>2182</v>
      </c>
      <c r="E149" t="s">
        <v>2183</v>
      </c>
      <c r="F149" t="s">
        <v>2184</v>
      </c>
      <c r="G149" t="s">
        <v>2200</v>
      </c>
      <c r="H149" t="s">
        <v>2186</v>
      </c>
      <c r="I149" t="s">
        <v>2187</v>
      </c>
      <c r="J149" t="s">
        <v>2188</v>
      </c>
      <c r="K149" s="4">
        <v>44092</v>
      </c>
      <c r="L149" t="s">
        <v>77</v>
      </c>
    </row>
    <row r="150" spans="1:12">
      <c r="A150" t="s">
        <v>2363</v>
      </c>
      <c r="B150" t="s">
        <v>2364</v>
      </c>
      <c r="C150" s="6">
        <v>17</v>
      </c>
      <c r="D150" t="s">
        <v>2182</v>
      </c>
      <c r="E150" t="s">
        <v>2183</v>
      </c>
      <c r="F150" t="s">
        <v>2184</v>
      </c>
      <c r="G150" t="s">
        <v>2207</v>
      </c>
      <c r="H150" t="s">
        <v>2186</v>
      </c>
      <c r="I150" t="s">
        <v>2187</v>
      </c>
      <c r="J150" t="s">
        <v>2188</v>
      </c>
      <c r="K150" s="4">
        <v>45722</v>
      </c>
      <c r="L150" t="s">
        <v>77</v>
      </c>
    </row>
    <row r="151" spans="1:12">
      <c r="A151" t="s">
        <v>2365</v>
      </c>
      <c r="B151" t="s">
        <v>2366</v>
      </c>
      <c r="C151" s="6">
        <v>80</v>
      </c>
      <c r="D151" t="s">
        <v>2182</v>
      </c>
      <c r="E151" t="s">
        <v>2277</v>
      </c>
      <c r="F151" t="s">
        <v>2191</v>
      </c>
      <c r="G151" t="s">
        <v>2202</v>
      </c>
      <c r="H151" t="s">
        <v>2235</v>
      </c>
      <c r="I151" t="s">
        <v>2187</v>
      </c>
      <c r="J151" t="s">
        <v>2193</v>
      </c>
      <c r="K151" s="4">
        <v>44167</v>
      </c>
      <c r="L151" t="s">
        <v>77</v>
      </c>
    </row>
    <row r="152" spans="1:12">
      <c r="A152" t="s">
        <v>167</v>
      </c>
      <c r="B152" t="s">
        <v>2367</v>
      </c>
      <c r="C152" s="6">
        <v>56</v>
      </c>
      <c r="D152" t="s">
        <v>2182</v>
      </c>
      <c r="E152" t="s">
        <v>2216</v>
      </c>
      <c r="F152" t="s">
        <v>2206</v>
      </c>
      <c r="G152" t="s">
        <v>2185</v>
      </c>
      <c r="H152" t="s">
        <v>2186</v>
      </c>
      <c r="I152" t="s">
        <v>2192</v>
      </c>
      <c r="J152" t="s">
        <v>2203</v>
      </c>
      <c r="K152" s="4">
        <v>45828</v>
      </c>
      <c r="L152" t="s">
        <v>77</v>
      </c>
    </row>
    <row r="153" spans="1:12">
      <c r="A153" t="s">
        <v>822</v>
      </c>
      <c r="B153" t="s">
        <v>2368</v>
      </c>
      <c r="C153" s="6">
        <v>22</v>
      </c>
      <c r="D153" t="s">
        <v>2182</v>
      </c>
      <c r="E153" t="s">
        <v>2216</v>
      </c>
      <c r="F153" t="s">
        <v>2206</v>
      </c>
      <c r="G153" t="s">
        <v>2200</v>
      </c>
      <c r="H153" t="s">
        <v>2186</v>
      </c>
      <c r="I153" t="s">
        <v>2187</v>
      </c>
      <c r="J153" t="s">
        <v>2188</v>
      </c>
      <c r="K153" s="4">
        <v>44652</v>
      </c>
      <c r="L153" t="s">
        <v>77</v>
      </c>
    </row>
    <row r="154" spans="1:12">
      <c r="A154" t="s">
        <v>892</v>
      </c>
      <c r="B154" t="s">
        <v>2369</v>
      </c>
      <c r="C154" s="6">
        <v>52</v>
      </c>
      <c r="D154" t="s">
        <v>2195</v>
      </c>
      <c r="E154" t="s">
        <v>2205</v>
      </c>
      <c r="F154" t="s">
        <v>2206</v>
      </c>
      <c r="G154" t="s">
        <v>2222</v>
      </c>
      <c r="H154" t="s">
        <v>2197</v>
      </c>
      <c r="I154" t="s">
        <v>2187</v>
      </c>
      <c r="J154" t="s">
        <v>2203</v>
      </c>
      <c r="K154" s="4">
        <v>45168</v>
      </c>
      <c r="L154" t="s">
        <v>77</v>
      </c>
    </row>
    <row r="155" spans="1:12">
      <c r="A155" t="s">
        <v>514</v>
      </c>
      <c r="B155" t="s">
        <v>2370</v>
      </c>
      <c r="C155" s="6">
        <v>15</v>
      </c>
      <c r="D155" t="s">
        <v>2195</v>
      </c>
      <c r="E155" t="s">
        <v>2190</v>
      </c>
      <c r="F155" t="s">
        <v>2191</v>
      </c>
      <c r="G155" t="s">
        <v>2207</v>
      </c>
      <c r="H155" t="s">
        <v>2186</v>
      </c>
      <c r="I155" t="s">
        <v>2192</v>
      </c>
      <c r="J155" t="s">
        <v>2188</v>
      </c>
      <c r="K155" s="4">
        <v>44880</v>
      </c>
      <c r="L155" t="s">
        <v>64</v>
      </c>
    </row>
    <row r="156" spans="1:12">
      <c r="A156" t="s">
        <v>694</v>
      </c>
      <c r="B156" t="s">
        <v>2371</v>
      </c>
      <c r="C156" s="6">
        <v>34</v>
      </c>
      <c r="D156" t="s">
        <v>2195</v>
      </c>
      <c r="E156" t="s">
        <v>2227</v>
      </c>
      <c r="F156" t="s">
        <v>2191</v>
      </c>
      <c r="G156" t="s">
        <v>2222</v>
      </c>
      <c r="H156" t="s">
        <v>2186</v>
      </c>
      <c r="I156" t="s">
        <v>2187</v>
      </c>
      <c r="J156" t="s">
        <v>2188</v>
      </c>
      <c r="K156" s="4">
        <v>45039</v>
      </c>
      <c r="L156" t="s">
        <v>77</v>
      </c>
    </row>
    <row r="157" spans="1:12">
      <c r="A157" t="s">
        <v>1469</v>
      </c>
      <c r="B157" t="s">
        <v>2372</v>
      </c>
      <c r="C157" s="6">
        <v>62</v>
      </c>
      <c r="D157" t="s">
        <v>2182</v>
      </c>
      <c r="E157" t="s">
        <v>2196</v>
      </c>
      <c r="F157" t="s">
        <v>2184</v>
      </c>
      <c r="G157" t="s">
        <v>2233</v>
      </c>
      <c r="H157" t="s">
        <v>2235</v>
      </c>
      <c r="I157" t="s">
        <v>2187</v>
      </c>
      <c r="J157" t="s">
        <v>2203</v>
      </c>
      <c r="K157" s="4">
        <v>44118</v>
      </c>
      <c r="L157" t="s">
        <v>77</v>
      </c>
    </row>
    <row r="158" spans="1:12">
      <c r="A158" t="s">
        <v>736</v>
      </c>
      <c r="B158" t="s">
        <v>2373</v>
      </c>
      <c r="C158" s="6">
        <v>59</v>
      </c>
      <c r="D158" t="s">
        <v>2195</v>
      </c>
      <c r="E158" t="s">
        <v>2211</v>
      </c>
      <c r="F158" t="s">
        <v>2212</v>
      </c>
      <c r="G158" t="s">
        <v>2225</v>
      </c>
      <c r="H158" t="s">
        <v>2186</v>
      </c>
      <c r="I158" t="s">
        <v>2192</v>
      </c>
      <c r="J158" t="s">
        <v>2203</v>
      </c>
      <c r="K158" s="4">
        <v>44347</v>
      </c>
      <c r="L158" t="s">
        <v>77</v>
      </c>
    </row>
    <row r="159" spans="1:12">
      <c r="A159" t="s">
        <v>290</v>
      </c>
      <c r="B159" t="s">
        <v>2229</v>
      </c>
      <c r="C159" s="6">
        <v>27</v>
      </c>
      <c r="D159" t="s">
        <v>2182</v>
      </c>
      <c r="E159" t="s">
        <v>2196</v>
      </c>
      <c r="F159" t="s">
        <v>2184</v>
      </c>
      <c r="G159" t="s">
        <v>2185</v>
      </c>
      <c r="H159" t="s">
        <v>2208</v>
      </c>
      <c r="I159" t="s">
        <v>2198</v>
      </c>
      <c r="J159" t="s">
        <v>2203</v>
      </c>
      <c r="K159" s="4">
        <v>44636</v>
      </c>
      <c r="L159" t="s">
        <v>77</v>
      </c>
    </row>
    <row r="160" spans="1:12">
      <c r="A160" t="s">
        <v>293</v>
      </c>
      <c r="B160" t="s">
        <v>2181</v>
      </c>
      <c r="C160" s="6">
        <v>52</v>
      </c>
      <c r="D160" t="s">
        <v>2195</v>
      </c>
      <c r="E160" t="s">
        <v>2211</v>
      </c>
      <c r="F160" t="s">
        <v>2212</v>
      </c>
      <c r="G160" t="s">
        <v>2225</v>
      </c>
      <c r="H160" t="s">
        <v>2186</v>
      </c>
      <c r="I160" t="s">
        <v>2187</v>
      </c>
      <c r="J160" t="s">
        <v>2188</v>
      </c>
      <c r="K160" s="4">
        <v>45801</v>
      </c>
      <c r="L160" t="s">
        <v>77</v>
      </c>
    </row>
    <row r="161" spans="1:12">
      <c r="A161" t="s">
        <v>2374</v>
      </c>
      <c r="B161" t="s">
        <v>2375</v>
      </c>
      <c r="C161" s="6">
        <v>54</v>
      </c>
      <c r="D161" t="s">
        <v>2195</v>
      </c>
      <c r="E161" t="s">
        <v>2218</v>
      </c>
      <c r="F161" t="s">
        <v>2219</v>
      </c>
      <c r="G161" t="s">
        <v>2207</v>
      </c>
      <c r="H161" t="s">
        <v>2186</v>
      </c>
      <c r="I161" t="s">
        <v>2187</v>
      </c>
      <c r="J161" t="s">
        <v>2188</v>
      </c>
      <c r="K161" s="4">
        <v>46018</v>
      </c>
      <c r="L161" t="s">
        <v>77</v>
      </c>
    </row>
    <row r="162" spans="1:12">
      <c r="A162" t="s">
        <v>1270</v>
      </c>
      <c r="B162" t="s">
        <v>2373</v>
      </c>
      <c r="C162" s="6">
        <v>16</v>
      </c>
      <c r="D162" t="s">
        <v>2195</v>
      </c>
      <c r="E162" t="s">
        <v>2244</v>
      </c>
      <c r="F162" t="s">
        <v>2206</v>
      </c>
      <c r="G162" t="s">
        <v>2213</v>
      </c>
      <c r="H162" t="s">
        <v>2186</v>
      </c>
      <c r="I162" t="s">
        <v>2187</v>
      </c>
      <c r="J162" t="s">
        <v>2188</v>
      </c>
      <c r="K162" s="4">
        <v>45551</v>
      </c>
      <c r="L162" t="s">
        <v>77</v>
      </c>
    </row>
    <row r="163" spans="1:12">
      <c r="A163" t="s">
        <v>2376</v>
      </c>
      <c r="B163" t="s">
        <v>2377</v>
      </c>
      <c r="C163" s="6">
        <v>63</v>
      </c>
      <c r="D163" t="s">
        <v>2195</v>
      </c>
      <c r="E163" t="s">
        <v>2244</v>
      </c>
      <c r="F163" t="s">
        <v>2206</v>
      </c>
      <c r="G163" t="s">
        <v>2202</v>
      </c>
      <c r="H163" t="s">
        <v>2272</v>
      </c>
      <c r="I163" t="s">
        <v>2187</v>
      </c>
      <c r="J163" t="s">
        <v>2203</v>
      </c>
      <c r="K163" s="4">
        <v>44076</v>
      </c>
      <c r="L163" t="s">
        <v>77</v>
      </c>
    </row>
    <row r="164" spans="1:12">
      <c r="A164" t="s">
        <v>1332</v>
      </c>
      <c r="B164" t="s">
        <v>2378</v>
      </c>
      <c r="C164" s="6">
        <v>58</v>
      </c>
      <c r="D164" t="s">
        <v>2195</v>
      </c>
      <c r="E164" t="s">
        <v>2221</v>
      </c>
      <c r="F164" t="s">
        <v>2219</v>
      </c>
      <c r="G164" t="s">
        <v>2233</v>
      </c>
      <c r="H164" t="s">
        <v>2235</v>
      </c>
      <c r="I164" t="s">
        <v>2187</v>
      </c>
      <c r="J164" t="s">
        <v>2203</v>
      </c>
      <c r="K164" s="4">
        <v>44843</v>
      </c>
      <c r="L164" t="s">
        <v>77</v>
      </c>
    </row>
    <row r="165" spans="1:12">
      <c r="A165" t="s">
        <v>1978</v>
      </c>
      <c r="B165" t="s">
        <v>2360</v>
      </c>
      <c r="C165" s="6">
        <v>36</v>
      </c>
      <c r="D165" t="s">
        <v>2182</v>
      </c>
      <c r="E165" t="s">
        <v>2224</v>
      </c>
      <c r="F165" t="s">
        <v>2206</v>
      </c>
      <c r="G165" t="s">
        <v>2225</v>
      </c>
      <c r="H165" t="s">
        <v>2186</v>
      </c>
      <c r="I165" t="s">
        <v>2187</v>
      </c>
      <c r="J165" t="s">
        <v>2188</v>
      </c>
      <c r="K165" s="4">
        <v>44822</v>
      </c>
      <c r="L165" t="s">
        <v>77</v>
      </c>
    </row>
    <row r="166" spans="1:12">
      <c r="A166" t="s">
        <v>269</v>
      </c>
      <c r="B166" t="s">
        <v>2379</v>
      </c>
      <c r="C166" s="6">
        <v>51</v>
      </c>
      <c r="D166" t="s">
        <v>2182</v>
      </c>
      <c r="E166" t="s">
        <v>2216</v>
      </c>
      <c r="F166" t="s">
        <v>2206</v>
      </c>
      <c r="G166" t="s">
        <v>2233</v>
      </c>
      <c r="H166" t="s">
        <v>2197</v>
      </c>
      <c r="I166" t="s">
        <v>2187</v>
      </c>
      <c r="J166" t="s">
        <v>2203</v>
      </c>
      <c r="K166" s="4">
        <v>45835</v>
      </c>
      <c r="L166" t="s">
        <v>77</v>
      </c>
    </row>
    <row r="167" spans="1:12">
      <c r="A167" t="s">
        <v>438</v>
      </c>
      <c r="B167" t="s">
        <v>2380</v>
      </c>
      <c r="C167" s="6">
        <v>13</v>
      </c>
      <c r="D167" t="s">
        <v>2195</v>
      </c>
      <c r="E167" t="s">
        <v>2298</v>
      </c>
      <c r="F167" t="s">
        <v>2219</v>
      </c>
      <c r="G167" t="s">
        <v>2213</v>
      </c>
      <c r="H167" t="s">
        <v>2186</v>
      </c>
      <c r="I167" t="s">
        <v>2198</v>
      </c>
      <c r="J167" t="s">
        <v>2188</v>
      </c>
      <c r="K167" s="4">
        <v>45023</v>
      </c>
      <c r="L167" t="s">
        <v>77</v>
      </c>
    </row>
    <row r="168" spans="1:12">
      <c r="A168" t="s">
        <v>333</v>
      </c>
      <c r="B168" t="s">
        <v>2381</v>
      </c>
      <c r="C168" s="6">
        <v>16</v>
      </c>
      <c r="D168" t="s">
        <v>2195</v>
      </c>
      <c r="E168" t="s">
        <v>2231</v>
      </c>
      <c r="F168" t="s">
        <v>2212</v>
      </c>
      <c r="G168" t="s">
        <v>2233</v>
      </c>
      <c r="H168" t="s">
        <v>2186</v>
      </c>
      <c r="I168" t="s">
        <v>2187</v>
      </c>
      <c r="J168" t="s">
        <v>2188</v>
      </c>
      <c r="K168" s="4">
        <v>44301</v>
      </c>
      <c r="L168" t="s">
        <v>77</v>
      </c>
    </row>
    <row r="169" spans="1:12">
      <c r="A169" t="s">
        <v>1861</v>
      </c>
      <c r="B169" t="s">
        <v>2283</v>
      </c>
      <c r="C169" s="6">
        <v>30</v>
      </c>
      <c r="D169" t="s">
        <v>2182</v>
      </c>
      <c r="E169" t="s">
        <v>2190</v>
      </c>
      <c r="F169" t="s">
        <v>2191</v>
      </c>
      <c r="G169" t="s">
        <v>2185</v>
      </c>
      <c r="H169" t="s">
        <v>2235</v>
      </c>
      <c r="I169" t="s">
        <v>2198</v>
      </c>
      <c r="J169" t="s">
        <v>2203</v>
      </c>
      <c r="K169" s="4">
        <v>45590</v>
      </c>
      <c r="L169" t="s">
        <v>77</v>
      </c>
    </row>
    <row r="170" spans="1:12">
      <c r="A170" t="s">
        <v>1627</v>
      </c>
      <c r="B170" t="s">
        <v>2382</v>
      </c>
      <c r="C170" s="6">
        <v>38</v>
      </c>
      <c r="D170" t="s">
        <v>2182</v>
      </c>
      <c r="E170" t="s">
        <v>2244</v>
      </c>
      <c r="F170" t="s">
        <v>2206</v>
      </c>
      <c r="G170" t="s">
        <v>2225</v>
      </c>
      <c r="H170" t="s">
        <v>2186</v>
      </c>
      <c r="I170" t="s">
        <v>2198</v>
      </c>
      <c r="J170" t="s">
        <v>2188</v>
      </c>
      <c r="K170" s="4">
        <v>44548</v>
      </c>
      <c r="L170" t="s">
        <v>77</v>
      </c>
    </row>
    <row r="171" spans="1:12">
      <c r="A171" t="s">
        <v>638</v>
      </c>
      <c r="B171" t="s">
        <v>2383</v>
      </c>
      <c r="C171" s="6">
        <v>53</v>
      </c>
      <c r="D171" t="s">
        <v>2182</v>
      </c>
      <c r="E171" t="s">
        <v>2227</v>
      </c>
      <c r="F171" t="s">
        <v>2191</v>
      </c>
      <c r="G171" t="s">
        <v>2202</v>
      </c>
      <c r="H171" t="s">
        <v>2315</v>
      </c>
      <c r="I171" t="s">
        <v>2192</v>
      </c>
      <c r="J171" t="s">
        <v>2193</v>
      </c>
      <c r="K171" s="4">
        <v>44649</v>
      </c>
      <c r="L171" t="s">
        <v>77</v>
      </c>
    </row>
    <row r="172" spans="1:12">
      <c r="A172" t="s">
        <v>1926</v>
      </c>
      <c r="B172" t="s">
        <v>2384</v>
      </c>
      <c r="C172" s="6">
        <v>18</v>
      </c>
      <c r="D172" t="s">
        <v>2182</v>
      </c>
      <c r="E172" t="s">
        <v>2190</v>
      </c>
      <c r="F172" t="s">
        <v>2191</v>
      </c>
      <c r="G172" t="s">
        <v>2222</v>
      </c>
      <c r="H172" t="s">
        <v>2186</v>
      </c>
      <c r="I172" t="s">
        <v>2187</v>
      </c>
      <c r="J172" t="s">
        <v>2188</v>
      </c>
      <c r="K172" s="4">
        <v>45690</v>
      </c>
      <c r="L172" t="s">
        <v>77</v>
      </c>
    </row>
    <row r="173" spans="1:12">
      <c r="A173" t="s">
        <v>418</v>
      </c>
      <c r="B173" t="s">
        <v>2291</v>
      </c>
      <c r="C173" s="6">
        <v>46</v>
      </c>
      <c r="D173" t="s">
        <v>2195</v>
      </c>
      <c r="E173" t="s">
        <v>2224</v>
      </c>
      <c r="F173" t="s">
        <v>2206</v>
      </c>
      <c r="G173" t="s">
        <v>2200</v>
      </c>
      <c r="H173" t="s">
        <v>2315</v>
      </c>
      <c r="I173" t="s">
        <v>2187</v>
      </c>
      <c r="J173" t="s">
        <v>2203</v>
      </c>
      <c r="K173" s="4">
        <v>45277</v>
      </c>
      <c r="L173" t="s">
        <v>77</v>
      </c>
    </row>
    <row r="174" spans="1:12">
      <c r="A174" t="s">
        <v>1330</v>
      </c>
      <c r="B174" t="s">
        <v>2385</v>
      </c>
      <c r="C174" s="6">
        <v>50</v>
      </c>
      <c r="D174" t="s">
        <v>2182</v>
      </c>
      <c r="E174" t="s">
        <v>2190</v>
      </c>
      <c r="F174" t="s">
        <v>2191</v>
      </c>
      <c r="G174" t="s">
        <v>2200</v>
      </c>
      <c r="H174" t="s">
        <v>2186</v>
      </c>
      <c r="I174" t="s">
        <v>2187</v>
      </c>
      <c r="J174" t="s">
        <v>2188</v>
      </c>
      <c r="K174" s="4">
        <v>45869</v>
      </c>
      <c r="L174" t="s">
        <v>77</v>
      </c>
    </row>
    <row r="175" spans="1:12">
      <c r="A175" t="s">
        <v>682</v>
      </c>
      <c r="B175" t="s">
        <v>2386</v>
      </c>
      <c r="C175" s="6">
        <v>65</v>
      </c>
      <c r="D175" t="s">
        <v>2182</v>
      </c>
      <c r="E175" t="s">
        <v>2216</v>
      </c>
      <c r="F175" t="s">
        <v>2206</v>
      </c>
      <c r="G175" t="s">
        <v>2213</v>
      </c>
      <c r="H175" t="s">
        <v>2186</v>
      </c>
      <c r="I175" t="s">
        <v>2187</v>
      </c>
      <c r="J175" t="s">
        <v>2203</v>
      </c>
      <c r="K175" s="4">
        <v>45400</v>
      </c>
      <c r="L175" t="s">
        <v>77</v>
      </c>
    </row>
    <row r="176" spans="1:12">
      <c r="A176" t="s">
        <v>578</v>
      </c>
      <c r="B176" t="s">
        <v>2387</v>
      </c>
      <c r="C176" s="6">
        <v>92</v>
      </c>
      <c r="D176" t="s">
        <v>2195</v>
      </c>
      <c r="E176" t="s">
        <v>2298</v>
      </c>
      <c r="F176" t="s">
        <v>2219</v>
      </c>
      <c r="G176" t="s">
        <v>2202</v>
      </c>
      <c r="H176" t="s">
        <v>2315</v>
      </c>
      <c r="I176" t="s">
        <v>2192</v>
      </c>
      <c r="J176" t="s">
        <v>2193</v>
      </c>
      <c r="K176" s="4">
        <v>45421</v>
      </c>
      <c r="L176" t="s">
        <v>77</v>
      </c>
    </row>
    <row r="177" spans="1:12">
      <c r="A177" t="s">
        <v>1272</v>
      </c>
      <c r="B177" t="s">
        <v>2379</v>
      </c>
      <c r="C177" s="6">
        <v>31</v>
      </c>
      <c r="D177" t="s">
        <v>2195</v>
      </c>
      <c r="E177" t="s">
        <v>2216</v>
      </c>
      <c r="F177" t="s">
        <v>2206</v>
      </c>
      <c r="G177" t="s">
        <v>2222</v>
      </c>
      <c r="H177" t="s">
        <v>2272</v>
      </c>
      <c r="I177" t="s">
        <v>2187</v>
      </c>
      <c r="J177" t="s">
        <v>2188</v>
      </c>
      <c r="K177" s="4">
        <v>45817</v>
      </c>
      <c r="L177" t="s">
        <v>77</v>
      </c>
    </row>
    <row r="178" spans="1:12">
      <c r="A178" t="s">
        <v>690</v>
      </c>
      <c r="B178" t="s">
        <v>2388</v>
      </c>
      <c r="C178" s="6">
        <v>11</v>
      </c>
      <c r="D178" t="s">
        <v>2182</v>
      </c>
      <c r="E178" t="s">
        <v>2216</v>
      </c>
      <c r="F178" t="s">
        <v>2206</v>
      </c>
      <c r="G178" t="s">
        <v>2213</v>
      </c>
      <c r="H178" t="s">
        <v>2208</v>
      </c>
      <c r="I178" t="s">
        <v>2187</v>
      </c>
      <c r="J178" t="s">
        <v>2188</v>
      </c>
      <c r="K178" s="4">
        <v>45495</v>
      </c>
      <c r="L178" t="s">
        <v>77</v>
      </c>
    </row>
    <row r="179" spans="1:12">
      <c r="A179" t="s">
        <v>990</v>
      </c>
      <c r="B179" t="s">
        <v>2389</v>
      </c>
      <c r="C179" s="6">
        <v>60</v>
      </c>
      <c r="D179" t="s">
        <v>2195</v>
      </c>
      <c r="E179" t="s">
        <v>2221</v>
      </c>
      <c r="F179" t="s">
        <v>2219</v>
      </c>
      <c r="G179" t="s">
        <v>2233</v>
      </c>
      <c r="H179" t="s">
        <v>2197</v>
      </c>
      <c r="I179" t="s">
        <v>2192</v>
      </c>
      <c r="J179" t="s">
        <v>2193</v>
      </c>
      <c r="K179" s="4">
        <v>44838</v>
      </c>
      <c r="L179" t="s">
        <v>77</v>
      </c>
    </row>
    <row r="180" spans="1:12">
      <c r="A180" t="s">
        <v>1435</v>
      </c>
      <c r="B180" t="s">
        <v>2390</v>
      </c>
      <c r="C180" s="6">
        <v>50</v>
      </c>
      <c r="D180" t="s">
        <v>2182</v>
      </c>
      <c r="E180" t="s">
        <v>2224</v>
      </c>
      <c r="F180" t="s">
        <v>2206</v>
      </c>
      <c r="G180" t="s">
        <v>2222</v>
      </c>
      <c r="H180" t="s">
        <v>2186</v>
      </c>
      <c r="I180" t="s">
        <v>2187</v>
      </c>
      <c r="J180" t="s">
        <v>2188</v>
      </c>
      <c r="K180" s="4">
        <v>44131</v>
      </c>
      <c r="L180" t="s">
        <v>77</v>
      </c>
    </row>
    <row r="181" spans="1:12">
      <c r="A181" t="s">
        <v>1050</v>
      </c>
      <c r="B181" t="s">
        <v>2391</v>
      </c>
      <c r="C181" s="6">
        <v>36</v>
      </c>
      <c r="D181" t="s">
        <v>2195</v>
      </c>
      <c r="E181" t="s">
        <v>2244</v>
      </c>
      <c r="F181" t="s">
        <v>2206</v>
      </c>
      <c r="G181" t="s">
        <v>2185</v>
      </c>
      <c r="H181" t="s">
        <v>2235</v>
      </c>
      <c r="I181" t="s">
        <v>2187</v>
      </c>
      <c r="J181" t="s">
        <v>2203</v>
      </c>
      <c r="K181" s="4">
        <v>44257</v>
      </c>
      <c r="L181" t="s">
        <v>77</v>
      </c>
    </row>
    <row r="182" spans="1:12">
      <c r="A182" t="s">
        <v>54</v>
      </c>
      <c r="B182" t="s">
        <v>2392</v>
      </c>
      <c r="C182" s="6">
        <v>34</v>
      </c>
      <c r="D182" t="s">
        <v>2182</v>
      </c>
      <c r="E182" t="s">
        <v>2277</v>
      </c>
      <c r="F182" t="s">
        <v>2191</v>
      </c>
      <c r="G182" t="s">
        <v>2233</v>
      </c>
      <c r="H182" t="s">
        <v>2228</v>
      </c>
      <c r="I182" t="s">
        <v>2187</v>
      </c>
      <c r="J182" t="s">
        <v>2188</v>
      </c>
      <c r="K182" s="4">
        <v>44482</v>
      </c>
      <c r="L182" t="s">
        <v>77</v>
      </c>
    </row>
    <row r="183" spans="1:12">
      <c r="A183" t="s">
        <v>1316</v>
      </c>
      <c r="B183" t="s">
        <v>2343</v>
      </c>
      <c r="C183" s="6">
        <v>42</v>
      </c>
      <c r="D183" t="s">
        <v>2182</v>
      </c>
      <c r="E183" t="s">
        <v>2244</v>
      </c>
      <c r="F183" t="s">
        <v>2206</v>
      </c>
      <c r="G183" t="s">
        <v>2213</v>
      </c>
      <c r="H183" t="s">
        <v>2186</v>
      </c>
      <c r="I183" t="s">
        <v>2198</v>
      </c>
      <c r="J183" t="s">
        <v>2188</v>
      </c>
      <c r="K183" s="4">
        <v>43512</v>
      </c>
      <c r="L183" t="s">
        <v>77</v>
      </c>
    </row>
    <row r="184" spans="1:12">
      <c r="A184" t="s">
        <v>1156</v>
      </c>
      <c r="B184" t="s">
        <v>2364</v>
      </c>
      <c r="C184" s="6">
        <v>32</v>
      </c>
      <c r="D184" t="s">
        <v>2195</v>
      </c>
      <c r="E184" t="s">
        <v>2298</v>
      </c>
      <c r="F184" t="s">
        <v>2219</v>
      </c>
      <c r="G184" t="s">
        <v>2202</v>
      </c>
      <c r="H184" t="s">
        <v>2186</v>
      </c>
      <c r="I184" t="s">
        <v>2192</v>
      </c>
      <c r="J184" t="s">
        <v>2188</v>
      </c>
      <c r="K184" s="4">
        <v>44739</v>
      </c>
      <c r="L184" t="s">
        <v>77</v>
      </c>
    </row>
    <row r="185" spans="1:12">
      <c r="A185" t="s">
        <v>1248</v>
      </c>
      <c r="B185" t="s">
        <v>2393</v>
      </c>
      <c r="C185" s="6">
        <v>24</v>
      </c>
      <c r="D185" t="s">
        <v>2182</v>
      </c>
      <c r="E185" t="s">
        <v>2227</v>
      </c>
      <c r="F185" t="s">
        <v>2191</v>
      </c>
      <c r="G185" t="s">
        <v>2185</v>
      </c>
      <c r="H185" t="s">
        <v>2315</v>
      </c>
      <c r="I185" t="s">
        <v>2187</v>
      </c>
      <c r="J185" t="s">
        <v>2188</v>
      </c>
      <c r="K185" s="4">
        <v>45329</v>
      </c>
      <c r="L185" t="s">
        <v>77</v>
      </c>
    </row>
    <row r="186" spans="1:12">
      <c r="A186" t="s">
        <v>286</v>
      </c>
      <c r="B186" t="s">
        <v>2394</v>
      </c>
      <c r="C186" s="6">
        <v>30</v>
      </c>
      <c r="D186" t="s">
        <v>2182</v>
      </c>
      <c r="E186" t="s">
        <v>2238</v>
      </c>
      <c r="F186" t="s">
        <v>2212</v>
      </c>
      <c r="G186" t="s">
        <v>2233</v>
      </c>
      <c r="H186" t="s">
        <v>2197</v>
      </c>
      <c r="I186" t="s">
        <v>2187</v>
      </c>
      <c r="J186" t="s">
        <v>2188</v>
      </c>
      <c r="K186" s="4">
        <v>44479</v>
      </c>
      <c r="L186" t="s">
        <v>77</v>
      </c>
    </row>
    <row r="187" spans="1:12">
      <c r="A187" t="s">
        <v>2395</v>
      </c>
      <c r="B187" t="s">
        <v>2396</v>
      </c>
      <c r="C187" s="6">
        <v>2</v>
      </c>
      <c r="D187" t="s">
        <v>2182</v>
      </c>
      <c r="E187" t="s">
        <v>2244</v>
      </c>
      <c r="F187" t="s">
        <v>2206</v>
      </c>
      <c r="G187" t="s">
        <v>2200</v>
      </c>
      <c r="H187" t="s">
        <v>2186</v>
      </c>
      <c r="I187" t="s">
        <v>2187</v>
      </c>
      <c r="J187" t="s">
        <v>2188</v>
      </c>
      <c r="K187" s="4">
        <v>43718</v>
      </c>
      <c r="L187" t="s">
        <v>77</v>
      </c>
    </row>
    <row r="188" spans="1:12">
      <c r="A188" t="s">
        <v>752</v>
      </c>
      <c r="B188" t="s">
        <v>2396</v>
      </c>
      <c r="C188" s="6">
        <v>33</v>
      </c>
      <c r="D188" t="s">
        <v>2195</v>
      </c>
      <c r="E188" t="s">
        <v>2218</v>
      </c>
      <c r="F188" t="s">
        <v>2219</v>
      </c>
      <c r="G188" t="s">
        <v>2233</v>
      </c>
      <c r="H188" t="s">
        <v>2186</v>
      </c>
      <c r="I188" t="s">
        <v>2198</v>
      </c>
      <c r="J188" t="s">
        <v>2188</v>
      </c>
      <c r="K188" s="4">
        <v>45854</v>
      </c>
      <c r="L188" t="s">
        <v>77</v>
      </c>
    </row>
    <row r="189" spans="1:12">
      <c r="A189" t="s">
        <v>2397</v>
      </c>
      <c r="B189" t="s">
        <v>2289</v>
      </c>
      <c r="C189" s="6">
        <v>38</v>
      </c>
      <c r="D189" t="s">
        <v>2182</v>
      </c>
      <c r="E189" t="s">
        <v>2231</v>
      </c>
      <c r="F189" t="s">
        <v>2212</v>
      </c>
      <c r="G189" t="s">
        <v>2213</v>
      </c>
      <c r="H189" t="s">
        <v>2186</v>
      </c>
      <c r="I189" t="s">
        <v>2187</v>
      </c>
      <c r="J189" t="s">
        <v>2188</v>
      </c>
      <c r="K189" s="4">
        <v>45775</v>
      </c>
      <c r="L189" t="s">
        <v>77</v>
      </c>
    </row>
    <row r="190" spans="1:12">
      <c r="A190" t="s">
        <v>1437</v>
      </c>
      <c r="B190" t="s">
        <v>2398</v>
      </c>
      <c r="C190" s="6">
        <v>15</v>
      </c>
      <c r="D190" t="s">
        <v>2182</v>
      </c>
      <c r="E190" t="s">
        <v>2221</v>
      </c>
      <c r="F190" t="s">
        <v>2219</v>
      </c>
      <c r="G190" t="s">
        <v>2233</v>
      </c>
      <c r="H190" t="s">
        <v>2186</v>
      </c>
      <c r="I190" t="s">
        <v>2187</v>
      </c>
      <c r="J190" t="s">
        <v>2188</v>
      </c>
      <c r="K190" s="4">
        <v>43727</v>
      </c>
      <c r="L190" t="s">
        <v>77</v>
      </c>
    </row>
    <row r="191" spans="1:12">
      <c r="A191" t="s">
        <v>2169</v>
      </c>
      <c r="B191" t="s">
        <v>2399</v>
      </c>
      <c r="C191" s="6">
        <v>64</v>
      </c>
      <c r="D191" t="s">
        <v>2195</v>
      </c>
      <c r="E191" t="s">
        <v>2211</v>
      </c>
      <c r="F191" t="s">
        <v>2212</v>
      </c>
      <c r="G191" t="s">
        <v>2233</v>
      </c>
      <c r="H191" t="s">
        <v>2186</v>
      </c>
      <c r="I191" t="s">
        <v>2187</v>
      </c>
      <c r="J191" t="s">
        <v>2188</v>
      </c>
      <c r="K191" s="4">
        <v>45187</v>
      </c>
      <c r="L191" t="s">
        <v>77</v>
      </c>
    </row>
    <row r="192" spans="1:12">
      <c r="A192" t="s">
        <v>750</v>
      </c>
      <c r="B192" t="s">
        <v>2400</v>
      </c>
      <c r="C192" s="6">
        <v>71</v>
      </c>
      <c r="D192" t="s">
        <v>2195</v>
      </c>
      <c r="E192" t="s">
        <v>2298</v>
      </c>
      <c r="F192" t="s">
        <v>2219</v>
      </c>
      <c r="G192" t="s">
        <v>2222</v>
      </c>
      <c r="H192" t="s">
        <v>2228</v>
      </c>
      <c r="I192" t="s">
        <v>2192</v>
      </c>
      <c r="J192" t="s">
        <v>2193</v>
      </c>
      <c r="K192" s="4">
        <v>44010</v>
      </c>
      <c r="L192" t="s">
        <v>77</v>
      </c>
    </row>
    <row r="193" spans="1:12">
      <c r="A193" t="s">
        <v>407</v>
      </c>
      <c r="B193" t="s">
        <v>2401</v>
      </c>
      <c r="C193" s="6">
        <v>12</v>
      </c>
      <c r="D193" t="s">
        <v>2358</v>
      </c>
      <c r="E193" t="s">
        <v>2211</v>
      </c>
      <c r="F193" t="s">
        <v>2212</v>
      </c>
      <c r="G193" t="s">
        <v>2225</v>
      </c>
      <c r="H193" t="s">
        <v>2186</v>
      </c>
      <c r="I193" t="s">
        <v>2198</v>
      </c>
      <c r="J193" t="s">
        <v>2188</v>
      </c>
      <c r="K193" s="4">
        <v>44378</v>
      </c>
      <c r="L193" t="s">
        <v>77</v>
      </c>
    </row>
    <row r="194" spans="1:12">
      <c r="A194" t="s">
        <v>936</v>
      </c>
      <c r="B194" t="s">
        <v>2402</v>
      </c>
      <c r="C194" s="6">
        <v>13</v>
      </c>
      <c r="D194" t="s">
        <v>2195</v>
      </c>
      <c r="E194" t="s">
        <v>2211</v>
      </c>
      <c r="F194" t="s">
        <v>2212</v>
      </c>
      <c r="G194" t="s">
        <v>2213</v>
      </c>
      <c r="H194" t="s">
        <v>2208</v>
      </c>
      <c r="I194" t="s">
        <v>2187</v>
      </c>
      <c r="J194" t="s">
        <v>2188</v>
      </c>
      <c r="K194" s="4">
        <v>44883</v>
      </c>
      <c r="L194" t="s">
        <v>77</v>
      </c>
    </row>
    <row r="195" spans="1:12">
      <c r="A195" t="s">
        <v>779</v>
      </c>
      <c r="B195" t="s">
        <v>2403</v>
      </c>
      <c r="C195" s="6">
        <v>49</v>
      </c>
      <c r="D195" t="s">
        <v>2182</v>
      </c>
      <c r="E195" t="s">
        <v>2211</v>
      </c>
      <c r="F195" t="s">
        <v>2212</v>
      </c>
      <c r="G195" t="s">
        <v>2213</v>
      </c>
      <c r="H195" t="s">
        <v>2197</v>
      </c>
      <c r="I195" t="s">
        <v>2192</v>
      </c>
      <c r="J195" t="s">
        <v>2193</v>
      </c>
      <c r="K195" s="4">
        <v>43530</v>
      </c>
      <c r="L195" t="s">
        <v>77</v>
      </c>
    </row>
    <row r="196" spans="1:12">
      <c r="A196" t="s">
        <v>501</v>
      </c>
      <c r="B196" t="s">
        <v>2404</v>
      </c>
      <c r="C196" s="6">
        <v>16</v>
      </c>
      <c r="D196" t="s">
        <v>2269</v>
      </c>
      <c r="E196" t="s">
        <v>2227</v>
      </c>
      <c r="F196" t="s">
        <v>2191</v>
      </c>
      <c r="G196" t="s">
        <v>2222</v>
      </c>
      <c r="H196" t="s">
        <v>2186</v>
      </c>
      <c r="I196" t="s">
        <v>2187</v>
      </c>
      <c r="J196" t="s">
        <v>2188</v>
      </c>
      <c r="K196" s="4">
        <v>44425</v>
      </c>
      <c r="L196" t="s">
        <v>77</v>
      </c>
    </row>
    <row r="197" spans="1:12">
      <c r="A197" t="s">
        <v>684</v>
      </c>
      <c r="B197" t="s">
        <v>2405</v>
      </c>
      <c r="C197" s="6">
        <v>52</v>
      </c>
      <c r="D197" t="s">
        <v>2182</v>
      </c>
      <c r="E197" t="s">
        <v>2224</v>
      </c>
      <c r="F197" t="s">
        <v>2206</v>
      </c>
      <c r="G197" t="s">
        <v>2200</v>
      </c>
      <c r="H197" t="s">
        <v>2186</v>
      </c>
      <c r="I197" t="s">
        <v>2192</v>
      </c>
      <c r="J197" t="s">
        <v>2203</v>
      </c>
      <c r="K197" s="4">
        <v>45825</v>
      </c>
      <c r="L197" t="s">
        <v>77</v>
      </c>
    </row>
    <row r="198" spans="1:12">
      <c r="A198" t="s">
        <v>1606</v>
      </c>
      <c r="B198" t="s">
        <v>2406</v>
      </c>
      <c r="C198" s="6">
        <v>39</v>
      </c>
      <c r="D198" t="s">
        <v>2182</v>
      </c>
      <c r="E198" t="s">
        <v>2227</v>
      </c>
      <c r="F198" t="s">
        <v>2191</v>
      </c>
      <c r="G198" t="s">
        <v>2185</v>
      </c>
      <c r="H198" t="s">
        <v>2186</v>
      </c>
      <c r="I198" t="s">
        <v>2187</v>
      </c>
      <c r="J198" t="s">
        <v>2188</v>
      </c>
      <c r="K198" s="4">
        <v>45746</v>
      </c>
      <c r="L198" t="s">
        <v>64</v>
      </c>
    </row>
    <row r="199" spans="1:12">
      <c r="A199" t="s">
        <v>368</v>
      </c>
      <c r="B199" t="s">
        <v>2293</v>
      </c>
      <c r="C199" s="6">
        <v>53</v>
      </c>
      <c r="D199" t="s">
        <v>2182</v>
      </c>
      <c r="E199" t="s">
        <v>2216</v>
      </c>
      <c r="F199" t="s">
        <v>2206</v>
      </c>
      <c r="G199" t="s">
        <v>2185</v>
      </c>
      <c r="H199" t="s">
        <v>2315</v>
      </c>
      <c r="I199" t="s">
        <v>2192</v>
      </c>
      <c r="J199" t="s">
        <v>2193</v>
      </c>
      <c r="K199" s="4">
        <v>45027</v>
      </c>
      <c r="L199" t="s">
        <v>77</v>
      </c>
    </row>
    <row r="200" spans="1:12">
      <c r="A200" t="s">
        <v>1076</v>
      </c>
      <c r="B200" t="s">
        <v>2407</v>
      </c>
      <c r="C200" s="6">
        <v>53</v>
      </c>
      <c r="D200" t="s">
        <v>2182</v>
      </c>
      <c r="E200" t="s">
        <v>2231</v>
      </c>
      <c r="F200" t="s">
        <v>2212</v>
      </c>
      <c r="G200" t="s">
        <v>2185</v>
      </c>
      <c r="H200" t="s">
        <v>2186</v>
      </c>
      <c r="I200" t="s">
        <v>2187</v>
      </c>
      <c r="J200" t="s">
        <v>2188</v>
      </c>
      <c r="K200" s="4">
        <v>44057</v>
      </c>
      <c r="L200" t="s">
        <v>77</v>
      </c>
    </row>
    <row r="201" spans="1:12">
      <c r="A201" t="s">
        <v>1158</v>
      </c>
      <c r="B201" t="s">
        <v>2408</v>
      </c>
      <c r="C201" s="6">
        <v>57</v>
      </c>
      <c r="D201" t="s">
        <v>2182</v>
      </c>
      <c r="E201" t="s">
        <v>2218</v>
      </c>
      <c r="F201" t="s">
        <v>2219</v>
      </c>
      <c r="G201" t="s">
        <v>2233</v>
      </c>
      <c r="H201" t="s">
        <v>2186</v>
      </c>
      <c r="I201" t="s">
        <v>2187</v>
      </c>
      <c r="J201" t="s">
        <v>2188</v>
      </c>
      <c r="K201" s="4">
        <v>44510</v>
      </c>
      <c r="L201" t="s">
        <v>77</v>
      </c>
    </row>
    <row r="202" spans="1:12">
      <c r="A202" t="s">
        <v>2409</v>
      </c>
      <c r="B202" t="s">
        <v>2410</v>
      </c>
      <c r="C202" s="6">
        <v>47</v>
      </c>
      <c r="D202" t="s">
        <v>2182</v>
      </c>
      <c r="E202" t="s">
        <v>2227</v>
      </c>
      <c r="F202" t="s">
        <v>2191</v>
      </c>
      <c r="G202" t="s">
        <v>2200</v>
      </c>
      <c r="H202" t="s">
        <v>2186</v>
      </c>
      <c r="I202" t="s">
        <v>2187</v>
      </c>
      <c r="J202" t="s">
        <v>2188</v>
      </c>
      <c r="K202" s="4">
        <v>45943</v>
      </c>
      <c r="L202" t="s">
        <v>77</v>
      </c>
    </row>
    <row r="203" spans="1:12">
      <c r="A203" t="s">
        <v>401</v>
      </c>
      <c r="B203" t="s">
        <v>2411</v>
      </c>
      <c r="C203" s="6">
        <v>36</v>
      </c>
      <c r="D203" t="s">
        <v>2182</v>
      </c>
      <c r="E203" t="s">
        <v>2221</v>
      </c>
      <c r="F203" t="s">
        <v>2219</v>
      </c>
      <c r="G203" t="s">
        <v>2225</v>
      </c>
      <c r="H203" t="s">
        <v>2235</v>
      </c>
      <c r="I203" t="s">
        <v>2187</v>
      </c>
      <c r="J203" t="s">
        <v>2203</v>
      </c>
      <c r="K203" s="4">
        <v>45429</v>
      </c>
      <c r="L203" t="s">
        <v>77</v>
      </c>
    </row>
    <row r="204" spans="1:12">
      <c r="A204" t="s">
        <v>809</v>
      </c>
      <c r="B204" t="s">
        <v>2412</v>
      </c>
      <c r="C204" s="6">
        <v>46</v>
      </c>
      <c r="D204" t="s">
        <v>2182</v>
      </c>
      <c r="E204" t="s">
        <v>2190</v>
      </c>
      <c r="F204" t="s">
        <v>2191</v>
      </c>
      <c r="G204" t="s">
        <v>2200</v>
      </c>
      <c r="H204" t="s">
        <v>2186</v>
      </c>
      <c r="I204" t="s">
        <v>2192</v>
      </c>
      <c r="J204" t="s">
        <v>2203</v>
      </c>
      <c r="K204" s="4">
        <v>45427</v>
      </c>
      <c r="L204" t="s">
        <v>64</v>
      </c>
    </row>
    <row r="205" spans="1:12">
      <c r="A205" t="s">
        <v>2413</v>
      </c>
      <c r="B205" t="s">
        <v>2414</v>
      </c>
      <c r="C205" s="6">
        <v>42</v>
      </c>
      <c r="D205" t="s">
        <v>2195</v>
      </c>
      <c r="E205" t="s">
        <v>2227</v>
      </c>
      <c r="F205" t="s">
        <v>2191</v>
      </c>
      <c r="G205" t="s">
        <v>2225</v>
      </c>
      <c r="H205" t="s">
        <v>2197</v>
      </c>
      <c r="I205" t="s">
        <v>2198</v>
      </c>
      <c r="J205" t="s">
        <v>2203</v>
      </c>
      <c r="K205" s="4">
        <v>45025</v>
      </c>
      <c r="L205" t="s">
        <v>77</v>
      </c>
    </row>
    <row r="206" spans="1:12">
      <c r="A206" t="s">
        <v>1947</v>
      </c>
      <c r="B206" t="s">
        <v>2415</v>
      </c>
      <c r="C206" s="6">
        <v>41</v>
      </c>
      <c r="D206" t="s">
        <v>2182</v>
      </c>
      <c r="E206" t="s">
        <v>2205</v>
      </c>
      <c r="F206" t="s">
        <v>2206</v>
      </c>
      <c r="G206" t="s">
        <v>2185</v>
      </c>
      <c r="H206" t="s">
        <v>2235</v>
      </c>
      <c r="I206" t="s">
        <v>2198</v>
      </c>
      <c r="J206" t="s">
        <v>2203</v>
      </c>
      <c r="K206" s="4">
        <v>44777</v>
      </c>
      <c r="L206" t="s">
        <v>64</v>
      </c>
    </row>
    <row r="207" spans="1:12">
      <c r="A207" t="s">
        <v>2416</v>
      </c>
      <c r="B207" t="s">
        <v>2417</v>
      </c>
      <c r="C207" s="6">
        <v>65</v>
      </c>
      <c r="D207" t="s">
        <v>2195</v>
      </c>
      <c r="E207" t="s">
        <v>2183</v>
      </c>
      <c r="F207" t="s">
        <v>2184</v>
      </c>
      <c r="G207" t="s">
        <v>2185</v>
      </c>
      <c r="H207" t="s">
        <v>2186</v>
      </c>
      <c r="I207" t="s">
        <v>2187</v>
      </c>
      <c r="J207" t="s">
        <v>2203</v>
      </c>
      <c r="K207" s="4">
        <v>44534</v>
      </c>
      <c r="L207" t="s">
        <v>77</v>
      </c>
    </row>
    <row r="208" spans="1:12">
      <c r="A208" t="s">
        <v>499</v>
      </c>
      <c r="B208" t="s">
        <v>2271</v>
      </c>
      <c r="C208" s="6">
        <v>39</v>
      </c>
      <c r="D208" t="s">
        <v>2195</v>
      </c>
      <c r="E208" t="s">
        <v>2221</v>
      </c>
      <c r="F208" t="s">
        <v>2219</v>
      </c>
      <c r="G208" t="s">
        <v>2233</v>
      </c>
      <c r="H208" t="s">
        <v>2235</v>
      </c>
      <c r="I208" t="s">
        <v>2187</v>
      </c>
      <c r="J208" t="s">
        <v>2203</v>
      </c>
      <c r="K208" s="4">
        <v>44848</v>
      </c>
      <c r="L208" t="s">
        <v>77</v>
      </c>
    </row>
    <row r="209" spans="1:12">
      <c r="A209" t="s">
        <v>721</v>
      </c>
      <c r="B209" t="s">
        <v>2232</v>
      </c>
      <c r="C209" s="6">
        <v>55</v>
      </c>
      <c r="D209" t="s">
        <v>2195</v>
      </c>
      <c r="E209" t="s">
        <v>2190</v>
      </c>
      <c r="F209" t="s">
        <v>2191</v>
      </c>
      <c r="G209" t="s">
        <v>2213</v>
      </c>
      <c r="H209" t="s">
        <v>2235</v>
      </c>
      <c r="I209" t="s">
        <v>2187</v>
      </c>
      <c r="J209" t="s">
        <v>2203</v>
      </c>
      <c r="K209" s="4">
        <v>45704</v>
      </c>
      <c r="L209" t="s">
        <v>77</v>
      </c>
    </row>
    <row r="210" spans="1:12">
      <c r="A210" t="s">
        <v>602</v>
      </c>
      <c r="B210" t="s">
        <v>2418</v>
      </c>
      <c r="C210" s="6">
        <v>7</v>
      </c>
      <c r="D210" t="s">
        <v>2195</v>
      </c>
      <c r="E210" t="s">
        <v>2183</v>
      </c>
      <c r="F210" t="s">
        <v>2184</v>
      </c>
      <c r="G210" t="s">
        <v>2207</v>
      </c>
      <c r="H210" t="s">
        <v>2186</v>
      </c>
      <c r="I210" t="s">
        <v>2198</v>
      </c>
      <c r="J210" t="s">
        <v>2188</v>
      </c>
      <c r="K210" s="4">
        <v>45155</v>
      </c>
      <c r="L210" t="s">
        <v>77</v>
      </c>
    </row>
    <row r="211" spans="1:12">
      <c r="A211" t="s">
        <v>1020</v>
      </c>
      <c r="B211" t="s">
        <v>2419</v>
      </c>
      <c r="C211" s="6">
        <v>37</v>
      </c>
      <c r="D211" t="s">
        <v>2182</v>
      </c>
      <c r="E211" t="s">
        <v>2216</v>
      </c>
      <c r="F211" t="s">
        <v>2206</v>
      </c>
      <c r="G211" t="s">
        <v>2233</v>
      </c>
      <c r="H211" t="s">
        <v>2186</v>
      </c>
      <c r="I211" t="s">
        <v>2187</v>
      </c>
      <c r="J211" t="s">
        <v>2188</v>
      </c>
      <c r="K211" s="4">
        <v>43713</v>
      </c>
      <c r="L211" t="s">
        <v>77</v>
      </c>
    </row>
    <row r="212" spans="1:12">
      <c r="A212" t="s">
        <v>571</v>
      </c>
      <c r="B212" t="s">
        <v>2420</v>
      </c>
      <c r="C212" s="6">
        <v>41</v>
      </c>
      <c r="D212" t="s">
        <v>2182</v>
      </c>
      <c r="E212" t="s">
        <v>2211</v>
      </c>
      <c r="F212" t="s">
        <v>2212</v>
      </c>
      <c r="G212" t="s">
        <v>2185</v>
      </c>
      <c r="H212" t="s">
        <v>2186</v>
      </c>
      <c r="I212" t="s">
        <v>2187</v>
      </c>
      <c r="J212" t="s">
        <v>2188</v>
      </c>
      <c r="K212" s="4">
        <v>44591</v>
      </c>
      <c r="L212" t="s">
        <v>77</v>
      </c>
    </row>
    <row r="213" spans="1:12">
      <c r="A213" t="s">
        <v>2421</v>
      </c>
      <c r="B213" t="s">
        <v>2422</v>
      </c>
      <c r="C213" s="6">
        <v>40</v>
      </c>
      <c r="D213" t="s">
        <v>2182</v>
      </c>
      <c r="E213" t="s">
        <v>2196</v>
      </c>
      <c r="F213" t="s">
        <v>2184</v>
      </c>
      <c r="G213" t="s">
        <v>2225</v>
      </c>
      <c r="H213" t="s">
        <v>2186</v>
      </c>
      <c r="I213" t="s">
        <v>2192</v>
      </c>
      <c r="J213" t="s">
        <v>2203</v>
      </c>
      <c r="K213" s="4">
        <v>45613</v>
      </c>
      <c r="L213" t="s">
        <v>77</v>
      </c>
    </row>
    <row r="214" spans="1:12">
      <c r="A214" t="s">
        <v>555</v>
      </c>
      <c r="B214" t="s">
        <v>2338</v>
      </c>
      <c r="C214" s="6">
        <v>48</v>
      </c>
      <c r="D214" t="s">
        <v>2195</v>
      </c>
      <c r="E214" t="s">
        <v>2244</v>
      </c>
      <c r="F214" t="s">
        <v>2206</v>
      </c>
      <c r="G214" t="s">
        <v>2207</v>
      </c>
      <c r="H214" t="s">
        <v>2315</v>
      </c>
      <c r="I214" t="s">
        <v>2187</v>
      </c>
      <c r="J214" t="s">
        <v>2203</v>
      </c>
      <c r="K214" s="4">
        <v>44462</v>
      </c>
      <c r="L214" t="s">
        <v>64</v>
      </c>
    </row>
    <row r="215" spans="1:12">
      <c r="A215" t="s">
        <v>109</v>
      </c>
      <c r="B215" t="s">
        <v>2350</v>
      </c>
      <c r="C215" s="6">
        <v>29</v>
      </c>
      <c r="D215" t="s">
        <v>2182</v>
      </c>
      <c r="E215" t="s">
        <v>2183</v>
      </c>
      <c r="F215" t="s">
        <v>2184</v>
      </c>
      <c r="G215" t="s">
        <v>2213</v>
      </c>
      <c r="H215" t="s">
        <v>2197</v>
      </c>
      <c r="I215" t="s">
        <v>2187</v>
      </c>
      <c r="J215" t="s">
        <v>2188</v>
      </c>
      <c r="K215" s="4">
        <v>45126</v>
      </c>
      <c r="L215" t="s">
        <v>77</v>
      </c>
    </row>
    <row r="216" spans="1:12">
      <c r="A216" t="s">
        <v>148</v>
      </c>
      <c r="B216" t="s">
        <v>2423</v>
      </c>
      <c r="C216" s="6">
        <v>23</v>
      </c>
      <c r="D216" t="s">
        <v>2195</v>
      </c>
      <c r="E216" t="s">
        <v>2183</v>
      </c>
      <c r="F216" t="s">
        <v>2184</v>
      </c>
      <c r="G216" t="s">
        <v>2213</v>
      </c>
      <c r="H216" t="s">
        <v>2186</v>
      </c>
      <c r="I216" t="s">
        <v>2198</v>
      </c>
      <c r="J216" t="s">
        <v>2188</v>
      </c>
      <c r="K216" s="4">
        <v>45783</v>
      </c>
      <c r="L216" t="s">
        <v>64</v>
      </c>
    </row>
    <row r="217" spans="1:12">
      <c r="A217" t="s">
        <v>2102</v>
      </c>
      <c r="B217" t="s">
        <v>2424</v>
      </c>
      <c r="C217" s="6">
        <v>20</v>
      </c>
      <c r="D217" t="s">
        <v>2195</v>
      </c>
      <c r="E217" t="s">
        <v>2196</v>
      </c>
      <c r="F217" t="s">
        <v>2184</v>
      </c>
      <c r="G217" t="s">
        <v>2225</v>
      </c>
      <c r="H217" t="s">
        <v>2208</v>
      </c>
      <c r="I217" t="s">
        <v>2192</v>
      </c>
      <c r="J217" t="s">
        <v>2203</v>
      </c>
      <c r="K217" s="4">
        <v>45413</v>
      </c>
      <c r="L217" t="s">
        <v>77</v>
      </c>
    </row>
    <row r="218" spans="1:12">
      <c r="A218" t="s">
        <v>524</v>
      </c>
      <c r="B218" t="s">
        <v>2425</v>
      </c>
      <c r="C218" s="6">
        <v>62</v>
      </c>
      <c r="D218" t="s">
        <v>2195</v>
      </c>
      <c r="E218" t="s">
        <v>2196</v>
      </c>
      <c r="F218" t="s">
        <v>2184</v>
      </c>
      <c r="G218" t="s">
        <v>2207</v>
      </c>
      <c r="H218" t="s">
        <v>2272</v>
      </c>
      <c r="I218" t="s">
        <v>2187</v>
      </c>
      <c r="J218" t="s">
        <v>2203</v>
      </c>
      <c r="K218" s="4">
        <v>44314</v>
      </c>
      <c r="L218" t="s">
        <v>77</v>
      </c>
    </row>
    <row r="219" spans="1:12">
      <c r="A219" t="s">
        <v>336</v>
      </c>
      <c r="B219" t="s">
        <v>2348</v>
      </c>
      <c r="C219" s="6">
        <v>28</v>
      </c>
      <c r="D219" t="s">
        <v>2195</v>
      </c>
      <c r="E219" t="s">
        <v>2221</v>
      </c>
      <c r="F219" t="s">
        <v>2219</v>
      </c>
      <c r="G219" t="s">
        <v>2185</v>
      </c>
      <c r="H219" t="s">
        <v>2186</v>
      </c>
      <c r="I219" t="s">
        <v>2198</v>
      </c>
      <c r="J219" t="s">
        <v>2188</v>
      </c>
      <c r="K219" s="4">
        <v>45059</v>
      </c>
      <c r="L219" t="s">
        <v>77</v>
      </c>
    </row>
    <row r="220" spans="1:12">
      <c r="A220" t="s">
        <v>801</v>
      </c>
      <c r="B220" t="s">
        <v>2371</v>
      </c>
      <c r="C220" s="6">
        <v>43</v>
      </c>
      <c r="D220" t="s">
        <v>2182</v>
      </c>
      <c r="E220" t="s">
        <v>2190</v>
      </c>
      <c r="F220" t="s">
        <v>2191</v>
      </c>
      <c r="G220" t="s">
        <v>2207</v>
      </c>
      <c r="H220" t="s">
        <v>2186</v>
      </c>
      <c r="I220" t="s">
        <v>2198</v>
      </c>
      <c r="J220" t="s">
        <v>2188</v>
      </c>
      <c r="K220" s="4">
        <v>44882</v>
      </c>
      <c r="L220" t="s">
        <v>77</v>
      </c>
    </row>
    <row r="221" spans="1:12">
      <c r="A221" t="s">
        <v>675</v>
      </c>
      <c r="B221" t="s">
        <v>2426</v>
      </c>
      <c r="C221" s="6">
        <v>32</v>
      </c>
      <c r="D221" t="s">
        <v>2195</v>
      </c>
      <c r="E221" t="s">
        <v>2238</v>
      </c>
      <c r="F221" t="s">
        <v>2212</v>
      </c>
      <c r="G221" t="s">
        <v>2233</v>
      </c>
      <c r="H221" t="s">
        <v>2197</v>
      </c>
      <c r="I221" t="s">
        <v>2187</v>
      </c>
      <c r="J221" t="s">
        <v>2188</v>
      </c>
      <c r="K221" s="4">
        <v>44802</v>
      </c>
      <c r="L221" t="s">
        <v>77</v>
      </c>
    </row>
    <row r="222" spans="1:12">
      <c r="A222" t="s">
        <v>459</v>
      </c>
      <c r="B222" t="s">
        <v>2427</v>
      </c>
      <c r="C222" s="6">
        <v>46</v>
      </c>
      <c r="D222" t="s">
        <v>2195</v>
      </c>
      <c r="E222" t="s">
        <v>2277</v>
      </c>
      <c r="F222" t="s">
        <v>2191</v>
      </c>
      <c r="G222" t="s">
        <v>2207</v>
      </c>
      <c r="H222" t="s">
        <v>2197</v>
      </c>
      <c r="I222" t="s">
        <v>2198</v>
      </c>
      <c r="J222" t="s">
        <v>2203</v>
      </c>
      <c r="K222" s="4">
        <v>43817</v>
      </c>
      <c r="L222" t="s">
        <v>77</v>
      </c>
    </row>
    <row r="223" spans="1:12">
      <c r="A223" t="s">
        <v>617</v>
      </c>
      <c r="B223" t="s">
        <v>2428</v>
      </c>
      <c r="C223" s="6">
        <v>66</v>
      </c>
      <c r="D223" t="s">
        <v>2195</v>
      </c>
      <c r="E223" t="s">
        <v>2277</v>
      </c>
      <c r="F223" t="s">
        <v>2191</v>
      </c>
      <c r="G223" t="s">
        <v>2207</v>
      </c>
      <c r="H223" t="s">
        <v>2197</v>
      </c>
      <c r="I223" t="s">
        <v>2198</v>
      </c>
      <c r="J223" t="s">
        <v>2193</v>
      </c>
      <c r="K223" s="4">
        <v>44097</v>
      </c>
      <c r="L223" t="s">
        <v>77</v>
      </c>
    </row>
    <row r="224" spans="1:12">
      <c r="A224" t="s">
        <v>1921</v>
      </c>
      <c r="B224" t="s">
        <v>2429</v>
      </c>
      <c r="C224" s="6">
        <v>81</v>
      </c>
      <c r="D224" t="s">
        <v>2195</v>
      </c>
      <c r="E224" t="s">
        <v>2238</v>
      </c>
      <c r="F224" t="s">
        <v>2212</v>
      </c>
      <c r="G224" t="s">
        <v>2185</v>
      </c>
      <c r="H224" t="s">
        <v>2197</v>
      </c>
      <c r="I224" t="s">
        <v>2187</v>
      </c>
      <c r="J224" t="s">
        <v>2193</v>
      </c>
      <c r="K224" s="4">
        <v>44233</v>
      </c>
      <c r="L224" t="s">
        <v>77</v>
      </c>
    </row>
    <row r="225" spans="1:12">
      <c r="A225" t="s">
        <v>2430</v>
      </c>
      <c r="B225" t="s">
        <v>2391</v>
      </c>
      <c r="C225" s="6">
        <v>67</v>
      </c>
      <c r="D225" t="s">
        <v>2195</v>
      </c>
      <c r="E225" t="s">
        <v>2205</v>
      </c>
      <c r="F225" t="s">
        <v>2206</v>
      </c>
      <c r="G225" t="s">
        <v>2213</v>
      </c>
      <c r="H225" t="s">
        <v>2197</v>
      </c>
      <c r="I225" t="s">
        <v>2187</v>
      </c>
      <c r="J225" t="s">
        <v>2193</v>
      </c>
      <c r="K225" s="4">
        <v>45915</v>
      </c>
      <c r="L225" t="s">
        <v>77</v>
      </c>
    </row>
    <row r="226" spans="1:12">
      <c r="A226" t="s">
        <v>886</v>
      </c>
      <c r="B226" t="s">
        <v>2431</v>
      </c>
      <c r="C226" s="6">
        <v>38</v>
      </c>
      <c r="D226" t="s">
        <v>2195</v>
      </c>
      <c r="E226" t="s">
        <v>2196</v>
      </c>
      <c r="F226" t="s">
        <v>2184</v>
      </c>
      <c r="G226" t="s">
        <v>2222</v>
      </c>
      <c r="H226" t="s">
        <v>2197</v>
      </c>
      <c r="I226" t="s">
        <v>2192</v>
      </c>
      <c r="J226" t="s">
        <v>2193</v>
      </c>
      <c r="K226" s="4">
        <v>44460</v>
      </c>
      <c r="L226" t="s">
        <v>77</v>
      </c>
    </row>
    <row r="227" spans="1:12">
      <c r="A227" t="s">
        <v>88</v>
      </c>
      <c r="B227" t="s">
        <v>2432</v>
      </c>
      <c r="C227" s="6">
        <v>61</v>
      </c>
      <c r="D227" t="s">
        <v>2195</v>
      </c>
      <c r="E227" t="s">
        <v>2224</v>
      </c>
      <c r="F227" t="s">
        <v>2206</v>
      </c>
      <c r="G227" t="s">
        <v>2233</v>
      </c>
      <c r="H227" t="s">
        <v>2197</v>
      </c>
      <c r="I227" t="s">
        <v>2187</v>
      </c>
      <c r="J227" t="s">
        <v>2203</v>
      </c>
      <c r="K227" s="4">
        <v>44150</v>
      </c>
      <c r="L227" t="s">
        <v>77</v>
      </c>
    </row>
    <row r="228" spans="1:12">
      <c r="A228" t="s">
        <v>2126</v>
      </c>
      <c r="B228" t="s">
        <v>2433</v>
      </c>
      <c r="C228" s="6">
        <v>46</v>
      </c>
      <c r="D228" t="s">
        <v>2182</v>
      </c>
      <c r="E228" t="s">
        <v>2190</v>
      </c>
      <c r="F228" t="s">
        <v>2191</v>
      </c>
      <c r="G228" t="s">
        <v>2213</v>
      </c>
      <c r="H228" t="s">
        <v>2197</v>
      </c>
      <c r="I228" t="s">
        <v>2187</v>
      </c>
      <c r="J228" t="s">
        <v>2203</v>
      </c>
      <c r="K228" s="4">
        <v>44266</v>
      </c>
      <c r="L228" t="s">
        <v>77</v>
      </c>
    </row>
    <row r="229" spans="1:12">
      <c r="A229" t="s">
        <v>941</v>
      </c>
      <c r="B229" t="s">
        <v>2434</v>
      </c>
      <c r="C229" s="6">
        <v>25</v>
      </c>
      <c r="D229" t="s">
        <v>2182</v>
      </c>
      <c r="E229" t="s">
        <v>2244</v>
      </c>
      <c r="F229" t="s">
        <v>2206</v>
      </c>
      <c r="G229" t="s">
        <v>2222</v>
      </c>
      <c r="H229" t="s">
        <v>2208</v>
      </c>
      <c r="I229" t="s">
        <v>2187</v>
      </c>
      <c r="J229" t="s">
        <v>2188</v>
      </c>
      <c r="K229" s="4">
        <v>44815</v>
      </c>
      <c r="L229" t="s">
        <v>77</v>
      </c>
    </row>
    <row r="230" spans="1:12">
      <c r="A230" t="s">
        <v>956</v>
      </c>
      <c r="B230" t="s">
        <v>2383</v>
      </c>
      <c r="C230" s="6">
        <v>34</v>
      </c>
      <c r="D230" t="s">
        <v>2182</v>
      </c>
      <c r="E230" t="s">
        <v>2231</v>
      </c>
      <c r="F230" t="s">
        <v>2212</v>
      </c>
      <c r="G230" t="s">
        <v>2200</v>
      </c>
      <c r="H230" t="s">
        <v>2186</v>
      </c>
      <c r="I230" t="s">
        <v>2192</v>
      </c>
      <c r="J230" t="s">
        <v>2188</v>
      </c>
      <c r="K230" s="4">
        <v>44773</v>
      </c>
      <c r="L230" t="s">
        <v>77</v>
      </c>
    </row>
    <row r="231" spans="1:12">
      <c r="A231" t="s">
        <v>512</v>
      </c>
      <c r="B231" t="s">
        <v>2367</v>
      </c>
      <c r="C231" s="6">
        <v>67</v>
      </c>
      <c r="D231" t="s">
        <v>2195</v>
      </c>
      <c r="E231" t="s">
        <v>2224</v>
      </c>
      <c r="F231" t="s">
        <v>2206</v>
      </c>
      <c r="G231" t="s">
        <v>2222</v>
      </c>
      <c r="H231" t="s">
        <v>2272</v>
      </c>
      <c r="I231" t="s">
        <v>2187</v>
      </c>
      <c r="J231" t="s">
        <v>2193</v>
      </c>
      <c r="K231" s="4">
        <v>43932</v>
      </c>
      <c r="L231" t="s">
        <v>64</v>
      </c>
    </row>
    <row r="232" spans="1:12">
      <c r="A232" t="s">
        <v>858</v>
      </c>
      <c r="B232" t="s">
        <v>2435</v>
      </c>
      <c r="C232" s="6">
        <v>33</v>
      </c>
      <c r="D232" t="s">
        <v>2182</v>
      </c>
      <c r="E232" t="s">
        <v>2231</v>
      </c>
      <c r="F232" t="s">
        <v>2212</v>
      </c>
      <c r="G232" t="s">
        <v>2233</v>
      </c>
      <c r="H232" t="s">
        <v>2315</v>
      </c>
      <c r="I232" t="s">
        <v>2187</v>
      </c>
      <c r="J232" t="s">
        <v>2188</v>
      </c>
      <c r="K232" s="4">
        <v>44659</v>
      </c>
      <c r="L232" t="s">
        <v>77</v>
      </c>
    </row>
    <row r="233" spans="1:12">
      <c r="A233" t="s">
        <v>1277</v>
      </c>
      <c r="B233" t="s">
        <v>2349</v>
      </c>
      <c r="C233" s="6">
        <v>21</v>
      </c>
      <c r="D233" t="s">
        <v>2195</v>
      </c>
      <c r="E233" t="s">
        <v>2224</v>
      </c>
      <c r="F233" t="s">
        <v>2206</v>
      </c>
      <c r="G233" t="s">
        <v>2233</v>
      </c>
      <c r="H233" t="s">
        <v>2186</v>
      </c>
      <c r="I233" t="s">
        <v>2198</v>
      </c>
      <c r="J233" t="s">
        <v>2188</v>
      </c>
      <c r="K233" s="4">
        <v>45199</v>
      </c>
      <c r="L233" t="s">
        <v>77</v>
      </c>
    </row>
    <row r="234" spans="1:12">
      <c r="A234" t="s">
        <v>1072</v>
      </c>
      <c r="B234" t="s">
        <v>2436</v>
      </c>
      <c r="C234" s="6">
        <v>22</v>
      </c>
      <c r="D234" t="s">
        <v>2182</v>
      </c>
      <c r="E234" t="s">
        <v>2183</v>
      </c>
      <c r="F234" t="s">
        <v>2184</v>
      </c>
      <c r="G234" t="s">
        <v>2207</v>
      </c>
      <c r="H234" t="s">
        <v>2197</v>
      </c>
      <c r="I234" t="s">
        <v>2187</v>
      </c>
      <c r="J234" t="s">
        <v>2188</v>
      </c>
      <c r="K234" s="4">
        <v>44938</v>
      </c>
      <c r="L234" t="s">
        <v>77</v>
      </c>
    </row>
    <row r="235" spans="1:12">
      <c r="A235" t="s">
        <v>1496</v>
      </c>
      <c r="B235" t="s">
        <v>2437</v>
      </c>
      <c r="C235" s="6">
        <v>31</v>
      </c>
      <c r="D235" t="s">
        <v>2195</v>
      </c>
      <c r="E235" t="s">
        <v>2227</v>
      </c>
      <c r="F235" t="s">
        <v>2191</v>
      </c>
      <c r="G235" t="s">
        <v>2202</v>
      </c>
      <c r="H235" t="s">
        <v>2197</v>
      </c>
      <c r="I235" t="s">
        <v>2187</v>
      </c>
      <c r="J235" t="s">
        <v>2188</v>
      </c>
      <c r="K235" s="4">
        <v>45975</v>
      </c>
      <c r="L235" t="s">
        <v>77</v>
      </c>
    </row>
    <row r="236" spans="1:12">
      <c r="A236" t="s">
        <v>2438</v>
      </c>
      <c r="B236" t="s">
        <v>2439</v>
      </c>
      <c r="C236" s="6">
        <v>62</v>
      </c>
      <c r="D236" t="s">
        <v>2195</v>
      </c>
      <c r="E236" t="s">
        <v>2224</v>
      </c>
      <c r="F236" t="s">
        <v>2206</v>
      </c>
      <c r="G236" t="s">
        <v>2233</v>
      </c>
      <c r="H236" t="s">
        <v>2186</v>
      </c>
      <c r="I236" t="s">
        <v>2198</v>
      </c>
      <c r="J236" t="s">
        <v>2203</v>
      </c>
      <c r="K236" s="4">
        <v>45751</v>
      </c>
      <c r="L236" t="s">
        <v>77</v>
      </c>
    </row>
    <row r="237" spans="1:12">
      <c r="A237" t="s">
        <v>978</v>
      </c>
      <c r="B237" t="s">
        <v>2440</v>
      </c>
      <c r="C237" s="6">
        <v>38</v>
      </c>
      <c r="D237" t="s">
        <v>2195</v>
      </c>
      <c r="E237" t="s">
        <v>2231</v>
      </c>
      <c r="F237" t="s">
        <v>2212</v>
      </c>
      <c r="G237" t="s">
        <v>2207</v>
      </c>
      <c r="H237" t="s">
        <v>2235</v>
      </c>
      <c r="I237" t="s">
        <v>2187</v>
      </c>
      <c r="J237" t="s">
        <v>2203</v>
      </c>
      <c r="K237" s="4">
        <v>45515</v>
      </c>
      <c r="L237" t="s">
        <v>77</v>
      </c>
    </row>
    <row r="238" spans="1:12">
      <c r="A238" t="s">
        <v>495</v>
      </c>
      <c r="B238" t="s">
        <v>2441</v>
      </c>
      <c r="C238" s="6">
        <v>30</v>
      </c>
      <c r="D238" t="s">
        <v>2195</v>
      </c>
      <c r="E238" t="s">
        <v>2183</v>
      </c>
      <c r="F238" t="s">
        <v>2184</v>
      </c>
      <c r="G238" t="s">
        <v>2233</v>
      </c>
      <c r="H238" t="s">
        <v>2315</v>
      </c>
      <c r="I238" t="s">
        <v>2187</v>
      </c>
      <c r="J238" t="s">
        <v>2188</v>
      </c>
      <c r="K238" s="4">
        <v>44743</v>
      </c>
      <c r="L238" t="s">
        <v>77</v>
      </c>
    </row>
    <row r="239" spans="1:12">
      <c r="A239" t="s">
        <v>532</v>
      </c>
      <c r="B239" t="s">
        <v>2442</v>
      </c>
      <c r="C239" s="6">
        <v>84</v>
      </c>
      <c r="D239" t="s">
        <v>2195</v>
      </c>
      <c r="E239" t="s">
        <v>2205</v>
      </c>
      <c r="F239" t="s">
        <v>2206</v>
      </c>
      <c r="G239" t="s">
        <v>2213</v>
      </c>
      <c r="H239" t="s">
        <v>2197</v>
      </c>
      <c r="I239" t="s">
        <v>2198</v>
      </c>
      <c r="J239" t="s">
        <v>2193</v>
      </c>
      <c r="K239" s="4">
        <v>44772</v>
      </c>
      <c r="L239" t="s">
        <v>77</v>
      </c>
    </row>
    <row r="240" spans="1:12">
      <c r="A240" t="s">
        <v>379</v>
      </c>
      <c r="B240" t="s">
        <v>2362</v>
      </c>
      <c r="C240" s="6">
        <v>59</v>
      </c>
      <c r="D240" t="s">
        <v>2182</v>
      </c>
      <c r="E240" t="s">
        <v>2277</v>
      </c>
      <c r="F240" t="s">
        <v>2191</v>
      </c>
      <c r="G240" t="s">
        <v>2185</v>
      </c>
      <c r="H240" t="s">
        <v>2272</v>
      </c>
      <c r="I240" t="s">
        <v>2198</v>
      </c>
      <c r="J240" t="s">
        <v>2193</v>
      </c>
      <c r="K240" s="4">
        <v>45579</v>
      </c>
      <c r="L240" t="s">
        <v>77</v>
      </c>
    </row>
    <row r="241" spans="1:12">
      <c r="A241" t="s">
        <v>1664</v>
      </c>
      <c r="B241" t="s">
        <v>2443</v>
      </c>
      <c r="C241" s="6">
        <v>20</v>
      </c>
      <c r="D241" t="s">
        <v>2182</v>
      </c>
      <c r="E241" t="s">
        <v>2227</v>
      </c>
      <c r="F241" t="s">
        <v>2191</v>
      </c>
      <c r="G241" t="s">
        <v>2213</v>
      </c>
      <c r="H241" t="s">
        <v>2235</v>
      </c>
      <c r="I241" t="s">
        <v>2187</v>
      </c>
      <c r="J241" t="s">
        <v>2188</v>
      </c>
      <c r="K241" s="4">
        <v>44229</v>
      </c>
      <c r="L241" t="s">
        <v>77</v>
      </c>
    </row>
    <row r="242" spans="1:12">
      <c r="A242" t="s">
        <v>771</v>
      </c>
      <c r="B242" t="s">
        <v>2357</v>
      </c>
      <c r="C242" s="6">
        <v>39</v>
      </c>
      <c r="D242" t="s">
        <v>2195</v>
      </c>
      <c r="E242" t="s">
        <v>2211</v>
      </c>
      <c r="F242" t="s">
        <v>2212</v>
      </c>
      <c r="G242" t="s">
        <v>2207</v>
      </c>
      <c r="H242" t="s">
        <v>2186</v>
      </c>
      <c r="I242" t="s">
        <v>2198</v>
      </c>
      <c r="J242" t="s">
        <v>2188</v>
      </c>
      <c r="K242" s="4">
        <v>44308</v>
      </c>
      <c r="L242" t="s">
        <v>77</v>
      </c>
    </row>
    <row r="243" spans="1:12">
      <c r="A243" t="s">
        <v>1878</v>
      </c>
      <c r="B243" t="s">
        <v>2444</v>
      </c>
      <c r="C243" s="6">
        <v>3</v>
      </c>
      <c r="D243" t="s">
        <v>2182</v>
      </c>
      <c r="E243" t="s">
        <v>2218</v>
      </c>
      <c r="F243" t="s">
        <v>2219</v>
      </c>
      <c r="G243" t="s">
        <v>2202</v>
      </c>
      <c r="H243" t="s">
        <v>2186</v>
      </c>
      <c r="I243" t="s">
        <v>2187</v>
      </c>
      <c r="J243" t="s">
        <v>2188</v>
      </c>
      <c r="K243" s="4">
        <v>45340</v>
      </c>
      <c r="L243" t="s">
        <v>77</v>
      </c>
    </row>
    <row r="244" spans="1:12">
      <c r="A244" t="s">
        <v>866</v>
      </c>
      <c r="B244" t="s">
        <v>2445</v>
      </c>
      <c r="C244" s="6">
        <v>21</v>
      </c>
      <c r="D244" t="s">
        <v>2182</v>
      </c>
      <c r="E244" t="s">
        <v>2244</v>
      </c>
      <c r="F244" t="s">
        <v>2206</v>
      </c>
      <c r="G244" t="s">
        <v>2207</v>
      </c>
      <c r="H244" t="s">
        <v>2186</v>
      </c>
      <c r="I244" t="s">
        <v>2187</v>
      </c>
      <c r="J244" t="s">
        <v>2188</v>
      </c>
      <c r="K244" s="4">
        <v>44172</v>
      </c>
      <c r="L244" t="s">
        <v>77</v>
      </c>
    </row>
    <row r="245" spans="1:12">
      <c r="A245" t="s">
        <v>1376</v>
      </c>
      <c r="B245" t="s">
        <v>2446</v>
      </c>
      <c r="C245" s="6">
        <v>28</v>
      </c>
      <c r="D245" t="s">
        <v>2182</v>
      </c>
      <c r="E245" t="s">
        <v>2244</v>
      </c>
      <c r="F245" t="s">
        <v>2206</v>
      </c>
      <c r="G245" t="s">
        <v>2185</v>
      </c>
      <c r="H245" t="s">
        <v>2186</v>
      </c>
      <c r="I245" t="s">
        <v>2187</v>
      </c>
      <c r="J245" t="s">
        <v>2188</v>
      </c>
      <c r="K245" s="4">
        <v>44215</v>
      </c>
      <c r="L245" t="s">
        <v>77</v>
      </c>
    </row>
    <row r="246" spans="1:12">
      <c r="A246" t="s">
        <v>1906</v>
      </c>
      <c r="B246" t="s">
        <v>2447</v>
      </c>
      <c r="C246" s="6">
        <v>33</v>
      </c>
      <c r="D246" t="s">
        <v>2195</v>
      </c>
      <c r="E246" t="s">
        <v>2277</v>
      </c>
      <c r="F246" t="s">
        <v>2191</v>
      </c>
      <c r="G246" t="s">
        <v>2222</v>
      </c>
      <c r="H246" t="s">
        <v>2186</v>
      </c>
      <c r="I246" t="s">
        <v>2187</v>
      </c>
      <c r="J246" t="s">
        <v>2188</v>
      </c>
      <c r="K246" s="4">
        <v>44175</v>
      </c>
      <c r="L246" t="s">
        <v>77</v>
      </c>
    </row>
    <row r="247" spans="1:12">
      <c r="A247" t="s">
        <v>1107</v>
      </c>
      <c r="B247" t="s">
        <v>2278</v>
      </c>
      <c r="C247" s="6">
        <v>48</v>
      </c>
      <c r="D247" t="s">
        <v>2195</v>
      </c>
      <c r="E247" t="s">
        <v>2183</v>
      </c>
      <c r="F247" t="s">
        <v>2184</v>
      </c>
      <c r="G247" t="s">
        <v>2200</v>
      </c>
      <c r="H247" t="s">
        <v>2186</v>
      </c>
      <c r="I247" t="s">
        <v>2187</v>
      </c>
      <c r="J247" t="s">
        <v>2188</v>
      </c>
      <c r="K247" s="4">
        <v>44936</v>
      </c>
      <c r="L247" t="s">
        <v>64</v>
      </c>
    </row>
    <row r="248" spans="1:12">
      <c r="A248" t="s">
        <v>466</v>
      </c>
      <c r="B248" t="s">
        <v>2448</v>
      </c>
      <c r="C248" s="6">
        <v>62</v>
      </c>
      <c r="D248" t="s">
        <v>2182</v>
      </c>
      <c r="E248" t="s">
        <v>2231</v>
      </c>
      <c r="F248" t="s">
        <v>2212</v>
      </c>
      <c r="G248" t="s">
        <v>2213</v>
      </c>
      <c r="H248" t="s">
        <v>2197</v>
      </c>
      <c r="I248" t="s">
        <v>2187</v>
      </c>
      <c r="J248" t="s">
        <v>2203</v>
      </c>
      <c r="K248" s="4">
        <v>45284</v>
      </c>
      <c r="L248" t="s">
        <v>77</v>
      </c>
    </row>
    <row r="249" spans="1:12">
      <c r="A249" t="s">
        <v>2140</v>
      </c>
      <c r="B249" t="s">
        <v>2449</v>
      </c>
      <c r="C249" s="6">
        <v>1</v>
      </c>
      <c r="D249" t="s">
        <v>2182</v>
      </c>
      <c r="E249" t="s">
        <v>2227</v>
      </c>
      <c r="F249" t="s">
        <v>2191</v>
      </c>
      <c r="G249" t="s">
        <v>2233</v>
      </c>
      <c r="H249" t="s">
        <v>2186</v>
      </c>
      <c r="I249" t="s">
        <v>2187</v>
      </c>
      <c r="J249" t="s">
        <v>2188</v>
      </c>
      <c r="K249" s="4">
        <v>45668</v>
      </c>
      <c r="L249" t="s">
        <v>77</v>
      </c>
    </row>
    <row r="250" spans="1:12">
      <c r="A250" t="s">
        <v>1091</v>
      </c>
      <c r="B250" t="s">
        <v>2450</v>
      </c>
      <c r="C250" s="6">
        <v>34</v>
      </c>
      <c r="D250" t="s">
        <v>2195</v>
      </c>
      <c r="E250" t="s">
        <v>2238</v>
      </c>
      <c r="F250" t="s">
        <v>2212</v>
      </c>
      <c r="G250" t="s">
        <v>2200</v>
      </c>
      <c r="H250" t="s">
        <v>2186</v>
      </c>
      <c r="I250" t="s">
        <v>2192</v>
      </c>
      <c r="J250" t="s">
        <v>2188</v>
      </c>
      <c r="K250" s="4">
        <v>45686</v>
      </c>
      <c r="L250" t="s">
        <v>77</v>
      </c>
    </row>
    <row r="251" spans="1:12">
      <c r="A251" t="s">
        <v>1085</v>
      </c>
      <c r="B251" t="s">
        <v>2450</v>
      </c>
      <c r="C251" s="6">
        <v>40</v>
      </c>
      <c r="D251" t="s">
        <v>2182</v>
      </c>
      <c r="E251" t="s">
        <v>2205</v>
      </c>
      <c r="F251" t="s">
        <v>2206</v>
      </c>
      <c r="G251" t="s">
        <v>2225</v>
      </c>
      <c r="H251" t="s">
        <v>2235</v>
      </c>
      <c r="I251" t="s">
        <v>2198</v>
      </c>
      <c r="J251" t="s">
        <v>2203</v>
      </c>
      <c r="K251" s="4">
        <v>44479</v>
      </c>
      <c r="L251" t="s">
        <v>77</v>
      </c>
    </row>
    <row r="252" spans="1:12">
      <c r="A252" t="s">
        <v>392</v>
      </c>
      <c r="B252" t="s">
        <v>2451</v>
      </c>
      <c r="C252" s="6">
        <v>22</v>
      </c>
      <c r="D252" t="s">
        <v>2195</v>
      </c>
      <c r="E252" t="s">
        <v>2205</v>
      </c>
      <c r="F252" t="s">
        <v>2206</v>
      </c>
      <c r="G252" t="s">
        <v>2185</v>
      </c>
      <c r="H252" t="s">
        <v>2235</v>
      </c>
      <c r="I252" t="s">
        <v>2187</v>
      </c>
      <c r="J252" t="s">
        <v>2188</v>
      </c>
      <c r="K252" s="4">
        <v>45874</v>
      </c>
      <c r="L252" t="s">
        <v>77</v>
      </c>
    </row>
    <row r="253" spans="1:12">
      <c r="A253" t="s">
        <v>362</v>
      </c>
      <c r="B253" t="s">
        <v>2452</v>
      </c>
      <c r="C253" s="6">
        <v>71</v>
      </c>
      <c r="D253" t="s">
        <v>2195</v>
      </c>
      <c r="E253" t="s">
        <v>2277</v>
      </c>
      <c r="F253" t="s">
        <v>2191</v>
      </c>
      <c r="G253" t="s">
        <v>2222</v>
      </c>
      <c r="H253" t="s">
        <v>2272</v>
      </c>
      <c r="I253" t="s">
        <v>2198</v>
      </c>
      <c r="J253" t="s">
        <v>2193</v>
      </c>
      <c r="K253" s="4">
        <v>43709</v>
      </c>
      <c r="L253" t="s">
        <v>77</v>
      </c>
    </row>
    <row r="254" spans="1:12">
      <c r="A254" t="s">
        <v>126</v>
      </c>
      <c r="B254" t="s">
        <v>2453</v>
      </c>
      <c r="C254" s="6">
        <v>29</v>
      </c>
      <c r="D254" t="s">
        <v>2195</v>
      </c>
      <c r="E254" t="s">
        <v>2224</v>
      </c>
      <c r="F254" t="s">
        <v>2206</v>
      </c>
      <c r="G254" t="s">
        <v>2213</v>
      </c>
      <c r="H254" t="s">
        <v>2315</v>
      </c>
      <c r="I254" t="s">
        <v>2187</v>
      </c>
      <c r="J254" t="s">
        <v>2188</v>
      </c>
      <c r="K254" s="4">
        <v>43856</v>
      </c>
      <c r="L254" t="s">
        <v>77</v>
      </c>
    </row>
    <row r="255" spans="1:12">
      <c r="A255" t="s">
        <v>1734</v>
      </c>
      <c r="B255" t="s">
        <v>2454</v>
      </c>
      <c r="C255" s="6">
        <v>69</v>
      </c>
      <c r="D255" t="s">
        <v>2455</v>
      </c>
      <c r="E255" t="s">
        <v>2183</v>
      </c>
      <c r="F255" t="s">
        <v>2184</v>
      </c>
      <c r="G255" t="s">
        <v>2200</v>
      </c>
      <c r="H255" t="s">
        <v>2235</v>
      </c>
      <c r="I255" t="s">
        <v>2198</v>
      </c>
      <c r="J255" t="s">
        <v>2193</v>
      </c>
      <c r="K255" s="4">
        <v>44009</v>
      </c>
      <c r="L255" t="s">
        <v>77</v>
      </c>
    </row>
    <row r="256" spans="1:12">
      <c r="A256" t="s">
        <v>427</v>
      </c>
      <c r="B256" t="s">
        <v>2408</v>
      </c>
      <c r="C256" s="6">
        <v>45</v>
      </c>
      <c r="D256" t="s">
        <v>2195</v>
      </c>
      <c r="E256" t="s">
        <v>2221</v>
      </c>
      <c r="F256" t="s">
        <v>2219</v>
      </c>
      <c r="G256" t="s">
        <v>2185</v>
      </c>
      <c r="H256" t="s">
        <v>2197</v>
      </c>
      <c r="I256" t="s">
        <v>2187</v>
      </c>
      <c r="J256" t="s">
        <v>2203</v>
      </c>
      <c r="K256" s="4">
        <v>45002</v>
      </c>
      <c r="L256" t="s">
        <v>77</v>
      </c>
    </row>
    <row r="257" spans="1:12">
      <c r="A257" t="s">
        <v>2047</v>
      </c>
      <c r="B257" t="s">
        <v>2456</v>
      </c>
      <c r="C257" s="6">
        <v>14</v>
      </c>
      <c r="D257" t="s">
        <v>2182</v>
      </c>
      <c r="E257" t="s">
        <v>2224</v>
      </c>
      <c r="F257" t="s">
        <v>2206</v>
      </c>
      <c r="G257" t="s">
        <v>2213</v>
      </c>
      <c r="H257" t="s">
        <v>2186</v>
      </c>
      <c r="I257" t="s">
        <v>2192</v>
      </c>
      <c r="J257" t="s">
        <v>2188</v>
      </c>
      <c r="K257" s="4">
        <v>45328</v>
      </c>
      <c r="L257" t="s">
        <v>64</v>
      </c>
    </row>
    <row r="258" spans="1:12">
      <c r="A258" t="s">
        <v>600</v>
      </c>
      <c r="B258" t="s">
        <v>2457</v>
      </c>
      <c r="C258" s="6">
        <v>68</v>
      </c>
      <c r="D258" t="s">
        <v>2195</v>
      </c>
      <c r="E258" t="s">
        <v>2231</v>
      </c>
      <c r="F258" t="s">
        <v>2212</v>
      </c>
      <c r="G258" t="s">
        <v>2185</v>
      </c>
      <c r="H258" t="s">
        <v>2235</v>
      </c>
      <c r="I258" t="s">
        <v>2198</v>
      </c>
      <c r="J258" t="s">
        <v>2193</v>
      </c>
      <c r="K258" s="4">
        <v>43725</v>
      </c>
      <c r="L258" t="s">
        <v>77</v>
      </c>
    </row>
    <row r="259" spans="1:12">
      <c r="A259" t="s">
        <v>669</v>
      </c>
      <c r="B259" t="s">
        <v>2458</v>
      </c>
      <c r="C259" s="6">
        <v>15</v>
      </c>
      <c r="D259" t="s">
        <v>2182</v>
      </c>
      <c r="E259" t="s">
        <v>2231</v>
      </c>
      <c r="F259" t="s">
        <v>2212</v>
      </c>
      <c r="G259" t="s">
        <v>2233</v>
      </c>
      <c r="H259" t="s">
        <v>2186</v>
      </c>
      <c r="I259" t="s">
        <v>2198</v>
      </c>
      <c r="J259" t="s">
        <v>2188</v>
      </c>
      <c r="K259" s="4">
        <v>44849</v>
      </c>
      <c r="L259" t="s">
        <v>77</v>
      </c>
    </row>
    <row r="260" spans="1:12">
      <c r="A260" t="s">
        <v>1246</v>
      </c>
      <c r="B260" t="s">
        <v>2459</v>
      </c>
      <c r="C260" s="6">
        <v>52</v>
      </c>
      <c r="D260" t="s">
        <v>2182</v>
      </c>
      <c r="E260" t="s">
        <v>2216</v>
      </c>
      <c r="F260" t="s">
        <v>2206</v>
      </c>
      <c r="G260" t="s">
        <v>2233</v>
      </c>
      <c r="H260" t="s">
        <v>2186</v>
      </c>
      <c r="I260" t="s">
        <v>2198</v>
      </c>
      <c r="J260" t="s">
        <v>2203</v>
      </c>
      <c r="K260" s="4">
        <v>45348</v>
      </c>
      <c r="L260" t="s">
        <v>77</v>
      </c>
    </row>
    <row r="261" spans="1:12">
      <c r="A261" t="s">
        <v>1219</v>
      </c>
      <c r="B261" t="s">
        <v>2460</v>
      </c>
      <c r="C261" s="6">
        <v>3</v>
      </c>
      <c r="D261" t="s">
        <v>2195</v>
      </c>
      <c r="E261" t="s">
        <v>2211</v>
      </c>
      <c r="F261" t="s">
        <v>2212</v>
      </c>
      <c r="G261" t="s">
        <v>2225</v>
      </c>
      <c r="H261" t="s">
        <v>2186</v>
      </c>
      <c r="I261" t="s">
        <v>2198</v>
      </c>
      <c r="J261" t="s">
        <v>2188</v>
      </c>
      <c r="K261" s="4">
        <v>44006</v>
      </c>
      <c r="L261" t="s">
        <v>77</v>
      </c>
    </row>
    <row r="262" spans="1:12">
      <c r="A262" t="s">
        <v>1638</v>
      </c>
      <c r="B262" t="s">
        <v>2461</v>
      </c>
      <c r="C262" s="6">
        <v>57</v>
      </c>
      <c r="D262" t="s">
        <v>2195</v>
      </c>
      <c r="E262" t="s">
        <v>2298</v>
      </c>
      <c r="F262" t="s">
        <v>2219</v>
      </c>
      <c r="G262" t="s">
        <v>2185</v>
      </c>
      <c r="H262" t="s">
        <v>2272</v>
      </c>
      <c r="I262" t="s">
        <v>2187</v>
      </c>
      <c r="J262" t="s">
        <v>2203</v>
      </c>
      <c r="K262" s="4">
        <v>45089</v>
      </c>
      <c r="L262" t="s">
        <v>77</v>
      </c>
    </row>
    <row r="263" spans="1:12">
      <c r="A263" t="s">
        <v>263</v>
      </c>
      <c r="B263" t="s">
        <v>2462</v>
      </c>
      <c r="C263" s="6">
        <v>52</v>
      </c>
      <c r="D263" t="s">
        <v>2182</v>
      </c>
      <c r="E263" t="s">
        <v>2190</v>
      </c>
      <c r="F263" t="s">
        <v>2191</v>
      </c>
      <c r="G263" t="s">
        <v>2233</v>
      </c>
      <c r="H263" t="s">
        <v>2186</v>
      </c>
      <c r="I263" t="s">
        <v>2187</v>
      </c>
      <c r="J263" t="s">
        <v>2188</v>
      </c>
      <c r="K263" s="4">
        <v>43785</v>
      </c>
      <c r="L263" t="s">
        <v>77</v>
      </c>
    </row>
    <row r="264" spans="1:12">
      <c r="A264" t="s">
        <v>1685</v>
      </c>
      <c r="B264" t="s">
        <v>2403</v>
      </c>
      <c r="C264" s="6">
        <v>72</v>
      </c>
      <c r="D264" t="s">
        <v>2182</v>
      </c>
      <c r="E264" t="s">
        <v>2183</v>
      </c>
      <c r="F264" t="s">
        <v>2184</v>
      </c>
      <c r="G264" t="s">
        <v>2207</v>
      </c>
      <c r="H264" t="s">
        <v>2197</v>
      </c>
      <c r="I264" t="s">
        <v>2187</v>
      </c>
      <c r="J264" t="s">
        <v>2193</v>
      </c>
      <c r="K264" s="4">
        <v>43756</v>
      </c>
      <c r="L264" t="s">
        <v>77</v>
      </c>
    </row>
    <row r="265" spans="1:12">
      <c r="A265" t="s">
        <v>453</v>
      </c>
      <c r="B265" t="s">
        <v>2463</v>
      </c>
      <c r="C265" s="6">
        <v>44</v>
      </c>
      <c r="D265" t="s">
        <v>2195</v>
      </c>
      <c r="E265" t="s">
        <v>2196</v>
      </c>
      <c r="F265" t="s">
        <v>2184</v>
      </c>
      <c r="G265" t="s">
        <v>2207</v>
      </c>
      <c r="H265" t="s">
        <v>2186</v>
      </c>
      <c r="I265" t="s">
        <v>2187</v>
      </c>
      <c r="J265" t="s">
        <v>2188</v>
      </c>
      <c r="K265" s="4">
        <v>44011</v>
      </c>
      <c r="L265" t="s">
        <v>77</v>
      </c>
    </row>
    <row r="266" spans="1:12">
      <c r="A266" t="s">
        <v>190</v>
      </c>
      <c r="B266" t="s">
        <v>2464</v>
      </c>
      <c r="C266" s="6">
        <v>40</v>
      </c>
      <c r="D266" t="s">
        <v>2182</v>
      </c>
      <c r="E266" t="s">
        <v>2231</v>
      </c>
      <c r="F266" t="s">
        <v>2212</v>
      </c>
      <c r="G266" t="s">
        <v>2200</v>
      </c>
      <c r="H266" t="s">
        <v>2186</v>
      </c>
      <c r="I266" t="s">
        <v>2187</v>
      </c>
      <c r="J266" t="s">
        <v>2188</v>
      </c>
      <c r="K266" s="4">
        <v>44086</v>
      </c>
      <c r="L266" t="s">
        <v>64</v>
      </c>
    </row>
    <row r="267" spans="1:12">
      <c r="A267" t="s">
        <v>1081</v>
      </c>
      <c r="B267" t="s">
        <v>2465</v>
      </c>
      <c r="C267" s="6">
        <v>42</v>
      </c>
      <c r="D267" t="s">
        <v>2195</v>
      </c>
      <c r="E267" t="s">
        <v>2205</v>
      </c>
      <c r="F267" t="s">
        <v>2206</v>
      </c>
      <c r="G267" t="s">
        <v>2222</v>
      </c>
      <c r="H267" t="s">
        <v>2186</v>
      </c>
      <c r="I267" t="s">
        <v>2187</v>
      </c>
      <c r="J267" t="s">
        <v>2188</v>
      </c>
      <c r="K267" s="4">
        <v>45038</v>
      </c>
      <c r="L267" t="s">
        <v>77</v>
      </c>
    </row>
    <row r="268" spans="1:12">
      <c r="A268" t="s">
        <v>2466</v>
      </c>
      <c r="B268" t="s">
        <v>2467</v>
      </c>
      <c r="C268" s="6">
        <v>43</v>
      </c>
      <c r="D268" t="s">
        <v>2195</v>
      </c>
      <c r="E268" t="s">
        <v>2221</v>
      </c>
      <c r="F268" t="s">
        <v>2219</v>
      </c>
      <c r="G268" t="s">
        <v>2200</v>
      </c>
      <c r="H268" t="s">
        <v>2197</v>
      </c>
      <c r="I268" t="s">
        <v>2187</v>
      </c>
      <c r="J268" t="s">
        <v>2203</v>
      </c>
      <c r="K268" s="4">
        <v>43575</v>
      </c>
      <c r="L268" t="s">
        <v>77</v>
      </c>
    </row>
    <row r="269" spans="1:12">
      <c r="A269" t="s">
        <v>828</v>
      </c>
      <c r="B269" t="s">
        <v>2468</v>
      </c>
      <c r="C269" s="6">
        <v>70</v>
      </c>
      <c r="D269" t="s">
        <v>2182</v>
      </c>
      <c r="E269" t="s">
        <v>2218</v>
      </c>
      <c r="F269" t="s">
        <v>2219</v>
      </c>
      <c r="G269" t="s">
        <v>2233</v>
      </c>
      <c r="H269" t="s">
        <v>2186</v>
      </c>
      <c r="I269" t="s">
        <v>2187</v>
      </c>
      <c r="J269" t="s">
        <v>2203</v>
      </c>
      <c r="K269" s="4">
        <v>43689</v>
      </c>
      <c r="L269" t="s">
        <v>77</v>
      </c>
    </row>
    <row r="270" spans="1:12">
      <c r="A270" t="s">
        <v>2093</v>
      </c>
      <c r="B270" t="s">
        <v>2469</v>
      </c>
      <c r="C270" s="6">
        <v>32</v>
      </c>
      <c r="D270" t="s">
        <v>2182</v>
      </c>
      <c r="E270" t="s">
        <v>2205</v>
      </c>
      <c r="F270" t="s">
        <v>2206</v>
      </c>
      <c r="G270" t="s">
        <v>2185</v>
      </c>
      <c r="H270" t="s">
        <v>2186</v>
      </c>
      <c r="I270" t="s">
        <v>2192</v>
      </c>
      <c r="J270" t="s">
        <v>2188</v>
      </c>
      <c r="K270" s="4">
        <v>44945</v>
      </c>
      <c r="L270" t="s">
        <v>64</v>
      </c>
    </row>
    <row r="271" spans="1:12">
      <c r="A271" t="s">
        <v>493</v>
      </c>
      <c r="B271" t="s">
        <v>2470</v>
      </c>
      <c r="C271" s="6">
        <v>52</v>
      </c>
      <c r="D271" t="s">
        <v>2195</v>
      </c>
      <c r="E271" t="s">
        <v>2298</v>
      </c>
      <c r="F271" t="s">
        <v>2219</v>
      </c>
      <c r="G271" t="s">
        <v>2225</v>
      </c>
      <c r="H271" t="s">
        <v>2186</v>
      </c>
      <c r="I271" t="s">
        <v>2187</v>
      </c>
      <c r="J271" t="s">
        <v>2188</v>
      </c>
      <c r="K271" s="4">
        <v>43764</v>
      </c>
      <c r="L271" t="s">
        <v>77</v>
      </c>
    </row>
    <row r="272" spans="1:12">
      <c r="A272" t="s">
        <v>549</v>
      </c>
      <c r="B272" t="s">
        <v>2443</v>
      </c>
      <c r="C272" s="6">
        <v>52</v>
      </c>
      <c r="D272" t="s">
        <v>2182</v>
      </c>
      <c r="E272" t="s">
        <v>2211</v>
      </c>
      <c r="F272" t="s">
        <v>2212</v>
      </c>
      <c r="G272" t="s">
        <v>2207</v>
      </c>
      <c r="H272" t="s">
        <v>2186</v>
      </c>
      <c r="I272" t="s">
        <v>2187</v>
      </c>
      <c r="J272" t="s">
        <v>2188</v>
      </c>
      <c r="K272" s="4">
        <v>45518</v>
      </c>
      <c r="L272" t="s">
        <v>77</v>
      </c>
    </row>
    <row r="273" spans="1:12">
      <c r="A273" t="s">
        <v>883</v>
      </c>
      <c r="B273" t="s">
        <v>2471</v>
      </c>
      <c r="C273" s="6">
        <v>84</v>
      </c>
      <c r="D273" t="s">
        <v>2182</v>
      </c>
      <c r="E273" t="s">
        <v>2218</v>
      </c>
      <c r="F273" t="s">
        <v>2219</v>
      </c>
      <c r="G273" t="s">
        <v>2222</v>
      </c>
      <c r="H273" t="s">
        <v>2235</v>
      </c>
      <c r="I273" t="s">
        <v>2187</v>
      </c>
      <c r="J273" t="s">
        <v>2193</v>
      </c>
      <c r="K273" s="4">
        <v>44735</v>
      </c>
      <c r="L273" t="s">
        <v>77</v>
      </c>
    </row>
    <row r="274" spans="1:12">
      <c r="A274" t="s">
        <v>2472</v>
      </c>
      <c r="B274" t="s">
        <v>2461</v>
      </c>
      <c r="C274" s="6">
        <v>24</v>
      </c>
      <c r="D274" t="s">
        <v>2182</v>
      </c>
      <c r="E274" t="s">
        <v>2183</v>
      </c>
      <c r="F274" t="s">
        <v>2184</v>
      </c>
      <c r="G274" t="s">
        <v>2213</v>
      </c>
      <c r="H274" t="s">
        <v>2197</v>
      </c>
      <c r="I274" t="s">
        <v>2198</v>
      </c>
      <c r="J274" t="s">
        <v>2203</v>
      </c>
      <c r="K274" s="4">
        <v>44736</v>
      </c>
      <c r="L274" t="s">
        <v>77</v>
      </c>
    </row>
    <row r="275" spans="1:12">
      <c r="A275" t="s">
        <v>246</v>
      </c>
      <c r="B275" t="s">
        <v>2473</v>
      </c>
      <c r="C275" s="6">
        <v>38</v>
      </c>
      <c r="D275" t="s">
        <v>2195</v>
      </c>
      <c r="E275" t="s">
        <v>2196</v>
      </c>
      <c r="F275" t="s">
        <v>2184</v>
      </c>
      <c r="G275" t="s">
        <v>2207</v>
      </c>
      <c r="H275" t="s">
        <v>2186</v>
      </c>
      <c r="I275" t="s">
        <v>2187</v>
      </c>
      <c r="J275" t="s">
        <v>2188</v>
      </c>
      <c r="K275" s="4">
        <v>45959</v>
      </c>
      <c r="L275" t="s">
        <v>77</v>
      </c>
    </row>
    <row r="276" spans="1:12">
      <c r="A276" t="s">
        <v>309</v>
      </c>
      <c r="B276" t="s">
        <v>2474</v>
      </c>
      <c r="C276" s="6">
        <v>53</v>
      </c>
      <c r="D276" t="s">
        <v>2195</v>
      </c>
      <c r="E276" t="s">
        <v>2231</v>
      </c>
      <c r="F276" t="s">
        <v>2212</v>
      </c>
      <c r="G276" t="s">
        <v>2207</v>
      </c>
      <c r="H276" t="s">
        <v>2315</v>
      </c>
      <c r="I276" t="s">
        <v>2187</v>
      </c>
      <c r="J276" t="s">
        <v>2203</v>
      </c>
      <c r="K276" s="4">
        <v>44527</v>
      </c>
      <c r="L276" t="s">
        <v>77</v>
      </c>
    </row>
    <row r="277" spans="1:12">
      <c r="A277" t="s">
        <v>288</v>
      </c>
      <c r="B277" t="s">
        <v>2475</v>
      </c>
      <c r="C277" s="6">
        <v>43</v>
      </c>
      <c r="D277" t="s">
        <v>2182</v>
      </c>
      <c r="E277" t="s">
        <v>2216</v>
      </c>
      <c r="F277" t="s">
        <v>2206</v>
      </c>
      <c r="G277" t="s">
        <v>2207</v>
      </c>
      <c r="H277" t="s">
        <v>2186</v>
      </c>
      <c r="I277" t="s">
        <v>2187</v>
      </c>
      <c r="J277" t="s">
        <v>2188</v>
      </c>
      <c r="K277" s="4">
        <v>45611</v>
      </c>
      <c r="L277" t="s">
        <v>77</v>
      </c>
    </row>
    <row r="278" spans="1:12">
      <c r="A278" t="s">
        <v>1770</v>
      </c>
      <c r="B278" t="s">
        <v>2226</v>
      </c>
      <c r="C278" s="6">
        <v>20</v>
      </c>
      <c r="D278" t="s">
        <v>2195</v>
      </c>
      <c r="E278" t="s">
        <v>2183</v>
      </c>
      <c r="F278" t="s">
        <v>2184</v>
      </c>
      <c r="G278" t="s">
        <v>2207</v>
      </c>
      <c r="H278" t="s">
        <v>2197</v>
      </c>
      <c r="I278" t="s">
        <v>2187</v>
      </c>
      <c r="J278" t="s">
        <v>2188</v>
      </c>
      <c r="K278" s="4">
        <v>44510</v>
      </c>
      <c r="L278" t="s">
        <v>77</v>
      </c>
    </row>
    <row r="279" spans="1:12">
      <c r="A279" t="s">
        <v>1110</v>
      </c>
      <c r="B279" t="s">
        <v>2341</v>
      </c>
      <c r="C279" s="6">
        <v>43</v>
      </c>
      <c r="D279" t="s">
        <v>2195</v>
      </c>
      <c r="E279" t="s">
        <v>2218</v>
      </c>
      <c r="F279" t="s">
        <v>2219</v>
      </c>
      <c r="G279" t="s">
        <v>2185</v>
      </c>
      <c r="H279" t="s">
        <v>2186</v>
      </c>
      <c r="I279" t="s">
        <v>2198</v>
      </c>
      <c r="J279" t="s">
        <v>2188</v>
      </c>
      <c r="K279" s="4">
        <v>43516</v>
      </c>
      <c r="L279" t="s">
        <v>77</v>
      </c>
    </row>
    <row r="280" spans="1:12">
      <c r="A280" t="s">
        <v>919</v>
      </c>
      <c r="B280" t="s">
        <v>2476</v>
      </c>
      <c r="C280" s="6">
        <v>53</v>
      </c>
      <c r="D280" t="s">
        <v>2182</v>
      </c>
      <c r="E280" t="s">
        <v>2216</v>
      </c>
      <c r="F280" t="s">
        <v>2206</v>
      </c>
      <c r="G280" t="s">
        <v>2202</v>
      </c>
      <c r="H280" t="s">
        <v>2197</v>
      </c>
      <c r="I280" t="s">
        <v>2192</v>
      </c>
      <c r="J280" t="s">
        <v>2193</v>
      </c>
      <c r="K280" s="4">
        <v>45183</v>
      </c>
      <c r="L280" t="s">
        <v>77</v>
      </c>
    </row>
    <row r="281" spans="1:12">
      <c r="A281" t="s">
        <v>2477</v>
      </c>
      <c r="B281" t="s">
        <v>2276</v>
      </c>
      <c r="C281" s="6">
        <v>37</v>
      </c>
      <c r="D281" t="s">
        <v>2195</v>
      </c>
      <c r="E281" t="s">
        <v>2205</v>
      </c>
      <c r="F281" t="s">
        <v>2206</v>
      </c>
      <c r="G281" t="s">
        <v>2213</v>
      </c>
      <c r="H281" t="s">
        <v>2197</v>
      </c>
      <c r="I281" t="s">
        <v>2187</v>
      </c>
      <c r="J281" t="s">
        <v>2203</v>
      </c>
      <c r="K281" s="4">
        <v>43681</v>
      </c>
      <c r="L281" t="s">
        <v>77</v>
      </c>
    </row>
    <row r="282" spans="1:12">
      <c r="A282" t="s">
        <v>2478</v>
      </c>
      <c r="B282" t="s">
        <v>2237</v>
      </c>
      <c r="C282" s="6">
        <v>49</v>
      </c>
      <c r="D282" t="s">
        <v>2195</v>
      </c>
      <c r="E282" t="s">
        <v>2224</v>
      </c>
      <c r="F282" t="s">
        <v>2206</v>
      </c>
      <c r="G282" t="s">
        <v>2200</v>
      </c>
      <c r="H282" t="s">
        <v>2235</v>
      </c>
      <c r="I282" t="s">
        <v>2187</v>
      </c>
      <c r="J282" t="s">
        <v>2203</v>
      </c>
      <c r="K282" s="4">
        <v>43819</v>
      </c>
      <c r="L282" t="s">
        <v>77</v>
      </c>
    </row>
    <row r="283" spans="1:12">
      <c r="A283" t="s">
        <v>565</v>
      </c>
      <c r="B283" t="s">
        <v>2479</v>
      </c>
      <c r="C283" s="6">
        <v>40</v>
      </c>
      <c r="D283" t="s">
        <v>2195</v>
      </c>
      <c r="E283" t="s">
        <v>2238</v>
      </c>
      <c r="F283" t="s">
        <v>2212</v>
      </c>
      <c r="G283" t="s">
        <v>2200</v>
      </c>
      <c r="H283" t="s">
        <v>2186</v>
      </c>
      <c r="I283" t="s">
        <v>2187</v>
      </c>
      <c r="J283" t="s">
        <v>2188</v>
      </c>
      <c r="K283" s="4">
        <v>45366</v>
      </c>
      <c r="L283" t="s">
        <v>77</v>
      </c>
    </row>
    <row r="284" spans="1:12">
      <c r="A284" t="s">
        <v>760</v>
      </c>
      <c r="B284" t="s">
        <v>2480</v>
      </c>
      <c r="C284" s="6">
        <v>68</v>
      </c>
      <c r="D284" t="s">
        <v>2195</v>
      </c>
      <c r="E284" t="s">
        <v>2218</v>
      </c>
      <c r="F284" t="s">
        <v>2219</v>
      </c>
      <c r="G284" t="s">
        <v>2225</v>
      </c>
      <c r="H284" t="s">
        <v>2197</v>
      </c>
      <c r="I284" t="s">
        <v>2198</v>
      </c>
      <c r="J284" t="s">
        <v>2193</v>
      </c>
      <c r="K284" s="4">
        <v>43505</v>
      </c>
      <c r="L284" t="s">
        <v>64</v>
      </c>
    </row>
    <row r="285" spans="1:12">
      <c r="A285" t="s">
        <v>596</v>
      </c>
      <c r="B285" t="s">
        <v>2474</v>
      </c>
      <c r="C285" s="6">
        <v>78</v>
      </c>
      <c r="D285" t="s">
        <v>2195</v>
      </c>
      <c r="E285" t="s">
        <v>2218</v>
      </c>
      <c r="F285" t="s">
        <v>2219</v>
      </c>
      <c r="G285" t="s">
        <v>2207</v>
      </c>
      <c r="H285" t="s">
        <v>2228</v>
      </c>
      <c r="I285" t="s">
        <v>2187</v>
      </c>
      <c r="J285" t="s">
        <v>2193</v>
      </c>
      <c r="K285" s="4">
        <v>43711</v>
      </c>
      <c r="L285" t="s">
        <v>64</v>
      </c>
    </row>
    <row r="286" spans="1:12">
      <c r="A286" t="s">
        <v>1537</v>
      </c>
      <c r="B286" t="s">
        <v>2377</v>
      </c>
      <c r="C286" s="6">
        <v>56</v>
      </c>
      <c r="D286" t="s">
        <v>2182</v>
      </c>
      <c r="E286" t="s">
        <v>2211</v>
      </c>
      <c r="F286" t="s">
        <v>2212</v>
      </c>
      <c r="G286" t="s">
        <v>2185</v>
      </c>
      <c r="H286" t="s">
        <v>2197</v>
      </c>
      <c r="I286" t="s">
        <v>2187</v>
      </c>
      <c r="J286" t="s">
        <v>2203</v>
      </c>
      <c r="K286" s="4">
        <v>43813</v>
      </c>
      <c r="L286" t="s">
        <v>77</v>
      </c>
    </row>
    <row r="287" spans="1:12">
      <c r="A287" t="s">
        <v>1961</v>
      </c>
      <c r="B287" t="s">
        <v>2481</v>
      </c>
      <c r="C287" s="6">
        <v>46</v>
      </c>
      <c r="D287" t="s">
        <v>2195</v>
      </c>
      <c r="E287" t="s">
        <v>2221</v>
      </c>
      <c r="F287" t="s">
        <v>2219</v>
      </c>
      <c r="G287" t="s">
        <v>2185</v>
      </c>
      <c r="H287" t="s">
        <v>2186</v>
      </c>
      <c r="I287" t="s">
        <v>2198</v>
      </c>
      <c r="J287" t="s">
        <v>2188</v>
      </c>
      <c r="K287" s="4">
        <v>44001</v>
      </c>
      <c r="L287" t="s">
        <v>77</v>
      </c>
    </row>
    <row r="288" spans="1:12">
      <c r="A288" t="s">
        <v>448</v>
      </c>
      <c r="B288" t="s">
        <v>2482</v>
      </c>
      <c r="C288" s="6">
        <v>33</v>
      </c>
      <c r="D288" t="s">
        <v>2195</v>
      </c>
      <c r="E288" t="s">
        <v>2224</v>
      </c>
      <c r="F288" t="s">
        <v>2206</v>
      </c>
      <c r="G288" t="s">
        <v>2222</v>
      </c>
      <c r="H288" t="s">
        <v>2186</v>
      </c>
      <c r="I288" t="s">
        <v>2192</v>
      </c>
      <c r="J288" t="s">
        <v>2188</v>
      </c>
      <c r="K288" s="4">
        <v>44023</v>
      </c>
      <c r="L288" t="s">
        <v>77</v>
      </c>
    </row>
    <row r="289" spans="1:12">
      <c r="A289" t="s">
        <v>2483</v>
      </c>
      <c r="B289" t="s">
        <v>2484</v>
      </c>
      <c r="C289" s="6">
        <v>13</v>
      </c>
      <c r="D289" t="s">
        <v>2195</v>
      </c>
      <c r="E289" t="s">
        <v>2231</v>
      </c>
      <c r="F289" t="s">
        <v>2212</v>
      </c>
      <c r="G289" t="s">
        <v>2233</v>
      </c>
      <c r="H289" t="s">
        <v>2186</v>
      </c>
      <c r="I289" t="s">
        <v>2187</v>
      </c>
      <c r="J289" t="s">
        <v>2188</v>
      </c>
      <c r="K289" s="4">
        <v>45661</v>
      </c>
      <c r="L289" t="s">
        <v>77</v>
      </c>
    </row>
    <row r="290" spans="1:12">
      <c r="A290" t="s">
        <v>1651</v>
      </c>
      <c r="B290" t="s">
        <v>2485</v>
      </c>
      <c r="C290" s="6">
        <v>37</v>
      </c>
      <c r="D290" t="s">
        <v>2195</v>
      </c>
      <c r="E290" t="s">
        <v>2277</v>
      </c>
      <c r="F290" t="s">
        <v>2191</v>
      </c>
      <c r="G290" t="s">
        <v>2222</v>
      </c>
      <c r="H290" t="s">
        <v>2235</v>
      </c>
      <c r="I290" t="s">
        <v>2187</v>
      </c>
      <c r="J290" t="s">
        <v>2203</v>
      </c>
      <c r="K290" s="4">
        <v>45937</v>
      </c>
      <c r="L290" t="s">
        <v>77</v>
      </c>
    </row>
    <row r="291" spans="1:12">
      <c r="A291" t="s">
        <v>692</v>
      </c>
      <c r="B291" t="s">
        <v>2486</v>
      </c>
      <c r="C291" s="6">
        <v>56</v>
      </c>
      <c r="D291" t="s">
        <v>2195</v>
      </c>
      <c r="E291" t="s">
        <v>2227</v>
      </c>
      <c r="F291" t="s">
        <v>2191</v>
      </c>
      <c r="G291" t="s">
        <v>2213</v>
      </c>
      <c r="H291" t="s">
        <v>2315</v>
      </c>
      <c r="I291" t="s">
        <v>2187</v>
      </c>
      <c r="J291" t="s">
        <v>2203</v>
      </c>
      <c r="K291" s="4">
        <v>43666</v>
      </c>
      <c r="L291" t="s">
        <v>77</v>
      </c>
    </row>
    <row r="292" spans="1:12">
      <c r="A292" t="s">
        <v>1134</v>
      </c>
      <c r="B292" t="s">
        <v>2487</v>
      </c>
      <c r="C292" s="6">
        <v>78</v>
      </c>
      <c r="D292" t="s">
        <v>2182</v>
      </c>
      <c r="E292" t="s">
        <v>2218</v>
      </c>
      <c r="F292" t="s">
        <v>2219</v>
      </c>
      <c r="G292" t="s">
        <v>2222</v>
      </c>
      <c r="H292" t="s">
        <v>2186</v>
      </c>
      <c r="I292" t="s">
        <v>2187</v>
      </c>
      <c r="J292" t="s">
        <v>2203</v>
      </c>
      <c r="K292" s="4">
        <v>44038</v>
      </c>
      <c r="L292" t="s">
        <v>77</v>
      </c>
    </row>
    <row r="293" spans="1:12">
      <c r="A293" t="s">
        <v>968</v>
      </c>
      <c r="B293" t="s">
        <v>2488</v>
      </c>
      <c r="C293" s="6">
        <v>31</v>
      </c>
      <c r="D293" t="s">
        <v>2195</v>
      </c>
      <c r="E293" t="s">
        <v>2211</v>
      </c>
      <c r="F293" t="s">
        <v>2212</v>
      </c>
      <c r="G293" t="s">
        <v>2213</v>
      </c>
      <c r="H293" t="s">
        <v>2186</v>
      </c>
      <c r="I293" t="s">
        <v>2187</v>
      </c>
      <c r="J293" t="s">
        <v>2188</v>
      </c>
      <c r="K293" s="4">
        <v>43810</v>
      </c>
      <c r="L293" t="s">
        <v>77</v>
      </c>
    </row>
    <row r="294" spans="1:12">
      <c r="A294" t="s">
        <v>1089</v>
      </c>
      <c r="B294" t="s">
        <v>2489</v>
      </c>
      <c r="C294" s="6">
        <v>55</v>
      </c>
      <c r="D294" t="s">
        <v>2182</v>
      </c>
      <c r="E294" t="s">
        <v>2238</v>
      </c>
      <c r="F294" t="s">
        <v>2212</v>
      </c>
      <c r="G294" t="s">
        <v>2222</v>
      </c>
      <c r="H294" t="s">
        <v>2186</v>
      </c>
      <c r="I294" t="s">
        <v>2192</v>
      </c>
      <c r="J294" t="s">
        <v>2203</v>
      </c>
      <c r="K294" s="4">
        <v>44824</v>
      </c>
      <c r="L294" t="s">
        <v>77</v>
      </c>
    </row>
    <row r="295" spans="1:12">
      <c r="A295" t="s">
        <v>1738</v>
      </c>
      <c r="B295" t="s">
        <v>2490</v>
      </c>
      <c r="C295" s="6">
        <v>42</v>
      </c>
      <c r="D295" t="s">
        <v>2182</v>
      </c>
      <c r="E295" t="s">
        <v>2211</v>
      </c>
      <c r="F295" t="s">
        <v>2212</v>
      </c>
      <c r="G295" t="s">
        <v>2202</v>
      </c>
      <c r="H295" t="s">
        <v>2235</v>
      </c>
      <c r="I295" t="s">
        <v>2187</v>
      </c>
      <c r="J295" t="s">
        <v>2203</v>
      </c>
      <c r="K295" s="4">
        <v>43586</v>
      </c>
      <c r="L295" t="s">
        <v>77</v>
      </c>
    </row>
    <row r="296" spans="1:12">
      <c r="A296" t="s">
        <v>999</v>
      </c>
      <c r="B296" t="s">
        <v>2368</v>
      </c>
      <c r="C296" s="6">
        <v>45</v>
      </c>
      <c r="D296" t="s">
        <v>2195</v>
      </c>
      <c r="E296" t="s">
        <v>2196</v>
      </c>
      <c r="F296" t="s">
        <v>2184</v>
      </c>
      <c r="G296" t="s">
        <v>2185</v>
      </c>
      <c r="H296" t="s">
        <v>2186</v>
      </c>
      <c r="I296" t="s">
        <v>2187</v>
      </c>
      <c r="J296" t="s">
        <v>2188</v>
      </c>
      <c r="K296" s="4">
        <v>45993</v>
      </c>
      <c r="L296" t="s">
        <v>77</v>
      </c>
    </row>
    <row r="297" spans="1:12">
      <c r="A297" t="s">
        <v>1510</v>
      </c>
      <c r="B297" t="s">
        <v>2491</v>
      </c>
      <c r="C297" s="6">
        <v>54</v>
      </c>
      <c r="D297" t="s">
        <v>2182</v>
      </c>
      <c r="E297" t="s">
        <v>2231</v>
      </c>
      <c r="F297" t="s">
        <v>2212</v>
      </c>
      <c r="G297" t="s">
        <v>2200</v>
      </c>
      <c r="H297" t="s">
        <v>2186</v>
      </c>
      <c r="I297" t="s">
        <v>2187</v>
      </c>
      <c r="J297" t="s">
        <v>2188</v>
      </c>
      <c r="K297" s="4">
        <v>44028</v>
      </c>
      <c r="L297" t="s">
        <v>77</v>
      </c>
    </row>
    <row r="298" spans="1:12">
      <c r="A298" t="s">
        <v>1611</v>
      </c>
      <c r="B298" t="s">
        <v>2492</v>
      </c>
      <c r="C298" s="6">
        <v>19</v>
      </c>
      <c r="D298" t="s">
        <v>2182</v>
      </c>
      <c r="E298" t="s">
        <v>2211</v>
      </c>
      <c r="F298" t="s">
        <v>2212</v>
      </c>
      <c r="G298" t="s">
        <v>2202</v>
      </c>
      <c r="H298" t="s">
        <v>2235</v>
      </c>
      <c r="I298" t="s">
        <v>2187</v>
      </c>
      <c r="J298" t="s">
        <v>2188</v>
      </c>
      <c r="K298" s="4">
        <v>45696</v>
      </c>
      <c r="L298" t="s">
        <v>77</v>
      </c>
    </row>
    <row r="299" spans="1:12">
      <c r="A299" t="s">
        <v>651</v>
      </c>
      <c r="B299" t="s">
        <v>2322</v>
      </c>
      <c r="C299" s="6">
        <v>17</v>
      </c>
      <c r="D299" t="s">
        <v>2195</v>
      </c>
      <c r="E299" t="s">
        <v>2277</v>
      </c>
      <c r="F299" t="s">
        <v>2191</v>
      </c>
      <c r="G299" t="s">
        <v>2213</v>
      </c>
      <c r="H299" t="s">
        <v>2186</v>
      </c>
      <c r="I299" t="s">
        <v>2187</v>
      </c>
      <c r="J299" t="s">
        <v>2188</v>
      </c>
      <c r="K299" s="4">
        <v>43586</v>
      </c>
      <c r="L299" t="s">
        <v>77</v>
      </c>
    </row>
    <row r="300" spans="1:12">
      <c r="A300" t="s">
        <v>1450</v>
      </c>
      <c r="B300" t="s">
        <v>2493</v>
      </c>
      <c r="C300" s="6">
        <v>50</v>
      </c>
      <c r="D300" t="s">
        <v>2195</v>
      </c>
      <c r="E300" t="s">
        <v>2221</v>
      </c>
      <c r="F300" t="s">
        <v>2219</v>
      </c>
      <c r="G300" t="s">
        <v>2213</v>
      </c>
      <c r="H300" t="s">
        <v>2228</v>
      </c>
      <c r="I300" t="s">
        <v>2192</v>
      </c>
      <c r="J300" t="s">
        <v>2193</v>
      </c>
      <c r="K300" s="4">
        <v>43876</v>
      </c>
      <c r="L300" t="s">
        <v>77</v>
      </c>
    </row>
    <row r="301" spans="1:12">
      <c r="A301" t="s">
        <v>1500</v>
      </c>
      <c r="B301" t="s">
        <v>2494</v>
      </c>
      <c r="C301" s="6">
        <v>22</v>
      </c>
      <c r="D301" t="s">
        <v>2182</v>
      </c>
      <c r="E301" t="s">
        <v>2227</v>
      </c>
      <c r="F301" t="s">
        <v>2191</v>
      </c>
      <c r="G301" t="s">
        <v>2222</v>
      </c>
      <c r="H301" t="s">
        <v>2197</v>
      </c>
      <c r="I301" t="s">
        <v>2192</v>
      </c>
      <c r="J301" t="s">
        <v>2203</v>
      </c>
      <c r="K301" s="4">
        <v>45056</v>
      </c>
      <c r="L301" t="s">
        <v>77</v>
      </c>
    </row>
    <row r="302" spans="1:12">
      <c r="A302" t="s">
        <v>768</v>
      </c>
      <c r="B302" t="s">
        <v>2335</v>
      </c>
      <c r="C302" s="6">
        <v>44</v>
      </c>
      <c r="D302" t="s">
        <v>2182</v>
      </c>
      <c r="E302" t="s">
        <v>2244</v>
      </c>
      <c r="F302" t="s">
        <v>2206</v>
      </c>
      <c r="G302" t="s">
        <v>2200</v>
      </c>
      <c r="H302" t="s">
        <v>2272</v>
      </c>
      <c r="I302" t="s">
        <v>2187</v>
      </c>
      <c r="J302" t="s">
        <v>2203</v>
      </c>
      <c r="K302" s="4">
        <v>44906</v>
      </c>
      <c r="L302" t="s">
        <v>64</v>
      </c>
    </row>
    <row r="303" spans="1:12">
      <c r="A303" t="s">
        <v>1542</v>
      </c>
      <c r="B303" t="s">
        <v>2398</v>
      </c>
      <c r="C303" s="6">
        <v>59</v>
      </c>
      <c r="D303" t="s">
        <v>2182</v>
      </c>
      <c r="E303" t="s">
        <v>2238</v>
      </c>
      <c r="F303" t="s">
        <v>2212</v>
      </c>
      <c r="G303" t="s">
        <v>2213</v>
      </c>
      <c r="H303" t="s">
        <v>2208</v>
      </c>
      <c r="I303" t="s">
        <v>2187</v>
      </c>
      <c r="J303" t="s">
        <v>2203</v>
      </c>
      <c r="K303" s="4">
        <v>44731</v>
      </c>
      <c r="L303" t="s">
        <v>77</v>
      </c>
    </row>
    <row r="304" spans="1:12">
      <c r="A304" t="s">
        <v>1695</v>
      </c>
      <c r="B304" t="s">
        <v>2362</v>
      </c>
      <c r="C304" s="6">
        <v>44</v>
      </c>
      <c r="D304" t="s">
        <v>2182</v>
      </c>
      <c r="E304" t="s">
        <v>2216</v>
      </c>
      <c r="F304" t="s">
        <v>2206</v>
      </c>
      <c r="G304" t="s">
        <v>2213</v>
      </c>
      <c r="H304" t="s">
        <v>2186</v>
      </c>
      <c r="I304" t="s">
        <v>2187</v>
      </c>
      <c r="J304" t="s">
        <v>2188</v>
      </c>
      <c r="K304" s="4">
        <v>44000</v>
      </c>
      <c r="L304" t="s">
        <v>77</v>
      </c>
    </row>
    <row r="305" spans="1:12">
      <c r="A305" t="s">
        <v>1308</v>
      </c>
      <c r="B305" t="s">
        <v>2495</v>
      </c>
      <c r="C305" s="6">
        <v>56</v>
      </c>
      <c r="D305" t="s">
        <v>2195</v>
      </c>
      <c r="E305" t="s">
        <v>2221</v>
      </c>
      <c r="F305" t="s">
        <v>2219</v>
      </c>
      <c r="G305" t="s">
        <v>2207</v>
      </c>
      <c r="H305" t="s">
        <v>2197</v>
      </c>
      <c r="I305" t="s">
        <v>2187</v>
      </c>
      <c r="J305" t="s">
        <v>2203</v>
      </c>
      <c r="K305" s="4">
        <v>43920</v>
      </c>
      <c r="L305" t="s">
        <v>77</v>
      </c>
    </row>
    <row r="306" spans="1:12">
      <c r="A306" t="s">
        <v>1195</v>
      </c>
      <c r="B306" t="s">
        <v>2251</v>
      </c>
      <c r="C306" s="6">
        <v>11</v>
      </c>
      <c r="D306" t="s">
        <v>2195</v>
      </c>
      <c r="E306" t="s">
        <v>2205</v>
      </c>
      <c r="F306" t="s">
        <v>2206</v>
      </c>
      <c r="G306" t="s">
        <v>2202</v>
      </c>
      <c r="H306" t="s">
        <v>2186</v>
      </c>
      <c r="I306" t="s">
        <v>2187</v>
      </c>
      <c r="J306" t="s">
        <v>2188</v>
      </c>
      <c r="K306" s="4">
        <v>44111</v>
      </c>
      <c r="L306" t="s">
        <v>77</v>
      </c>
    </row>
    <row r="307" spans="1:12">
      <c r="A307" t="s">
        <v>1102</v>
      </c>
      <c r="B307" t="s">
        <v>2496</v>
      </c>
      <c r="C307" s="6">
        <v>75</v>
      </c>
      <c r="D307" t="s">
        <v>2195</v>
      </c>
      <c r="E307" t="s">
        <v>2218</v>
      </c>
      <c r="F307" t="s">
        <v>2219</v>
      </c>
      <c r="G307" t="s">
        <v>2185</v>
      </c>
      <c r="H307" t="s">
        <v>2235</v>
      </c>
      <c r="I307" t="s">
        <v>2192</v>
      </c>
      <c r="J307" t="s">
        <v>2193</v>
      </c>
      <c r="K307" s="4">
        <v>44927</v>
      </c>
      <c r="L307" t="s">
        <v>77</v>
      </c>
    </row>
    <row r="308" spans="1:12">
      <c r="A308" t="s">
        <v>405</v>
      </c>
      <c r="B308" t="s">
        <v>2497</v>
      </c>
      <c r="C308" s="6">
        <v>32</v>
      </c>
      <c r="D308" t="s">
        <v>2195</v>
      </c>
      <c r="E308" t="s">
        <v>2190</v>
      </c>
      <c r="F308" t="s">
        <v>2191</v>
      </c>
      <c r="G308" t="s">
        <v>2213</v>
      </c>
      <c r="H308" t="s">
        <v>2186</v>
      </c>
      <c r="I308" t="s">
        <v>2198</v>
      </c>
      <c r="J308" t="s">
        <v>2188</v>
      </c>
      <c r="K308" s="4">
        <v>45812</v>
      </c>
      <c r="L308" t="s">
        <v>77</v>
      </c>
    </row>
    <row r="309" spans="1:12">
      <c r="A309" t="s">
        <v>1240</v>
      </c>
      <c r="B309" t="s">
        <v>2498</v>
      </c>
      <c r="C309" s="6">
        <v>70</v>
      </c>
      <c r="D309" t="s">
        <v>2195</v>
      </c>
      <c r="E309" t="s">
        <v>2244</v>
      </c>
      <c r="F309" t="s">
        <v>2206</v>
      </c>
      <c r="G309" t="s">
        <v>2222</v>
      </c>
      <c r="H309" t="s">
        <v>2315</v>
      </c>
      <c r="I309" t="s">
        <v>2192</v>
      </c>
      <c r="J309" t="s">
        <v>2193</v>
      </c>
      <c r="K309" s="4">
        <v>44370</v>
      </c>
      <c r="L309" t="s">
        <v>77</v>
      </c>
    </row>
    <row r="310" spans="1:12">
      <c r="A310" t="s">
        <v>1540</v>
      </c>
      <c r="B310" t="s">
        <v>2499</v>
      </c>
      <c r="C310" s="6">
        <v>39</v>
      </c>
      <c r="D310" t="s">
        <v>2195</v>
      </c>
      <c r="E310" t="s">
        <v>2244</v>
      </c>
      <c r="F310" t="s">
        <v>2206</v>
      </c>
      <c r="G310" t="s">
        <v>2233</v>
      </c>
      <c r="H310" t="s">
        <v>2186</v>
      </c>
      <c r="I310" t="s">
        <v>2192</v>
      </c>
      <c r="J310" t="s">
        <v>2203</v>
      </c>
      <c r="K310" s="4">
        <v>43829</v>
      </c>
      <c r="L310" t="s">
        <v>77</v>
      </c>
    </row>
    <row r="311" spans="1:12">
      <c r="A311" t="s">
        <v>1587</v>
      </c>
      <c r="B311" t="s">
        <v>2500</v>
      </c>
      <c r="C311" s="6">
        <v>49</v>
      </c>
      <c r="D311" t="s">
        <v>2195</v>
      </c>
      <c r="E311" t="s">
        <v>2227</v>
      </c>
      <c r="F311" t="s">
        <v>2191</v>
      </c>
      <c r="G311" t="s">
        <v>2213</v>
      </c>
      <c r="H311" t="s">
        <v>2186</v>
      </c>
      <c r="I311" t="s">
        <v>2187</v>
      </c>
      <c r="J311" t="s">
        <v>2188</v>
      </c>
      <c r="K311" s="4">
        <v>44517</v>
      </c>
      <c r="L311" t="s">
        <v>77</v>
      </c>
    </row>
    <row r="312" spans="1:12">
      <c r="A312" t="s">
        <v>860</v>
      </c>
      <c r="B312" t="s">
        <v>2498</v>
      </c>
      <c r="C312" s="6">
        <v>19</v>
      </c>
      <c r="D312" t="s">
        <v>2182</v>
      </c>
      <c r="E312" t="s">
        <v>2196</v>
      </c>
      <c r="F312" t="s">
        <v>2184</v>
      </c>
      <c r="G312" t="s">
        <v>2200</v>
      </c>
      <c r="H312" t="s">
        <v>2186</v>
      </c>
      <c r="I312" t="s">
        <v>2192</v>
      </c>
      <c r="J312" t="s">
        <v>2188</v>
      </c>
      <c r="K312" s="4">
        <v>44904</v>
      </c>
      <c r="L312" t="s">
        <v>77</v>
      </c>
    </row>
    <row r="313" spans="1:12">
      <c r="A313" t="s">
        <v>727</v>
      </c>
      <c r="B313" t="s">
        <v>2501</v>
      </c>
      <c r="C313" s="6">
        <v>63</v>
      </c>
      <c r="D313" t="s">
        <v>2195</v>
      </c>
      <c r="E313" t="s">
        <v>2205</v>
      </c>
      <c r="F313" t="s">
        <v>2206</v>
      </c>
      <c r="G313" t="s">
        <v>2202</v>
      </c>
      <c r="H313" t="s">
        <v>2272</v>
      </c>
      <c r="I313" t="s">
        <v>2187</v>
      </c>
      <c r="J313" t="s">
        <v>2203</v>
      </c>
      <c r="K313" s="4">
        <v>43548</v>
      </c>
      <c r="L313" t="s">
        <v>77</v>
      </c>
    </row>
    <row r="314" spans="1:12">
      <c r="A314" t="s">
        <v>613</v>
      </c>
      <c r="B314" t="s">
        <v>2502</v>
      </c>
      <c r="C314" s="6">
        <v>51</v>
      </c>
      <c r="D314" t="s">
        <v>2182</v>
      </c>
      <c r="E314" t="s">
        <v>2218</v>
      </c>
      <c r="F314" t="s">
        <v>2219</v>
      </c>
      <c r="G314" t="s">
        <v>2213</v>
      </c>
      <c r="H314" t="s">
        <v>2315</v>
      </c>
      <c r="I314" t="s">
        <v>2192</v>
      </c>
      <c r="J314" t="s">
        <v>2193</v>
      </c>
      <c r="K314" s="4">
        <v>44850</v>
      </c>
      <c r="L314" t="s">
        <v>77</v>
      </c>
    </row>
    <row r="315" spans="1:12">
      <c r="A315" t="s">
        <v>1583</v>
      </c>
      <c r="B315" t="s">
        <v>2503</v>
      </c>
      <c r="C315" s="6">
        <v>59</v>
      </c>
      <c r="D315" t="s">
        <v>2195</v>
      </c>
      <c r="E315" t="s">
        <v>2298</v>
      </c>
      <c r="F315" t="s">
        <v>2219</v>
      </c>
      <c r="G315" t="s">
        <v>2200</v>
      </c>
      <c r="H315" t="s">
        <v>2186</v>
      </c>
      <c r="I315" t="s">
        <v>2192</v>
      </c>
      <c r="J315" t="s">
        <v>2203</v>
      </c>
      <c r="K315" s="4">
        <v>44109</v>
      </c>
      <c r="L315" t="s">
        <v>77</v>
      </c>
    </row>
    <row r="316" spans="1:12">
      <c r="A316" t="s">
        <v>1581</v>
      </c>
      <c r="B316" t="s">
        <v>2504</v>
      </c>
      <c r="C316" s="6">
        <v>22</v>
      </c>
      <c r="D316" t="s">
        <v>2182</v>
      </c>
      <c r="E316" t="s">
        <v>2218</v>
      </c>
      <c r="F316" t="s">
        <v>2219</v>
      </c>
      <c r="G316" t="s">
        <v>2233</v>
      </c>
      <c r="H316" t="s">
        <v>2186</v>
      </c>
      <c r="I316" t="s">
        <v>2187</v>
      </c>
      <c r="J316" t="s">
        <v>2188</v>
      </c>
      <c r="K316" s="4">
        <v>44438</v>
      </c>
      <c r="L316" t="s">
        <v>77</v>
      </c>
    </row>
    <row r="317" spans="1:12">
      <c r="A317" t="s">
        <v>1498</v>
      </c>
      <c r="B317" t="s">
        <v>2505</v>
      </c>
      <c r="C317" s="6">
        <v>56</v>
      </c>
      <c r="D317" t="s">
        <v>2195</v>
      </c>
      <c r="E317" t="s">
        <v>2244</v>
      </c>
      <c r="F317" t="s">
        <v>2206</v>
      </c>
      <c r="G317" t="s">
        <v>2200</v>
      </c>
      <c r="H317" t="s">
        <v>2186</v>
      </c>
      <c r="I317" t="s">
        <v>2187</v>
      </c>
      <c r="J317" t="s">
        <v>2188</v>
      </c>
      <c r="K317" s="4">
        <v>45924</v>
      </c>
      <c r="L317" t="s">
        <v>77</v>
      </c>
    </row>
    <row r="318" spans="1:12">
      <c r="A318" t="s">
        <v>347</v>
      </c>
      <c r="B318" t="s">
        <v>2506</v>
      </c>
      <c r="C318" s="6">
        <v>50</v>
      </c>
      <c r="D318" t="s">
        <v>2195</v>
      </c>
      <c r="E318" t="s">
        <v>2183</v>
      </c>
      <c r="F318" t="s">
        <v>2184</v>
      </c>
      <c r="G318" t="s">
        <v>2207</v>
      </c>
      <c r="H318" t="s">
        <v>2186</v>
      </c>
      <c r="I318" t="s">
        <v>2198</v>
      </c>
      <c r="J318" t="s">
        <v>2203</v>
      </c>
      <c r="K318" s="4">
        <v>45394</v>
      </c>
      <c r="L318" t="s">
        <v>77</v>
      </c>
    </row>
    <row r="319" spans="1:12">
      <c r="A319" t="s">
        <v>409</v>
      </c>
      <c r="B319" t="s">
        <v>2262</v>
      </c>
      <c r="C319" s="6">
        <v>56</v>
      </c>
      <c r="D319" t="s">
        <v>2182</v>
      </c>
      <c r="E319" t="s">
        <v>2211</v>
      </c>
      <c r="F319" t="s">
        <v>2212</v>
      </c>
      <c r="G319" t="s">
        <v>2233</v>
      </c>
      <c r="H319" t="s">
        <v>2186</v>
      </c>
      <c r="I319" t="s">
        <v>2192</v>
      </c>
      <c r="J319" t="s">
        <v>2203</v>
      </c>
      <c r="K319" s="4">
        <v>44979</v>
      </c>
      <c r="L319" t="s">
        <v>77</v>
      </c>
    </row>
    <row r="320" spans="1:12">
      <c r="A320" t="s">
        <v>745</v>
      </c>
      <c r="B320" t="s">
        <v>2181</v>
      </c>
      <c r="C320" s="6">
        <v>29</v>
      </c>
      <c r="D320" t="s">
        <v>2195</v>
      </c>
      <c r="E320" t="s">
        <v>2216</v>
      </c>
      <c r="F320" t="s">
        <v>2206</v>
      </c>
      <c r="G320" t="s">
        <v>2185</v>
      </c>
      <c r="H320" t="s">
        <v>2186</v>
      </c>
      <c r="I320" t="s">
        <v>2198</v>
      </c>
      <c r="J320" t="s">
        <v>2188</v>
      </c>
      <c r="K320" s="4">
        <v>43862</v>
      </c>
      <c r="L320" t="s">
        <v>77</v>
      </c>
    </row>
    <row r="321" spans="1:12">
      <c r="A321" t="s">
        <v>1831</v>
      </c>
      <c r="B321" t="s">
        <v>2507</v>
      </c>
      <c r="C321" s="6">
        <v>45</v>
      </c>
      <c r="D321" t="s">
        <v>2182</v>
      </c>
      <c r="E321" t="s">
        <v>2221</v>
      </c>
      <c r="F321" t="s">
        <v>2219</v>
      </c>
      <c r="G321" t="s">
        <v>2233</v>
      </c>
      <c r="H321" t="s">
        <v>2186</v>
      </c>
      <c r="I321" t="s">
        <v>2187</v>
      </c>
      <c r="J321" t="s">
        <v>2188</v>
      </c>
      <c r="K321" s="4">
        <v>45051</v>
      </c>
      <c r="L321" t="s">
        <v>77</v>
      </c>
    </row>
    <row r="322" spans="1:12">
      <c r="A322" t="s">
        <v>526</v>
      </c>
      <c r="B322" t="s">
        <v>2508</v>
      </c>
      <c r="C322" s="6">
        <v>30</v>
      </c>
      <c r="D322" t="s">
        <v>2195</v>
      </c>
      <c r="E322" t="s">
        <v>2211</v>
      </c>
      <c r="F322" t="s">
        <v>2212</v>
      </c>
      <c r="G322" t="s">
        <v>2222</v>
      </c>
      <c r="H322" t="s">
        <v>2272</v>
      </c>
      <c r="I322" t="s">
        <v>2198</v>
      </c>
      <c r="J322" t="s">
        <v>2203</v>
      </c>
      <c r="K322" s="4">
        <v>45522</v>
      </c>
      <c r="L322" t="s">
        <v>77</v>
      </c>
    </row>
    <row r="323" spans="1:12">
      <c r="A323" t="s">
        <v>719</v>
      </c>
      <c r="B323" t="s">
        <v>2441</v>
      </c>
      <c r="C323" s="6">
        <v>36</v>
      </c>
      <c r="D323" t="s">
        <v>2195</v>
      </c>
      <c r="E323" t="s">
        <v>2238</v>
      </c>
      <c r="F323" t="s">
        <v>2212</v>
      </c>
      <c r="G323" t="s">
        <v>2222</v>
      </c>
      <c r="H323" t="s">
        <v>2186</v>
      </c>
      <c r="I323" t="s">
        <v>2192</v>
      </c>
      <c r="J323" t="s">
        <v>2203</v>
      </c>
      <c r="K323" s="4">
        <v>44150</v>
      </c>
      <c r="L323" t="s">
        <v>64</v>
      </c>
    </row>
    <row r="324" spans="1:12">
      <c r="A324" t="s">
        <v>227</v>
      </c>
      <c r="B324" t="s">
        <v>2424</v>
      </c>
      <c r="C324" s="6">
        <v>50</v>
      </c>
      <c r="D324" t="s">
        <v>2182</v>
      </c>
      <c r="E324" t="s">
        <v>2227</v>
      </c>
      <c r="F324" t="s">
        <v>2191</v>
      </c>
      <c r="G324" t="s">
        <v>2207</v>
      </c>
      <c r="H324" t="s">
        <v>2228</v>
      </c>
      <c r="I324" t="s">
        <v>2187</v>
      </c>
      <c r="J324" t="s">
        <v>2203</v>
      </c>
      <c r="K324" s="4">
        <v>45903</v>
      </c>
      <c r="L324" t="s">
        <v>77</v>
      </c>
    </row>
    <row r="325" spans="1:12">
      <c r="A325" t="s">
        <v>283</v>
      </c>
      <c r="B325" t="s">
        <v>2509</v>
      </c>
      <c r="C325" s="6">
        <v>45</v>
      </c>
      <c r="D325" t="s">
        <v>2195</v>
      </c>
      <c r="E325" t="s">
        <v>2211</v>
      </c>
      <c r="F325" t="s">
        <v>2212</v>
      </c>
      <c r="G325" t="s">
        <v>2185</v>
      </c>
      <c r="H325" t="s">
        <v>2197</v>
      </c>
      <c r="I325" t="s">
        <v>2198</v>
      </c>
      <c r="J325" t="s">
        <v>2203</v>
      </c>
      <c r="K325" s="4">
        <v>45594</v>
      </c>
      <c r="L325" t="s">
        <v>77</v>
      </c>
    </row>
    <row r="326" spans="1:12">
      <c r="A326" t="s">
        <v>1162</v>
      </c>
      <c r="B326" t="s">
        <v>2510</v>
      </c>
      <c r="C326" s="6">
        <v>51</v>
      </c>
      <c r="D326" t="s">
        <v>2182</v>
      </c>
      <c r="E326" t="s">
        <v>2221</v>
      </c>
      <c r="F326" t="s">
        <v>2219</v>
      </c>
      <c r="G326" t="s">
        <v>2202</v>
      </c>
      <c r="H326" t="s">
        <v>2235</v>
      </c>
      <c r="I326" t="s">
        <v>2192</v>
      </c>
      <c r="J326" t="s">
        <v>2193</v>
      </c>
      <c r="K326" s="4">
        <v>43898</v>
      </c>
      <c r="L326" t="s">
        <v>77</v>
      </c>
    </row>
    <row r="327" spans="1:12">
      <c r="A327" t="s">
        <v>551</v>
      </c>
      <c r="B327" t="s">
        <v>2511</v>
      </c>
      <c r="C327" s="6">
        <v>50</v>
      </c>
      <c r="D327" t="s">
        <v>2182</v>
      </c>
      <c r="E327" t="s">
        <v>2224</v>
      </c>
      <c r="F327" t="s">
        <v>2206</v>
      </c>
      <c r="G327" t="s">
        <v>2185</v>
      </c>
      <c r="H327" t="s">
        <v>2186</v>
      </c>
      <c r="I327" t="s">
        <v>2187</v>
      </c>
      <c r="J327" t="s">
        <v>2188</v>
      </c>
      <c r="K327" s="4">
        <v>45960</v>
      </c>
      <c r="L327" t="s">
        <v>77</v>
      </c>
    </row>
    <row r="328" spans="1:12">
      <c r="A328" t="s">
        <v>649</v>
      </c>
      <c r="B328" t="s">
        <v>2512</v>
      </c>
      <c r="C328" s="6">
        <v>59</v>
      </c>
      <c r="D328" t="s">
        <v>2182</v>
      </c>
      <c r="E328" t="s">
        <v>2216</v>
      </c>
      <c r="F328" t="s">
        <v>2206</v>
      </c>
      <c r="G328" t="s">
        <v>2202</v>
      </c>
      <c r="H328" t="s">
        <v>2186</v>
      </c>
      <c r="I328" t="s">
        <v>2192</v>
      </c>
      <c r="J328" t="s">
        <v>2203</v>
      </c>
      <c r="K328" s="4">
        <v>44439</v>
      </c>
      <c r="L328" t="s">
        <v>77</v>
      </c>
    </row>
    <row r="329" spans="1:12">
      <c r="A329" t="s">
        <v>1396</v>
      </c>
      <c r="B329" t="s">
        <v>2247</v>
      </c>
      <c r="C329" s="6">
        <v>63</v>
      </c>
      <c r="D329" t="s">
        <v>2195</v>
      </c>
      <c r="E329" t="s">
        <v>2183</v>
      </c>
      <c r="F329" t="s">
        <v>2184</v>
      </c>
      <c r="G329" t="s">
        <v>2200</v>
      </c>
      <c r="H329" t="s">
        <v>2272</v>
      </c>
      <c r="I329" t="s">
        <v>2187</v>
      </c>
      <c r="J329" t="s">
        <v>2203</v>
      </c>
      <c r="K329" s="4">
        <v>45479</v>
      </c>
      <c r="L329" t="s">
        <v>77</v>
      </c>
    </row>
    <row r="330" spans="1:12">
      <c r="A330" t="s">
        <v>988</v>
      </c>
      <c r="B330" t="s">
        <v>2513</v>
      </c>
      <c r="C330" s="6">
        <v>77</v>
      </c>
      <c r="D330" t="s">
        <v>2195</v>
      </c>
      <c r="E330" t="s">
        <v>2183</v>
      </c>
      <c r="F330" t="s">
        <v>2184</v>
      </c>
      <c r="G330" t="s">
        <v>2200</v>
      </c>
      <c r="H330" t="s">
        <v>2197</v>
      </c>
      <c r="I330" t="s">
        <v>2198</v>
      </c>
      <c r="J330" t="s">
        <v>2193</v>
      </c>
      <c r="K330" s="4">
        <v>45943</v>
      </c>
      <c r="L330" t="s">
        <v>77</v>
      </c>
    </row>
    <row r="331" spans="1:12">
      <c r="A331" t="s">
        <v>905</v>
      </c>
      <c r="B331" t="s">
        <v>2514</v>
      </c>
      <c r="C331" s="6">
        <v>81</v>
      </c>
      <c r="D331" t="s">
        <v>2182</v>
      </c>
      <c r="E331" t="s">
        <v>2211</v>
      </c>
      <c r="F331" t="s">
        <v>2212</v>
      </c>
      <c r="G331" t="s">
        <v>2207</v>
      </c>
      <c r="H331" t="s">
        <v>2208</v>
      </c>
      <c r="I331" t="s">
        <v>2198</v>
      </c>
      <c r="J331" t="s">
        <v>2193</v>
      </c>
      <c r="K331" s="4">
        <v>44997</v>
      </c>
      <c r="L331" t="s">
        <v>77</v>
      </c>
    </row>
    <row r="332" spans="1:12">
      <c r="A332" t="s">
        <v>517</v>
      </c>
      <c r="B332" t="s">
        <v>2515</v>
      </c>
      <c r="C332" s="6">
        <v>34</v>
      </c>
      <c r="D332" t="s">
        <v>2195</v>
      </c>
      <c r="E332" t="s">
        <v>2183</v>
      </c>
      <c r="F332" t="s">
        <v>2184</v>
      </c>
      <c r="G332" t="s">
        <v>2213</v>
      </c>
      <c r="H332" t="s">
        <v>2186</v>
      </c>
      <c r="I332" t="s">
        <v>2187</v>
      </c>
      <c r="J332" t="s">
        <v>2188</v>
      </c>
      <c r="K332" s="4">
        <v>44177</v>
      </c>
      <c r="L332" t="s">
        <v>77</v>
      </c>
    </row>
    <row r="333" spans="1:12">
      <c r="A333" t="s">
        <v>1966</v>
      </c>
      <c r="B333" t="s">
        <v>2240</v>
      </c>
      <c r="C333" s="6">
        <v>63</v>
      </c>
      <c r="D333" t="s">
        <v>2195</v>
      </c>
      <c r="E333" t="s">
        <v>2231</v>
      </c>
      <c r="F333" t="s">
        <v>2212</v>
      </c>
      <c r="G333" t="s">
        <v>2185</v>
      </c>
      <c r="H333" t="s">
        <v>2186</v>
      </c>
      <c r="I333" t="s">
        <v>2187</v>
      </c>
      <c r="J333" t="s">
        <v>2188</v>
      </c>
      <c r="K333" s="4">
        <v>44281</v>
      </c>
      <c r="L333" t="s">
        <v>77</v>
      </c>
    </row>
    <row r="334" spans="1:12">
      <c r="A334" t="s">
        <v>1360</v>
      </c>
      <c r="B334" t="s">
        <v>2516</v>
      </c>
      <c r="C334" s="6">
        <v>36</v>
      </c>
      <c r="D334" t="s">
        <v>2195</v>
      </c>
      <c r="E334" t="s">
        <v>2244</v>
      </c>
      <c r="F334" t="s">
        <v>2206</v>
      </c>
      <c r="G334" t="s">
        <v>2222</v>
      </c>
      <c r="H334" t="s">
        <v>2186</v>
      </c>
      <c r="I334" t="s">
        <v>2187</v>
      </c>
      <c r="J334" t="s">
        <v>2188</v>
      </c>
      <c r="K334" s="4">
        <v>45409</v>
      </c>
      <c r="L334" t="s">
        <v>77</v>
      </c>
    </row>
    <row r="335" spans="1:12">
      <c r="A335" t="s">
        <v>115</v>
      </c>
      <c r="B335" t="s">
        <v>2517</v>
      </c>
      <c r="C335" s="6">
        <v>35</v>
      </c>
      <c r="D335" t="s">
        <v>2182</v>
      </c>
      <c r="E335" t="s">
        <v>2224</v>
      </c>
      <c r="F335" t="s">
        <v>2206</v>
      </c>
      <c r="G335" t="s">
        <v>2200</v>
      </c>
      <c r="H335" t="s">
        <v>2235</v>
      </c>
      <c r="I335" t="s">
        <v>2198</v>
      </c>
      <c r="J335" t="s">
        <v>2203</v>
      </c>
      <c r="K335" s="4">
        <v>44633</v>
      </c>
      <c r="L335" t="s">
        <v>77</v>
      </c>
    </row>
    <row r="336" spans="1:12">
      <c r="A336" t="s">
        <v>894</v>
      </c>
      <c r="B336" t="s">
        <v>2518</v>
      </c>
      <c r="C336" s="6">
        <v>60</v>
      </c>
      <c r="D336" t="s">
        <v>2182</v>
      </c>
      <c r="E336" t="s">
        <v>2224</v>
      </c>
      <c r="F336" t="s">
        <v>2206</v>
      </c>
      <c r="G336" t="s">
        <v>2213</v>
      </c>
      <c r="H336" t="s">
        <v>2197</v>
      </c>
      <c r="I336" t="s">
        <v>2187</v>
      </c>
      <c r="J336" t="s">
        <v>2203</v>
      </c>
      <c r="K336" s="4">
        <v>43502</v>
      </c>
      <c r="L336" t="s">
        <v>77</v>
      </c>
    </row>
    <row r="337" spans="1:12">
      <c r="A337" t="s">
        <v>986</v>
      </c>
      <c r="B337" t="s">
        <v>2384</v>
      </c>
      <c r="C337" s="6">
        <v>21</v>
      </c>
      <c r="D337" t="s">
        <v>2195</v>
      </c>
      <c r="E337" t="s">
        <v>2221</v>
      </c>
      <c r="F337" t="s">
        <v>2219</v>
      </c>
      <c r="G337" t="s">
        <v>2233</v>
      </c>
      <c r="H337" t="s">
        <v>2235</v>
      </c>
      <c r="I337" t="s">
        <v>2187</v>
      </c>
      <c r="J337" t="s">
        <v>2188</v>
      </c>
      <c r="K337" s="4">
        <v>44593</v>
      </c>
      <c r="L337" t="s">
        <v>77</v>
      </c>
    </row>
    <row r="338" spans="1:12">
      <c r="A338" t="s">
        <v>487</v>
      </c>
      <c r="B338" t="s">
        <v>2519</v>
      </c>
      <c r="C338" s="6">
        <v>42</v>
      </c>
      <c r="D338" t="s">
        <v>2182</v>
      </c>
      <c r="E338" t="s">
        <v>2183</v>
      </c>
      <c r="F338" t="s">
        <v>2184</v>
      </c>
      <c r="G338" t="s">
        <v>2225</v>
      </c>
      <c r="H338" t="s">
        <v>2197</v>
      </c>
      <c r="I338" t="s">
        <v>2187</v>
      </c>
      <c r="J338" t="s">
        <v>2203</v>
      </c>
      <c r="K338" s="4">
        <v>43496</v>
      </c>
      <c r="L338" t="s">
        <v>77</v>
      </c>
    </row>
    <row r="339" spans="1:12">
      <c r="A339" t="s">
        <v>569</v>
      </c>
      <c r="B339" t="s">
        <v>2520</v>
      </c>
      <c r="C339" s="6">
        <v>64</v>
      </c>
      <c r="D339" t="s">
        <v>2195</v>
      </c>
      <c r="E339" t="s">
        <v>2205</v>
      </c>
      <c r="F339" t="s">
        <v>2206</v>
      </c>
      <c r="G339" t="s">
        <v>2225</v>
      </c>
      <c r="H339" t="s">
        <v>2197</v>
      </c>
      <c r="I339" t="s">
        <v>2187</v>
      </c>
      <c r="J339" t="s">
        <v>2203</v>
      </c>
      <c r="K339" s="4">
        <v>44598</v>
      </c>
      <c r="L339" t="s">
        <v>77</v>
      </c>
    </row>
    <row r="340" spans="1:12">
      <c r="A340" t="s">
        <v>734</v>
      </c>
      <c r="B340" t="s">
        <v>2521</v>
      </c>
      <c r="C340" s="6">
        <v>16</v>
      </c>
      <c r="D340" t="s">
        <v>2182</v>
      </c>
      <c r="E340" t="s">
        <v>2227</v>
      </c>
      <c r="F340" t="s">
        <v>2191</v>
      </c>
      <c r="G340" t="s">
        <v>2185</v>
      </c>
      <c r="H340" t="s">
        <v>2186</v>
      </c>
      <c r="I340" t="s">
        <v>2198</v>
      </c>
      <c r="J340" t="s">
        <v>2188</v>
      </c>
      <c r="K340" s="4">
        <v>43698</v>
      </c>
      <c r="L340" t="s">
        <v>77</v>
      </c>
    </row>
    <row r="341" spans="1:12">
      <c r="A341" t="s">
        <v>713</v>
      </c>
      <c r="B341" t="s">
        <v>2522</v>
      </c>
      <c r="C341" s="6">
        <v>4</v>
      </c>
      <c r="D341" t="s">
        <v>2182</v>
      </c>
      <c r="E341" t="s">
        <v>2298</v>
      </c>
      <c r="F341" t="s">
        <v>2219</v>
      </c>
      <c r="G341" t="s">
        <v>2185</v>
      </c>
      <c r="H341" t="s">
        <v>2186</v>
      </c>
      <c r="I341" t="s">
        <v>2187</v>
      </c>
      <c r="J341" t="s">
        <v>2188</v>
      </c>
      <c r="K341" s="4">
        <v>45503</v>
      </c>
      <c r="L341" t="s">
        <v>64</v>
      </c>
    </row>
    <row r="342" spans="1:12">
      <c r="A342" t="s">
        <v>1711</v>
      </c>
      <c r="B342" t="s">
        <v>2523</v>
      </c>
      <c r="C342" s="6">
        <v>39</v>
      </c>
      <c r="D342" t="s">
        <v>2182</v>
      </c>
      <c r="E342" t="s">
        <v>2221</v>
      </c>
      <c r="F342" t="s">
        <v>2219</v>
      </c>
      <c r="G342" t="s">
        <v>2202</v>
      </c>
      <c r="H342" t="s">
        <v>2235</v>
      </c>
      <c r="I342" t="s">
        <v>2187</v>
      </c>
      <c r="J342" t="s">
        <v>2203</v>
      </c>
      <c r="K342" s="4">
        <v>44376</v>
      </c>
      <c r="L342" t="s">
        <v>77</v>
      </c>
    </row>
    <row r="343" spans="1:12">
      <c r="A343" t="s">
        <v>377</v>
      </c>
      <c r="B343" t="s">
        <v>2498</v>
      </c>
      <c r="C343" s="6">
        <v>46</v>
      </c>
      <c r="D343" t="s">
        <v>2182</v>
      </c>
      <c r="E343" t="s">
        <v>2183</v>
      </c>
      <c r="F343" t="s">
        <v>2184</v>
      </c>
      <c r="G343" t="s">
        <v>2222</v>
      </c>
      <c r="H343" t="s">
        <v>2186</v>
      </c>
      <c r="I343" t="s">
        <v>2198</v>
      </c>
      <c r="J343" t="s">
        <v>2188</v>
      </c>
      <c r="K343" s="4">
        <v>45752</v>
      </c>
      <c r="L343" t="s">
        <v>77</v>
      </c>
    </row>
    <row r="344" spans="1:12">
      <c r="A344" t="s">
        <v>843</v>
      </c>
      <c r="B344" t="s">
        <v>2301</v>
      </c>
      <c r="C344" s="6">
        <v>41</v>
      </c>
      <c r="D344" t="s">
        <v>2182</v>
      </c>
      <c r="E344" t="s">
        <v>2196</v>
      </c>
      <c r="F344" t="s">
        <v>2184</v>
      </c>
      <c r="G344" t="s">
        <v>2200</v>
      </c>
      <c r="H344" t="s">
        <v>2186</v>
      </c>
      <c r="I344" t="s">
        <v>2198</v>
      </c>
      <c r="J344" t="s">
        <v>2188</v>
      </c>
      <c r="K344" s="4">
        <v>44840</v>
      </c>
      <c r="L344" t="s">
        <v>77</v>
      </c>
    </row>
    <row r="345" spans="1:12">
      <c r="A345" t="s">
        <v>119</v>
      </c>
      <c r="B345" t="s">
        <v>2524</v>
      </c>
      <c r="C345" s="6">
        <v>12</v>
      </c>
      <c r="D345" t="s">
        <v>2182</v>
      </c>
      <c r="E345" t="s">
        <v>2224</v>
      </c>
      <c r="F345" t="s">
        <v>2206</v>
      </c>
      <c r="G345" t="s">
        <v>2207</v>
      </c>
      <c r="H345" t="s">
        <v>2186</v>
      </c>
      <c r="I345" t="s">
        <v>2192</v>
      </c>
      <c r="J345" t="s">
        <v>2188</v>
      </c>
      <c r="K345" s="4">
        <v>44988</v>
      </c>
      <c r="L345" t="s">
        <v>77</v>
      </c>
    </row>
    <row r="346" spans="1:12">
      <c r="A346" t="s">
        <v>635</v>
      </c>
      <c r="B346" t="s">
        <v>2525</v>
      </c>
      <c r="C346" s="6">
        <v>5</v>
      </c>
      <c r="D346" t="s">
        <v>2182</v>
      </c>
      <c r="E346" t="s">
        <v>2221</v>
      </c>
      <c r="F346" t="s">
        <v>2219</v>
      </c>
      <c r="G346" t="s">
        <v>2225</v>
      </c>
      <c r="H346" t="s">
        <v>2186</v>
      </c>
      <c r="I346" t="s">
        <v>2192</v>
      </c>
      <c r="J346" t="s">
        <v>2188</v>
      </c>
      <c r="K346" s="4">
        <v>45515</v>
      </c>
      <c r="L346" t="s">
        <v>77</v>
      </c>
    </row>
    <row r="347" spans="1:12">
      <c r="A347" t="s">
        <v>345</v>
      </c>
      <c r="B347" t="s">
        <v>2526</v>
      </c>
      <c r="C347" s="6">
        <v>50</v>
      </c>
      <c r="D347" t="s">
        <v>2195</v>
      </c>
      <c r="E347" t="s">
        <v>2183</v>
      </c>
      <c r="F347" t="s">
        <v>2184</v>
      </c>
      <c r="G347" t="s">
        <v>2222</v>
      </c>
      <c r="H347" t="s">
        <v>2208</v>
      </c>
      <c r="I347" t="s">
        <v>2187</v>
      </c>
      <c r="J347" t="s">
        <v>2203</v>
      </c>
      <c r="K347" s="4">
        <v>44286</v>
      </c>
      <c r="L347" t="s">
        <v>77</v>
      </c>
    </row>
    <row r="348" spans="1:12">
      <c r="A348" t="s">
        <v>819</v>
      </c>
      <c r="B348" t="s">
        <v>2527</v>
      </c>
      <c r="C348" s="6">
        <v>30</v>
      </c>
      <c r="D348" t="s">
        <v>2182</v>
      </c>
      <c r="E348" t="s">
        <v>2231</v>
      </c>
      <c r="F348" t="s">
        <v>2212</v>
      </c>
      <c r="G348" t="s">
        <v>2225</v>
      </c>
      <c r="H348" t="s">
        <v>2186</v>
      </c>
      <c r="I348" t="s">
        <v>2192</v>
      </c>
      <c r="J348" t="s">
        <v>2188</v>
      </c>
      <c r="K348" s="4">
        <v>44749</v>
      </c>
      <c r="L348" t="s">
        <v>77</v>
      </c>
    </row>
    <row r="349" spans="1:12">
      <c r="A349" t="s">
        <v>1217</v>
      </c>
      <c r="B349" t="s">
        <v>2528</v>
      </c>
      <c r="C349" s="6">
        <v>70</v>
      </c>
      <c r="D349" t="s">
        <v>2195</v>
      </c>
      <c r="E349" t="s">
        <v>2238</v>
      </c>
      <c r="F349" t="s">
        <v>2212</v>
      </c>
      <c r="G349" t="s">
        <v>2222</v>
      </c>
      <c r="H349" t="s">
        <v>2186</v>
      </c>
      <c r="I349" t="s">
        <v>2198</v>
      </c>
      <c r="J349" t="s">
        <v>2203</v>
      </c>
      <c r="K349" s="4">
        <v>45471</v>
      </c>
      <c r="L349" t="s">
        <v>77</v>
      </c>
    </row>
    <row r="350" spans="1:12">
      <c r="A350" t="s">
        <v>313</v>
      </c>
      <c r="B350" t="s">
        <v>2529</v>
      </c>
      <c r="C350" s="6">
        <v>22</v>
      </c>
      <c r="D350" t="s">
        <v>2195</v>
      </c>
      <c r="E350" t="s">
        <v>2231</v>
      </c>
      <c r="F350" t="s">
        <v>2212</v>
      </c>
      <c r="G350" t="s">
        <v>2200</v>
      </c>
      <c r="H350" t="s">
        <v>2186</v>
      </c>
      <c r="I350" t="s">
        <v>2187</v>
      </c>
      <c r="J350" t="s">
        <v>2188</v>
      </c>
      <c r="K350" s="4">
        <v>44282</v>
      </c>
      <c r="L350" t="s">
        <v>77</v>
      </c>
    </row>
    <row r="351" spans="1:12">
      <c r="A351" t="s">
        <v>758</v>
      </c>
      <c r="B351" t="s">
        <v>2530</v>
      </c>
      <c r="C351" s="6">
        <v>25</v>
      </c>
      <c r="D351" t="s">
        <v>2195</v>
      </c>
      <c r="E351" t="s">
        <v>2216</v>
      </c>
      <c r="F351" t="s">
        <v>2206</v>
      </c>
      <c r="G351" t="s">
        <v>2225</v>
      </c>
      <c r="H351" t="s">
        <v>2197</v>
      </c>
      <c r="I351" t="s">
        <v>2187</v>
      </c>
      <c r="J351" t="s">
        <v>2188</v>
      </c>
      <c r="K351" s="4">
        <v>44876</v>
      </c>
      <c r="L351" t="s">
        <v>77</v>
      </c>
    </row>
    <row r="352" spans="1:12">
      <c r="A352" t="s">
        <v>984</v>
      </c>
      <c r="B352" t="s">
        <v>2531</v>
      </c>
      <c r="C352" s="6">
        <v>60</v>
      </c>
      <c r="D352" t="s">
        <v>2195</v>
      </c>
      <c r="E352" t="s">
        <v>2224</v>
      </c>
      <c r="F352" t="s">
        <v>2206</v>
      </c>
      <c r="G352" t="s">
        <v>2202</v>
      </c>
      <c r="H352" t="s">
        <v>2186</v>
      </c>
      <c r="I352" t="s">
        <v>2187</v>
      </c>
      <c r="J352" t="s">
        <v>2188</v>
      </c>
      <c r="K352" s="4">
        <v>45612</v>
      </c>
      <c r="L352" t="s">
        <v>77</v>
      </c>
    </row>
    <row r="353" spans="1:12">
      <c r="A353" t="s">
        <v>224</v>
      </c>
      <c r="B353" t="s">
        <v>2532</v>
      </c>
      <c r="C353" s="6">
        <v>73</v>
      </c>
      <c r="D353" t="s">
        <v>2358</v>
      </c>
      <c r="E353" t="s">
        <v>2231</v>
      </c>
      <c r="F353" t="s">
        <v>2212</v>
      </c>
      <c r="G353" t="s">
        <v>2200</v>
      </c>
      <c r="H353" t="s">
        <v>2197</v>
      </c>
      <c r="I353" t="s">
        <v>2187</v>
      </c>
      <c r="J353" t="s">
        <v>2193</v>
      </c>
      <c r="K353" s="4">
        <v>45118</v>
      </c>
      <c r="L353" t="s">
        <v>77</v>
      </c>
    </row>
    <row r="354" spans="1:12">
      <c r="A354" t="s">
        <v>2533</v>
      </c>
      <c r="B354" t="s">
        <v>2534</v>
      </c>
      <c r="C354" s="6">
        <v>40</v>
      </c>
      <c r="D354" t="s">
        <v>2195</v>
      </c>
      <c r="E354" t="s">
        <v>2244</v>
      </c>
      <c r="F354" t="s">
        <v>2206</v>
      </c>
      <c r="G354" t="s">
        <v>2213</v>
      </c>
      <c r="H354" t="s">
        <v>2235</v>
      </c>
      <c r="I354" t="s">
        <v>2198</v>
      </c>
      <c r="J354" t="s">
        <v>2203</v>
      </c>
      <c r="K354" s="4">
        <v>45002</v>
      </c>
      <c r="L354" t="s">
        <v>77</v>
      </c>
    </row>
    <row r="355" spans="1:12">
      <c r="A355" t="s">
        <v>483</v>
      </c>
      <c r="B355" t="s">
        <v>2535</v>
      </c>
      <c r="C355" s="6">
        <v>17</v>
      </c>
      <c r="D355" t="s">
        <v>2182</v>
      </c>
      <c r="E355" t="s">
        <v>2216</v>
      </c>
      <c r="F355" t="s">
        <v>2206</v>
      </c>
      <c r="G355" t="s">
        <v>2233</v>
      </c>
      <c r="H355" t="s">
        <v>2186</v>
      </c>
      <c r="I355" t="s">
        <v>2198</v>
      </c>
      <c r="J355" t="s">
        <v>2188</v>
      </c>
      <c r="K355" s="4">
        <v>43546</v>
      </c>
      <c r="L355" t="s">
        <v>77</v>
      </c>
    </row>
    <row r="356" spans="1:12">
      <c r="A356" t="s">
        <v>704</v>
      </c>
      <c r="B356" t="s">
        <v>2247</v>
      </c>
      <c r="C356" s="6">
        <v>25</v>
      </c>
      <c r="D356" t="s">
        <v>2195</v>
      </c>
      <c r="E356" t="s">
        <v>2277</v>
      </c>
      <c r="F356" t="s">
        <v>2191</v>
      </c>
      <c r="G356" t="s">
        <v>2225</v>
      </c>
      <c r="H356" t="s">
        <v>2186</v>
      </c>
      <c r="I356" t="s">
        <v>2198</v>
      </c>
      <c r="J356" t="s">
        <v>2188</v>
      </c>
      <c r="K356" s="4">
        <v>43504</v>
      </c>
      <c r="L356" t="s">
        <v>77</v>
      </c>
    </row>
    <row r="357" spans="1:12">
      <c r="A357" t="s">
        <v>1044</v>
      </c>
      <c r="B357" t="s">
        <v>2536</v>
      </c>
      <c r="C357" s="6">
        <v>59</v>
      </c>
      <c r="D357" t="s">
        <v>2182</v>
      </c>
      <c r="E357" t="s">
        <v>2190</v>
      </c>
      <c r="F357" t="s">
        <v>2191</v>
      </c>
      <c r="G357" t="s">
        <v>2225</v>
      </c>
      <c r="H357" t="s">
        <v>2186</v>
      </c>
      <c r="I357" t="s">
        <v>2198</v>
      </c>
      <c r="J357" t="s">
        <v>2203</v>
      </c>
      <c r="K357" s="4">
        <v>43895</v>
      </c>
      <c r="L357" t="s">
        <v>77</v>
      </c>
    </row>
    <row r="358" spans="1:12">
      <c r="A358" t="s">
        <v>1187</v>
      </c>
      <c r="B358" t="s">
        <v>2432</v>
      </c>
      <c r="C358" s="6">
        <v>49</v>
      </c>
      <c r="D358" t="s">
        <v>2195</v>
      </c>
      <c r="E358" t="s">
        <v>2227</v>
      </c>
      <c r="F358" t="s">
        <v>2191</v>
      </c>
      <c r="G358" t="s">
        <v>2222</v>
      </c>
      <c r="H358" t="s">
        <v>2235</v>
      </c>
      <c r="I358" t="s">
        <v>2198</v>
      </c>
      <c r="J358" t="s">
        <v>2203</v>
      </c>
      <c r="K358" s="4">
        <v>44292</v>
      </c>
      <c r="L358" t="s">
        <v>77</v>
      </c>
    </row>
    <row r="359" spans="1:12">
      <c r="A359" t="s">
        <v>581</v>
      </c>
      <c r="B359" t="s">
        <v>2537</v>
      </c>
      <c r="C359" s="6">
        <v>48</v>
      </c>
      <c r="D359" t="s">
        <v>2195</v>
      </c>
      <c r="E359" t="s">
        <v>2231</v>
      </c>
      <c r="F359" t="s">
        <v>2212</v>
      </c>
      <c r="G359" t="s">
        <v>2207</v>
      </c>
      <c r="H359" t="s">
        <v>2272</v>
      </c>
      <c r="I359" t="s">
        <v>2198</v>
      </c>
      <c r="J359" t="s">
        <v>2203</v>
      </c>
      <c r="K359" s="4">
        <v>45434</v>
      </c>
      <c r="L359" t="s">
        <v>77</v>
      </c>
    </row>
    <row r="360" spans="1:12">
      <c r="A360" t="s">
        <v>756</v>
      </c>
      <c r="B360" t="s">
        <v>2538</v>
      </c>
      <c r="C360" s="6">
        <v>73</v>
      </c>
      <c r="D360" t="s">
        <v>2182</v>
      </c>
      <c r="E360" t="s">
        <v>2277</v>
      </c>
      <c r="F360" t="s">
        <v>2191</v>
      </c>
      <c r="G360" t="s">
        <v>2200</v>
      </c>
      <c r="H360" t="s">
        <v>2315</v>
      </c>
      <c r="I360" t="s">
        <v>2198</v>
      </c>
      <c r="J360" t="s">
        <v>2193</v>
      </c>
      <c r="K360" s="4">
        <v>43773</v>
      </c>
      <c r="L360" t="s">
        <v>77</v>
      </c>
    </row>
    <row r="361" spans="1:12">
      <c r="A361" t="s">
        <v>2539</v>
      </c>
      <c r="B361" t="s">
        <v>2325</v>
      </c>
      <c r="C361" s="6">
        <v>23</v>
      </c>
      <c r="D361" t="s">
        <v>2195</v>
      </c>
      <c r="E361" t="s">
        <v>2224</v>
      </c>
      <c r="F361" t="s">
        <v>2206</v>
      </c>
      <c r="G361" t="s">
        <v>2202</v>
      </c>
      <c r="H361" t="s">
        <v>2186</v>
      </c>
      <c r="I361" t="s">
        <v>2187</v>
      </c>
      <c r="J361" t="s">
        <v>2188</v>
      </c>
      <c r="K361" s="4">
        <v>44181</v>
      </c>
      <c r="L361" t="s">
        <v>77</v>
      </c>
    </row>
    <row r="362" spans="1:12">
      <c r="A362" t="s">
        <v>1481</v>
      </c>
      <c r="B362" t="s">
        <v>2473</v>
      </c>
      <c r="C362" s="6">
        <v>48</v>
      </c>
      <c r="D362" t="s">
        <v>2182</v>
      </c>
      <c r="E362" t="s">
        <v>2205</v>
      </c>
      <c r="F362" t="s">
        <v>2206</v>
      </c>
      <c r="G362" t="s">
        <v>2202</v>
      </c>
      <c r="H362" t="s">
        <v>2208</v>
      </c>
      <c r="I362" t="s">
        <v>2192</v>
      </c>
      <c r="J362" t="s">
        <v>2193</v>
      </c>
      <c r="K362" s="4">
        <v>43505</v>
      </c>
      <c r="L362" t="s">
        <v>77</v>
      </c>
    </row>
    <row r="363" spans="1:12">
      <c r="A363" t="s">
        <v>231</v>
      </c>
      <c r="B363" t="s">
        <v>2540</v>
      </c>
      <c r="C363" s="6">
        <v>27</v>
      </c>
      <c r="D363" t="s">
        <v>2195</v>
      </c>
      <c r="E363" t="s">
        <v>2231</v>
      </c>
      <c r="F363" t="s">
        <v>2212</v>
      </c>
      <c r="G363" t="s">
        <v>2207</v>
      </c>
      <c r="H363" t="s">
        <v>2315</v>
      </c>
      <c r="I363" t="s">
        <v>2187</v>
      </c>
      <c r="J363" t="s">
        <v>2188</v>
      </c>
      <c r="K363" s="4">
        <v>43846</v>
      </c>
      <c r="L363" t="s">
        <v>77</v>
      </c>
    </row>
    <row r="364" spans="1:12">
      <c r="A364" t="s">
        <v>2541</v>
      </c>
      <c r="B364" t="s">
        <v>2189</v>
      </c>
      <c r="C364" s="6">
        <v>3</v>
      </c>
      <c r="D364" t="s">
        <v>2195</v>
      </c>
      <c r="E364" t="s">
        <v>2211</v>
      </c>
      <c r="F364" t="s">
        <v>2212</v>
      </c>
      <c r="G364" t="s">
        <v>2207</v>
      </c>
      <c r="H364" t="s">
        <v>2186</v>
      </c>
      <c r="I364" t="s">
        <v>2187</v>
      </c>
      <c r="J364" t="s">
        <v>2188</v>
      </c>
      <c r="K364" s="4">
        <v>45193</v>
      </c>
      <c r="L364" t="s">
        <v>77</v>
      </c>
    </row>
    <row r="365" spans="1:12">
      <c r="A365" t="s">
        <v>2163</v>
      </c>
      <c r="B365" t="s">
        <v>2542</v>
      </c>
      <c r="C365" s="6">
        <v>71</v>
      </c>
      <c r="D365" t="s">
        <v>2195</v>
      </c>
      <c r="E365" t="s">
        <v>2190</v>
      </c>
      <c r="F365" t="s">
        <v>2191</v>
      </c>
      <c r="G365" t="s">
        <v>2233</v>
      </c>
      <c r="H365" t="s">
        <v>2186</v>
      </c>
      <c r="I365" t="s">
        <v>2192</v>
      </c>
      <c r="J365" t="s">
        <v>2193</v>
      </c>
      <c r="K365" s="4">
        <v>44118</v>
      </c>
      <c r="L365" t="s">
        <v>77</v>
      </c>
    </row>
    <row r="366" spans="1:12">
      <c r="A366" t="s">
        <v>2005</v>
      </c>
      <c r="B366" t="s">
        <v>2297</v>
      </c>
      <c r="C366" s="6">
        <v>52</v>
      </c>
      <c r="D366" t="s">
        <v>2195</v>
      </c>
      <c r="E366" t="s">
        <v>2211</v>
      </c>
      <c r="F366" t="s">
        <v>2212</v>
      </c>
      <c r="G366" t="s">
        <v>2185</v>
      </c>
      <c r="H366" t="s">
        <v>2235</v>
      </c>
      <c r="I366" t="s">
        <v>2187</v>
      </c>
      <c r="J366" t="s">
        <v>2203</v>
      </c>
      <c r="K366" s="4">
        <v>44001</v>
      </c>
      <c r="L366" t="s">
        <v>77</v>
      </c>
    </row>
    <row r="367" spans="1:12">
      <c r="A367" t="s">
        <v>530</v>
      </c>
      <c r="B367" t="s">
        <v>2417</v>
      </c>
      <c r="C367" s="6">
        <v>15</v>
      </c>
      <c r="D367" t="s">
        <v>2195</v>
      </c>
      <c r="E367" t="s">
        <v>2205</v>
      </c>
      <c r="F367" t="s">
        <v>2206</v>
      </c>
      <c r="G367" t="s">
        <v>2200</v>
      </c>
      <c r="H367" t="s">
        <v>2186</v>
      </c>
      <c r="I367" t="s">
        <v>2187</v>
      </c>
      <c r="J367" t="s">
        <v>2188</v>
      </c>
      <c r="K367" s="4">
        <v>45615</v>
      </c>
      <c r="L367" t="s">
        <v>77</v>
      </c>
    </row>
    <row r="368" spans="1:12">
      <c r="A368" t="s">
        <v>553</v>
      </c>
      <c r="B368" t="s">
        <v>2543</v>
      </c>
      <c r="C368" s="6">
        <v>71</v>
      </c>
      <c r="D368" t="s">
        <v>2195</v>
      </c>
      <c r="E368" t="s">
        <v>2218</v>
      </c>
      <c r="F368" t="s">
        <v>2219</v>
      </c>
      <c r="G368" t="s">
        <v>2202</v>
      </c>
      <c r="H368" t="s">
        <v>2235</v>
      </c>
      <c r="I368" t="s">
        <v>2187</v>
      </c>
      <c r="J368" t="s">
        <v>2193</v>
      </c>
      <c r="K368" s="4">
        <v>45238</v>
      </c>
      <c r="L368" t="s">
        <v>77</v>
      </c>
    </row>
    <row r="369" spans="1:12">
      <c r="A369" t="s">
        <v>1227</v>
      </c>
      <c r="B369" t="s">
        <v>2544</v>
      </c>
      <c r="C369" s="6">
        <v>39</v>
      </c>
      <c r="D369" t="s">
        <v>2182</v>
      </c>
      <c r="E369" t="s">
        <v>2298</v>
      </c>
      <c r="F369" t="s">
        <v>2219</v>
      </c>
      <c r="G369" t="s">
        <v>2213</v>
      </c>
      <c r="H369" t="s">
        <v>2186</v>
      </c>
      <c r="I369" t="s">
        <v>2198</v>
      </c>
      <c r="J369" t="s">
        <v>2188</v>
      </c>
      <c r="K369" s="4">
        <v>45752</v>
      </c>
      <c r="L369" t="s">
        <v>77</v>
      </c>
    </row>
    <row r="370" spans="1:12">
      <c r="A370" t="s">
        <v>311</v>
      </c>
      <c r="B370" t="s">
        <v>2352</v>
      </c>
      <c r="C370" s="6">
        <v>36</v>
      </c>
      <c r="D370" t="s">
        <v>2182</v>
      </c>
      <c r="E370" t="s">
        <v>2183</v>
      </c>
      <c r="F370" t="s">
        <v>2184</v>
      </c>
      <c r="G370" t="s">
        <v>2213</v>
      </c>
      <c r="H370" t="s">
        <v>2186</v>
      </c>
      <c r="I370" t="s">
        <v>2187</v>
      </c>
      <c r="J370" t="s">
        <v>2188</v>
      </c>
      <c r="K370" s="4">
        <v>45479</v>
      </c>
      <c r="L370" t="s">
        <v>77</v>
      </c>
    </row>
    <row r="371" spans="1:12">
      <c r="A371" t="s">
        <v>520</v>
      </c>
      <c r="B371" t="s">
        <v>2545</v>
      </c>
      <c r="C371" s="6">
        <v>34</v>
      </c>
      <c r="D371" t="s">
        <v>2182</v>
      </c>
      <c r="E371" t="s">
        <v>2218</v>
      </c>
      <c r="F371" t="s">
        <v>2219</v>
      </c>
      <c r="G371" t="s">
        <v>2233</v>
      </c>
      <c r="H371" t="s">
        <v>2197</v>
      </c>
      <c r="I371" t="s">
        <v>2187</v>
      </c>
      <c r="J371" t="s">
        <v>2188</v>
      </c>
      <c r="K371" s="4">
        <v>44428</v>
      </c>
      <c r="L371" t="s">
        <v>77</v>
      </c>
    </row>
    <row r="372" spans="1:12">
      <c r="A372" t="s">
        <v>317</v>
      </c>
      <c r="B372" t="s">
        <v>2429</v>
      </c>
      <c r="C372" s="6">
        <v>61</v>
      </c>
      <c r="D372" t="s">
        <v>2195</v>
      </c>
      <c r="E372" t="s">
        <v>2231</v>
      </c>
      <c r="F372" t="s">
        <v>2212</v>
      </c>
      <c r="G372" t="s">
        <v>2213</v>
      </c>
      <c r="H372" t="s">
        <v>2208</v>
      </c>
      <c r="I372" t="s">
        <v>2187</v>
      </c>
      <c r="J372" t="s">
        <v>2203</v>
      </c>
      <c r="K372" s="4">
        <v>45118</v>
      </c>
      <c r="L372" t="s">
        <v>77</v>
      </c>
    </row>
    <row r="373" spans="1:12">
      <c r="A373" t="s">
        <v>528</v>
      </c>
      <c r="B373" t="s">
        <v>2546</v>
      </c>
      <c r="C373" s="6">
        <v>54</v>
      </c>
      <c r="D373" t="s">
        <v>2182</v>
      </c>
      <c r="E373" t="s">
        <v>2238</v>
      </c>
      <c r="F373" t="s">
        <v>2212</v>
      </c>
      <c r="G373" t="s">
        <v>2233</v>
      </c>
      <c r="H373" t="s">
        <v>2197</v>
      </c>
      <c r="I373" t="s">
        <v>2187</v>
      </c>
      <c r="J373" t="s">
        <v>2203</v>
      </c>
      <c r="K373" s="4">
        <v>44713</v>
      </c>
      <c r="L373" t="s">
        <v>77</v>
      </c>
    </row>
    <row r="374" spans="1:12">
      <c r="A374" t="s">
        <v>2547</v>
      </c>
      <c r="B374" t="s">
        <v>2324</v>
      </c>
      <c r="C374" s="6">
        <v>60</v>
      </c>
      <c r="D374" t="s">
        <v>2195</v>
      </c>
      <c r="E374" t="s">
        <v>2227</v>
      </c>
      <c r="F374" t="s">
        <v>2191</v>
      </c>
      <c r="G374" t="s">
        <v>2233</v>
      </c>
      <c r="H374" t="s">
        <v>2208</v>
      </c>
      <c r="I374" t="s">
        <v>2187</v>
      </c>
      <c r="J374" t="s">
        <v>2203</v>
      </c>
      <c r="K374" s="4">
        <v>46004</v>
      </c>
      <c r="L374" t="s">
        <v>77</v>
      </c>
    </row>
    <row r="375" spans="1:12">
      <c r="A375" t="s">
        <v>1640</v>
      </c>
      <c r="B375" t="s">
        <v>2548</v>
      </c>
      <c r="C375" s="6">
        <v>37</v>
      </c>
      <c r="D375" t="s">
        <v>2195</v>
      </c>
      <c r="E375" t="s">
        <v>2238</v>
      </c>
      <c r="F375" t="s">
        <v>2212</v>
      </c>
      <c r="G375" t="s">
        <v>2202</v>
      </c>
      <c r="H375" t="s">
        <v>2197</v>
      </c>
      <c r="I375" t="s">
        <v>2187</v>
      </c>
      <c r="J375" t="s">
        <v>2203</v>
      </c>
      <c r="K375" s="4">
        <v>44920</v>
      </c>
      <c r="L375" t="s">
        <v>77</v>
      </c>
    </row>
    <row r="376" spans="1:12">
      <c r="A376" t="s">
        <v>2549</v>
      </c>
      <c r="B376" t="s">
        <v>2550</v>
      </c>
      <c r="C376" s="6">
        <v>41</v>
      </c>
      <c r="D376" t="s">
        <v>2195</v>
      </c>
      <c r="E376" t="s">
        <v>2277</v>
      </c>
      <c r="F376" t="s">
        <v>2191</v>
      </c>
      <c r="G376" t="s">
        <v>2200</v>
      </c>
      <c r="H376" t="s">
        <v>2235</v>
      </c>
      <c r="I376" t="s">
        <v>2198</v>
      </c>
      <c r="J376" t="s">
        <v>2203</v>
      </c>
      <c r="K376" s="4">
        <v>45142</v>
      </c>
      <c r="L376" t="s">
        <v>77</v>
      </c>
    </row>
    <row r="377" spans="1:12">
      <c r="A377" t="s">
        <v>1013</v>
      </c>
      <c r="B377" t="s">
        <v>2535</v>
      </c>
      <c r="C377" s="6">
        <v>37</v>
      </c>
      <c r="D377" t="s">
        <v>2195</v>
      </c>
      <c r="E377" t="s">
        <v>2183</v>
      </c>
      <c r="F377" t="s">
        <v>2184</v>
      </c>
      <c r="G377" t="s">
        <v>2213</v>
      </c>
      <c r="H377" t="s">
        <v>2186</v>
      </c>
      <c r="I377" t="s">
        <v>2187</v>
      </c>
      <c r="J377" t="s">
        <v>2188</v>
      </c>
      <c r="K377" s="4">
        <v>44246</v>
      </c>
      <c r="L377" t="s">
        <v>77</v>
      </c>
    </row>
    <row r="378" spans="1:12">
      <c r="A378" t="s">
        <v>1447</v>
      </c>
      <c r="B378" t="s">
        <v>2275</v>
      </c>
      <c r="C378" s="6">
        <v>75</v>
      </c>
      <c r="D378" t="s">
        <v>2182</v>
      </c>
      <c r="E378" t="s">
        <v>2238</v>
      </c>
      <c r="F378" t="s">
        <v>2212</v>
      </c>
      <c r="G378" t="s">
        <v>2213</v>
      </c>
      <c r="H378" t="s">
        <v>2315</v>
      </c>
      <c r="I378" t="s">
        <v>2187</v>
      </c>
      <c r="J378" t="s">
        <v>2193</v>
      </c>
      <c r="K378" s="4">
        <v>45879</v>
      </c>
      <c r="L378" t="s">
        <v>64</v>
      </c>
    </row>
    <row r="379" spans="1:12">
      <c r="A379" t="s">
        <v>567</v>
      </c>
      <c r="B379" t="s">
        <v>2514</v>
      </c>
      <c r="C379" s="6">
        <v>26</v>
      </c>
      <c r="D379" t="s">
        <v>2182</v>
      </c>
      <c r="E379" t="s">
        <v>2216</v>
      </c>
      <c r="F379" t="s">
        <v>2206</v>
      </c>
      <c r="G379" t="s">
        <v>2222</v>
      </c>
      <c r="H379" t="s">
        <v>2197</v>
      </c>
      <c r="I379" t="s">
        <v>2187</v>
      </c>
      <c r="J379" t="s">
        <v>2188</v>
      </c>
      <c r="K379" s="4">
        <v>45862</v>
      </c>
      <c r="L379" t="s">
        <v>77</v>
      </c>
    </row>
    <row r="380" spans="1:12">
      <c r="A380" t="s">
        <v>165</v>
      </c>
      <c r="B380" t="s">
        <v>2287</v>
      </c>
      <c r="C380" s="6">
        <v>41</v>
      </c>
      <c r="D380" t="s">
        <v>2195</v>
      </c>
      <c r="E380" t="s">
        <v>2221</v>
      </c>
      <c r="F380" t="s">
        <v>2219</v>
      </c>
      <c r="G380" t="s">
        <v>2225</v>
      </c>
      <c r="H380" t="s">
        <v>2197</v>
      </c>
      <c r="I380" t="s">
        <v>2187</v>
      </c>
      <c r="J380" t="s">
        <v>2203</v>
      </c>
      <c r="K380" s="4">
        <v>45041</v>
      </c>
      <c r="L380" t="s">
        <v>77</v>
      </c>
    </row>
    <row r="381" spans="1:12">
      <c r="A381" t="s">
        <v>136</v>
      </c>
      <c r="B381" t="s">
        <v>2310</v>
      </c>
      <c r="C381" s="6">
        <v>33</v>
      </c>
      <c r="D381" t="s">
        <v>2195</v>
      </c>
      <c r="E381" t="s">
        <v>2244</v>
      </c>
      <c r="F381" t="s">
        <v>2206</v>
      </c>
      <c r="G381" t="s">
        <v>2225</v>
      </c>
      <c r="H381" t="s">
        <v>2315</v>
      </c>
      <c r="I381" t="s">
        <v>2187</v>
      </c>
      <c r="J381" t="s">
        <v>2188</v>
      </c>
      <c r="K381" s="4">
        <v>44012</v>
      </c>
      <c r="L381" t="s">
        <v>77</v>
      </c>
    </row>
    <row r="382" spans="1:12">
      <c r="A382" t="s">
        <v>562</v>
      </c>
      <c r="B382" t="s">
        <v>2445</v>
      </c>
      <c r="C382" s="6">
        <v>56</v>
      </c>
      <c r="D382" t="s">
        <v>2195</v>
      </c>
      <c r="E382" t="s">
        <v>2190</v>
      </c>
      <c r="F382" t="s">
        <v>2191</v>
      </c>
      <c r="G382" t="s">
        <v>2202</v>
      </c>
      <c r="H382" t="s">
        <v>2272</v>
      </c>
      <c r="I382" t="s">
        <v>2187</v>
      </c>
      <c r="J382" t="s">
        <v>2203</v>
      </c>
      <c r="K382" s="4">
        <v>44288</v>
      </c>
      <c r="L382" t="s">
        <v>77</v>
      </c>
    </row>
    <row r="383" spans="1:12">
      <c r="A383" t="s">
        <v>474</v>
      </c>
      <c r="B383" t="s">
        <v>2454</v>
      </c>
      <c r="C383" s="6">
        <v>23</v>
      </c>
      <c r="D383" t="s">
        <v>2182</v>
      </c>
      <c r="E383" t="s">
        <v>2277</v>
      </c>
      <c r="F383" t="s">
        <v>2191</v>
      </c>
      <c r="G383" t="s">
        <v>2207</v>
      </c>
      <c r="H383" t="s">
        <v>2228</v>
      </c>
      <c r="I383" t="s">
        <v>2198</v>
      </c>
      <c r="J383" t="s">
        <v>2203</v>
      </c>
      <c r="K383" s="4">
        <v>44194</v>
      </c>
      <c r="L383" t="s">
        <v>77</v>
      </c>
    </row>
    <row r="384" spans="1:12">
      <c r="A384" t="s">
        <v>657</v>
      </c>
      <c r="B384" t="s">
        <v>2314</v>
      </c>
      <c r="C384" s="6">
        <v>44</v>
      </c>
      <c r="D384" t="s">
        <v>2182</v>
      </c>
      <c r="E384" t="s">
        <v>2298</v>
      </c>
      <c r="F384" t="s">
        <v>2219</v>
      </c>
      <c r="G384" t="s">
        <v>2213</v>
      </c>
      <c r="H384" t="s">
        <v>2235</v>
      </c>
      <c r="I384" t="s">
        <v>2198</v>
      </c>
      <c r="J384" t="s">
        <v>2203</v>
      </c>
      <c r="K384" s="4">
        <v>45652</v>
      </c>
      <c r="L384" t="s">
        <v>77</v>
      </c>
    </row>
    <row r="385" spans="1:12">
      <c r="A385" t="s">
        <v>781</v>
      </c>
      <c r="B385" t="s">
        <v>2259</v>
      </c>
      <c r="C385" s="6">
        <v>18</v>
      </c>
      <c r="D385" t="s">
        <v>2182</v>
      </c>
      <c r="E385" t="s">
        <v>2216</v>
      </c>
      <c r="F385" t="s">
        <v>2206</v>
      </c>
      <c r="G385" t="s">
        <v>2225</v>
      </c>
      <c r="H385" t="s">
        <v>2186</v>
      </c>
      <c r="I385" t="s">
        <v>2187</v>
      </c>
      <c r="J385" t="s">
        <v>2188</v>
      </c>
      <c r="K385" s="4">
        <v>43697</v>
      </c>
      <c r="L385" t="s">
        <v>77</v>
      </c>
    </row>
    <row r="386" spans="1:12">
      <c r="A386" t="s">
        <v>434</v>
      </c>
      <c r="B386" t="s">
        <v>2551</v>
      </c>
      <c r="C386" s="6">
        <v>38</v>
      </c>
      <c r="D386" t="s">
        <v>2195</v>
      </c>
      <c r="E386" t="s">
        <v>2238</v>
      </c>
      <c r="F386" t="s">
        <v>2212</v>
      </c>
      <c r="G386" t="s">
        <v>2200</v>
      </c>
      <c r="H386" t="s">
        <v>2186</v>
      </c>
      <c r="I386" t="s">
        <v>2198</v>
      </c>
      <c r="J386" t="s">
        <v>2188</v>
      </c>
      <c r="K386" s="4">
        <v>43598</v>
      </c>
      <c r="L386" t="s">
        <v>77</v>
      </c>
    </row>
    <row r="387" spans="1:12">
      <c r="A387" t="s">
        <v>1942</v>
      </c>
      <c r="B387" t="s">
        <v>2552</v>
      </c>
      <c r="C387" s="6">
        <v>33</v>
      </c>
      <c r="D387" t="s">
        <v>2182</v>
      </c>
      <c r="E387" t="s">
        <v>2218</v>
      </c>
      <c r="F387" t="s">
        <v>2219</v>
      </c>
      <c r="G387" t="s">
        <v>2185</v>
      </c>
      <c r="H387" t="s">
        <v>2186</v>
      </c>
      <c r="I387" t="s">
        <v>2187</v>
      </c>
      <c r="J387" t="s">
        <v>2188</v>
      </c>
      <c r="K387" s="4">
        <v>44644</v>
      </c>
      <c r="L387" t="s">
        <v>77</v>
      </c>
    </row>
    <row r="388" spans="1:12">
      <c r="A388" t="s">
        <v>1715</v>
      </c>
      <c r="B388" t="s">
        <v>2449</v>
      </c>
      <c r="C388" s="6">
        <v>14</v>
      </c>
      <c r="D388" t="s">
        <v>2182</v>
      </c>
      <c r="E388" t="s">
        <v>2218</v>
      </c>
      <c r="F388" t="s">
        <v>2219</v>
      </c>
      <c r="G388" t="s">
        <v>2200</v>
      </c>
      <c r="H388" t="s">
        <v>2186</v>
      </c>
      <c r="I388" t="s">
        <v>2198</v>
      </c>
      <c r="J388" t="s">
        <v>2188</v>
      </c>
      <c r="K388" s="4">
        <v>44297</v>
      </c>
      <c r="L388" t="s">
        <v>77</v>
      </c>
    </row>
    <row r="389" spans="1:12">
      <c r="A389" t="s">
        <v>1824</v>
      </c>
      <c r="B389" t="s">
        <v>2550</v>
      </c>
      <c r="C389" s="6">
        <v>59</v>
      </c>
      <c r="D389" t="s">
        <v>2182</v>
      </c>
      <c r="E389" t="s">
        <v>2190</v>
      </c>
      <c r="F389" t="s">
        <v>2191</v>
      </c>
      <c r="G389" t="s">
        <v>2200</v>
      </c>
      <c r="H389" t="s">
        <v>2197</v>
      </c>
      <c r="I389" t="s">
        <v>2187</v>
      </c>
      <c r="J389" t="s">
        <v>2203</v>
      </c>
      <c r="K389" s="4">
        <v>45876</v>
      </c>
      <c r="L389" t="s">
        <v>77</v>
      </c>
    </row>
    <row r="390" spans="1:12">
      <c r="A390" t="s">
        <v>1058</v>
      </c>
      <c r="B390" t="s">
        <v>2553</v>
      </c>
      <c r="C390" s="6">
        <v>39</v>
      </c>
      <c r="D390" t="s">
        <v>2182</v>
      </c>
      <c r="E390" t="s">
        <v>2277</v>
      </c>
      <c r="F390" t="s">
        <v>2191</v>
      </c>
      <c r="G390" t="s">
        <v>2225</v>
      </c>
      <c r="H390" t="s">
        <v>2315</v>
      </c>
      <c r="I390" t="s">
        <v>2198</v>
      </c>
      <c r="J390" t="s">
        <v>2203</v>
      </c>
      <c r="K390" s="4">
        <v>43954</v>
      </c>
      <c r="L390" t="s">
        <v>77</v>
      </c>
    </row>
    <row r="391" spans="1:12">
      <c r="A391" t="s">
        <v>1064</v>
      </c>
      <c r="B391" t="s">
        <v>2344</v>
      </c>
      <c r="C391" s="6">
        <v>54</v>
      </c>
      <c r="D391" t="s">
        <v>2195</v>
      </c>
      <c r="E391" t="s">
        <v>2221</v>
      </c>
      <c r="F391" t="s">
        <v>2219</v>
      </c>
      <c r="G391" t="s">
        <v>2222</v>
      </c>
      <c r="H391" t="s">
        <v>2208</v>
      </c>
      <c r="I391" t="s">
        <v>2187</v>
      </c>
      <c r="J391" t="s">
        <v>2203</v>
      </c>
      <c r="K391" s="4">
        <v>45376</v>
      </c>
      <c r="L391" t="s">
        <v>77</v>
      </c>
    </row>
    <row r="392" spans="1:12">
      <c r="A392" t="s">
        <v>629</v>
      </c>
      <c r="B392" t="s">
        <v>2554</v>
      </c>
      <c r="C392" s="6">
        <v>66</v>
      </c>
      <c r="D392" t="s">
        <v>2182</v>
      </c>
      <c r="E392" t="s">
        <v>2298</v>
      </c>
      <c r="F392" t="s">
        <v>2219</v>
      </c>
      <c r="G392" t="s">
        <v>2207</v>
      </c>
      <c r="H392" t="s">
        <v>2235</v>
      </c>
      <c r="I392" t="s">
        <v>2198</v>
      </c>
      <c r="J392" t="s">
        <v>2193</v>
      </c>
      <c r="K392" s="4">
        <v>45475</v>
      </c>
      <c r="L392" t="s">
        <v>77</v>
      </c>
    </row>
    <row r="393" spans="1:12">
      <c r="A393" t="s">
        <v>1223</v>
      </c>
      <c r="B393" t="s">
        <v>2514</v>
      </c>
      <c r="C393" s="6">
        <v>31</v>
      </c>
      <c r="D393" t="s">
        <v>2182</v>
      </c>
      <c r="E393" t="s">
        <v>2244</v>
      </c>
      <c r="F393" t="s">
        <v>2206</v>
      </c>
      <c r="G393" t="s">
        <v>2185</v>
      </c>
      <c r="H393" t="s">
        <v>2186</v>
      </c>
      <c r="I393" t="s">
        <v>2192</v>
      </c>
      <c r="J393" t="s">
        <v>2188</v>
      </c>
      <c r="K393" s="4">
        <v>45598</v>
      </c>
      <c r="L393" t="s">
        <v>77</v>
      </c>
    </row>
    <row r="394" spans="1:12">
      <c r="A394" t="s">
        <v>1104</v>
      </c>
      <c r="B394" t="s">
        <v>2381</v>
      </c>
      <c r="C394" s="6">
        <v>24</v>
      </c>
      <c r="D394" t="s">
        <v>2195</v>
      </c>
      <c r="E394" t="s">
        <v>2196</v>
      </c>
      <c r="F394" t="s">
        <v>2184</v>
      </c>
      <c r="G394" t="s">
        <v>2233</v>
      </c>
      <c r="H394" t="s">
        <v>2186</v>
      </c>
      <c r="I394" t="s">
        <v>2187</v>
      </c>
      <c r="J394" t="s">
        <v>2188</v>
      </c>
      <c r="K394" s="4">
        <v>44943</v>
      </c>
      <c r="L394" t="s">
        <v>77</v>
      </c>
    </row>
    <row r="395" spans="1:12">
      <c r="A395" t="s">
        <v>2555</v>
      </c>
      <c r="B395" t="s">
        <v>2556</v>
      </c>
      <c r="C395" s="6">
        <v>37</v>
      </c>
      <c r="D395" t="s">
        <v>2358</v>
      </c>
      <c r="E395" t="s">
        <v>2183</v>
      </c>
      <c r="F395" t="s">
        <v>2184</v>
      </c>
      <c r="G395" t="s">
        <v>2200</v>
      </c>
      <c r="H395" t="s">
        <v>2235</v>
      </c>
      <c r="I395" t="s">
        <v>2198</v>
      </c>
      <c r="J395" t="s">
        <v>2203</v>
      </c>
      <c r="K395" s="4">
        <v>43935</v>
      </c>
      <c r="L395" t="s">
        <v>77</v>
      </c>
    </row>
    <row r="396" spans="1:12">
      <c r="A396" t="s">
        <v>686</v>
      </c>
      <c r="B396" t="s">
        <v>2420</v>
      </c>
      <c r="C396" s="6">
        <v>70</v>
      </c>
      <c r="D396" t="s">
        <v>2195</v>
      </c>
      <c r="E396" t="s">
        <v>2196</v>
      </c>
      <c r="F396" t="s">
        <v>2184</v>
      </c>
      <c r="G396" t="s">
        <v>2202</v>
      </c>
      <c r="H396" t="s">
        <v>2272</v>
      </c>
      <c r="I396" t="s">
        <v>2187</v>
      </c>
      <c r="J396" t="s">
        <v>2193</v>
      </c>
      <c r="K396" s="4">
        <v>44516</v>
      </c>
      <c r="L396" t="s">
        <v>77</v>
      </c>
    </row>
    <row r="397" spans="1:12">
      <c r="A397" t="s">
        <v>176</v>
      </c>
      <c r="B397" t="s">
        <v>2403</v>
      </c>
      <c r="C397" s="6">
        <v>35</v>
      </c>
      <c r="D397" t="s">
        <v>2182</v>
      </c>
      <c r="E397" t="s">
        <v>2218</v>
      </c>
      <c r="F397" t="s">
        <v>2219</v>
      </c>
      <c r="G397" t="s">
        <v>2222</v>
      </c>
      <c r="H397" t="s">
        <v>2186</v>
      </c>
      <c r="I397" t="s">
        <v>2187</v>
      </c>
      <c r="J397" t="s">
        <v>2188</v>
      </c>
      <c r="K397" s="4">
        <v>44254</v>
      </c>
      <c r="L397" t="s">
        <v>77</v>
      </c>
    </row>
    <row r="398" spans="1:12">
      <c r="A398" t="s">
        <v>2557</v>
      </c>
      <c r="B398" t="s">
        <v>2284</v>
      </c>
      <c r="C398" s="6">
        <v>75</v>
      </c>
      <c r="D398" t="s">
        <v>2182</v>
      </c>
      <c r="E398" t="s">
        <v>2298</v>
      </c>
      <c r="F398" t="s">
        <v>2219</v>
      </c>
      <c r="G398" t="s">
        <v>2200</v>
      </c>
      <c r="H398" t="s">
        <v>2186</v>
      </c>
      <c r="I398" t="s">
        <v>2198</v>
      </c>
      <c r="J398" t="s">
        <v>2203</v>
      </c>
      <c r="K398" s="4">
        <v>44339</v>
      </c>
      <c r="L398" t="s">
        <v>77</v>
      </c>
    </row>
    <row r="399" spans="1:12">
      <c r="A399" t="s">
        <v>1297</v>
      </c>
      <c r="B399" t="s">
        <v>2558</v>
      </c>
      <c r="C399" s="6">
        <v>37</v>
      </c>
      <c r="D399" t="s">
        <v>2182</v>
      </c>
      <c r="E399" t="s">
        <v>2190</v>
      </c>
      <c r="F399" t="s">
        <v>2191</v>
      </c>
      <c r="G399" t="s">
        <v>2213</v>
      </c>
      <c r="H399" t="s">
        <v>2208</v>
      </c>
      <c r="I399" t="s">
        <v>2198</v>
      </c>
      <c r="J399" t="s">
        <v>2203</v>
      </c>
      <c r="K399" s="4">
        <v>45248</v>
      </c>
      <c r="L399" t="s">
        <v>77</v>
      </c>
    </row>
    <row r="400" spans="1:12">
      <c r="A400" t="s">
        <v>491</v>
      </c>
      <c r="B400" t="s">
        <v>2493</v>
      </c>
      <c r="C400" s="6">
        <v>26</v>
      </c>
      <c r="D400" t="s">
        <v>2195</v>
      </c>
      <c r="E400" t="s">
        <v>2216</v>
      </c>
      <c r="F400" t="s">
        <v>2206</v>
      </c>
      <c r="G400" t="s">
        <v>2185</v>
      </c>
      <c r="H400" t="s">
        <v>2186</v>
      </c>
      <c r="I400" t="s">
        <v>2187</v>
      </c>
      <c r="J400" t="s">
        <v>2188</v>
      </c>
      <c r="K400" s="4">
        <v>43754</v>
      </c>
      <c r="L400" t="s">
        <v>77</v>
      </c>
    </row>
    <row r="401" spans="1:12">
      <c r="A401" t="s">
        <v>1801</v>
      </c>
      <c r="B401" t="s">
        <v>2559</v>
      </c>
      <c r="C401" s="6">
        <v>47</v>
      </c>
      <c r="D401" t="s">
        <v>2195</v>
      </c>
      <c r="E401" t="s">
        <v>2298</v>
      </c>
      <c r="F401" t="s">
        <v>2219</v>
      </c>
      <c r="G401" t="s">
        <v>2207</v>
      </c>
      <c r="H401" t="s">
        <v>2186</v>
      </c>
      <c r="I401" t="s">
        <v>2187</v>
      </c>
      <c r="J401" t="s">
        <v>2188</v>
      </c>
      <c r="K401" s="4">
        <v>45061</v>
      </c>
      <c r="L401" t="s">
        <v>77</v>
      </c>
    </row>
    <row r="402" spans="1:12">
      <c r="A402" t="s">
        <v>2560</v>
      </c>
      <c r="B402" t="s">
        <v>2561</v>
      </c>
      <c r="C402" s="6">
        <v>43</v>
      </c>
      <c r="D402" t="s">
        <v>2182</v>
      </c>
      <c r="E402" t="s">
        <v>2205</v>
      </c>
      <c r="F402" t="s">
        <v>2206</v>
      </c>
      <c r="G402" t="s">
        <v>2207</v>
      </c>
      <c r="H402" t="s">
        <v>2186</v>
      </c>
      <c r="I402" t="s">
        <v>2187</v>
      </c>
      <c r="J402" t="s">
        <v>2188</v>
      </c>
      <c r="K402" s="4">
        <v>44653</v>
      </c>
      <c r="L402" t="s">
        <v>77</v>
      </c>
    </row>
    <row r="403" spans="1:12">
      <c r="A403" t="s">
        <v>576</v>
      </c>
      <c r="B403" t="s">
        <v>2562</v>
      </c>
      <c r="C403" s="6">
        <v>17</v>
      </c>
      <c r="D403" t="s">
        <v>2195</v>
      </c>
      <c r="E403" t="s">
        <v>2196</v>
      </c>
      <c r="F403" t="s">
        <v>2184</v>
      </c>
      <c r="G403" t="s">
        <v>2222</v>
      </c>
      <c r="H403" t="s">
        <v>2186</v>
      </c>
      <c r="I403" t="s">
        <v>2187</v>
      </c>
      <c r="J403" t="s">
        <v>2188</v>
      </c>
      <c r="K403" s="4">
        <v>43592</v>
      </c>
      <c r="L403" t="s">
        <v>77</v>
      </c>
    </row>
    <row r="404" spans="1:12">
      <c r="A404" t="s">
        <v>1139</v>
      </c>
      <c r="B404" t="s">
        <v>2563</v>
      </c>
      <c r="C404" s="6">
        <v>42</v>
      </c>
      <c r="D404" t="s">
        <v>2182</v>
      </c>
      <c r="E404" t="s">
        <v>2224</v>
      </c>
      <c r="F404" t="s">
        <v>2206</v>
      </c>
      <c r="G404" t="s">
        <v>2222</v>
      </c>
      <c r="H404" t="s">
        <v>2315</v>
      </c>
      <c r="I404" t="s">
        <v>2187</v>
      </c>
      <c r="J404" t="s">
        <v>2203</v>
      </c>
      <c r="K404" s="4">
        <v>44994</v>
      </c>
      <c r="L404" t="s">
        <v>64</v>
      </c>
    </row>
    <row r="405" spans="1:12">
      <c r="A405" t="s">
        <v>485</v>
      </c>
      <c r="B405" t="s">
        <v>2564</v>
      </c>
      <c r="C405" s="6">
        <v>9</v>
      </c>
      <c r="D405" t="s">
        <v>2195</v>
      </c>
      <c r="E405" t="s">
        <v>2216</v>
      </c>
      <c r="F405" t="s">
        <v>2206</v>
      </c>
      <c r="G405" t="s">
        <v>2202</v>
      </c>
      <c r="H405" t="s">
        <v>2186</v>
      </c>
      <c r="I405" t="s">
        <v>2187</v>
      </c>
      <c r="J405" t="s">
        <v>2188</v>
      </c>
      <c r="K405" s="4">
        <v>45708</v>
      </c>
      <c r="L405" t="s">
        <v>64</v>
      </c>
    </row>
    <row r="406" spans="1:12">
      <c r="A406" t="s">
        <v>216</v>
      </c>
      <c r="B406" t="s">
        <v>2565</v>
      </c>
      <c r="C406" s="6">
        <v>52</v>
      </c>
      <c r="D406" t="s">
        <v>2182</v>
      </c>
      <c r="E406" t="s">
        <v>2277</v>
      </c>
      <c r="F406" t="s">
        <v>2191</v>
      </c>
      <c r="G406" t="s">
        <v>2213</v>
      </c>
      <c r="H406" t="s">
        <v>2186</v>
      </c>
      <c r="I406" t="s">
        <v>2187</v>
      </c>
      <c r="J406" t="s">
        <v>2188</v>
      </c>
      <c r="K406" s="4">
        <v>44501</v>
      </c>
      <c r="L406" t="s">
        <v>77</v>
      </c>
    </row>
    <row r="407" spans="1:12">
      <c r="A407" t="s">
        <v>1123</v>
      </c>
      <c r="B407" t="s">
        <v>2566</v>
      </c>
      <c r="C407" s="6">
        <v>83</v>
      </c>
      <c r="D407" t="s">
        <v>2182</v>
      </c>
      <c r="E407" t="s">
        <v>2196</v>
      </c>
      <c r="F407" t="s">
        <v>2184</v>
      </c>
      <c r="G407" t="s">
        <v>2225</v>
      </c>
      <c r="H407" t="s">
        <v>2228</v>
      </c>
      <c r="I407" t="s">
        <v>2187</v>
      </c>
      <c r="J407" t="s">
        <v>2193</v>
      </c>
      <c r="K407" s="4">
        <v>45717</v>
      </c>
      <c r="L407" t="s">
        <v>77</v>
      </c>
    </row>
    <row r="408" spans="1:12">
      <c r="A408" t="s">
        <v>1702</v>
      </c>
      <c r="B408" t="s">
        <v>2394</v>
      </c>
      <c r="C408" s="6">
        <v>67</v>
      </c>
      <c r="D408" t="s">
        <v>2195</v>
      </c>
      <c r="E408" t="s">
        <v>2244</v>
      </c>
      <c r="F408" t="s">
        <v>2206</v>
      </c>
      <c r="G408" t="s">
        <v>2200</v>
      </c>
      <c r="H408" t="s">
        <v>2197</v>
      </c>
      <c r="I408" t="s">
        <v>2198</v>
      </c>
      <c r="J408" t="s">
        <v>2193</v>
      </c>
      <c r="K408" s="4">
        <v>44426</v>
      </c>
      <c r="L408" t="s">
        <v>77</v>
      </c>
    </row>
    <row r="409" spans="1:12">
      <c r="A409" t="s">
        <v>441</v>
      </c>
      <c r="B409" t="s">
        <v>2567</v>
      </c>
      <c r="C409" s="6">
        <v>60</v>
      </c>
      <c r="D409" t="s">
        <v>2195</v>
      </c>
      <c r="E409" t="s">
        <v>2231</v>
      </c>
      <c r="F409" t="s">
        <v>2212</v>
      </c>
      <c r="G409" t="s">
        <v>2202</v>
      </c>
      <c r="H409" t="s">
        <v>2186</v>
      </c>
      <c r="I409" t="s">
        <v>2198</v>
      </c>
      <c r="J409" t="s">
        <v>2203</v>
      </c>
      <c r="K409" s="4">
        <v>45858</v>
      </c>
      <c r="L409" t="s">
        <v>77</v>
      </c>
    </row>
    <row r="410" spans="1:12">
      <c r="A410" t="s">
        <v>878</v>
      </c>
      <c r="B410" t="s">
        <v>2568</v>
      </c>
      <c r="C410" s="6">
        <v>54</v>
      </c>
      <c r="D410" t="s">
        <v>2195</v>
      </c>
      <c r="E410" t="s">
        <v>2238</v>
      </c>
      <c r="F410" t="s">
        <v>2212</v>
      </c>
      <c r="G410" t="s">
        <v>2202</v>
      </c>
      <c r="H410" t="s">
        <v>2186</v>
      </c>
      <c r="I410" t="s">
        <v>2198</v>
      </c>
      <c r="J410" t="s">
        <v>2203</v>
      </c>
      <c r="K410" s="4">
        <v>45252</v>
      </c>
      <c r="L410" t="s">
        <v>77</v>
      </c>
    </row>
    <row r="411" spans="1:12">
      <c r="A411" t="s">
        <v>815</v>
      </c>
      <c r="B411" t="s">
        <v>2569</v>
      </c>
      <c r="C411" s="6">
        <v>40</v>
      </c>
      <c r="D411" t="s">
        <v>2182</v>
      </c>
      <c r="E411" t="s">
        <v>2231</v>
      </c>
      <c r="F411" t="s">
        <v>2212</v>
      </c>
      <c r="G411" t="s">
        <v>2207</v>
      </c>
      <c r="H411" t="s">
        <v>2186</v>
      </c>
      <c r="I411" t="s">
        <v>2198</v>
      </c>
      <c r="J411" t="s">
        <v>2188</v>
      </c>
      <c r="K411" s="4">
        <v>45460</v>
      </c>
      <c r="L411" t="s">
        <v>77</v>
      </c>
    </row>
    <row r="412" spans="1:12">
      <c r="A412" t="s">
        <v>754</v>
      </c>
      <c r="B412" t="s">
        <v>2570</v>
      </c>
      <c r="C412" s="6">
        <v>63</v>
      </c>
      <c r="D412" t="s">
        <v>2195</v>
      </c>
      <c r="E412" t="s">
        <v>2218</v>
      </c>
      <c r="F412" t="s">
        <v>2219</v>
      </c>
      <c r="G412" t="s">
        <v>2213</v>
      </c>
      <c r="H412" t="s">
        <v>2186</v>
      </c>
      <c r="I412" t="s">
        <v>2198</v>
      </c>
      <c r="J412" t="s">
        <v>2203</v>
      </c>
      <c r="K412" s="4">
        <v>43779</v>
      </c>
      <c r="L412" t="s">
        <v>77</v>
      </c>
    </row>
    <row r="413" spans="1:12">
      <c r="A413" t="s">
        <v>980</v>
      </c>
      <c r="B413" t="s">
        <v>2429</v>
      </c>
      <c r="C413" s="6">
        <v>11</v>
      </c>
      <c r="D413" t="s">
        <v>2182</v>
      </c>
      <c r="E413" t="s">
        <v>2221</v>
      </c>
      <c r="F413" t="s">
        <v>2219</v>
      </c>
      <c r="G413" t="s">
        <v>2233</v>
      </c>
      <c r="H413" t="s">
        <v>2186</v>
      </c>
      <c r="I413" t="s">
        <v>2187</v>
      </c>
      <c r="J413" t="s">
        <v>2188</v>
      </c>
      <c r="K413" s="4">
        <v>43616</v>
      </c>
      <c r="L413" t="s">
        <v>77</v>
      </c>
    </row>
    <row r="414" spans="1:12">
      <c r="A414" t="s">
        <v>1429</v>
      </c>
      <c r="B414" t="s">
        <v>2339</v>
      </c>
      <c r="C414" s="6">
        <v>36</v>
      </c>
      <c r="D414" t="s">
        <v>2195</v>
      </c>
      <c r="E414" t="s">
        <v>2196</v>
      </c>
      <c r="F414" t="s">
        <v>2184</v>
      </c>
      <c r="G414" t="s">
        <v>2207</v>
      </c>
      <c r="H414" t="s">
        <v>2235</v>
      </c>
      <c r="I414" t="s">
        <v>2198</v>
      </c>
      <c r="J414" t="s">
        <v>2203</v>
      </c>
      <c r="K414" s="4">
        <v>44657</v>
      </c>
      <c r="L414" t="s">
        <v>77</v>
      </c>
    </row>
    <row r="415" spans="1:12">
      <c r="A415" t="s">
        <v>743</v>
      </c>
      <c r="B415" t="s">
        <v>2571</v>
      </c>
      <c r="C415" s="6">
        <v>34</v>
      </c>
      <c r="D415" t="s">
        <v>2195</v>
      </c>
      <c r="E415" t="s">
        <v>2218</v>
      </c>
      <c r="F415" t="s">
        <v>2219</v>
      </c>
      <c r="G415" t="s">
        <v>2222</v>
      </c>
      <c r="H415" t="s">
        <v>2186</v>
      </c>
      <c r="I415" t="s">
        <v>2187</v>
      </c>
      <c r="J415" t="s">
        <v>2188</v>
      </c>
      <c r="K415" s="4">
        <v>45981</v>
      </c>
      <c r="L415" t="s">
        <v>77</v>
      </c>
    </row>
    <row r="416" spans="1:12">
      <c r="A416" t="s">
        <v>324</v>
      </c>
      <c r="B416" t="s">
        <v>2487</v>
      </c>
      <c r="C416" s="6">
        <v>31</v>
      </c>
      <c r="D416" t="s">
        <v>2182</v>
      </c>
      <c r="E416" t="s">
        <v>2298</v>
      </c>
      <c r="F416" t="s">
        <v>2219</v>
      </c>
      <c r="G416" t="s">
        <v>2233</v>
      </c>
      <c r="H416" t="s">
        <v>2208</v>
      </c>
      <c r="I416" t="s">
        <v>2187</v>
      </c>
      <c r="J416" t="s">
        <v>2188</v>
      </c>
      <c r="K416" s="4">
        <v>45446</v>
      </c>
      <c r="L416" t="s">
        <v>64</v>
      </c>
    </row>
    <row r="417" spans="1:12">
      <c r="A417" t="s">
        <v>845</v>
      </c>
      <c r="B417" t="s">
        <v>2572</v>
      </c>
      <c r="C417" s="6">
        <v>46</v>
      </c>
      <c r="D417" t="s">
        <v>2195</v>
      </c>
      <c r="E417" t="s">
        <v>2224</v>
      </c>
      <c r="F417" t="s">
        <v>2206</v>
      </c>
      <c r="G417" t="s">
        <v>2185</v>
      </c>
      <c r="H417" t="s">
        <v>2186</v>
      </c>
      <c r="I417" t="s">
        <v>2187</v>
      </c>
      <c r="J417" t="s">
        <v>2188</v>
      </c>
      <c r="K417" s="4">
        <v>44312</v>
      </c>
      <c r="L417" t="s">
        <v>77</v>
      </c>
    </row>
    <row r="418" spans="1:12">
      <c r="A418" t="s">
        <v>543</v>
      </c>
      <c r="B418" t="s">
        <v>2573</v>
      </c>
      <c r="C418" s="6">
        <v>22</v>
      </c>
      <c r="D418" t="s">
        <v>2195</v>
      </c>
      <c r="E418" t="s">
        <v>2298</v>
      </c>
      <c r="F418" t="s">
        <v>2219</v>
      </c>
      <c r="G418" t="s">
        <v>2222</v>
      </c>
      <c r="H418" t="s">
        <v>2186</v>
      </c>
      <c r="I418" t="s">
        <v>2198</v>
      </c>
      <c r="J418" t="s">
        <v>2188</v>
      </c>
      <c r="K418" s="4">
        <v>45601</v>
      </c>
      <c r="L418" t="s">
        <v>77</v>
      </c>
    </row>
    <row r="419" spans="1:12">
      <c r="A419" t="s">
        <v>1335</v>
      </c>
      <c r="B419" t="s">
        <v>2392</v>
      </c>
      <c r="C419" s="6">
        <v>46</v>
      </c>
      <c r="D419" t="s">
        <v>2195</v>
      </c>
      <c r="E419" t="s">
        <v>2211</v>
      </c>
      <c r="F419" t="s">
        <v>2212</v>
      </c>
      <c r="G419" t="s">
        <v>2185</v>
      </c>
      <c r="H419" t="s">
        <v>2186</v>
      </c>
      <c r="I419" t="s">
        <v>2198</v>
      </c>
      <c r="J419" t="s">
        <v>2188</v>
      </c>
      <c r="K419" s="4">
        <v>43784</v>
      </c>
      <c r="L419" t="s">
        <v>77</v>
      </c>
    </row>
    <row r="420" spans="1:12">
      <c r="A420" t="s">
        <v>443</v>
      </c>
      <c r="B420" t="s">
        <v>2574</v>
      </c>
      <c r="C420" s="6">
        <v>19</v>
      </c>
      <c r="D420" t="s">
        <v>2195</v>
      </c>
      <c r="E420" t="s">
        <v>2231</v>
      </c>
      <c r="F420" t="s">
        <v>2212</v>
      </c>
      <c r="G420" t="s">
        <v>2225</v>
      </c>
      <c r="H420" t="s">
        <v>2208</v>
      </c>
      <c r="I420" t="s">
        <v>2187</v>
      </c>
      <c r="J420" t="s">
        <v>2188</v>
      </c>
      <c r="K420" s="4">
        <v>44035</v>
      </c>
      <c r="L420" t="s">
        <v>77</v>
      </c>
    </row>
    <row r="421" spans="1:12">
      <c r="A421" t="s">
        <v>2575</v>
      </c>
      <c r="B421" t="s">
        <v>2465</v>
      </c>
      <c r="C421" s="6">
        <v>73</v>
      </c>
      <c r="D421" t="s">
        <v>2195</v>
      </c>
      <c r="E421" t="s">
        <v>2277</v>
      </c>
      <c r="F421" t="s">
        <v>2191</v>
      </c>
      <c r="G421" t="s">
        <v>2207</v>
      </c>
      <c r="H421" t="s">
        <v>2186</v>
      </c>
      <c r="I421" t="s">
        <v>2187</v>
      </c>
      <c r="J421" t="s">
        <v>2203</v>
      </c>
      <c r="K421" s="4">
        <v>43950</v>
      </c>
      <c r="L421" t="s">
        <v>77</v>
      </c>
    </row>
    <row r="422" spans="1:12">
      <c r="A422" t="s">
        <v>1164</v>
      </c>
      <c r="B422" t="s">
        <v>2417</v>
      </c>
      <c r="C422" s="6">
        <v>21</v>
      </c>
      <c r="D422" t="s">
        <v>2195</v>
      </c>
      <c r="E422" t="s">
        <v>2277</v>
      </c>
      <c r="F422" t="s">
        <v>2191</v>
      </c>
      <c r="G422" t="s">
        <v>2222</v>
      </c>
      <c r="H422" t="s">
        <v>2197</v>
      </c>
      <c r="I422" t="s">
        <v>2187</v>
      </c>
      <c r="J422" t="s">
        <v>2188</v>
      </c>
      <c r="K422" s="4">
        <v>44464</v>
      </c>
      <c r="L422" t="s">
        <v>77</v>
      </c>
    </row>
    <row r="423" spans="1:12">
      <c r="A423" t="s">
        <v>547</v>
      </c>
      <c r="B423" t="s">
        <v>2459</v>
      </c>
      <c r="C423" s="6">
        <v>45</v>
      </c>
      <c r="D423" t="s">
        <v>2195</v>
      </c>
      <c r="E423" t="s">
        <v>2218</v>
      </c>
      <c r="F423" t="s">
        <v>2219</v>
      </c>
      <c r="G423" t="s">
        <v>2185</v>
      </c>
      <c r="H423" t="s">
        <v>2186</v>
      </c>
      <c r="I423" t="s">
        <v>2187</v>
      </c>
      <c r="J423" t="s">
        <v>2188</v>
      </c>
      <c r="K423" s="4">
        <v>43695</v>
      </c>
      <c r="L423" t="s">
        <v>77</v>
      </c>
    </row>
    <row r="424" spans="1:12">
      <c r="A424" t="s">
        <v>609</v>
      </c>
      <c r="B424" t="s">
        <v>2502</v>
      </c>
      <c r="C424" s="6">
        <v>23</v>
      </c>
      <c r="D424" t="s">
        <v>2195</v>
      </c>
      <c r="E424" t="s">
        <v>2190</v>
      </c>
      <c r="F424" t="s">
        <v>2191</v>
      </c>
      <c r="G424" t="s">
        <v>2233</v>
      </c>
      <c r="H424" t="s">
        <v>2235</v>
      </c>
      <c r="I424" t="s">
        <v>2198</v>
      </c>
      <c r="J424" t="s">
        <v>2203</v>
      </c>
      <c r="K424" s="4">
        <v>43817</v>
      </c>
      <c r="L424" t="s">
        <v>77</v>
      </c>
    </row>
    <row r="425" spans="1:12">
      <c r="A425" t="s">
        <v>1556</v>
      </c>
      <c r="B425" t="s">
        <v>2569</v>
      </c>
      <c r="C425" s="6">
        <v>28</v>
      </c>
      <c r="D425" t="s">
        <v>2195</v>
      </c>
      <c r="E425" t="s">
        <v>2183</v>
      </c>
      <c r="F425" t="s">
        <v>2184</v>
      </c>
      <c r="G425" t="s">
        <v>2225</v>
      </c>
      <c r="H425" t="s">
        <v>2186</v>
      </c>
      <c r="I425" t="s">
        <v>2187</v>
      </c>
      <c r="J425" t="s">
        <v>2188</v>
      </c>
      <c r="K425" s="4">
        <v>45852</v>
      </c>
      <c r="L425" t="s">
        <v>77</v>
      </c>
    </row>
    <row r="426" spans="1:12">
      <c r="A426" t="s">
        <v>1810</v>
      </c>
      <c r="B426" t="s">
        <v>2576</v>
      </c>
      <c r="C426" s="6">
        <v>57</v>
      </c>
      <c r="D426" t="s">
        <v>2182</v>
      </c>
      <c r="E426" t="s">
        <v>2221</v>
      </c>
      <c r="F426" t="s">
        <v>2219</v>
      </c>
      <c r="G426" t="s">
        <v>2185</v>
      </c>
      <c r="H426" t="s">
        <v>2197</v>
      </c>
      <c r="I426" t="s">
        <v>2187</v>
      </c>
      <c r="J426" t="s">
        <v>2203</v>
      </c>
      <c r="K426" s="4">
        <v>45044</v>
      </c>
      <c r="L426" t="s">
        <v>77</v>
      </c>
    </row>
    <row r="427" spans="1:12">
      <c r="A427" t="s">
        <v>182</v>
      </c>
      <c r="B427" t="s">
        <v>2577</v>
      </c>
      <c r="C427" s="6">
        <v>68</v>
      </c>
      <c r="D427" t="s">
        <v>2182</v>
      </c>
      <c r="E427" t="s">
        <v>2221</v>
      </c>
      <c r="F427" t="s">
        <v>2219</v>
      </c>
      <c r="G427" t="s">
        <v>2207</v>
      </c>
      <c r="H427" t="s">
        <v>2186</v>
      </c>
      <c r="I427" t="s">
        <v>2187</v>
      </c>
      <c r="J427" t="s">
        <v>2203</v>
      </c>
      <c r="K427" s="4">
        <v>45984</v>
      </c>
      <c r="L427" t="s">
        <v>77</v>
      </c>
    </row>
    <row r="428" spans="1:12">
      <c r="A428" t="s">
        <v>2578</v>
      </c>
      <c r="B428" t="s">
        <v>2579</v>
      </c>
      <c r="C428" s="6">
        <v>66</v>
      </c>
      <c r="D428" t="s">
        <v>2182</v>
      </c>
      <c r="E428" t="s">
        <v>2218</v>
      </c>
      <c r="F428" t="s">
        <v>2219</v>
      </c>
      <c r="G428" t="s">
        <v>2185</v>
      </c>
      <c r="H428" t="s">
        <v>2272</v>
      </c>
      <c r="I428" t="s">
        <v>2192</v>
      </c>
      <c r="J428" t="s">
        <v>2193</v>
      </c>
      <c r="K428" s="4">
        <v>45233</v>
      </c>
      <c r="L428" t="s">
        <v>77</v>
      </c>
    </row>
    <row r="429" spans="1:12">
      <c r="A429" t="s">
        <v>1875</v>
      </c>
      <c r="B429" t="s">
        <v>2580</v>
      </c>
      <c r="C429" s="6">
        <v>58</v>
      </c>
      <c r="D429" t="s">
        <v>2195</v>
      </c>
      <c r="E429" t="s">
        <v>2238</v>
      </c>
      <c r="F429" t="s">
        <v>2212</v>
      </c>
      <c r="G429" t="s">
        <v>2207</v>
      </c>
      <c r="H429" t="s">
        <v>2186</v>
      </c>
      <c r="I429" t="s">
        <v>2198</v>
      </c>
      <c r="J429" t="s">
        <v>2203</v>
      </c>
      <c r="K429" s="4">
        <v>44901</v>
      </c>
      <c r="L429" t="s">
        <v>77</v>
      </c>
    </row>
    <row r="430" spans="1:12">
      <c r="A430" t="s">
        <v>647</v>
      </c>
      <c r="B430" t="s">
        <v>2581</v>
      </c>
      <c r="C430" s="6">
        <v>30</v>
      </c>
      <c r="D430" t="s">
        <v>2182</v>
      </c>
      <c r="E430" t="s">
        <v>2196</v>
      </c>
      <c r="F430" t="s">
        <v>2184</v>
      </c>
      <c r="G430" t="s">
        <v>2213</v>
      </c>
      <c r="H430" t="s">
        <v>2208</v>
      </c>
      <c r="I430" t="s">
        <v>2187</v>
      </c>
      <c r="J430" t="s">
        <v>2188</v>
      </c>
      <c r="K430" s="4">
        <v>45693</v>
      </c>
      <c r="L430" t="s">
        <v>77</v>
      </c>
    </row>
    <row r="431" spans="1:12">
      <c r="A431" t="s">
        <v>1412</v>
      </c>
      <c r="B431" t="s">
        <v>2293</v>
      </c>
      <c r="C431" s="6">
        <v>49</v>
      </c>
      <c r="D431" t="s">
        <v>2182</v>
      </c>
      <c r="E431" t="s">
        <v>2205</v>
      </c>
      <c r="F431" t="s">
        <v>2206</v>
      </c>
      <c r="G431" t="s">
        <v>2202</v>
      </c>
      <c r="H431" t="s">
        <v>2186</v>
      </c>
      <c r="I431" t="s">
        <v>2187</v>
      </c>
      <c r="J431" t="s">
        <v>2188</v>
      </c>
      <c r="K431" s="4">
        <v>44307</v>
      </c>
      <c r="L431" t="s">
        <v>77</v>
      </c>
    </row>
    <row r="432" spans="1:12">
      <c r="A432" t="s">
        <v>954</v>
      </c>
      <c r="B432" t="s">
        <v>2525</v>
      </c>
      <c r="C432" s="6">
        <v>58</v>
      </c>
      <c r="D432" t="s">
        <v>2182</v>
      </c>
      <c r="E432" t="s">
        <v>2224</v>
      </c>
      <c r="F432" t="s">
        <v>2206</v>
      </c>
      <c r="G432" t="s">
        <v>2200</v>
      </c>
      <c r="H432" t="s">
        <v>2208</v>
      </c>
      <c r="I432" t="s">
        <v>2187</v>
      </c>
      <c r="J432" t="s">
        <v>2203</v>
      </c>
      <c r="K432" s="4">
        <v>44963</v>
      </c>
      <c r="L432" t="s">
        <v>77</v>
      </c>
    </row>
    <row r="433" spans="1:12">
      <c r="A433" t="s">
        <v>1040</v>
      </c>
      <c r="B433" t="s">
        <v>2582</v>
      </c>
      <c r="C433" s="6">
        <v>55</v>
      </c>
      <c r="D433" t="s">
        <v>2195</v>
      </c>
      <c r="E433" t="s">
        <v>2238</v>
      </c>
      <c r="F433" t="s">
        <v>2212</v>
      </c>
      <c r="G433" t="s">
        <v>2202</v>
      </c>
      <c r="H433" t="s">
        <v>2197</v>
      </c>
      <c r="I433" t="s">
        <v>2187</v>
      </c>
      <c r="J433" t="s">
        <v>2203</v>
      </c>
      <c r="K433" s="4">
        <v>45756</v>
      </c>
      <c r="L433" t="s">
        <v>77</v>
      </c>
    </row>
    <row r="434" spans="1:12">
      <c r="A434" t="s">
        <v>233</v>
      </c>
      <c r="B434" t="s">
        <v>2583</v>
      </c>
      <c r="C434" s="6">
        <v>45</v>
      </c>
      <c r="D434" t="s">
        <v>2195</v>
      </c>
      <c r="E434" t="s">
        <v>2183</v>
      </c>
      <c r="F434" t="s">
        <v>2184</v>
      </c>
      <c r="G434" t="s">
        <v>2200</v>
      </c>
      <c r="H434" t="s">
        <v>2197</v>
      </c>
      <c r="I434" t="s">
        <v>2198</v>
      </c>
      <c r="J434" t="s">
        <v>2203</v>
      </c>
      <c r="K434" s="4">
        <v>45295</v>
      </c>
      <c r="L434" t="s">
        <v>77</v>
      </c>
    </row>
    <row r="435" spans="1:12">
      <c r="A435" t="s">
        <v>258</v>
      </c>
      <c r="B435" t="s">
        <v>2307</v>
      </c>
      <c r="C435" s="6">
        <v>24</v>
      </c>
      <c r="D435" t="s">
        <v>2182</v>
      </c>
      <c r="E435" t="s">
        <v>2238</v>
      </c>
      <c r="F435" t="s">
        <v>2212</v>
      </c>
      <c r="G435" t="s">
        <v>2207</v>
      </c>
      <c r="H435" t="s">
        <v>2186</v>
      </c>
      <c r="I435" t="s">
        <v>2187</v>
      </c>
      <c r="J435" t="s">
        <v>2188</v>
      </c>
      <c r="K435" s="4">
        <v>43679</v>
      </c>
      <c r="L435" t="s">
        <v>77</v>
      </c>
    </row>
    <row r="436" spans="1:12">
      <c r="A436" t="s">
        <v>429</v>
      </c>
      <c r="B436" t="s">
        <v>2584</v>
      </c>
      <c r="C436" s="6">
        <v>52</v>
      </c>
      <c r="D436" t="s">
        <v>2182</v>
      </c>
      <c r="E436" t="s">
        <v>2205</v>
      </c>
      <c r="F436" t="s">
        <v>2206</v>
      </c>
      <c r="G436" t="s">
        <v>2185</v>
      </c>
      <c r="H436" t="s">
        <v>2186</v>
      </c>
      <c r="I436" t="s">
        <v>2187</v>
      </c>
      <c r="J436" t="s">
        <v>2188</v>
      </c>
      <c r="K436" s="4">
        <v>43793</v>
      </c>
      <c r="L436" t="s">
        <v>77</v>
      </c>
    </row>
    <row r="437" spans="1:12">
      <c r="A437" t="s">
        <v>1198</v>
      </c>
      <c r="B437" t="s">
        <v>2494</v>
      </c>
      <c r="C437" s="6">
        <v>23</v>
      </c>
      <c r="D437" t="s">
        <v>2269</v>
      </c>
      <c r="E437" t="s">
        <v>2218</v>
      </c>
      <c r="F437" t="s">
        <v>2219</v>
      </c>
      <c r="G437" t="s">
        <v>2233</v>
      </c>
      <c r="H437" t="s">
        <v>2186</v>
      </c>
      <c r="I437" t="s">
        <v>2192</v>
      </c>
      <c r="J437" t="s">
        <v>2188</v>
      </c>
      <c r="K437" s="4">
        <v>43701</v>
      </c>
      <c r="L437" t="s">
        <v>64</v>
      </c>
    </row>
    <row r="438" spans="1:12">
      <c r="A438" t="s">
        <v>1237</v>
      </c>
      <c r="B438" t="s">
        <v>2585</v>
      </c>
      <c r="C438" s="6">
        <v>31</v>
      </c>
      <c r="D438" t="s">
        <v>2182</v>
      </c>
      <c r="E438" t="s">
        <v>2238</v>
      </c>
      <c r="F438" t="s">
        <v>2212</v>
      </c>
      <c r="G438" t="s">
        <v>2222</v>
      </c>
      <c r="H438" t="s">
        <v>2186</v>
      </c>
      <c r="I438" t="s">
        <v>2187</v>
      </c>
      <c r="J438" t="s">
        <v>2188</v>
      </c>
      <c r="K438" s="4">
        <v>45921</v>
      </c>
      <c r="L438" t="s">
        <v>77</v>
      </c>
    </row>
    <row r="439" spans="1:12">
      <c r="A439" t="s">
        <v>1466</v>
      </c>
      <c r="B439" t="s">
        <v>2586</v>
      </c>
      <c r="C439" s="6">
        <v>47</v>
      </c>
      <c r="D439" t="s">
        <v>2182</v>
      </c>
      <c r="E439" t="s">
        <v>2244</v>
      </c>
      <c r="F439" t="s">
        <v>2206</v>
      </c>
      <c r="G439" t="s">
        <v>2202</v>
      </c>
      <c r="H439" t="s">
        <v>2186</v>
      </c>
      <c r="I439" t="s">
        <v>2187</v>
      </c>
      <c r="J439" t="s">
        <v>2188</v>
      </c>
      <c r="K439" s="4">
        <v>44110</v>
      </c>
      <c r="L439" t="s">
        <v>77</v>
      </c>
    </row>
    <row r="440" spans="1:12">
      <c r="A440" t="s">
        <v>996</v>
      </c>
      <c r="B440" t="s">
        <v>2587</v>
      </c>
      <c r="C440" s="6">
        <v>33</v>
      </c>
      <c r="D440" t="s">
        <v>2195</v>
      </c>
      <c r="E440" t="s">
        <v>2216</v>
      </c>
      <c r="F440" t="s">
        <v>2206</v>
      </c>
      <c r="G440" t="s">
        <v>2202</v>
      </c>
      <c r="H440" t="s">
        <v>2235</v>
      </c>
      <c r="I440" t="s">
        <v>2187</v>
      </c>
      <c r="J440" t="s">
        <v>2188</v>
      </c>
      <c r="K440" s="4">
        <v>43835</v>
      </c>
      <c r="L440" t="s">
        <v>77</v>
      </c>
    </row>
    <row r="441" spans="1:12">
      <c r="A441" t="s">
        <v>1369</v>
      </c>
      <c r="B441" t="s">
        <v>2504</v>
      </c>
      <c r="C441" s="6">
        <v>26</v>
      </c>
      <c r="D441" t="s">
        <v>2195</v>
      </c>
      <c r="E441" t="s">
        <v>2183</v>
      </c>
      <c r="F441" t="s">
        <v>2184</v>
      </c>
      <c r="G441" t="s">
        <v>2213</v>
      </c>
      <c r="H441" t="s">
        <v>2186</v>
      </c>
      <c r="I441" t="s">
        <v>2187</v>
      </c>
      <c r="J441" t="s">
        <v>2188</v>
      </c>
      <c r="K441" s="4">
        <v>44262</v>
      </c>
      <c r="L441" t="s">
        <v>77</v>
      </c>
    </row>
    <row r="442" spans="1:12">
      <c r="A442" t="s">
        <v>2161</v>
      </c>
      <c r="B442" t="s">
        <v>2534</v>
      </c>
      <c r="C442" s="6">
        <v>41</v>
      </c>
      <c r="D442" t="s">
        <v>2195</v>
      </c>
      <c r="E442" t="s">
        <v>2205</v>
      </c>
      <c r="F442" t="s">
        <v>2206</v>
      </c>
      <c r="G442" t="s">
        <v>2225</v>
      </c>
      <c r="H442" t="s">
        <v>2186</v>
      </c>
      <c r="I442" t="s">
        <v>2187</v>
      </c>
      <c r="J442" t="s">
        <v>2188</v>
      </c>
      <c r="K442" s="4">
        <v>43945</v>
      </c>
      <c r="L442" t="s">
        <v>77</v>
      </c>
    </row>
    <row r="443" spans="1:12">
      <c r="A443" t="s">
        <v>1011</v>
      </c>
      <c r="B443" t="s">
        <v>2588</v>
      </c>
      <c r="C443" s="6">
        <v>62</v>
      </c>
      <c r="D443" t="s">
        <v>2182</v>
      </c>
      <c r="E443" t="s">
        <v>2211</v>
      </c>
      <c r="F443" t="s">
        <v>2212</v>
      </c>
      <c r="G443" t="s">
        <v>2213</v>
      </c>
      <c r="H443" t="s">
        <v>2235</v>
      </c>
      <c r="I443" t="s">
        <v>2198</v>
      </c>
      <c r="J443" t="s">
        <v>2193</v>
      </c>
      <c r="K443" s="4">
        <v>44857</v>
      </c>
      <c r="L443" t="s">
        <v>64</v>
      </c>
    </row>
    <row r="444" spans="1:12">
      <c r="A444" t="s">
        <v>411</v>
      </c>
      <c r="B444" t="s">
        <v>2589</v>
      </c>
      <c r="C444" s="6">
        <v>28</v>
      </c>
      <c r="D444" t="s">
        <v>2195</v>
      </c>
      <c r="E444" t="s">
        <v>2238</v>
      </c>
      <c r="F444" t="s">
        <v>2212</v>
      </c>
      <c r="G444" t="s">
        <v>2213</v>
      </c>
      <c r="H444" t="s">
        <v>2228</v>
      </c>
      <c r="I444" t="s">
        <v>2198</v>
      </c>
      <c r="J444" t="s">
        <v>2203</v>
      </c>
      <c r="K444" s="4">
        <v>44407</v>
      </c>
      <c r="L444" t="s">
        <v>77</v>
      </c>
    </row>
    <row r="445" spans="1:12">
      <c r="A445" t="s">
        <v>805</v>
      </c>
      <c r="B445" t="s">
        <v>2459</v>
      </c>
      <c r="C445" s="6">
        <v>44</v>
      </c>
      <c r="D445" t="s">
        <v>2182</v>
      </c>
      <c r="E445" t="s">
        <v>2224</v>
      </c>
      <c r="F445" t="s">
        <v>2206</v>
      </c>
      <c r="G445" t="s">
        <v>2233</v>
      </c>
      <c r="H445" t="s">
        <v>2186</v>
      </c>
      <c r="I445" t="s">
        <v>2187</v>
      </c>
      <c r="J445" t="s">
        <v>2188</v>
      </c>
      <c r="K445" s="4">
        <v>44866</v>
      </c>
      <c r="L445" t="s">
        <v>77</v>
      </c>
    </row>
    <row r="446" spans="1:12">
      <c r="A446" t="s">
        <v>390</v>
      </c>
      <c r="B446" t="s">
        <v>2382</v>
      </c>
      <c r="C446" s="6">
        <v>37</v>
      </c>
      <c r="D446" t="s">
        <v>2182</v>
      </c>
      <c r="E446" t="s">
        <v>2277</v>
      </c>
      <c r="F446" t="s">
        <v>2191</v>
      </c>
      <c r="G446" t="s">
        <v>2200</v>
      </c>
      <c r="H446" t="s">
        <v>2315</v>
      </c>
      <c r="I446" t="s">
        <v>2198</v>
      </c>
      <c r="J446" t="s">
        <v>2203</v>
      </c>
      <c r="K446" s="4">
        <v>44244</v>
      </c>
      <c r="L446" t="s">
        <v>77</v>
      </c>
    </row>
    <row r="447" spans="1:12">
      <c r="A447" t="s">
        <v>2590</v>
      </c>
      <c r="B447" t="s">
        <v>2591</v>
      </c>
      <c r="C447" s="6">
        <v>55</v>
      </c>
      <c r="D447" t="s">
        <v>2182</v>
      </c>
      <c r="E447" t="s">
        <v>2227</v>
      </c>
      <c r="F447" t="s">
        <v>2191</v>
      </c>
      <c r="G447" t="s">
        <v>2207</v>
      </c>
      <c r="H447" t="s">
        <v>2186</v>
      </c>
      <c r="I447" t="s">
        <v>2198</v>
      </c>
      <c r="J447" t="s">
        <v>2203</v>
      </c>
      <c r="K447" s="4">
        <v>45999</v>
      </c>
      <c r="L447" t="s">
        <v>77</v>
      </c>
    </row>
    <row r="448" spans="1:12">
      <c r="A448" t="s">
        <v>872</v>
      </c>
      <c r="B448" t="s">
        <v>2592</v>
      </c>
      <c r="C448" s="6">
        <v>68</v>
      </c>
      <c r="D448" t="s">
        <v>2182</v>
      </c>
      <c r="E448" t="s">
        <v>2221</v>
      </c>
      <c r="F448" t="s">
        <v>2219</v>
      </c>
      <c r="G448" t="s">
        <v>2202</v>
      </c>
      <c r="H448" t="s">
        <v>2186</v>
      </c>
      <c r="I448" t="s">
        <v>2198</v>
      </c>
      <c r="J448" t="s">
        <v>2203</v>
      </c>
      <c r="K448" s="4">
        <v>43639</v>
      </c>
      <c r="L448" t="s">
        <v>77</v>
      </c>
    </row>
    <row r="449" spans="1:12">
      <c r="A449" t="s">
        <v>870</v>
      </c>
      <c r="B449" t="s">
        <v>2571</v>
      </c>
      <c r="C449" s="6">
        <v>29</v>
      </c>
      <c r="D449" t="s">
        <v>2182</v>
      </c>
      <c r="E449" t="s">
        <v>2196</v>
      </c>
      <c r="F449" t="s">
        <v>2184</v>
      </c>
      <c r="G449" t="s">
        <v>2225</v>
      </c>
      <c r="H449" t="s">
        <v>2208</v>
      </c>
      <c r="I449" t="s">
        <v>2192</v>
      </c>
      <c r="J449" t="s">
        <v>2203</v>
      </c>
      <c r="K449" s="4">
        <v>45476</v>
      </c>
      <c r="L449" t="s">
        <v>77</v>
      </c>
    </row>
    <row r="450" spans="1:12">
      <c r="A450" t="s">
        <v>68</v>
      </c>
      <c r="B450" t="s">
        <v>2356</v>
      </c>
      <c r="C450" s="6">
        <v>17</v>
      </c>
      <c r="D450" t="s">
        <v>2195</v>
      </c>
      <c r="E450" t="s">
        <v>2218</v>
      </c>
      <c r="F450" t="s">
        <v>2219</v>
      </c>
      <c r="G450" t="s">
        <v>2222</v>
      </c>
      <c r="H450" t="s">
        <v>2186</v>
      </c>
      <c r="I450" t="s">
        <v>2187</v>
      </c>
      <c r="J450" t="s">
        <v>2188</v>
      </c>
      <c r="K450" s="4">
        <v>45680</v>
      </c>
      <c r="L450" t="s">
        <v>77</v>
      </c>
    </row>
    <row r="451" spans="1:12">
      <c r="A451" t="s">
        <v>489</v>
      </c>
      <c r="B451" t="s">
        <v>2593</v>
      </c>
      <c r="C451" s="6">
        <v>61</v>
      </c>
      <c r="D451" t="s">
        <v>2195</v>
      </c>
      <c r="E451" t="s">
        <v>2205</v>
      </c>
      <c r="F451" t="s">
        <v>2206</v>
      </c>
      <c r="G451" t="s">
        <v>2207</v>
      </c>
      <c r="H451" t="s">
        <v>2235</v>
      </c>
      <c r="I451" t="s">
        <v>2187</v>
      </c>
      <c r="J451" t="s">
        <v>2203</v>
      </c>
      <c r="K451" s="4">
        <v>43500</v>
      </c>
      <c r="L451" t="s">
        <v>77</v>
      </c>
    </row>
    <row r="452" spans="1:12">
      <c r="A452" t="s">
        <v>2594</v>
      </c>
      <c r="B452" t="s">
        <v>2595</v>
      </c>
      <c r="C452" s="6">
        <v>31</v>
      </c>
      <c r="D452" t="s">
        <v>2195</v>
      </c>
      <c r="E452" t="s">
        <v>2218</v>
      </c>
      <c r="F452" t="s">
        <v>2219</v>
      </c>
      <c r="G452" t="s">
        <v>2185</v>
      </c>
      <c r="H452" t="s">
        <v>2186</v>
      </c>
      <c r="I452" t="s">
        <v>2187</v>
      </c>
      <c r="J452" t="s">
        <v>2188</v>
      </c>
      <c r="K452" s="4">
        <v>45977</v>
      </c>
      <c r="L452" t="s">
        <v>77</v>
      </c>
    </row>
    <row r="453" spans="1:12">
      <c r="A453" t="s">
        <v>1682</v>
      </c>
      <c r="B453" t="s">
        <v>2565</v>
      </c>
      <c r="C453" s="6">
        <v>66</v>
      </c>
      <c r="D453" t="s">
        <v>2195</v>
      </c>
      <c r="E453" t="s">
        <v>2190</v>
      </c>
      <c r="F453" t="s">
        <v>2191</v>
      </c>
      <c r="G453" t="s">
        <v>2222</v>
      </c>
      <c r="H453" t="s">
        <v>2208</v>
      </c>
      <c r="I453" t="s">
        <v>2187</v>
      </c>
      <c r="J453" t="s">
        <v>2193</v>
      </c>
      <c r="K453" s="4">
        <v>45106</v>
      </c>
      <c r="L453" t="s">
        <v>77</v>
      </c>
    </row>
    <row r="454" spans="1:12">
      <c r="A454" t="s">
        <v>1243</v>
      </c>
      <c r="B454" t="s">
        <v>2596</v>
      </c>
      <c r="C454" s="6">
        <v>71</v>
      </c>
      <c r="D454" t="s">
        <v>2182</v>
      </c>
      <c r="E454" t="s">
        <v>2190</v>
      </c>
      <c r="F454" t="s">
        <v>2191</v>
      </c>
      <c r="G454" t="s">
        <v>2222</v>
      </c>
      <c r="H454" t="s">
        <v>2197</v>
      </c>
      <c r="I454" t="s">
        <v>2187</v>
      </c>
      <c r="J454" t="s">
        <v>2193</v>
      </c>
      <c r="K454" s="4">
        <v>45236</v>
      </c>
      <c r="L454" t="s">
        <v>77</v>
      </c>
    </row>
    <row r="455" spans="1:12">
      <c r="A455" t="s">
        <v>962</v>
      </c>
      <c r="B455" t="s">
        <v>2283</v>
      </c>
      <c r="C455" s="6">
        <v>39</v>
      </c>
      <c r="D455" t="s">
        <v>2195</v>
      </c>
      <c r="E455" t="s">
        <v>2216</v>
      </c>
      <c r="F455" t="s">
        <v>2206</v>
      </c>
      <c r="G455" t="s">
        <v>2225</v>
      </c>
      <c r="H455" t="s">
        <v>2186</v>
      </c>
      <c r="I455" t="s">
        <v>2187</v>
      </c>
      <c r="J455" t="s">
        <v>2188</v>
      </c>
      <c r="K455" s="4">
        <v>45583</v>
      </c>
      <c r="L455" t="s">
        <v>77</v>
      </c>
    </row>
    <row r="456" spans="1:12">
      <c r="A456" t="s">
        <v>621</v>
      </c>
      <c r="B456" t="s">
        <v>2597</v>
      </c>
      <c r="C456" s="6">
        <v>42</v>
      </c>
      <c r="D456" t="s">
        <v>2195</v>
      </c>
      <c r="E456" t="s">
        <v>2205</v>
      </c>
      <c r="F456" t="s">
        <v>2206</v>
      </c>
      <c r="G456" t="s">
        <v>2233</v>
      </c>
      <c r="H456" t="s">
        <v>2197</v>
      </c>
      <c r="I456" t="s">
        <v>2187</v>
      </c>
      <c r="J456" t="s">
        <v>2203</v>
      </c>
      <c r="K456" s="4">
        <v>44507</v>
      </c>
      <c r="L456" t="s">
        <v>77</v>
      </c>
    </row>
    <row r="457" spans="1:12">
      <c r="A457" t="s">
        <v>306</v>
      </c>
      <c r="B457" t="s">
        <v>2284</v>
      </c>
      <c r="C457" s="6">
        <v>80</v>
      </c>
      <c r="D457" t="s">
        <v>2182</v>
      </c>
      <c r="E457" t="s">
        <v>2224</v>
      </c>
      <c r="F457" t="s">
        <v>2206</v>
      </c>
      <c r="G457" t="s">
        <v>2202</v>
      </c>
      <c r="H457" t="s">
        <v>2197</v>
      </c>
      <c r="I457" t="s">
        <v>2187</v>
      </c>
      <c r="J457" t="s">
        <v>2193</v>
      </c>
      <c r="K457" s="4">
        <v>44521</v>
      </c>
      <c r="L457" t="s">
        <v>77</v>
      </c>
    </row>
    <row r="458" spans="1:12">
      <c r="A458" t="s">
        <v>832</v>
      </c>
      <c r="B458" t="s">
        <v>2598</v>
      </c>
      <c r="C458" s="6">
        <v>75</v>
      </c>
      <c r="D458" t="s">
        <v>2195</v>
      </c>
      <c r="E458" t="s">
        <v>2221</v>
      </c>
      <c r="F458" t="s">
        <v>2219</v>
      </c>
      <c r="G458" t="s">
        <v>2233</v>
      </c>
      <c r="H458" t="s">
        <v>2235</v>
      </c>
      <c r="I458" t="s">
        <v>2187</v>
      </c>
      <c r="J458" t="s">
        <v>2193</v>
      </c>
      <c r="K458" s="4">
        <v>44631</v>
      </c>
      <c r="L458" t="s">
        <v>77</v>
      </c>
    </row>
    <row r="459" spans="1:12">
      <c r="A459" t="s">
        <v>2599</v>
      </c>
      <c r="B459" t="s">
        <v>2518</v>
      </c>
      <c r="C459" s="6">
        <v>6</v>
      </c>
      <c r="D459" t="s">
        <v>2182</v>
      </c>
      <c r="E459" t="s">
        <v>2231</v>
      </c>
      <c r="F459" t="s">
        <v>2212</v>
      </c>
      <c r="G459" t="s">
        <v>2202</v>
      </c>
      <c r="H459" t="s">
        <v>2208</v>
      </c>
      <c r="I459" t="s">
        <v>2187</v>
      </c>
      <c r="J459" t="s">
        <v>2188</v>
      </c>
      <c r="K459" s="4">
        <v>44639</v>
      </c>
      <c r="L459" t="s">
        <v>77</v>
      </c>
    </row>
    <row r="460" spans="1:12">
      <c r="A460" t="s">
        <v>1669</v>
      </c>
      <c r="B460" t="s">
        <v>2364</v>
      </c>
      <c r="C460" s="6">
        <v>19</v>
      </c>
      <c r="D460" t="s">
        <v>2195</v>
      </c>
      <c r="E460" t="s">
        <v>2196</v>
      </c>
      <c r="F460" t="s">
        <v>2184</v>
      </c>
      <c r="G460" t="s">
        <v>2225</v>
      </c>
      <c r="H460" t="s">
        <v>2186</v>
      </c>
      <c r="I460" t="s">
        <v>2187</v>
      </c>
      <c r="J460" t="s">
        <v>2188</v>
      </c>
      <c r="K460" s="4">
        <v>44400</v>
      </c>
      <c r="L460" t="s">
        <v>77</v>
      </c>
    </row>
    <row r="461" spans="1:12">
      <c r="A461" t="s">
        <v>1863</v>
      </c>
      <c r="B461" t="s">
        <v>2372</v>
      </c>
      <c r="C461" s="6">
        <v>55</v>
      </c>
      <c r="D461" t="s">
        <v>2182</v>
      </c>
      <c r="E461" t="s">
        <v>2211</v>
      </c>
      <c r="F461" t="s">
        <v>2212</v>
      </c>
      <c r="G461" t="s">
        <v>2185</v>
      </c>
      <c r="H461" t="s">
        <v>2186</v>
      </c>
      <c r="I461" t="s">
        <v>2187</v>
      </c>
      <c r="J461" t="s">
        <v>2188</v>
      </c>
      <c r="K461" s="4">
        <v>44953</v>
      </c>
      <c r="L461" t="s">
        <v>77</v>
      </c>
    </row>
    <row r="462" spans="1:12">
      <c r="A462" t="s">
        <v>973</v>
      </c>
      <c r="B462" t="s">
        <v>2600</v>
      </c>
      <c r="C462" s="6">
        <v>61</v>
      </c>
      <c r="D462" t="s">
        <v>2195</v>
      </c>
      <c r="E462" t="s">
        <v>2227</v>
      </c>
      <c r="F462" t="s">
        <v>2191</v>
      </c>
      <c r="G462" t="s">
        <v>2207</v>
      </c>
      <c r="H462" t="s">
        <v>2235</v>
      </c>
      <c r="I462" t="s">
        <v>2192</v>
      </c>
      <c r="J462" t="s">
        <v>2193</v>
      </c>
      <c r="K462" s="4">
        <v>43793</v>
      </c>
      <c r="L462" t="s">
        <v>77</v>
      </c>
    </row>
    <row r="463" spans="1:12">
      <c r="A463" t="s">
        <v>841</v>
      </c>
      <c r="B463" t="s">
        <v>2403</v>
      </c>
      <c r="C463" s="6">
        <v>75</v>
      </c>
      <c r="D463" t="s">
        <v>2195</v>
      </c>
      <c r="E463" t="s">
        <v>2196</v>
      </c>
      <c r="F463" t="s">
        <v>2184</v>
      </c>
      <c r="G463" t="s">
        <v>2225</v>
      </c>
      <c r="H463" t="s">
        <v>2197</v>
      </c>
      <c r="I463" t="s">
        <v>2187</v>
      </c>
      <c r="J463" t="s">
        <v>2193</v>
      </c>
      <c r="K463" s="4">
        <v>45092</v>
      </c>
      <c r="L463" t="s">
        <v>77</v>
      </c>
    </row>
    <row r="464" spans="1:12">
      <c r="A464" t="s">
        <v>851</v>
      </c>
      <c r="B464" t="s">
        <v>2601</v>
      </c>
      <c r="C464" s="6">
        <v>37</v>
      </c>
      <c r="D464" t="s">
        <v>2182</v>
      </c>
      <c r="E464" t="s">
        <v>2211</v>
      </c>
      <c r="F464" t="s">
        <v>2212</v>
      </c>
      <c r="G464" t="s">
        <v>2222</v>
      </c>
      <c r="H464" t="s">
        <v>2186</v>
      </c>
      <c r="I464" t="s">
        <v>2187</v>
      </c>
      <c r="J464" t="s">
        <v>2188</v>
      </c>
      <c r="K464" s="4">
        <v>44629</v>
      </c>
      <c r="L464" t="s">
        <v>77</v>
      </c>
    </row>
    <row r="465" spans="1:12">
      <c r="A465" t="s">
        <v>573</v>
      </c>
      <c r="B465" t="s">
        <v>2602</v>
      </c>
      <c r="C465" s="6">
        <v>37</v>
      </c>
      <c r="D465" t="s">
        <v>2195</v>
      </c>
      <c r="E465" t="s">
        <v>2298</v>
      </c>
      <c r="F465" t="s">
        <v>2219</v>
      </c>
      <c r="G465" t="s">
        <v>2225</v>
      </c>
      <c r="H465" t="s">
        <v>2186</v>
      </c>
      <c r="I465" t="s">
        <v>2192</v>
      </c>
      <c r="J465" t="s">
        <v>2203</v>
      </c>
      <c r="K465" s="4">
        <v>45416</v>
      </c>
      <c r="L465" t="s">
        <v>77</v>
      </c>
    </row>
    <row r="466" spans="1:12">
      <c r="A466" t="s">
        <v>583</v>
      </c>
      <c r="B466" t="s">
        <v>2389</v>
      </c>
      <c r="C466" s="6">
        <v>33</v>
      </c>
      <c r="D466" t="s">
        <v>2182</v>
      </c>
      <c r="E466" t="s">
        <v>2218</v>
      </c>
      <c r="F466" t="s">
        <v>2219</v>
      </c>
      <c r="G466" t="s">
        <v>2225</v>
      </c>
      <c r="H466" t="s">
        <v>2186</v>
      </c>
      <c r="I466" t="s">
        <v>2187</v>
      </c>
      <c r="J466" t="s">
        <v>2188</v>
      </c>
      <c r="K466" s="4">
        <v>45776</v>
      </c>
      <c r="L466" t="s">
        <v>77</v>
      </c>
    </row>
    <row r="467" spans="1:12">
      <c r="A467" t="s">
        <v>301</v>
      </c>
      <c r="B467" t="s">
        <v>2553</v>
      </c>
      <c r="C467" s="6">
        <v>39</v>
      </c>
      <c r="D467" t="s">
        <v>2182</v>
      </c>
      <c r="E467" t="s">
        <v>2231</v>
      </c>
      <c r="F467" t="s">
        <v>2212</v>
      </c>
      <c r="G467" t="s">
        <v>2222</v>
      </c>
      <c r="H467" t="s">
        <v>2186</v>
      </c>
      <c r="I467" t="s">
        <v>2198</v>
      </c>
      <c r="J467" t="s">
        <v>2188</v>
      </c>
      <c r="K467" s="4">
        <v>45275</v>
      </c>
      <c r="L467" t="s">
        <v>77</v>
      </c>
    </row>
    <row r="468" spans="1:12">
      <c r="A468" t="s">
        <v>545</v>
      </c>
      <c r="B468" t="s">
        <v>2603</v>
      </c>
      <c r="C468" s="6">
        <v>42</v>
      </c>
      <c r="D468" t="s">
        <v>2269</v>
      </c>
      <c r="E468" t="s">
        <v>2183</v>
      </c>
      <c r="F468" t="s">
        <v>2184</v>
      </c>
      <c r="G468" t="s">
        <v>2233</v>
      </c>
      <c r="H468" t="s">
        <v>2186</v>
      </c>
      <c r="I468" t="s">
        <v>2187</v>
      </c>
      <c r="J468" t="s">
        <v>2188</v>
      </c>
      <c r="K468" s="4">
        <v>45657</v>
      </c>
      <c r="L468" t="s">
        <v>77</v>
      </c>
    </row>
    <row r="469" spans="1:12">
      <c r="A469" t="s">
        <v>725</v>
      </c>
      <c r="B469" t="s">
        <v>2554</v>
      </c>
      <c r="C469" s="6">
        <v>43</v>
      </c>
      <c r="D469" t="s">
        <v>2195</v>
      </c>
      <c r="E469" t="s">
        <v>2238</v>
      </c>
      <c r="F469" t="s">
        <v>2212</v>
      </c>
      <c r="G469" t="s">
        <v>2200</v>
      </c>
      <c r="H469" t="s">
        <v>2186</v>
      </c>
      <c r="I469" t="s">
        <v>2187</v>
      </c>
      <c r="J469" t="s">
        <v>2188</v>
      </c>
      <c r="K469" s="4">
        <v>44413</v>
      </c>
      <c r="L469" t="s">
        <v>77</v>
      </c>
    </row>
    <row r="470" spans="1:12">
      <c r="A470" t="s">
        <v>1172</v>
      </c>
      <c r="B470" t="s">
        <v>2435</v>
      </c>
      <c r="C470" s="6">
        <v>22</v>
      </c>
      <c r="D470" t="s">
        <v>2195</v>
      </c>
      <c r="E470" t="s">
        <v>2277</v>
      </c>
      <c r="F470" t="s">
        <v>2191</v>
      </c>
      <c r="G470" t="s">
        <v>2200</v>
      </c>
      <c r="H470" t="s">
        <v>2235</v>
      </c>
      <c r="I470" t="s">
        <v>2198</v>
      </c>
      <c r="J470" t="s">
        <v>2203</v>
      </c>
      <c r="K470" s="4">
        <v>45015</v>
      </c>
      <c r="L470" t="s">
        <v>77</v>
      </c>
    </row>
    <row r="471" spans="1:12">
      <c r="A471" t="s">
        <v>276</v>
      </c>
      <c r="B471" t="s">
        <v>2587</v>
      </c>
      <c r="C471" s="6">
        <v>55</v>
      </c>
      <c r="D471" t="s">
        <v>2182</v>
      </c>
      <c r="E471" t="s">
        <v>2238</v>
      </c>
      <c r="F471" t="s">
        <v>2212</v>
      </c>
      <c r="G471" t="s">
        <v>2225</v>
      </c>
      <c r="H471" t="s">
        <v>2272</v>
      </c>
      <c r="I471" t="s">
        <v>2198</v>
      </c>
      <c r="J471" t="s">
        <v>2193</v>
      </c>
      <c r="K471" s="4">
        <v>44579</v>
      </c>
      <c r="L471" t="s">
        <v>77</v>
      </c>
    </row>
    <row r="472" spans="1:12">
      <c r="A472" t="s">
        <v>2604</v>
      </c>
      <c r="B472" t="s">
        <v>2502</v>
      </c>
      <c r="C472" s="6">
        <v>11</v>
      </c>
      <c r="D472" t="s">
        <v>2195</v>
      </c>
      <c r="E472" t="s">
        <v>2224</v>
      </c>
      <c r="F472" t="s">
        <v>2206</v>
      </c>
      <c r="G472" t="s">
        <v>2200</v>
      </c>
      <c r="H472" t="s">
        <v>2186</v>
      </c>
      <c r="I472" t="s">
        <v>2187</v>
      </c>
      <c r="J472" t="s">
        <v>2188</v>
      </c>
      <c r="K472" s="4">
        <v>45320</v>
      </c>
      <c r="L472" t="s">
        <v>77</v>
      </c>
    </row>
    <row r="473" spans="1:12">
      <c r="A473" t="s">
        <v>764</v>
      </c>
      <c r="B473" t="s">
        <v>2605</v>
      </c>
      <c r="C473" s="6">
        <v>62</v>
      </c>
      <c r="D473" t="s">
        <v>2195</v>
      </c>
      <c r="E473" t="s">
        <v>2277</v>
      </c>
      <c r="F473" t="s">
        <v>2191</v>
      </c>
      <c r="G473" t="s">
        <v>2222</v>
      </c>
      <c r="H473" t="s">
        <v>2186</v>
      </c>
      <c r="I473" t="s">
        <v>2187</v>
      </c>
      <c r="J473" t="s">
        <v>2188</v>
      </c>
      <c r="K473" s="4">
        <v>44227</v>
      </c>
      <c r="L473" t="s">
        <v>64</v>
      </c>
    </row>
    <row r="474" spans="1:12">
      <c r="A474" t="s">
        <v>414</v>
      </c>
      <c r="B474" t="s">
        <v>2606</v>
      </c>
      <c r="C474" s="6">
        <v>36</v>
      </c>
      <c r="D474" t="s">
        <v>2195</v>
      </c>
      <c r="E474" t="s">
        <v>2277</v>
      </c>
      <c r="F474" t="s">
        <v>2191</v>
      </c>
      <c r="G474" t="s">
        <v>2202</v>
      </c>
      <c r="H474" t="s">
        <v>2186</v>
      </c>
      <c r="I474" t="s">
        <v>2187</v>
      </c>
      <c r="J474" t="s">
        <v>2188</v>
      </c>
      <c r="K474" s="4">
        <v>45187</v>
      </c>
      <c r="L474" t="s">
        <v>77</v>
      </c>
    </row>
    <row r="475" spans="1:12">
      <c r="A475" t="s">
        <v>874</v>
      </c>
      <c r="B475" t="s">
        <v>2425</v>
      </c>
      <c r="C475" s="6">
        <v>13</v>
      </c>
      <c r="D475" t="s">
        <v>2195</v>
      </c>
      <c r="E475" t="s">
        <v>2238</v>
      </c>
      <c r="F475" t="s">
        <v>2212</v>
      </c>
      <c r="G475" t="s">
        <v>2207</v>
      </c>
      <c r="H475" t="s">
        <v>2186</v>
      </c>
      <c r="I475" t="s">
        <v>2187</v>
      </c>
      <c r="J475" t="s">
        <v>2188</v>
      </c>
      <c r="K475" s="4">
        <v>44064</v>
      </c>
      <c r="L475" t="s">
        <v>77</v>
      </c>
    </row>
    <row r="476" spans="1:12">
      <c r="A476" t="s">
        <v>898</v>
      </c>
      <c r="B476" t="s">
        <v>2585</v>
      </c>
      <c r="C476" s="6">
        <v>31</v>
      </c>
      <c r="D476" t="s">
        <v>2182</v>
      </c>
      <c r="E476" t="s">
        <v>2224</v>
      </c>
      <c r="F476" t="s">
        <v>2206</v>
      </c>
      <c r="G476" t="s">
        <v>2185</v>
      </c>
      <c r="H476" t="s">
        <v>2235</v>
      </c>
      <c r="I476" t="s">
        <v>2198</v>
      </c>
      <c r="J476" t="s">
        <v>2203</v>
      </c>
      <c r="K476" s="4">
        <v>43965</v>
      </c>
      <c r="L476" t="s">
        <v>64</v>
      </c>
    </row>
    <row r="477" spans="1:12">
      <c r="A477" t="s">
        <v>1903</v>
      </c>
      <c r="B477" t="s">
        <v>2591</v>
      </c>
      <c r="C477" s="6">
        <v>39</v>
      </c>
      <c r="D477" t="s">
        <v>2182</v>
      </c>
      <c r="E477" t="s">
        <v>2231</v>
      </c>
      <c r="F477" t="s">
        <v>2212</v>
      </c>
      <c r="G477" t="s">
        <v>2200</v>
      </c>
      <c r="H477" t="s">
        <v>2186</v>
      </c>
      <c r="I477" t="s">
        <v>2192</v>
      </c>
      <c r="J477" t="s">
        <v>2203</v>
      </c>
      <c r="K477" s="4">
        <v>44281</v>
      </c>
      <c r="L477" t="s">
        <v>77</v>
      </c>
    </row>
    <row r="478" spans="1:12">
      <c r="A478" t="s">
        <v>537</v>
      </c>
      <c r="B478" t="s">
        <v>2607</v>
      </c>
      <c r="C478" s="6">
        <v>14</v>
      </c>
      <c r="D478" t="s">
        <v>2608</v>
      </c>
      <c r="E478" t="s">
        <v>2244</v>
      </c>
      <c r="F478" t="s">
        <v>2206</v>
      </c>
      <c r="G478" t="s">
        <v>2225</v>
      </c>
      <c r="H478" t="s">
        <v>2186</v>
      </c>
      <c r="I478" t="s">
        <v>2198</v>
      </c>
      <c r="J478" t="s">
        <v>2188</v>
      </c>
      <c r="K478" s="4">
        <v>45717</v>
      </c>
      <c r="L478" t="s">
        <v>77</v>
      </c>
    </row>
    <row r="479" spans="1:12">
      <c r="A479" t="s">
        <v>1721</v>
      </c>
      <c r="B479" t="s">
        <v>2465</v>
      </c>
      <c r="C479" s="6">
        <v>47</v>
      </c>
      <c r="D479" t="s">
        <v>2195</v>
      </c>
      <c r="E479" t="s">
        <v>2196</v>
      </c>
      <c r="F479" t="s">
        <v>2184</v>
      </c>
      <c r="G479" t="s">
        <v>2213</v>
      </c>
      <c r="H479" t="s">
        <v>2186</v>
      </c>
      <c r="I479" t="s">
        <v>2198</v>
      </c>
      <c r="J479" t="s">
        <v>2188</v>
      </c>
      <c r="K479" s="4">
        <v>43928</v>
      </c>
      <c r="L479" t="s">
        <v>77</v>
      </c>
    </row>
    <row r="480" spans="1:12">
      <c r="A480" t="s">
        <v>1842</v>
      </c>
      <c r="B480" t="s">
        <v>2609</v>
      </c>
      <c r="C480" s="6">
        <v>50</v>
      </c>
      <c r="D480" t="s">
        <v>2195</v>
      </c>
      <c r="E480" t="s">
        <v>2238</v>
      </c>
      <c r="F480" t="s">
        <v>2212</v>
      </c>
      <c r="G480" t="s">
        <v>2222</v>
      </c>
      <c r="H480" t="s">
        <v>2186</v>
      </c>
      <c r="I480" t="s">
        <v>2192</v>
      </c>
      <c r="J480" t="s">
        <v>2203</v>
      </c>
      <c r="K480" s="4">
        <v>45846</v>
      </c>
      <c r="L480" t="s">
        <v>77</v>
      </c>
    </row>
    <row r="481" spans="1:12">
      <c r="A481" t="s">
        <v>1371</v>
      </c>
      <c r="B481" t="s">
        <v>2404</v>
      </c>
      <c r="C481" s="6">
        <v>56</v>
      </c>
      <c r="D481" t="s">
        <v>2195</v>
      </c>
      <c r="E481" t="s">
        <v>2205</v>
      </c>
      <c r="F481" t="s">
        <v>2206</v>
      </c>
      <c r="G481" t="s">
        <v>2213</v>
      </c>
      <c r="H481" t="s">
        <v>2186</v>
      </c>
      <c r="I481" t="s">
        <v>2187</v>
      </c>
      <c r="J481" t="s">
        <v>2188</v>
      </c>
      <c r="K481" s="4">
        <v>45999</v>
      </c>
      <c r="L481" t="s">
        <v>77</v>
      </c>
    </row>
    <row r="482" spans="1:12">
      <c r="A482" t="s">
        <v>1427</v>
      </c>
      <c r="B482" t="s">
        <v>2610</v>
      </c>
      <c r="C482" s="6">
        <v>36</v>
      </c>
      <c r="D482" t="s">
        <v>2269</v>
      </c>
      <c r="E482" t="s">
        <v>2205</v>
      </c>
      <c r="F482" t="s">
        <v>2206</v>
      </c>
      <c r="G482" t="s">
        <v>2233</v>
      </c>
      <c r="H482" t="s">
        <v>2186</v>
      </c>
      <c r="I482" t="s">
        <v>2187</v>
      </c>
      <c r="J482" t="s">
        <v>2188</v>
      </c>
      <c r="K482" s="4">
        <v>45753</v>
      </c>
      <c r="L482" t="s">
        <v>77</v>
      </c>
    </row>
    <row r="483" spans="1:12">
      <c r="A483" t="s">
        <v>1136</v>
      </c>
      <c r="B483" t="s">
        <v>2611</v>
      </c>
      <c r="C483" s="6">
        <v>51</v>
      </c>
      <c r="D483" t="s">
        <v>2182</v>
      </c>
      <c r="E483" t="s">
        <v>2216</v>
      </c>
      <c r="F483" t="s">
        <v>2206</v>
      </c>
      <c r="G483" t="s">
        <v>2233</v>
      </c>
      <c r="H483" t="s">
        <v>2197</v>
      </c>
      <c r="I483" t="s">
        <v>2187</v>
      </c>
      <c r="J483" t="s">
        <v>2203</v>
      </c>
      <c r="K483" s="4">
        <v>44017</v>
      </c>
      <c r="L483" t="s">
        <v>77</v>
      </c>
    </row>
    <row r="484" spans="1:12">
      <c r="A484" t="s">
        <v>1693</v>
      </c>
      <c r="B484" t="s">
        <v>2316</v>
      </c>
      <c r="C484" s="6">
        <v>20</v>
      </c>
      <c r="D484" t="s">
        <v>2182</v>
      </c>
      <c r="E484" t="s">
        <v>2221</v>
      </c>
      <c r="F484" t="s">
        <v>2219</v>
      </c>
      <c r="G484" t="s">
        <v>2222</v>
      </c>
      <c r="H484" t="s">
        <v>2186</v>
      </c>
      <c r="I484" t="s">
        <v>2187</v>
      </c>
      <c r="J484" t="s">
        <v>2188</v>
      </c>
      <c r="K484" s="4">
        <v>45384</v>
      </c>
      <c r="L484" t="s">
        <v>77</v>
      </c>
    </row>
    <row r="485" spans="1:12">
      <c r="A485" t="s">
        <v>711</v>
      </c>
      <c r="B485" t="s">
        <v>2346</v>
      </c>
      <c r="C485" s="6">
        <v>34</v>
      </c>
      <c r="D485" t="s">
        <v>2195</v>
      </c>
      <c r="E485" t="s">
        <v>2277</v>
      </c>
      <c r="F485" t="s">
        <v>2191</v>
      </c>
      <c r="G485" t="s">
        <v>2185</v>
      </c>
      <c r="H485" t="s">
        <v>2186</v>
      </c>
      <c r="I485" t="s">
        <v>2198</v>
      </c>
      <c r="J485" t="s">
        <v>2188</v>
      </c>
      <c r="K485" s="4">
        <v>45684</v>
      </c>
      <c r="L485" t="s">
        <v>77</v>
      </c>
    </row>
    <row r="486" spans="1:12">
      <c r="A486" t="s">
        <v>1725</v>
      </c>
      <c r="B486" t="s">
        <v>2612</v>
      </c>
      <c r="C486" s="6">
        <v>38</v>
      </c>
      <c r="D486" t="s">
        <v>2182</v>
      </c>
      <c r="E486" t="s">
        <v>2244</v>
      </c>
      <c r="F486" t="s">
        <v>2206</v>
      </c>
      <c r="G486" t="s">
        <v>2200</v>
      </c>
      <c r="H486" t="s">
        <v>2235</v>
      </c>
      <c r="I486" t="s">
        <v>2187</v>
      </c>
      <c r="J486" t="s">
        <v>2203</v>
      </c>
      <c r="K486" s="4">
        <v>43725</v>
      </c>
      <c r="L486" t="s">
        <v>77</v>
      </c>
    </row>
    <row r="487" spans="1:12">
      <c r="A487" t="s">
        <v>1121</v>
      </c>
      <c r="B487" t="s">
        <v>2329</v>
      </c>
      <c r="C487" s="6">
        <v>3</v>
      </c>
      <c r="D487" t="s">
        <v>2182</v>
      </c>
      <c r="E487" t="s">
        <v>2231</v>
      </c>
      <c r="F487" t="s">
        <v>2212</v>
      </c>
      <c r="G487" t="s">
        <v>2207</v>
      </c>
      <c r="H487" t="s">
        <v>2186</v>
      </c>
      <c r="I487" t="s">
        <v>2187</v>
      </c>
      <c r="J487" t="s">
        <v>2188</v>
      </c>
      <c r="K487" s="4">
        <v>44625</v>
      </c>
      <c r="L487" t="s">
        <v>77</v>
      </c>
    </row>
    <row r="488" spans="1:12">
      <c r="A488" t="s">
        <v>1251</v>
      </c>
      <c r="B488" t="s">
        <v>2345</v>
      </c>
      <c r="C488" s="6">
        <v>65</v>
      </c>
      <c r="D488" t="s">
        <v>2195</v>
      </c>
      <c r="E488" t="s">
        <v>2277</v>
      </c>
      <c r="F488" t="s">
        <v>2191</v>
      </c>
      <c r="G488" t="s">
        <v>2185</v>
      </c>
      <c r="H488" t="s">
        <v>2186</v>
      </c>
      <c r="I488" t="s">
        <v>2187</v>
      </c>
      <c r="J488" t="s">
        <v>2203</v>
      </c>
      <c r="K488" s="4">
        <v>43904</v>
      </c>
      <c r="L488" t="s">
        <v>77</v>
      </c>
    </row>
    <row r="489" spans="1:12">
      <c r="A489" t="s">
        <v>102</v>
      </c>
      <c r="B489" t="s">
        <v>2394</v>
      </c>
      <c r="C489" s="6">
        <v>58</v>
      </c>
      <c r="D489" t="s">
        <v>2269</v>
      </c>
      <c r="E489" t="s">
        <v>2218</v>
      </c>
      <c r="F489" t="s">
        <v>2219</v>
      </c>
      <c r="G489" t="s">
        <v>2213</v>
      </c>
      <c r="H489" t="s">
        <v>2197</v>
      </c>
      <c r="I489" t="s">
        <v>2187</v>
      </c>
      <c r="J489" t="s">
        <v>2203</v>
      </c>
      <c r="K489" s="4">
        <v>43667</v>
      </c>
      <c r="L489" t="s">
        <v>77</v>
      </c>
    </row>
    <row r="490" spans="1:12">
      <c r="A490" t="s">
        <v>817</v>
      </c>
      <c r="B490" t="s">
        <v>2613</v>
      </c>
      <c r="C490" s="6">
        <v>54</v>
      </c>
      <c r="D490" t="s">
        <v>2182</v>
      </c>
      <c r="E490" t="s">
        <v>2196</v>
      </c>
      <c r="F490" t="s">
        <v>2184</v>
      </c>
      <c r="G490" t="s">
        <v>2202</v>
      </c>
      <c r="H490" t="s">
        <v>2235</v>
      </c>
      <c r="I490" t="s">
        <v>2187</v>
      </c>
      <c r="J490" t="s">
        <v>2203</v>
      </c>
      <c r="K490" s="4">
        <v>43714</v>
      </c>
      <c r="L490" t="s">
        <v>77</v>
      </c>
    </row>
    <row r="491" spans="1:12">
      <c r="A491" t="s">
        <v>856</v>
      </c>
      <c r="B491" t="s">
        <v>2614</v>
      </c>
      <c r="C491" s="6">
        <v>37</v>
      </c>
      <c r="D491" t="s">
        <v>2182</v>
      </c>
      <c r="E491" t="s">
        <v>2216</v>
      </c>
      <c r="F491" t="s">
        <v>2206</v>
      </c>
      <c r="G491" t="s">
        <v>2207</v>
      </c>
      <c r="H491" t="s">
        <v>2235</v>
      </c>
      <c r="I491" t="s">
        <v>2187</v>
      </c>
      <c r="J491" t="s">
        <v>2203</v>
      </c>
      <c r="K491" s="4">
        <v>43632</v>
      </c>
      <c r="L491" t="s">
        <v>77</v>
      </c>
    </row>
    <row r="492" spans="1:12">
      <c r="A492" t="s">
        <v>1127</v>
      </c>
      <c r="B492" t="s">
        <v>2279</v>
      </c>
      <c r="C492" s="6">
        <v>88</v>
      </c>
      <c r="D492" t="s">
        <v>2195</v>
      </c>
      <c r="E492" t="s">
        <v>2190</v>
      </c>
      <c r="F492" t="s">
        <v>2191</v>
      </c>
      <c r="G492" t="s">
        <v>2222</v>
      </c>
      <c r="H492" t="s">
        <v>2186</v>
      </c>
      <c r="I492" t="s">
        <v>2187</v>
      </c>
      <c r="J492" t="s">
        <v>2203</v>
      </c>
      <c r="K492" s="4">
        <v>44257</v>
      </c>
      <c r="L492" t="s">
        <v>77</v>
      </c>
    </row>
    <row r="493" spans="1:12">
      <c r="A493" t="s">
        <v>594</v>
      </c>
      <c r="B493" t="s">
        <v>2320</v>
      </c>
      <c r="C493" s="6">
        <v>26</v>
      </c>
      <c r="D493" t="s">
        <v>2182</v>
      </c>
      <c r="E493" t="s">
        <v>2218</v>
      </c>
      <c r="F493" t="s">
        <v>2219</v>
      </c>
      <c r="G493" t="s">
        <v>2207</v>
      </c>
      <c r="H493" t="s">
        <v>2186</v>
      </c>
      <c r="I493" t="s">
        <v>2187</v>
      </c>
      <c r="J493" t="s">
        <v>2188</v>
      </c>
      <c r="K493" s="4">
        <v>45827</v>
      </c>
      <c r="L493" t="s">
        <v>77</v>
      </c>
    </row>
    <row r="494" spans="1:12">
      <c r="A494" t="s">
        <v>1852</v>
      </c>
      <c r="B494" t="s">
        <v>2415</v>
      </c>
      <c r="C494" s="6">
        <v>48</v>
      </c>
      <c r="D494" t="s">
        <v>2195</v>
      </c>
      <c r="E494" t="s">
        <v>2244</v>
      </c>
      <c r="F494" t="s">
        <v>2206</v>
      </c>
      <c r="G494" t="s">
        <v>2202</v>
      </c>
      <c r="H494" t="s">
        <v>2197</v>
      </c>
      <c r="I494" t="s">
        <v>2187</v>
      </c>
      <c r="J494" t="s">
        <v>2203</v>
      </c>
      <c r="K494" s="4">
        <v>45923</v>
      </c>
      <c r="L494" t="s">
        <v>77</v>
      </c>
    </row>
    <row r="495" spans="1:12">
      <c r="A495" t="s">
        <v>2615</v>
      </c>
      <c r="B495" t="s">
        <v>2616</v>
      </c>
      <c r="C495" s="6">
        <v>53</v>
      </c>
      <c r="D495" t="s">
        <v>2182</v>
      </c>
      <c r="E495" t="s">
        <v>2211</v>
      </c>
      <c r="F495" t="s">
        <v>2212</v>
      </c>
      <c r="G495" t="s">
        <v>2200</v>
      </c>
      <c r="H495" t="s">
        <v>2235</v>
      </c>
      <c r="I495" t="s">
        <v>2187</v>
      </c>
      <c r="J495" t="s">
        <v>2203</v>
      </c>
      <c r="K495" s="4">
        <v>44790</v>
      </c>
      <c r="L495" t="s">
        <v>77</v>
      </c>
    </row>
    <row r="496" spans="1:12">
      <c r="A496" t="s">
        <v>464</v>
      </c>
      <c r="B496" t="s">
        <v>2617</v>
      </c>
      <c r="C496" s="6">
        <v>26</v>
      </c>
      <c r="D496" t="s">
        <v>2182</v>
      </c>
      <c r="E496" t="s">
        <v>2244</v>
      </c>
      <c r="F496" t="s">
        <v>2206</v>
      </c>
      <c r="G496" t="s">
        <v>2213</v>
      </c>
      <c r="H496" t="s">
        <v>2315</v>
      </c>
      <c r="I496" t="s">
        <v>2187</v>
      </c>
      <c r="J496" t="s">
        <v>2188</v>
      </c>
      <c r="K496" s="4">
        <v>45092</v>
      </c>
      <c r="L496" t="s">
        <v>77</v>
      </c>
    </row>
    <row r="497" spans="1:12">
      <c r="A497" t="s">
        <v>1889</v>
      </c>
      <c r="B497" t="s">
        <v>2618</v>
      </c>
      <c r="C497" s="6">
        <v>59</v>
      </c>
      <c r="D497" t="s">
        <v>2182</v>
      </c>
      <c r="E497" t="s">
        <v>2196</v>
      </c>
      <c r="F497" t="s">
        <v>2184</v>
      </c>
      <c r="G497" t="s">
        <v>2225</v>
      </c>
      <c r="H497" t="s">
        <v>2186</v>
      </c>
      <c r="I497" t="s">
        <v>2187</v>
      </c>
      <c r="J497" t="s">
        <v>2188</v>
      </c>
      <c r="K497" s="4">
        <v>44374</v>
      </c>
      <c r="L497" t="s">
        <v>77</v>
      </c>
    </row>
    <row r="498" spans="1:12">
      <c r="A498" t="s">
        <v>1118</v>
      </c>
      <c r="B498" t="s">
        <v>2619</v>
      </c>
      <c r="C498" s="6">
        <v>62</v>
      </c>
      <c r="D498" t="s">
        <v>2182</v>
      </c>
      <c r="E498" t="s">
        <v>2221</v>
      </c>
      <c r="F498" t="s">
        <v>2219</v>
      </c>
      <c r="G498" t="s">
        <v>2200</v>
      </c>
      <c r="H498" t="s">
        <v>2186</v>
      </c>
      <c r="I498" t="s">
        <v>2187</v>
      </c>
      <c r="J498" t="s">
        <v>2188</v>
      </c>
      <c r="K498" s="4">
        <v>44922</v>
      </c>
      <c r="L498" t="s">
        <v>77</v>
      </c>
    </row>
    <row r="499" spans="1:12">
      <c r="A499" t="s">
        <v>446</v>
      </c>
      <c r="B499" t="s">
        <v>2620</v>
      </c>
      <c r="C499" s="6">
        <v>31</v>
      </c>
      <c r="D499" t="s">
        <v>2195</v>
      </c>
      <c r="E499" t="s">
        <v>2238</v>
      </c>
      <c r="F499" t="s">
        <v>2212</v>
      </c>
      <c r="G499" t="s">
        <v>2202</v>
      </c>
      <c r="H499" t="s">
        <v>2186</v>
      </c>
      <c r="I499" t="s">
        <v>2187</v>
      </c>
      <c r="J499" t="s">
        <v>2188</v>
      </c>
      <c r="K499" s="4">
        <v>45796</v>
      </c>
      <c r="L499" t="s">
        <v>64</v>
      </c>
    </row>
    <row r="500" spans="1:12">
      <c r="A500" t="s">
        <v>2002</v>
      </c>
      <c r="B500" t="s">
        <v>2321</v>
      </c>
      <c r="C500" s="6">
        <v>46</v>
      </c>
      <c r="D500" t="s">
        <v>2182</v>
      </c>
      <c r="E500" t="s">
        <v>2190</v>
      </c>
      <c r="F500" t="s">
        <v>2191</v>
      </c>
      <c r="G500" t="s">
        <v>2185</v>
      </c>
      <c r="H500" t="s">
        <v>2197</v>
      </c>
      <c r="I500" t="s">
        <v>2198</v>
      </c>
      <c r="J500" t="s">
        <v>2203</v>
      </c>
      <c r="K500" s="4">
        <v>43856</v>
      </c>
      <c r="L500" t="s">
        <v>77</v>
      </c>
    </row>
    <row r="501" spans="1:12">
      <c r="A501" t="s">
        <v>1452</v>
      </c>
      <c r="B501" t="s">
        <v>2229</v>
      </c>
      <c r="C501" s="6">
        <v>31</v>
      </c>
      <c r="D501" t="s">
        <v>2195</v>
      </c>
      <c r="E501" t="s">
        <v>2216</v>
      </c>
      <c r="F501" t="s">
        <v>2206</v>
      </c>
      <c r="G501" t="s">
        <v>2200</v>
      </c>
      <c r="H501" t="s">
        <v>2272</v>
      </c>
      <c r="I501" t="s">
        <v>2187</v>
      </c>
      <c r="J501" t="s">
        <v>2188</v>
      </c>
      <c r="K501" s="4">
        <v>45244</v>
      </c>
      <c r="L501" t="s">
        <v>77</v>
      </c>
    </row>
    <row r="502" spans="1:12">
      <c r="A502" t="s">
        <v>1545</v>
      </c>
      <c r="B502" t="s">
        <v>2621</v>
      </c>
      <c r="C502" s="6">
        <v>42</v>
      </c>
      <c r="D502" t="s">
        <v>2182</v>
      </c>
      <c r="E502" t="s">
        <v>2298</v>
      </c>
      <c r="F502" t="s">
        <v>2219</v>
      </c>
      <c r="G502" t="s">
        <v>2222</v>
      </c>
      <c r="H502" t="s">
        <v>2235</v>
      </c>
      <c r="I502" t="s">
        <v>2187</v>
      </c>
      <c r="J502" t="s">
        <v>2203</v>
      </c>
      <c r="K502" s="4">
        <v>44714</v>
      </c>
      <c r="L502" t="s">
        <v>77</v>
      </c>
    </row>
    <row r="503" spans="1:12">
      <c r="A503" t="s">
        <v>1425</v>
      </c>
      <c r="B503" t="s">
        <v>2381</v>
      </c>
      <c r="C503" s="6">
        <v>6</v>
      </c>
      <c r="D503" t="s">
        <v>2195</v>
      </c>
      <c r="E503" t="s">
        <v>2190</v>
      </c>
      <c r="F503" t="s">
        <v>2191</v>
      </c>
      <c r="G503" t="s">
        <v>2207</v>
      </c>
      <c r="H503" t="s">
        <v>2186</v>
      </c>
      <c r="I503" t="s">
        <v>2187</v>
      </c>
      <c r="J503" t="s">
        <v>2188</v>
      </c>
      <c r="K503" s="4">
        <v>45075</v>
      </c>
      <c r="L503" t="s">
        <v>64</v>
      </c>
    </row>
    <row r="504" spans="1:12">
      <c r="A504" t="s">
        <v>1209</v>
      </c>
      <c r="B504" t="s">
        <v>2488</v>
      </c>
      <c r="C504" s="6">
        <v>45</v>
      </c>
      <c r="D504" t="s">
        <v>2195</v>
      </c>
      <c r="E504" t="s">
        <v>2277</v>
      </c>
      <c r="F504" t="s">
        <v>2191</v>
      </c>
      <c r="G504" t="s">
        <v>2185</v>
      </c>
      <c r="H504" t="s">
        <v>2186</v>
      </c>
      <c r="I504" t="s">
        <v>2187</v>
      </c>
      <c r="J504" t="s">
        <v>2188</v>
      </c>
      <c r="K504" s="4">
        <v>43667</v>
      </c>
      <c r="L504" t="s">
        <v>77</v>
      </c>
    </row>
    <row r="505" spans="1:12">
      <c r="A505" t="s">
        <v>1741</v>
      </c>
      <c r="B505" t="s">
        <v>2622</v>
      </c>
      <c r="C505" s="6">
        <v>58</v>
      </c>
      <c r="D505" t="s">
        <v>2182</v>
      </c>
      <c r="E505" t="s">
        <v>2238</v>
      </c>
      <c r="F505" t="s">
        <v>2212</v>
      </c>
      <c r="G505" t="s">
        <v>2200</v>
      </c>
      <c r="H505" t="s">
        <v>2197</v>
      </c>
      <c r="I505" t="s">
        <v>2198</v>
      </c>
      <c r="J505" t="s">
        <v>2193</v>
      </c>
      <c r="K505" s="4">
        <v>45435</v>
      </c>
      <c r="L505" t="s">
        <v>77</v>
      </c>
    </row>
    <row r="506" spans="1:12">
      <c r="A506" t="s">
        <v>2623</v>
      </c>
      <c r="B506" t="s">
        <v>2624</v>
      </c>
      <c r="C506" s="6">
        <v>1</v>
      </c>
      <c r="D506" t="s">
        <v>2182</v>
      </c>
      <c r="E506" t="s">
        <v>2227</v>
      </c>
      <c r="F506" t="s">
        <v>2191</v>
      </c>
      <c r="G506" t="s">
        <v>2207</v>
      </c>
      <c r="H506" t="s">
        <v>2186</v>
      </c>
      <c r="I506" t="s">
        <v>2198</v>
      </c>
      <c r="J506" t="s">
        <v>2188</v>
      </c>
      <c r="K506" s="4">
        <v>44790</v>
      </c>
      <c r="L506" t="s">
        <v>77</v>
      </c>
    </row>
    <row r="507" spans="1:12">
      <c r="A507" t="s">
        <v>642</v>
      </c>
      <c r="B507" t="s">
        <v>2625</v>
      </c>
      <c r="C507" s="6">
        <v>18</v>
      </c>
      <c r="D507" t="s">
        <v>2182</v>
      </c>
      <c r="E507" t="s">
        <v>2211</v>
      </c>
      <c r="F507" t="s">
        <v>2212</v>
      </c>
      <c r="G507" t="s">
        <v>2222</v>
      </c>
      <c r="H507" t="s">
        <v>2186</v>
      </c>
      <c r="I507" t="s">
        <v>2187</v>
      </c>
      <c r="J507" t="s">
        <v>2188</v>
      </c>
      <c r="K507" s="4">
        <v>44877</v>
      </c>
      <c r="L507" t="s">
        <v>77</v>
      </c>
    </row>
    <row r="508" spans="1:12">
      <c r="A508" t="s">
        <v>633</v>
      </c>
      <c r="B508" t="s">
        <v>2568</v>
      </c>
      <c r="C508" s="6">
        <v>69</v>
      </c>
      <c r="D508" t="s">
        <v>2358</v>
      </c>
      <c r="E508" t="s">
        <v>2231</v>
      </c>
      <c r="F508" t="s">
        <v>2212</v>
      </c>
      <c r="G508" t="s">
        <v>2207</v>
      </c>
      <c r="H508" t="s">
        <v>2235</v>
      </c>
      <c r="I508" t="s">
        <v>2187</v>
      </c>
      <c r="J508" t="s">
        <v>2193</v>
      </c>
      <c r="K508" s="4">
        <v>44422</v>
      </c>
      <c r="L508" t="s">
        <v>77</v>
      </c>
    </row>
    <row r="509" spans="1:12">
      <c r="A509" t="s">
        <v>1572</v>
      </c>
      <c r="B509" t="s">
        <v>2614</v>
      </c>
      <c r="C509" s="6">
        <v>40</v>
      </c>
      <c r="D509" t="s">
        <v>2195</v>
      </c>
      <c r="E509" t="s">
        <v>2216</v>
      </c>
      <c r="F509" t="s">
        <v>2206</v>
      </c>
      <c r="G509" t="s">
        <v>2213</v>
      </c>
      <c r="H509" t="s">
        <v>2186</v>
      </c>
      <c r="I509" t="s">
        <v>2187</v>
      </c>
      <c r="J509" t="s">
        <v>2188</v>
      </c>
      <c r="K509" s="4">
        <v>44070</v>
      </c>
      <c r="L509" t="s">
        <v>77</v>
      </c>
    </row>
    <row r="510" spans="1:12">
      <c r="A510" t="s">
        <v>863</v>
      </c>
      <c r="B510" t="s">
        <v>2626</v>
      </c>
      <c r="C510" s="6">
        <v>24</v>
      </c>
      <c r="D510" t="s">
        <v>2195</v>
      </c>
      <c r="E510" t="s">
        <v>2231</v>
      </c>
      <c r="F510" t="s">
        <v>2212</v>
      </c>
      <c r="G510" t="s">
        <v>2225</v>
      </c>
      <c r="H510" t="s">
        <v>2186</v>
      </c>
      <c r="I510" t="s">
        <v>2187</v>
      </c>
      <c r="J510" t="s">
        <v>2188</v>
      </c>
      <c r="K510" s="4">
        <v>45669</v>
      </c>
      <c r="L510" t="s">
        <v>77</v>
      </c>
    </row>
    <row r="511" spans="1:12">
      <c r="A511" t="s">
        <v>913</v>
      </c>
      <c r="B511" t="s">
        <v>2396</v>
      </c>
      <c r="C511" s="6">
        <v>71</v>
      </c>
      <c r="D511" t="s">
        <v>2182</v>
      </c>
      <c r="E511" t="s">
        <v>2221</v>
      </c>
      <c r="F511" t="s">
        <v>2219</v>
      </c>
      <c r="G511" t="s">
        <v>2213</v>
      </c>
      <c r="H511" t="s">
        <v>2208</v>
      </c>
      <c r="I511" t="s">
        <v>2187</v>
      </c>
      <c r="J511" t="s">
        <v>2193</v>
      </c>
      <c r="K511" s="4">
        <v>43541</v>
      </c>
      <c r="L511" t="s">
        <v>77</v>
      </c>
    </row>
    <row r="512" spans="1:12">
      <c r="A512" t="s">
        <v>425</v>
      </c>
      <c r="B512" t="s">
        <v>2506</v>
      </c>
      <c r="C512" s="6">
        <v>42</v>
      </c>
      <c r="D512" t="s">
        <v>2195</v>
      </c>
      <c r="E512" t="s">
        <v>2190</v>
      </c>
      <c r="F512" t="s">
        <v>2191</v>
      </c>
      <c r="G512" t="s">
        <v>2202</v>
      </c>
      <c r="H512" t="s">
        <v>2197</v>
      </c>
      <c r="I512" t="s">
        <v>2187</v>
      </c>
      <c r="J512" t="s">
        <v>2203</v>
      </c>
      <c r="K512" s="4">
        <v>43500</v>
      </c>
      <c r="L512" t="s">
        <v>77</v>
      </c>
    </row>
    <row r="513" spans="1:12">
      <c r="A513" t="s">
        <v>970</v>
      </c>
      <c r="B513" t="s">
        <v>2627</v>
      </c>
      <c r="C513" s="6">
        <v>49</v>
      </c>
      <c r="D513" t="s">
        <v>2182</v>
      </c>
      <c r="E513" t="s">
        <v>2216</v>
      </c>
      <c r="F513" t="s">
        <v>2206</v>
      </c>
      <c r="G513" t="s">
        <v>2207</v>
      </c>
      <c r="H513" t="s">
        <v>2186</v>
      </c>
      <c r="I513" t="s">
        <v>2192</v>
      </c>
      <c r="J513" t="s">
        <v>2203</v>
      </c>
      <c r="K513" s="4">
        <v>45049</v>
      </c>
      <c r="L513" t="s">
        <v>77</v>
      </c>
    </row>
    <row r="514" spans="1:12">
      <c r="A514" t="s">
        <v>2628</v>
      </c>
      <c r="B514" t="s">
        <v>2629</v>
      </c>
      <c r="C514" s="6">
        <v>61</v>
      </c>
      <c r="D514" t="s">
        <v>2182</v>
      </c>
      <c r="E514" t="s">
        <v>2205</v>
      </c>
      <c r="F514" t="s">
        <v>2206</v>
      </c>
      <c r="G514" t="s">
        <v>2213</v>
      </c>
      <c r="H514" t="s">
        <v>2186</v>
      </c>
      <c r="I514" t="s">
        <v>2187</v>
      </c>
      <c r="J514" t="s">
        <v>2188</v>
      </c>
      <c r="K514" s="4">
        <v>45341</v>
      </c>
      <c r="L514" t="s">
        <v>77</v>
      </c>
    </row>
    <row r="515" spans="1:12">
      <c r="A515" t="s">
        <v>896</v>
      </c>
      <c r="B515" t="s">
        <v>2519</v>
      </c>
      <c r="C515" s="6">
        <v>30</v>
      </c>
      <c r="D515" t="s">
        <v>2195</v>
      </c>
      <c r="E515" t="s">
        <v>2218</v>
      </c>
      <c r="F515" t="s">
        <v>2219</v>
      </c>
      <c r="G515" t="s">
        <v>2202</v>
      </c>
      <c r="H515" t="s">
        <v>2186</v>
      </c>
      <c r="I515" t="s">
        <v>2187</v>
      </c>
      <c r="J515" t="s">
        <v>2188</v>
      </c>
      <c r="K515" s="4">
        <v>44109</v>
      </c>
      <c r="L515" t="s">
        <v>77</v>
      </c>
    </row>
    <row r="516" spans="1:12">
      <c r="A516" t="s">
        <v>1444</v>
      </c>
      <c r="B516" t="s">
        <v>2570</v>
      </c>
      <c r="C516" s="6">
        <v>33</v>
      </c>
      <c r="D516" t="s">
        <v>2182</v>
      </c>
      <c r="E516" t="s">
        <v>2218</v>
      </c>
      <c r="F516" t="s">
        <v>2219</v>
      </c>
      <c r="G516" t="s">
        <v>2225</v>
      </c>
      <c r="H516" t="s">
        <v>2186</v>
      </c>
      <c r="I516" t="s">
        <v>2187</v>
      </c>
      <c r="J516" t="s">
        <v>2188</v>
      </c>
      <c r="K516" s="4">
        <v>44521</v>
      </c>
      <c r="L516" t="s">
        <v>77</v>
      </c>
    </row>
    <row r="517" spans="1:12">
      <c r="A517" t="s">
        <v>297</v>
      </c>
      <c r="B517" t="s">
        <v>2630</v>
      </c>
      <c r="C517" s="6">
        <v>33</v>
      </c>
      <c r="D517" t="s">
        <v>2195</v>
      </c>
      <c r="E517" t="s">
        <v>2244</v>
      </c>
      <c r="F517" t="s">
        <v>2206</v>
      </c>
      <c r="G517" t="s">
        <v>2200</v>
      </c>
      <c r="H517" t="s">
        <v>2208</v>
      </c>
      <c r="I517" t="s">
        <v>2198</v>
      </c>
      <c r="J517" t="s">
        <v>2203</v>
      </c>
      <c r="K517" s="4">
        <v>43825</v>
      </c>
      <c r="L517" t="s">
        <v>77</v>
      </c>
    </row>
    <row r="518" spans="1:12">
      <c r="A518" t="s">
        <v>131</v>
      </c>
      <c r="B518" t="s">
        <v>2631</v>
      </c>
      <c r="C518" s="6">
        <v>21</v>
      </c>
      <c r="D518" t="s">
        <v>2195</v>
      </c>
      <c r="E518" t="s">
        <v>2224</v>
      </c>
      <c r="F518" t="s">
        <v>2206</v>
      </c>
      <c r="G518" t="s">
        <v>2200</v>
      </c>
      <c r="H518" t="s">
        <v>2272</v>
      </c>
      <c r="I518" t="s">
        <v>2187</v>
      </c>
      <c r="J518" t="s">
        <v>2188</v>
      </c>
      <c r="K518" s="4">
        <v>45686</v>
      </c>
      <c r="L518" t="s">
        <v>77</v>
      </c>
    </row>
    <row r="519" spans="1:12">
      <c r="A519" t="s">
        <v>943</v>
      </c>
      <c r="B519" t="s">
        <v>2632</v>
      </c>
      <c r="C519" s="6">
        <v>55</v>
      </c>
      <c r="D519" t="s">
        <v>2182</v>
      </c>
      <c r="E519" t="s">
        <v>2224</v>
      </c>
      <c r="F519" t="s">
        <v>2206</v>
      </c>
      <c r="G519" t="s">
        <v>2222</v>
      </c>
      <c r="H519" t="s">
        <v>2197</v>
      </c>
      <c r="I519" t="s">
        <v>2192</v>
      </c>
      <c r="J519" t="s">
        <v>2193</v>
      </c>
      <c r="K519" s="4">
        <v>44019</v>
      </c>
      <c r="L519" t="s">
        <v>77</v>
      </c>
    </row>
    <row r="520" spans="1:12">
      <c r="A520" t="s">
        <v>1362</v>
      </c>
      <c r="B520" t="s">
        <v>2633</v>
      </c>
      <c r="C520" s="6">
        <v>33</v>
      </c>
      <c r="D520" t="s">
        <v>2182</v>
      </c>
      <c r="E520" t="s">
        <v>2205</v>
      </c>
      <c r="F520" t="s">
        <v>2206</v>
      </c>
      <c r="G520" t="s">
        <v>2185</v>
      </c>
      <c r="H520" t="s">
        <v>2186</v>
      </c>
      <c r="I520" t="s">
        <v>2198</v>
      </c>
      <c r="J520" t="s">
        <v>2188</v>
      </c>
      <c r="K520" s="4">
        <v>44062</v>
      </c>
      <c r="L520" t="s">
        <v>77</v>
      </c>
    </row>
    <row r="521" spans="1:12">
      <c r="A521" t="s">
        <v>644</v>
      </c>
      <c r="B521" t="s">
        <v>2402</v>
      </c>
      <c r="C521" s="6">
        <v>65</v>
      </c>
      <c r="D521" t="s">
        <v>2182</v>
      </c>
      <c r="E521" t="s">
        <v>2224</v>
      </c>
      <c r="F521" t="s">
        <v>2206</v>
      </c>
      <c r="G521" t="s">
        <v>2222</v>
      </c>
      <c r="H521" t="s">
        <v>2197</v>
      </c>
      <c r="I521" t="s">
        <v>2192</v>
      </c>
      <c r="J521" t="s">
        <v>2193</v>
      </c>
      <c r="K521" s="4">
        <v>44587</v>
      </c>
      <c r="L521" t="s">
        <v>77</v>
      </c>
    </row>
    <row r="522" spans="1:12">
      <c r="A522" t="s">
        <v>394</v>
      </c>
      <c r="B522" t="s">
        <v>2634</v>
      </c>
      <c r="C522" s="6">
        <v>55</v>
      </c>
      <c r="D522" t="s">
        <v>2182</v>
      </c>
      <c r="E522" t="s">
        <v>2224</v>
      </c>
      <c r="F522" t="s">
        <v>2206</v>
      </c>
      <c r="G522" t="s">
        <v>2202</v>
      </c>
      <c r="H522" t="s">
        <v>2197</v>
      </c>
      <c r="I522" t="s">
        <v>2187</v>
      </c>
      <c r="J522" t="s">
        <v>2203</v>
      </c>
      <c r="K522" s="4">
        <v>45908</v>
      </c>
      <c r="L522" t="s">
        <v>77</v>
      </c>
    </row>
    <row r="523" spans="1:12">
      <c r="A523" t="s">
        <v>396</v>
      </c>
      <c r="B523" t="s">
        <v>2414</v>
      </c>
      <c r="C523" s="6">
        <v>72</v>
      </c>
      <c r="D523" t="s">
        <v>2195</v>
      </c>
      <c r="E523" t="s">
        <v>2238</v>
      </c>
      <c r="F523" t="s">
        <v>2212</v>
      </c>
      <c r="G523" t="s">
        <v>2222</v>
      </c>
      <c r="H523" t="s">
        <v>2197</v>
      </c>
      <c r="I523" t="s">
        <v>2187</v>
      </c>
      <c r="J523" t="s">
        <v>2193</v>
      </c>
      <c r="K523" s="4">
        <v>45942</v>
      </c>
      <c r="L523" t="s">
        <v>77</v>
      </c>
    </row>
    <row r="524" spans="1:12">
      <c r="A524" t="s">
        <v>1743</v>
      </c>
      <c r="B524" t="s">
        <v>2371</v>
      </c>
      <c r="C524" s="6">
        <v>56</v>
      </c>
      <c r="D524" t="s">
        <v>2195</v>
      </c>
      <c r="E524" t="s">
        <v>2227</v>
      </c>
      <c r="F524" t="s">
        <v>2191</v>
      </c>
      <c r="G524" t="s">
        <v>2200</v>
      </c>
      <c r="H524" t="s">
        <v>2186</v>
      </c>
      <c r="I524" t="s">
        <v>2187</v>
      </c>
      <c r="J524" t="s">
        <v>2188</v>
      </c>
      <c r="K524" s="4">
        <v>43527</v>
      </c>
      <c r="L524" t="s">
        <v>64</v>
      </c>
    </row>
    <row r="525" spans="1:12">
      <c r="A525" t="s">
        <v>715</v>
      </c>
      <c r="B525" t="s">
        <v>2635</v>
      </c>
      <c r="C525" s="6">
        <v>25</v>
      </c>
      <c r="D525" t="s">
        <v>2182</v>
      </c>
      <c r="E525" t="s">
        <v>2205</v>
      </c>
      <c r="F525" t="s">
        <v>2206</v>
      </c>
      <c r="G525" t="s">
        <v>2233</v>
      </c>
      <c r="H525" t="s">
        <v>2186</v>
      </c>
      <c r="I525" t="s">
        <v>2192</v>
      </c>
      <c r="J525" t="s">
        <v>2188</v>
      </c>
      <c r="K525" s="4">
        <v>45265</v>
      </c>
      <c r="L525" t="s">
        <v>77</v>
      </c>
    </row>
    <row r="526" spans="1:12">
      <c r="A526" t="s">
        <v>172</v>
      </c>
      <c r="B526" t="s">
        <v>2580</v>
      </c>
      <c r="C526" s="6">
        <v>58</v>
      </c>
      <c r="D526" t="s">
        <v>2182</v>
      </c>
      <c r="E526" t="s">
        <v>2221</v>
      </c>
      <c r="F526" t="s">
        <v>2219</v>
      </c>
      <c r="G526" t="s">
        <v>2213</v>
      </c>
      <c r="H526" t="s">
        <v>2235</v>
      </c>
      <c r="I526" t="s">
        <v>2187</v>
      </c>
      <c r="J526" t="s">
        <v>2203</v>
      </c>
      <c r="K526" s="4">
        <v>44747</v>
      </c>
      <c r="L526" t="s">
        <v>77</v>
      </c>
    </row>
    <row r="527" spans="1:12">
      <c r="A527" t="s">
        <v>205</v>
      </c>
      <c r="B527" t="s">
        <v>2636</v>
      </c>
      <c r="C527" s="6">
        <v>29</v>
      </c>
      <c r="D527" t="s">
        <v>2182</v>
      </c>
      <c r="E527" t="s">
        <v>2231</v>
      </c>
      <c r="F527" t="s">
        <v>2212</v>
      </c>
      <c r="G527" t="s">
        <v>2185</v>
      </c>
      <c r="H527" t="s">
        <v>2186</v>
      </c>
      <c r="I527" t="s">
        <v>2192</v>
      </c>
      <c r="J527" t="s">
        <v>2188</v>
      </c>
      <c r="K527" s="4">
        <v>44472</v>
      </c>
      <c r="L527" t="s">
        <v>77</v>
      </c>
    </row>
    <row r="528" spans="1:12">
      <c r="A528" t="s">
        <v>2637</v>
      </c>
      <c r="B528" t="s">
        <v>2432</v>
      </c>
      <c r="C528" s="6">
        <v>16</v>
      </c>
      <c r="D528" t="s">
        <v>2195</v>
      </c>
      <c r="E528" t="s">
        <v>2224</v>
      </c>
      <c r="F528" t="s">
        <v>2206</v>
      </c>
      <c r="G528" t="s">
        <v>2213</v>
      </c>
      <c r="H528" t="s">
        <v>2186</v>
      </c>
      <c r="I528" t="s">
        <v>2192</v>
      </c>
      <c r="J528" t="s">
        <v>2188</v>
      </c>
      <c r="K528" s="4">
        <v>44637</v>
      </c>
      <c r="L528" t="s">
        <v>77</v>
      </c>
    </row>
    <row r="529" spans="1:12">
      <c r="A529" t="s">
        <v>1026</v>
      </c>
      <c r="B529" t="s">
        <v>2638</v>
      </c>
      <c r="C529" s="6">
        <v>40</v>
      </c>
      <c r="D529" t="s">
        <v>2182</v>
      </c>
      <c r="E529" t="s">
        <v>2196</v>
      </c>
      <c r="F529" t="s">
        <v>2184</v>
      </c>
      <c r="G529" t="s">
        <v>2222</v>
      </c>
      <c r="H529" t="s">
        <v>2186</v>
      </c>
      <c r="I529" t="s">
        <v>2198</v>
      </c>
      <c r="J529" t="s">
        <v>2188</v>
      </c>
      <c r="K529" s="4">
        <v>45316</v>
      </c>
      <c r="L529" t="s">
        <v>77</v>
      </c>
    </row>
    <row r="530" spans="1:12">
      <c r="A530" t="s">
        <v>1779</v>
      </c>
      <c r="B530" t="s">
        <v>2639</v>
      </c>
      <c r="C530" s="6">
        <v>51</v>
      </c>
      <c r="D530" t="s">
        <v>2182</v>
      </c>
      <c r="E530" t="s">
        <v>2277</v>
      </c>
      <c r="F530" t="s">
        <v>2191</v>
      </c>
      <c r="G530" t="s">
        <v>2233</v>
      </c>
      <c r="H530" t="s">
        <v>2186</v>
      </c>
      <c r="I530" t="s">
        <v>2187</v>
      </c>
      <c r="J530" t="s">
        <v>2188</v>
      </c>
      <c r="K530" s="4">
        <v>43568</v>
      </c>
      <c r="L530" t="s">
        <v>77</v>
      </c>
    </row>
    <row r="531" spans="1:12">
      <c r="A531" t="s">
        <v>696</v>
      </c>
      <c r="B531" t="s">
        <v>2501</v>
      </c>
      <c r="C531" s="6">
        <v>1</v>
      </c>
      <c r="D531" t="s">
        <v>2195</v>
      </c>
      <c r="E531" t="s">
        <v>2244</v>
      </c>
      <c r="F531" t="s">
        <v>2206</v>
      </c>
      <c r="G531" t="s">
        <v>2207</v>
      </c>
      <c r="H531" t="s">
        <v>2186</v>
      </c>
      <c r="I531" t="s">
        <v>2192</v>
      </c>
      <c r="J531" t="s">
        <v>2188</v>
      </c>
      <c r="K531" s="4">
        <v>44137</v>
      </c>
      <c r="L531" t="s">
        <v>77</v>
      </c>
    </row>
    <row r="532" spans="1:12">
      <c r="A532" t="s">
        <v>373</v>
      </c>
      <c r="B532" t="s">
        <v>2431</v>
      </c>
      <c r="C532" s="6">
        <v>35</v>
      </c>
      <c r="D532" t="s">
        <v>2195</v>
      </c>
      <c r="E532" t="s">
        <v>2190</v>
      </c>
      <c r="F532" t="s">
        <v>2191</v>
      </c>
      <c r="G532" t="s">
        <v>2185</v>
      </c>
      <c r="H532" t="s">
        <v>2186</v>
      </c>
      <c r="I532" t="s">
        <v>2198</v>
      </c>
      <c r="J532" t="s">
        <v>2188</v>
      </c>
      <c r="K532" s="4">
        <v>45561</v>
      </c>
      <c r="L532" t="s">
        <v>77</v>
      </c>
    </row>
    <row r="533" spans="1:12">
      <c r="A533" t="s">
        <v>1320</v>
      </c>
      <c r="B533" t="s">
        <v>2518</v>
      </c>
      <c r="C533" s="6">
        <v>17</v>
      </c>
      <c r="D533" t="s">
        <v>2195</v>
      </c>
      <c r="E533" t="s">
        <v>2277</v>
      </c>
      <c r="F533" t="s">
        <v>2191</v>
      </c>
      <c r="G533" t="s">
        <v>2213</v>
      </c>
      <c r="H533" t="s">
        <v>2208</v>
      </c>
      <c r="I533" t="s">
        <v>2187</v>
      </c>
      <c r="J533" t="s">
        <v>2188</v>
      </c>
      <c r="K533" s="4">
        <v>44080</v>
      </c>
      <c r="L533" t="s">
        <v>77</v>
      </c>
    </row>
    <row r="534" spans="1:12">
      <c r="A534" t="s">
        <v>1788</v>
      </c>
      <c r="B534" t="s">
        <v>2640</v>
      </c>
      <c r="C534" s="6">
        <v>28</v>
      </c>
      <c r="D534" t="s">
        <v>2182</v>
      </c>
      <c r="E534" t="s">
        <v>2231</v>
      </c>
      <c r="F534" t="s">
        <v>2212</v>
      </c>
      <c r="G534" t="s">
        <v>2225</v>
      </c>
      <c r="H534" t="s">
        <v>2186</v>
      </c>
      <c r="I534" t="s">
        <v>2187</v>
      </c>
      <c r="J534" t="s">
        <v>2188</v>
      </c>
      <c r="K534" s="4">
        <v>44004</v>
      </c>
      <c r="L534" t="s">
        <v>64</v>
      </c>
    </row>
    <row r="535" spans="1:12">
      <c r="A535" t="s">
        <v>2045</v>
      </c>
      <c r="B535" t="s">
        <v>2239</v>
      </c>
      <c r="C535" s="6">
        <v>50</v>
      </c>
      <c r="D535" t="s">
        <v>2195</v>
      </c>
      <c r="E535" t="s">
        <v>2231</v>
      </c>
      <c r="F535" t="s">
        <v>2212</v>
      </c>
      <c r="G535" t="s">
        <v>2200</v>
      </c>
      <c r="H535" t="s">
        <v>2208</v>
      </c>
      <c r="I535" t="s">
        <v>2187</v>
      </c>
      <c r="J535" t="s">
        <v>2203</v>
      </c>
      <c r="K535" s="4">
        <v>43489</v>
      </c>
      <c r="L535" t="s">
        <v>77</v>
      </c>
    </row>
    <row r="536" spans="1:12">
      <c r="A536" t="s">
        <v>349</v>
      </c>
      <c r="B536" t="s">
        <v>2389</v>
      </c>
      <c r="C536" s="6">
        <v>24</v>
      </c>
      <c r="D536" t="s">
        <v>2195</v>
      </c>
      <c r="E536" t="s">
        <v>2205</v>
      </c>
      <c r="F536" t="s">
        <v>2206</v>
      </c>
      <c r="G536" t="s">
        <v>2200</v>
      </c>
      <c r="H536" t="s">
        <v>2197</v>
      </c>
      <c r="I536" t="s">
        <v>2187</v>
      </c>
      <c r="J536" t="s">
        <v>2188</v>
      </c>
      <c r="K536" s="4">
        <v>45707</v>
      </c>
      <c r="L536" t="s">
        <v>77</v>
      </c>
    </row>
    <row r="537" spans="1:12">
      <c r="A537" t="s">
        <v>1231</v>
      </c>
      <c r="B537" t="s">
        <v>2641</v>
      </c>
      <c r="C537" s="6">
        <v>31</v>
      </c>
      <c r="D537" t="s">
        <v>2195</v>
      </c>
      <c r="E537" t="s">
        <v>2277</v>
      </c>
      <c r="F537" t="s">
        <v>2191</v>
      </c>
      <c r="G537" t="s">
        <v>2225</v>
      </c>
      <c r="H537" t="s">
        <v>2186</v>
      </c>
      <c r="I537" t="s">
        <v>2187</v>
      </c>
      <c r="J537" t="s">
        <v>2188</v>
      </c>
      <c r="K537" s="4">
        <v>44061</v>
      </c>
      <c r="L537" t="s">
        <v>77</v>
      </c>
    </row>
    <row r="538" spans="1:12">
      <c r="A538" t="s">
        <v>2642</v>
      </c>
      <c r="B538" t="s">
        <v>2643</v>
      </c>
      <c r="C538" s="6">
        <v>39</v>
      </c>
      <c r="D538" t="s">
        <v>2195</v>
      </c>
      <c r="E538" t="s">
        <v>2277</v>
      </c>
      <c r="F538" t="s">
        <v>2191</v>
      </c>
      <c r="G538" t="s">
        <v>2233</v>
      </c>
      <c r="H538" t="s">
        <v>2186</v>
      </c>
      <c r="I538" t="s">
        <v>2187</v>
      </c>
      <c r="J538" t="s">
        <v>2188</v>
      </c>
      <c r="K538" s="4">
        <v>45902</v>
      </c>
      <c r="L538" t="s">
        <v>77</v>
      </c>
    </row>
    <row r="539" spans="1:12">
      <c r="A539" t="s">
        <v>1343</v>
      </c>
      <c r="B539" t="s">
        <v>2399</v>
      </c>
      <c r="C539" s="6">
        <v>50</v>
      </c>
      <c r="D539" t="s">
        <v>2182</v>
      </c>
      <c r="E539" t="s">
        <v>2244</v>
      </c>
      <c r="F539" t="s">
        <v>2206</v>
      </c>
      <c r="G539" t="s">
        <v>2207</v>
      </c>
      <c r="H539" t="s">
        <v>2272</v>
      </c>
      <c r="I539" t="s">
        <v>2187</v>
      </c>
      <c r="J539" t="s">
        <v>2203</v>
      </c>
      <c r="K539" s="4">
        <v>44691</v>
      </c>
      <c r="L539" t="s">
        <v>77</v>
      </c>
    </row>
    <row r="540" spans="1:12">
      <c r="A540" t="s">
        <v>1291</v>
      </c>
      <c r="B540" t="s">
        <v>2644</v>
      </c>
      <c r="C540" s="6">
        <v>44</v>
      </c>
      <c r="D540" t="s">
        <v>2195</v>
      </c>
      <c r="E540" t="s">
        <v>2231</v>
      </c>
      <c r="F540" t="s">
        <v>2212</v>
      </c>
      <c r="G540" t="s">
        <v>2200</v>
      </c>
      <c r="H540" t="s">
        <v>2186</v>
      </c>
      <c r="I540" t="s">
        <v>2198</v>
      </c>
      <c r="J540" t="s">
        <v>2188</v>
      </c>
      <c r="K540" s="4">
        <v>44590</v>
      </c>
      <c r="L540" t="s">
        <v>77</v>
      </c>
    </row>
    <row r="541" spans="1:12">
      <c r="A541" t="s">
        <v>1530</v>
      </c>
      <c r="B541" t="s">
        <v>2609</v>
      </c>
      <c r="C541" s="6">
        <v>6</v>
      </c>
      <c r="D541" t="s">
        <v>2182</v>
      </c>
      <c r="E541" t="s">
        <v>2221</v>
      </c>
      <c r="F541" t="s">
        <v>2219</v>
      </c>
      <c r="G541" t="s">
        <v>2225</v>
      </c>
      <c r="H541" t="s">
        <v>2186</v>
      </c>
      <c r="I541" t="s">
        <v>2187</v>
      </c>
      <c r="J541" t="s">
        <v>2188</v>
      </c>
      <c r="K541" s="4">
        <v>45632</v>
      </c>
      <c r="L541" t="s">
        <v>64</v>
      </c>
    </row>
    <row r="542" spans="1:12">
      <c r="A542" t="s">
        <v>322</v>
      </c>
      <c r="B542" t="s">
        <v>2645</v>
      </c>
      <c r="C542" s="6">
        <v>9</v>
      </c>
      <c r="D542" t="s">
        <v>2195</v>
      </c>
      <c r="E542" t="s">
        <v>2221</v>
      </c>
      <c r="F542" t="s">
        <v>2219</v>
      </c>
      <c r="G542" t="s">
        <v>2233</v>
      </c>
      <c r="H542" t="s">
        <v>2208</v>
      </c>
      <c r="I542" t="s">
        <v>2187</v>
      </c>
      <c r="J542" t="s">
        <v>2188</v>
      </c>
      <c r="K542" s="4">
        <v>43997</v>
      </c>
      <c r="L542" t="s">
        <v>77</v>
      </c>
    </row>
    <row r="543" spans="1:12">
      <c r="A543" t="s">
        <v>794</v>
      </c>
      <c r="B543" t="s">
        <v>2646</v>
      </c>
      <c r="C543" s="6">
        <v>59</v>
      </c>
      <c r="D543" t="s">
        <v>2182</v>
      </c>
      <c r="E543" t="s">
        <v>2277</v>
      </c>
      <c r="F543" t="s">
        <v>2191</v>
      </c>
      <c r="G543" t="s">
        <v>2213</v>
      </c>
      <c r="H543" t="s">
        <v>2208</v>
      </c>
      <c r="I543" t="s">
        <v>2187</v>
      </c>
      <c r="J543" t="s">
        <v>2203</v>
      </c>
      <c r="K543" s="4">
        <v>44655</v>
      </c>
      <c r="L543" t="s">
        <v>64</v>
      </c>
    </row>
    <row r="544" spans="1:12">
      <c r="A544" t="s">
        <v>319</v>
      </c>
      <c r="B544" t="s">
        <v>2181</v>
      </c>
      <c r="C544" s="6">
        <v>9</v>
      </c>
      <c r="D544" t="s">
        <v>2182</v>
      </c>
      <c r="E544" t="s">
        <v>2227</v>
      </c>
      <c r="F544" t="s">
        <v>2191</v>
      </c>
      <c r="G544" t="s">
        <v>2200</v>
      </c>
      <c r="H544" t="s">
        <v>2186</v>
      </c>
      <c r="I544" t="s">
        <v>2192</v>
      </c>
      <c r="J544" t="s">
        <v>2188</v>
      </c>
      <c r="K544" s="4">
        <v>45161</v>
      </c>
      <c r="L544" t="s">
        <v>77</v>
      </c>
    </row>
    <row r="545" spans="1:12">
      <c r="A545" t="s">
        <v>1337</v>
      </c>
      <c r="B545" t="s">
        <v>2378</v>
      </c>
      <c r="C545" s="6">
        <v>50</v>
      </c>
      <c r="D545" t="s">
        <v>2195</v>
      </c>
      <c r="E545" t="s">
        <v>2227</v>
      </c>
      <c r="F545" t="s">
        <v>2191</v>
      </c>
      <c r="G545" t="s">
        <v>2202</v>
      </c>
      <c r="H545" t="s">
        <v>2197</v>
      </c>
      <c r="I545" t="s">
        <v>2187</v>
      </c>
      <c r="J545" t="s">
        <v>2203</v>
      </c>
      <c r="K545" s="4">
        <v>43743</v>
      </c>
      <c r="L545" t="s">
        <v>77</v>
      </c>
    </row>
    <row r="546" spans="1:12">
      <c r="A546" t="s">
        <v>786</v>
      </c>
      <c r="B546" t="s">
        <v>2369</v>
      </c>
      <c r="C546" s="6">
        <v>43</v>
      </c>
      <c r="D546" t="s">
        <v>2195</v>
      </c>
      <c r="E546" t="s">
        <v>2211</v>
      </c>
      <c r="F546" t="s">
        <v>2212</v>
      </c>
      <c r="G546" t="s">
        <v>2202</v>
      </c>
      <c r="H546" t="s">
        <v>2235</v>
      </c>
      <c r="I546" t="s">
        <v>2187</v>
      </c>
      <c r="J546" t="s">
        <v>2203</v>
      </c>
      <c r="K546" s="4">
        <v>43585</v>
      </c>
      <c r="L546" t="s">
        <v>77</v>
      </c>
    </row>
    <row r="547" spans="1:12">
      <c r="A547" t="s">
        <v>481</v>
      </c>
      <c r="B547" t="s">
        <v>2647</v>
      </c>
      <c r="C547" s="6">
        <v>33</v>
      </c>
      <c r="D547" t="s">
        <v>2182</v>
      </c>
      <c r="E547" t="s">
        <v>2231</v>
      </c>
      <c r="F547" t="s">
        <v>2212</v>
      </c>
      <c r="G547" t="s">
        <v>2202</v>
      </c>
      <c r="H547" t="s">
        <v>2272</v>
      </c>
      <c r="I547" t="s">
        <v>2198</v>
      </c>
      <c r="J547" t="s">
        <v>2203</v>
      </c>
      <c r="K547" s="4">
        <v>44022</v>
      </c>
      <c r="L547" t="s">
        <v>77</v>
      </c>
    </row>
    <row r="548" spans="1:12">
      <c r="A548" t="s">
        <v>661</v>
      </c>
      <c r="B548" t="s">
        <v>2576</v>
      </c>
      <c r="C548" s="6">
        <v>9</v>
      </c>
      <c r="D548" t="s">
        <v>2182</v>
      </c>
      <c r="E548" t="s">
        <v>2216</v>
      </c>
      <c r="F548" t="s">
        <v>2206</v>
      </c>
      <c r="G548" t="s">
        <v>2202</v>
      </c>
      <c r="H548" t="s">
        <v>2208</v>
      </c>
      <c r="I548" t="s">
        <v>2187</v>
      </c>
      <c r="J548" t="s">
        <v>2188</v>
      </c>
      <c r="K548" s="4">
        <v>44758</v>
      </c>
      <c r="L548" t="s">
        <v>77</v>
      </c>
    </row>
    <row r="549" spans="1:12">
      <c r="A549" t="s">
        <v>619</v>
      </c>
      <c r="B549" t="s">
        <v>2529</v>
      </c>
      <c r="C549" s="6">
        <v>51</v>
      </c>
      <c r="D549" t="s">
        <v>2182</v>
      </c>
      <c r="E549" t="s">
        <v>2196</v>
      </c>
      <c r="F549" t="s">
        <v>2184</v>
      </c>
      <c r="G549" t="s">
        <v>2185</v>
      </c>
      <c r="H549" t="s">
        <v>2235</v>
      </c>
      <c r="I549" t="s">
        <v>2187</v>
      </c>
      <c r="J549" t="s">
        <v>2203</v>
      </c>
      <c r="K549" s="4">
        <v>44077</v>
      </c>
      <c r="L549" t="s">
        <v>77</v>
      </c>
    </row>
    <row r="550" spans="1:12">
      <c r="A550" t="s">
        <v>540</v>
      </c>
      <c r="B550" t="s">
        <v>2648</v>
      </c>
      <c r="C550" s="6">
        <v>17</v>
      </c>
      <c r="D550" t="s">
        <v>2182</v>
      </c>
      <c r="E550" t="s">
        <v>2211</v>
      </c>
      <c r="F550" t="s">
        <v>2212</v>
      </c>
      <c r="G550" t="s">
        <v>2225</v>
      </c>
      <c r="H550" t="s">
        <v>2186</v>
      </c>
      <c r="I550" t="s">
        <v>2187</v>
      </c>
      <c r="J550" t="s">
        <v>2188</v>
      </c>
      <c r="K550" s="4">
        <v>44728</v>
      </c>
      <c r="L550" t="s">
        <v>77</v>
      </c>
    </row>
    <row r="551" spans="1:12">
      <c r="A551" t="s">
        <v>80</v>
      </c>
      <c r="B551" t="s">
        <v>2460</v>
      </c>
      <c r="C551" s="6">
        <v>16</v>
      </c>
      <c r="D551" t="s">
        <v>2195</v>
      </c>
      <c r="E551" t="s">
        <v>2231</v>
      </c>
      <c r="F551" t="s">
        <v>2212</v>
      </c>
      <c r="G551" t="s">
        <v>2207</v>
      </c>
      <c r="H551" t="s">
        <v>2208</v>
      </c>
      <c r="I551" t="s">
        <v>2187</v>
      </c>
      <c r="J551" t="s">
        <v>2188</v>
      </c>
      <c r="K551" s="4">
        <v>44705</v>
      </c>
      <c r="L551" t="s">
        <v>77</v>
      </c>
    </row>
    <row r="552" spans="1:12">
      <c r="A552" t="s">
        <v>1280</v>
      </c>
      <c r="B552" t="s">
        <v>2649</v>
      </c>
      <c r="C552" s="6">
        <v>39</v>
      </c>
      <c r="D552" t="s">
        <v>2195</v>
      </c>
      <c r="E552" t="s">
        <v>2205</v>
      </c>
      <c r="F552" t="s">
        <v>2206</v>
      </c>
      <c r="G552" t="s">
        <v>2202</v>
      </c>
      <c r="H552" t="s">
        <v>2186</v>
      </c>
      <c r="I552" t="s">
        <v>2187</v>
      </c>
      <c r="J552" t="s">
        <v>2188</v>
      </c>
      <c r="K552" s="4">
        <v>45442</v>
      </c>
      <c r="L552" t="s">
        <v>77</v>
      </c>
    </row>
    <row r="553" spans="1:12">
      <c r="A553" t="s">
        <v>994</v>
      </c>
      <c r="B553" t="s">
        <v>2229</v>
      </c>
      <c r="C553" s="6">
        <v>46</v>
      </c>
      <c r="D553" t="s">
        <v>2182</v>
      </c>
      <c r="E553" t="s">
        <v>2190</v>
      </c>
      <c r="F553" t="s">
        <v>2191</v>
      </c>
      <c r="G553" t="s">
        <v>2222</v>
      </c>
      <c r="H553" t="s">
        <v>2208</v>
      </c>
      <c r="I553" t="s">
        <v>2187</v>
      </c>
      <c r="J553" t="s">
        <v>2203</v>
      </c>
      <c r="K553" s="4">
        <v>44806</v>
      </c>
      <c r="L553" t="s">
        <v>77</v>
      </c>
    </row>
    <row r="554" spans="1:12">
      <c r="A554" t="s">
        <v>653</v>
      </c>
      <c r="B554" t="s">
        <v>2394</v>
      </c>
      <c r="C554" s="6">
        <v>44</v>
      </c>
      <c r="D554" t="s">
        <v>2195</v>
      </c>
      <c r="E554" t="s">
        <v>2183</v>
      </c>
      <c r="F554" t="s">
        <v>2184</v>
      </c>
      <c r="G554" t="s">
        <v>2202</v>
      </c>
      <c r="H554" t="s">
        <v>2186</v>
      </c>
      <c r="I554" t="s">
        <v>2187</v>
      </c>
      <c r="J554" t="s">
        <v>2188</v>
      </c>
      <c r="K554" s="4">
        <v>43646</v>
      </c>
      <c r="L554" t="s">
        <v>77</v>
      </c>
    </row>
    <row r="555" spans="1:12">
      <c r="A555" t="s">
        <v>604</v>
      </c>
      <c r="B555" t="s">
        <v>2387</v>
      </c>
      <c r="C555" s="6">
        <v>47</v>
      </c>
      <c r="D555" t="s">
        <v>2195</v>
      </c>
      <c r="E555" t="s">
        <v>2216</v>
      </c>
      <c r="F555" t="s">
        <v>2206</v>
      </c>
      <c r="G555" t="s">
        <v>2200</v>
      </c>
      <c r="H555" t="s">
        <v>2186</v>
      </c>
      <c r="I555" t="s">
        <v>2198</v>
      </c>
      <c r="J555" t="s">
        <v>2188</v>
      </c>
      <c r="K555" s="4">
        <v>44745</v>
      </c>
      <c r="L555" t="s">
        <v>77</v>
      </c>
    </row>
    <row r="556" spans="1:12">
      <c r="A556" t="s">
        <v>976</v>
      </c>
      <c r="B556" t="s">
        <v>2650</v>
      </c>
      <c r="C556" s="6">
        <v>37</v>
      </c>
      <c r="D556" t="s">
        <v>2195</v>
      </c>
      <c r="E556" t="s">
        <v>2244</v>
      </c>
      <c r="F556" t="s">
        <v>2206</v>
      </c>
      <c r="G556" t="s">
        <v>2213</v>
      </c>
      <c r="H556" t="s">
        <v>2235</v>
      </c>
      <c r="I556" t="s">
        <v>2198</v>
      </c>
      <c r="J556" t="s">
        <v>2203</v>
      </c>
      <c r="K556" s="4">
        <v>44582</v>
      </c>
      <c r="L556" t="s">
        <v>77</v>
      </c>
    </row>
    <row r="557" spans="1:12">
      <c r="A557" t="s">
        <v>143</v>
      </c>
      <c r="B557" t="s">
        <v>2651</v>
      </c>
      <c r="C557" s="6">
        <v>54</v>
      </c>
      <c r="D557" t="s">
        <v>2182</v>
      </c>
      <c r="E557" t="s">
        <v>2218</v>
      </c>
      <c r="F557" t="s">
        <v>2219</v>
      </c>
      <c r="G557" t="s">
        <v>2225</v>
      </c>
      <c r="H557" t="s">
        <v>2186</v>
      </c>
      <c r="I557" t="s">
        <v>2187</v>
      </c>
      <c r="J557" t="s">
        <v>2188</v>
      </c>
      <c r="K557" s="4">
        <v>44900</v>
      </c>
      <c r="L557" t="s">
        <v>77</v>
      </c>
    </row>
    <row r="558" spans="1:12">
      <c r="A558" t="s">
        <v>2021</v>
      </c>
      <c r="B558" t="s">
        <v>2292</v>
      </c>
      <c r="C558" s="6">
        <v>32</v>
      </c>
      <c r="D558" t="s">
        <v>2195</v>
      </c>
      <c r="E558" t="s">
        <v>2196</v>
      </c>
      <c r="F558" t="s">
        <v>2184</v>
      </c>
      <c r="G558" t="s">
        <v>2207</v>
      </c>
      <c r="H558" t="s">
        <v>2186</v>
      </c>
      <c r="I558" t="s">
        <v>2187</v>
      </c>
      <c r="J558" t="s">
        <v>2188</v>
      </c>
      <c r="K558" s="4">
        <v>43998</v>
      </c>
      <c r="L558" t="s">
        <v>77</v>
      </c>
    </row>
    <row r="559" spans="1:12">
      <c r="A559" t="s">
        <v>1838</v>
      </c>
      <c r="B559" t="s">
        <v>2647</v>
      </c>
      <c r="C559" s="6">
        <v>37</v>
      </c>
      <c r="D559" t="s">
        <v>2195</v>
      </c>
      <c r="E559" t="s">
        <v>2205</v>
      </c>
      <c r="F559" t="s">
        <v>2206</v>
      </c>
      <c r="G559" t="s">
        <v>2202</v>
      </c>
      <c r="H559" t="s">
        <v>2186</v>
      </c>
      <c r="I559" t="s">
        <v>2187</v>
      </c>
      <c r="J559" t="s">
        <v>2188</v>
      </c>
      <c r="K559" s="4">
        <v>45907</v>
      </c>
      <c r="L559" t="s">
        <v>77</v>
      </c>
    </row>
    <row r="560" spans="1:12">
      <c r="A560" t="s">
        <v>1997</v>
      </c>
      <c r="B560" t="s">
        <v>2349</v>
      </c>
      <c r="C560" s="6">
        <v>29</v>
      </c>
      <c r="D560" t="s">
        <v>2182</v>
      </c>
      <c r="E560" t="s">
        <v>2298</v>
      </c>
      <c r="F560" t="s">
        <v>2219</v>
      </c>
      <c r="G560" t="s">
        <v>2207</v>
      </c>
      <c r="H560" t="s">
        <v>2235</v>
      </c>
      <c r="I560" t="s">
        <v>2187</v>
      </c>
      <c r="J560" t="s">
        <v>2188</v>
      </c>
      <c r="K560" s="4">
        <v>45373</v>
      </c>
      <c r="L560" t="s">
        <v>77</v>
      </c>
    </row>
    <row r="561" spans="1:12">
      <c r="A561" t="s">
        <v>854</v>
      </c>
      <c r="B561" t="s">
        <v>2532</v>
      </c>
      <c r="C561" s="6">
        <v>75</v>
      </c>
      <c r="D561" t="s">
        <v>2195</v>
      </c>
      <c r="E561" t="s">
        <v>2298</v>
      </c>
      <c r="F561" t="s">
        <v>2219</v>
      </c>
      <c r="G561" t="s">
        <v>2225</v>
      </c>
      <c r="H561" t="s">
        <v>2235</v>
      </c>
      <c r="I561" t="s">
        <v>2198</v>
      </c>
      <c r="J561" t="s">
        <v>2193</v>
      </c>
      <c r="K561" s="4">
        <v>45393</v>
      </c>
      <c r="L561" t="s">
        <v>77</v>
      </c>
    </row>
    <row r="562" spans="1:12">
      <c r="A562" t="s">
        <v>1550</v>
      </c>
      <c r="B562" t="s">
        <v>2268</v>
      </c>
      <c r="C562" s="6">
        <v>59</v>
      </c>
      <c r="D562" t="s">
        <v>2182</v>
      </c>
      <c r="E562" t="s">
        <v>2298</v>
      </c>
      <c r="F562" t="s">
        <v>2219</v>
      </c>
      <c r="G562" t="s">
        <v>2233</v>
      </c>
      <c r="H562" t="s">
        <v>2186</v>
      </c>
      <c r="I562" t="s">
        <v>2192</v>
      </c>
      <c r="J562" t="s">
        <v>2203</v>
      </c>
      <c r="K562" s="4">
        <v>44796</v>
      </c>
      <c r="L562" t="s">
        <v>77</v>
      </c>
    </row>
    <row r="563" spans="1:12">
      <c r="A563" t="s">
        <v>461</v>
      </c>
      <c r="B563" t="s">
        <v>2446</v>
      </c>
      <c r="C563" s="6">
        <v>33</v>
      </c>
      <c r="D563" t="s">
        <v>2195</v>
      </c>
      <c r="E563" t="s">
        <v>2231</v>
      </c>
      <c r="F563" t="s">
        <v>2212</v>
      </c>
      <c r="G563" t="s">
        <v>2207</v>
      </c>
      <c r="H563" t="s">
        <v>2186</v>
      </c>
      <c r="I563" t="s">
        <v>2187</v>
      </c>
      <c r="J563" t="s">
        <v>2188</v>
      </c>
      <c r="K563" s="4">
        <v>44893</v>
      </c>
      <c r="L563" t="s">
        <v>77</v>
      </c>
    </row>
    <row r="564" spans="1:12">
      <c r="A564" t="s">
        <v>1833</v>
      </c>
      <c r="B564" t="s">
        <v>2323</v>
      </c>
      <c r="C564" s="6">
        <v>18</v>
      </c>
      <c r="D564" t="s">
        <v>2195</v>
      </c>
      <c r="E564" t="s">
        <v>2218</v>
      </c>
      <c r="F564" t="s">
        <v>2219</v>
      </c>
      <c r="G564" t="s">
        <v>2200</v>
      </c>
      <c r="H564" t="s">
        <v>2197</v>
      </c>
      <c r="I564" t="s">
        <v>2198</v>
      </c>
      <c r="J564" t="s">
        <v>2203</v>
      </c>
      <c r="K564" s="4">
        <v>45648</v>
      </c>
      <c r="L564" t="s">
        <v>77</v>
      </c>
    </row>
    <row r="565" spans="1:12">
      <c r="A565" t="s">
        <v>399</v>
      </c>
      <c r="B565" t="s">
        <v>2652</v>
      </c>
      <c r="C565" s="6">
        <v>59</v>
      </c>
      <c r="D565" t="s">
        <v>2182</v>
      </c>
      <c r="E565" t="s">
        <v>2218</v>
      </c>
      <c r="F565" t="s">
        <v>2219</v>
      </c>
      <c r="G565" t="s">
        <v>2185</v>
      </c>
      <c r="H565" t="s">
        <v>2186</v>
      </c>
      <c r="I565" t="s">
        <v>2187</v>
      </c>
      <c r="J565" t="s">
        <v>2188</v>
      </c>
      <c r="K565" s="4">
        <v>43736</v>
      </c>
      <c r="L565" t="s">
        <v>77</v>
      </c>
    </row>
    <row r="566" spans="1:12">
      <c r="A566" t="s">
        <v>2038</v>
      </c>
      <c r="B566" t="s">
        <v>2475</v>
      </c>
      <c r="C566" s="6">
        <v>47</v>
      </c>
      <c r="D566" t="s">
        <v>2182</v>
      </c>
      <c r="E566" t="s">
        <v>2218</v>
      </c>
      <c r="F566" t="s">
        <v>2219</v>
      </c>
      <c r="G566" t="s">
        <v>2233</v>
      </c>
      <c r="H566" t="s">
        <v>2197</v>
      </c>
      <c r="I566" t="s">
        <v>2187</v>
      </c>
      <c r="J566" t="s">
        <v>2203</v>
      </c>
      <c r="K566" s="4">
        <v>43785</v>
      </c>
      <c r="L566" t="s">
        <v>77</v>
      </c>
    </row>
    <row r="567" spans="1:12">
      <c r="A567" t="s">
        <v>403</v>
      </c>
      <c r="B567" t="s">
        <v>2653</v>
      </c>
      <c r="C567" s="6">
        <v>23</v>
      </c>
      <c r="D567" t="s">
        <v>2195</v>
      </c>
      <c r="E567" t="s">
        <v>2221</v>
      </c>
      <c r="F567" t="s">
        <v>2219</v>
      </c>
      <c r="G567" t="s">
        <v>2207</v>
      </c>
      <c r="H567" t="s">
        <v>2186</v>
      </c>
      <c r="I567" t="s">
        <v>2187</v>
      </c>
      <c r="J567" t="s">
        <v>2188</v>
      </c>
      <c r="K567" s="4">
        <v>45289</v>
      </c>
      <c r="L567" t="s">
        <v>77</v>
      </c>
    </row>
    <row r="568" spans="1:12">
      <c r="A568" t="s">
        <v>2026</v>
      </c>
      <c r="B568" t="s">
        <v>2458</v>
      </c>
      <c r="C568" s="6">
        <v>32</v>
      </c>
      <c r="D568" t="s">
        <v>2182</v>
      </c>
      <c r="E568" t="s">
        <v>2244</v>
      </c>
      <c r="F568" t="s">
        <v>2206</v>
      </c>
      <c r="G568" t="s">
        <v>2213</v>
      </c>
      <c r="H568" t="s">
        <v>2186</v>
      </c>
      <c r="I568" t="s">
        <v>2198</v>
      </c>
      <c r="J568" t="s">
        <v>2188</v>
      </c>
      <c r="K568" s="4">
        <v>43836</v>
      </c>
      <c r="L568" t="s">
        <v>77</v>
      </c>
    </row>
    <row r="569" spans="1:12">
      <c r="A569" t="s">
        <v>1345</v>
      </c>
      <c r="B569" t="s">
        <v>2654</v>
      </c>
      <c r="C569" s="6">
        <v>19</v>
      </c>
      <c r="D569" t="s">
        <v>2182</v>
      </c>
      <c r="E569" t="s">
        <v>2298</v>
      </c>
      <c r="F569" t="s">
        <v>2219</v>
      </c>
      <c r="G569" t="s">
        <v>2200</v>
      </c>
      <c r="H569" t="s">
        <v>2186</v>
      </c>
      <c r="I569" t="s">
        <v>2187</v>
      </c>
      <c r="J569" t="s">
        <v>2188</v>
      </c>
      <c r="K569" s="4">
        <v>45063</v>
      </c>
      <c r="L569" t="s">
        <v>77</v>
      </c>
    </row>
    <row r="570" spans="1:12">
      <c r="A570" t="s">
        <v>357</v>
      </c>
      <c r="B570" t="s">
        <v>2655</v>
      </c>
      <c r="C570" s="6">
        <v>36</v>
      </c>
      <c r="D570" t="s">
        <v>2182</v>
      </c>
      <c r="E570" t="s">
        <v>2196</v>
      </c>
      <c r="F570" t="s">
        <v>2184</v>
      </c>
      <c r="G570" t="s">
        <v>2207</v>
      </c>
      <c r="H570" t="s">
        <v>2197</v>
      </c>
      <c r="I570" t="s">
        <v>2192</v>
      </c>
      <c r="J570" t="s">
        <v>2193</v>
      </c>
      <c r="K570" s="4">
        <v>45246</v>
      </c>
      <c r="L570" t="s">
        <v>77</v>
      </c>
    </row>
    <row r="571" spans="1:12">
      <c r="A571" t="s">
        <v>360</v>
      </c>
      <c r="B571" t="s">
        <v>2656</v>
      </c>
      <c r="C571" s="6">
        <v>27</v>
      </c>
      <c r="D571" t="s">
        <v>2182</v>
      </c>
      <c r="E571" t="s">
        <v>2221</v>
      </c>
      <c r="F571" t="s">
        <v>2219</v>
      </c>
      <c r="G571" t="s">
        <v>2213</v>
      </c>
      <c r="H571" t="s">
        <v>2228</v>
      </c>
      <c r="I571" t="s">
        <v>2187</v>
      </c>
      <c r="J571" t="s">
        <v>2188</v>
      </c>
      <c r="K571" s="4">
        <v>43988</v>
      </c>
      <c r="L571" t="s">
        <v>77</v>
      </c>
    </row>
    <row r="572" spans="1:12">
      <c r="A572" t="s">
        <v>213</v>
      </c>
      <c r="B572" t="s">
        <v>2657</v>
      </c>
      <c r="C572" s="6">
        <v>67</v>
      </c>
      <c r="D572" t="s">
        <v>2182</v>
      </c>
      <c r="E572" t="s">
        <v>2205</v>
      </c>
      <c r="F572" t="s">
        <v>2206</v>
      </c>
      <c r="G572" t="s">
        <v>2202</v>
      </c>
      <c r="H572" t="s">
        <v>2272</v>
      </c>
      <c r="I572" t="s">
        <v>2192</v>
      </c>
      <c r="J572" t="s">
        <v>2193</v>
      </c>
      <c r="K572" s="4">
        <v>44429</v>
      </c>
      <c r="L572" t="s">
        <v>77</v>
      </c>
    </row>
    <row r="573" spans="1:12">
      <c r="A573" t="s">
        <v>934</v>
      </c>
      <c r="B573" t="s">
        <v>2658</v>
      </c>
      <c r="C573" s="6">
        <v>43</v>
      </c>
      <c r="D573" t="s">
        <v>2182</v>
      </c>
      <c r="E573" t="s">
        <v>2211</v>
      </c>
      <c r="F573" t="s">
        <v>2212</v>
      </c>
      <c r="G573" t="s">
        <v>2185</v>
      </c>
      <c r="H573" t="s">
        <v>2186</v>
      </c>
      <c r="I573" t="s">
        <v>2187</v>
      </c>
      <c r="J573" t="s">
        <v>2188</v>
      </c>
      <c r="K573" s="4">
        <v>44176</v>
      </c>
      <c r="L573" t="s">
        <v>77</v>
      </c>
    </row>
    <row r="574" spans="1:12">
      <c r="A574" t="s">
        <v>1047</v>
      </c>
      <c r="B574" t="s">
        <v>2307</v>
      </c>
      <c r="C574" s="6">
        <v>52</v>
      </c>
      <c r="D574" t="s">
        <v>2195</v>
      </c>
      <c r="E574" t="s">
        <v>2224</v>
      </c>
      <c r="F574" t="s">
        <v>2206</v>
      </c>
      <c r="G574" t="s">
        <v>2222</v>
      </c>
      <c r="H574" t="s">
        <v>2228</v>
      </c>
      <c r="I574" t="s">
        <v>2198</v>
      </c>
      <c r="J574" t="s">
        <v>2193</v>
      </c>
      <c r="K574" s="4">
        <v>44016</v>
      </c>
      <c r="L574" t="s">
        <v>77</v>
      </c>
    </row>
    <row r="575" spans="1:12">
      <c r="A575" t="s">
        <v>1760</v>
      </c>
      <c r="B575" t="s">
        <v>2659</v>
      </c>
      <c r="C575" s="6">
        <v>28</v>
      </c>
      <c r="D575" t="s">
        <v>2182</v>
      </c>
      <c r="E575" t="s">
        <v>2231</v>
      </c>
      <c r="F575" t="s">
        <v>2212</v>
      </c>
      <c r="G575" t="s">
        <v>2233</v>
      </c>
      <c r="H575" t="s">
        <v>2197</v>
      </c>
      <c r="I575" t="s">
        <v>2192</v>
      </c>
      <c r="J575" t="s">
        <v>2203</v>
      </c>
      <c r="K575" s="4">
        <v>44022</v>
      </c>
      <c r="L575" t="s">
        <v>77</v>
      </c>
    </row>
    <row r="576" spans="1:12">
      <c r="A576" t="s">
        <v>2660</v>
      </c>
      <c r="B576" t="s">
        <v>2384</v>
      </c>
      <c r="C576" s="6">
        <v>65</v>
      </c>
      <c r="D576" t="s">
        <v>2182</v>
      </c>
      <c r="E576" t="s">
        <v>2221</v>
      </c>
      <c r="F576" t="s">
        <v>2219</v>
      </c>
      <c r="G576" t="s">
        <v>2200</v>
      </c>
      <c r="H576" t="s">
        <v>2186</v>
      </c>
      <c r="I576" t="s">
        <v>2187</v>
      </c>
      <c r="J576" t="s">
        <v>2203</v>
      </c>
      <c r="K576" s="4">
        <v>45727</v>
      </c>
      <c r="L576" t="s">
        <v>77</v>
      </c>
    </row>
    <row r="577" spans="1:12">
      <c r="A577" t="s">
        <v>471</v>
      </c>
      <c r="B577" t="s">
        <v>2522</v>
      </c>
      <c r="C577" s="6">
        <v>24</v>
      </c>
      <c r="D577" t="s">
        <v>2195</v>
      </c>
      <c r="E577" t="s">
        <v>2221</v>
      </c>
      <c r="F577" t="s">
        <v>2219</v>
      </c>
      <c r="G577" t="s">
        <v>2202</v>
      </c>
      <c r="H577" t="s">
        <v>2186</v>
      </c>
      <c r="I577" t="s">
        <v>2187</v>
      </c>
      <c r="J577" t="s">
        <v>2188</v>
      </c>
      <c r="K577" s="4">
        <v>44435</v>
      </c>
      <c r="L577" t="s">
        <v>77</v>
      </c>
    </row>
    <row r="578" spans="1:12">
      <c r="A578" t="s">
        <v>799</v>
      </c>
      <c r="B578" t="s">
        <v>2661</v>
      </c>
      <c r="C578" s="6">
        <v>48</v>
      </c>
      <c r="D578" t="s">
        <v>2195</v>
      </c>
      <c r="E578" t="s">
        <v>2244</v>
      </c>
      <c r="F578" t="s">
        <v>2206</v>
      </c>
      <c r="G578" t="s">
        <v>2225</v>
      </c>
      <c r="H578" t="s">
        <v>2186</v>
      </c>
      <c r="I578" t="s">
        <v>2187</v>
      </c>
      <c r="J578" t="s">
        <v>2188</v>
      </c>
      <c r="K578" s="4">
        <v>43793</v>
      </c>
      <c r="L578" t="s">
        <v>77</v>
      </c>
    </row>
    <row r="579" spans="1:12">
      <c r="A579" t="s">
        <v>2134</v>
      </c>
      <c r="B579" t="s">
        <v>2620</v>
      </c>
      <c r="C579" s="6">
        <v>44</v>
      </c>
      <c r="D579" t="s">
        <v>2195</v>
      </c>
      <c r="E579" t="s">
        <v>2205</v>
      </c>
      <c r="F579" t="s">
        <v>2206</v>
      </c>
      <c r="G579" t="s">
        <v>2225</v>
      </c>
      <c r="H579" t="s">
        <v>2186</v>
      </c>
      <c r="I579" t="s">
        <v>2187</v>
      </c>
      <c r="J579" t="s">
        <v>2188</v>
      </c>
      <c r="K579" s="4">
        <v>44470</v>
      </c>
      <c r="L579" t="s">
        <v>77</v>
      </c>
    </row>
    <row r="580" spans="1:12">
      <c r="A580" t="s">
        <v>1729</v>
      </c>
      <c r="B580" t="s">
        <v>2293</v>
      </c>
      <c r="C580" s="6">
        <v>11</v>
      </c>
      <c r="D580" t="s">
        <v>2182</v>
      </c>
      <c r="E580" t="s">
        <v>2216</v>
      </c>
      <c r="F580" t="s">
        <v>2206</v>
      </c>
      <c r="G580" t="s">
        <v>2202</v>
      </c>
      <c r="H580" t="s">
        <v>2186</v>
      </c>
      <c r="I580" t="s">
        <v>2187</v>
      </c>
      <c r="J580" t="s">
        <v>2188</v>
      </c>
      <c r="K580" s="4">
        <v>45387</v>
      </c>
      <c r="L580" t="s">
        <v>77</v>
      </c>
    </row>
    <row r="581" spans="1:12">
      <c r="A581" t="s">
        <v>371</v>
      </c>
      <c r="B581" t="s">
        <v>2580</v>
      </c>
      <c r="C581" s="6">
        <v>16</v>
      </c>
      <c r="D581" t="s">
        <v>2182</v>
      </c>
      <c r="E581" t="s">
        <v>2238</v>
      </c>
      <c r="F581" t="s">
        <v>2212</v>
      </c>
      <c r="G581" t="s">
        <v>2225</v>
      </c>
      <c r="H581" t="s">
        <v>2186</v>
      </c>
      <c r="I581" t="s">
        <v>2187</v>
      </c>
      <c r="J581" t="s">
        <v>2188</v>
      </c>
      <c r="K581" s="4">
        <v>45913</v>
      </c>
      <c r="L581" t="s">
        <v>77</v>
      </c>
    </row>
    <row r="582" spans="1:12">
      <c r="A582" t="s">
        <v>160</v>
      </c>
      <c r="B582" t="s">
        <v>2558</v>
      </c>
      <c r="C582" s="6">
        <v>62</v>
      </c>
      <c r="D582" t="s">
        <v>2195</v>
      </c>
      <c r="E582" t="s">
        <v>2216</v>
      </c>
      <c r="F582" t="s">
        <v>2206</v>
      </c>
      <c r="G582" t="s">
        <v>2207</v>
      </c>
      <c r="H582" t="s">
        <v>2235</v>
      </c>
      <c r="I582" t="s">
        <v>2187</v>
      </c>
      <c r="J582" t="s">
        <v>2203</v>
      </c>
      <c r="K582" s="4">
        <v>43577</v>
      </c>
      <c r="L582" t="s">
        <v>77</v>
      </c>
    </row>
    <row r="583" spans="1:12">
      <c r="A583" t="s">
        <v>2662</v>
      </c>
      <c r="B583" t="s">
        <v>2646</v>
      </c>
      <c r="C583" s="6">
        <v>51</v>
      </c>
      <c r="D583" t="s">
        <v>2182</v>
      </c>
      <c r="E583" t="s">
        <v>2224</v>
      </c>
      <c r="F583" t="s">
        <v>2206</v>
      </c>
      <c r="G583" t="s">
        <v>2222</v>
      </c>
      <c r="H583" t="s">
        <v>2186</v>
      </c>
      <c r="I583" t="s">
        <v>2187</v>
      </c>
      <c r="J583" t="s">
        <v>2188</v>
      </c>
      <c r="K583" s="4">
        <v>44593</v>
      </c>
      <c r="L583" t="s">
        <v>77</v>
      </c>
    </row>
    <row r="584" spans="1:12">
      <c r="A584" t="s">
        <v>826</v>
      </c>
      <c r="B584" t="s">
        <v>2276</v>
      </c>
      <c r="C584" s="6">
        <v>69</v>
      </c>
      <c r="D584" t="s">
        <v>2182</v>
      </c>
      <c r="E584" t="s">
        <v>2244</v>
      </c>
      <c r="F584" t="s">
        <v>2206</v>
      </c>
      <c r="G584" t="s">
        <v>2213</v>
      </c>
      <c r="H584" t="s">
        <v>2272</v>
      </c>
      <c r="I584" t="s">
        <v>2187</v>
      </c>
      <c r="J584" t="s">
        <v>2193</v>
      </c>
      <c r="K584" s="4">
        <v>44433</v>
      </c>
      <c r="L584" t="s">
        <v>77</v>
      </c>
    </row>
    <row r="585" spans="1:12">
      <c r="A585" t="s">
        <v>1130</v>
      </c>
      <c r="B585" t="s">
        <v>2453</v>
      </c>
      <c r="C585" s="6">
        <v>26</v>
      </c>
      <c r="D585" t="s">
        <v>2195</v>
      </c>
      <c r="E585" t="s">
        <v>2205</v>
      </c>
      <c r="F585" t="s">
        <v>2206</v>
      </c>
      <c r="G585" t="s">
        <v>2185</v>
      </c>
      <c r="H585" t="s">
        <v>2315</v>
      </c>
      <c r="I585" t="s">
        <v>2187</v>
      </c>
      <c r="J585" t="s">
        <v>2188</v>
      </c>
      <c r="K585" s="4">
        <v>44097</v>
      </c>
      <c r="L585" t="s">
        <v>77</v>
      </c>
    </row>
    <row r="586" spans="1:12">
      <c r="A586" t="s">
        <v>747</v>
      </c>
      <c r="B586" t="s">
        <v>2591</v>
      </c>
      <c r="C586" s="6">
        <v>44</v>
      </c>
      <c r="D586" t="s">
        <v>2182</v>
      </c>
      <c r="E586" t="s">
        <v>2227</v>
      </c>
      <c r="F586" t="s">
        <v>2191</v>
      </c>
      <c r="G586" t="s">
        <v>2213</v>
      </c>
      <c r="H586" t="s">
        <v>2197</v>
      </c>
      <c r="I586" t="s">
        <v>2198</v>
      </c>
      <c r="J586" t="s">
        <v>2203</v>
      </c>
      <c r="K586" s="4">
        <v>43688</v>
      </c>
      <c r="L586" t="s">
        <v>77</v>
      </c>
    </row>
    <row r="587" spans="1:12">
      <c r="A587" t="s">
        <v>468</v>
      </c>
      <c r="B587" t="s">
        <v>2525</v>
      </c>
      <c r="C587" s="6">
        <v>63</v>
      </c>
      <c r="D587" t="s">
        <v>2195</v>
      </c>
      <c r="E587" t="s">
        <v>2211</v>
      </c>
      <c r="F587" t="s">
        <v>2212</v>
      </c>
      <c r="G587" t="s">
        <v>2233</v>
      </c>
      <c r="H587" t="s">
        <v>2197</v>
      </c>
      <c r="I587" t="s">
        <v>2187</v>
      </c>
      <c r="J587" t="s">
        <v>2203</v>
      </c>
      <c r="K587" s="4">
        <v>45647</v>
      </c>
      <c r="L587" t="s">
        <v>77</v>
      </c>
    </row>
    <row r="588" spans="1:12">
      <c r="A588" t="s">
        <v>1200</v>
      </c>
      <c r="B588" t="s">
        <v>2663</v>
      </c>
      <c r="C588" s="6">
        <v>41</v>
      </c>
      <c r="D588" t="s">
        <v>2195</v>
      </c>
      <c r="E588" t="s">
        <v>2224</v>
      </c>
      <c r="F588" t="s">
        <v>2206</v>
      </c>
      <c r="G588" t="s">
        <v>2207</v>
      </c>
      <c r="H588" t="s">
        <v>2272</v>
      </c>
      <c r="I588" t="s">
        <v>2187</v>
      </c>
      <c r="J588" t="s">
        <v>2203</v>
      </c>
      <c r="K588" s="4">
        <v>44759</v>
      </c>
      <c r="L588" t="s">
        <v>64</v>
      </c>
    </row>
    <row r="589" spans="1:12">
      <c r="A589" t="s">
        <v>2075</v>
      </c>
      <c r="B589" t="s">
        <v>2520</v>
      </c>
      <c r="C589" s="6">
        <v>66</v>
      </c>
      <c r="D589" t="s">
        <v>2182</v>
      </c>
      <c r="E589" t="s">
        <v>2298</v>
      </c>
      <c r="F589" t="s">
        <v>2219</v>
      </c>
      <c r="G589" t="s">
        <v>2202</v>
      </c>
      <c r="H589" t="s">
        <v>2197</v>
      </c>
      <c r="I589" t="s">
        <v>2198</v>
      </c>
      <c r="J589" t="s">
        <v>2193</v>
      </c>
      <c r="K589" s="4">
        <v>45966</v>
      </c>
      <c r="L589" t="s">
        <v>64</v>
      </c>
    </row>
    <row r="590" spans="1:12">
      <c r="A590" t="s">
        <v>1141</v>
      </c>
      <c r="B590" t="s">
        <v>2639</v>
      </c>
      <c r="C590" s="6">
        <v>38</v>
      </c>
      <c r="D590" t="s">
        <v>2195</v>
      </c>
      <c r="E590" t="s">
        <v>2221</v>
      </c>
      <c r="F590" t="s">
        <v>2219</v>
      </c>
      <c r="G590" t="s">
        <v>2202</v>
      </c>
      <c r="H590" t="s">
        <v>2186</v>
      </c>
      <c r="I590" t="s">
        <v>2198</v>
      </c>
      <c r="J590" t="s">
        <v>2188</v>
      </c>
      <c r="K590" s="4">
        <v>44456</v>
      </c>
      <c r="L590" t="s">
        <v>77</v>
      </c>
    </row>
    <row r="591" spans="1:12">
      <c r="A591" t="s">
        <v>598</v>
      </c>
      <c r="B591" t="s">
        <v>2664</v>
      </c>
      <c r="C591" s="6">
        <v>76</v>
      </c>
      <c r="D591" t="s">
        <v>2182</v>
      </c>
      <c r="E591" t="s">
        <v>2277</v>
      </c>
      <c r="F591" t="s">
        <v>2191</v>
      </c>
      <c r="G591" t="s">
        <v>2207</v>
      </c>
      <c r="H591" t="s">
        <v>2197</v>
      </c>
      <c r="I591" t="s">
        <v>2187</v>
      </c>
      <c r="J591" t="s">
        <v>2193</v>
      </c>
      <c r="K591" s="4">
        <v>43500</v>
      </c>
      <c r="L591" t="s">
        <v>77</v>
      </c>
    </row>
    <row r="592" spans="1:12">
      <c r="A592" t="s">
        <v>982</v>
      </c>
      <c r="B592" t="s">
        <v>2665</v>
      </c>
      <c r="C592" s="6">
        <v>14</v>
      </c>
      <c r="D592" t="s">
        <v>2195</v>
      </c>
      <c r="E592" t="s">
        <v>2190</v>
      </c>
      <c r="F592" t="s">
        <v>2191</v>
      </c>
      <c r="G592" t="s">
        <v>2200</v>
      </c>
      <c r="H592" t="s">
        <v>2186</v>
      </c>
      <c r="I592" t="s">
        <v>2187</v>
      </c>
      <c r="J592" t="s">
        <v>2188</v>
      </c>
      <c r="K592" s="4">
        <v>43563</v>
      </c>
      <c r="L592" t="s">
        <v>77</v>
      </c>
    </row>
    <row r="593" spans="1:12">
      <c r="A593" t="s">
        <v>2666</v>
      </c>
      <c r="B593" t="s">
        <v>2469</v>
      </c>
      <c r="C593" s="6">
        <v>38</v>
      </c>
      <c r="D593" t="s">
        <v>2182</v>
      </c>
      <c r="E593" t="s">
        <v>2298</v>
      </c>
      <c r="F593" t="s">
        <v>2219</v>
      </c>
      <c r="G593" t="s">
        <v>2222</v>
      </c>
      <c r="H593" t="s">
        <v>2186</v>
      </c>
      <c r="I593" t="s">
        <v>2192</v>
      </c>
      <c r="J593" t="s">
        <v>2203</v>
      </c>
      <c r="K593" s="4">
        <v>43819</v>
      </c>
      <c r="L593" t="s">
        <v>77</v>
      </c>
    </row>
    <row r="594" spans="1:12">
      <c r="A594" t="s">
        <v>209</v>
      </c>
      <c r="B594" t="s">
        <v>2522</v>
      </c>
      <c r="C594" s="6">
        <v>66</v>
      </c>
      <c r="D594" t="s">
        <v>2195</v>
      </c>
      <c r="E594" t="s">
        <v>2231</v>
      </c>
      <c r="F594" t="s">
        <v>2212</v>
      </c>
      <c r="G594" t="s">
        <v>2202</v>
      </c>
      <c r="H594" t="s">
        <v>2235</v>
      </c>
      <c r="I594" t="s">
        <v>2187</v>
      </c>
      <c r="J594" t="s">
        <v>2193</v>
      </c>
      <c r="K594" s="4">
        <v>45323</v>
      </c>
      <c r="L594" t="s">
        <v>64</v>
      </c>
    </row>
    <row r="595" spans="1:12">
      <c r="A595" t="s">
        <v>624</v>
      </c>
      <c r="B595" t="s">
        <v>2262</v>
      </c>
      <c r="C595" s="6">
        <v>25</v>
      </c>
      <c r="D595" t="s">
        <v>2195</v>
      </c>
      <c r="E595" t="s">
        <v>2238</v>
      </c>
      <c r="F595" t="s">
        <v>2212</v>
      </c>
      <c r="G595" t="s">
        <v>2225</v>
      </c>
      <c r="H595" t="s">
        <v>2186</v>
      </c>
      <c r="I595" t="s">
        <v>2198</v>
      </c>
      <c r="J595" t="s">
        <v>2188</v>
      </c>
      <c r="K595" s="4">
        <v>45033</v>
      </c>
      <c r="L595" t="s">
        <v>77</v>
      </c>
    </row>
    <row r="596" spans="1:12">
      <c r="A596" t="s">
        <v>2667</v>
      </c>
      <c r="B596" t="s">
        <v>2668</v>
      </c>
      <c r="C596" s="6">
        <v>46</v>
      </c>
      <c r="D596" t="s">
        <v>2182</v>
      </c>
      <c r="E596" t="s">
        <v>2227</v>
      </c>
      <c r="F596" t="s">
        <v>2191</v>
      </c>
      <c r="G596" t="s">
        <v>2200</v>
      </c>
      <c r="H596" t="s">
        <v>2197</v>
      </c>
      <c r="I596" t="s">
        <v>2187</v>
      </c>
      <c r="J596" t="s">
        <v>2203</v>
      </c>
      <c r="K596" s="4">
        <v>45481</v>
      </c>
      <c r="L596" t="s">
        <v>77</v>
      </c>
    </row>
    <row r="597" spans="1:12">
      <c r="A597" t="s">
        <v>2669</v>
      </c>
      <c r="B597" t="s">
        <v>2448</v>
      </c>
      <c r="C597" s="6">
        <v>49</v>
      </c>
      <c r="D597" t="s">
        <v>2182</v>
      </c>
      <c r="E597" t="s">
        <v>2205</v>
      </c>
      <c r="F597" t="s">
        <v>2206</v>
      </c>
      <c r="G597" t="s">
        <v>2225</v>
      </c>
      <c r="H597" t="s">
        <v>2272</v>
      </c>
      <c r="I597" t="s">
        <v>2198</v>
      </c>
      <c r="J597" t="s">
        <v>2203</v>
      </c>
      <c r="K597" s="4">
        <v>43889</v>
      </c>
      <c r="L597" t="s">
        <v>77</v>
      </c>
    </row>
    <row r="598" spans="1:12">
      <c r="A598" t="s">
        <v>329</v>
      </c>
      <c r="B598" t="s">
        <v>2454</v>
      </c>
      <c r="C598" s="6">
        <v>43</v>
      </c>
      <c r="D598" t="s">
        <v>2182</v>
      </c>
      <c r="E598" t="s">
        <v>2298</v>
      </c>
      <c r="F598" t="s">
        <v>2219</v>
      </c>
      <c r="G598" t="s">
        <v>2185</v>
      </c>
      <c r="H598" t="s">
        <v>2197</v>
      </c>
      <c r="I598" t="s">
        <v>2192</v>
      </c>
      <c r="J598" t="s">
        <v>2193</v>
      </c>
      <c r="K598" s="4">
        <v>45065</v>
      </c>
      <c r="L598" t="s">
        <v>77</v>
      </c>
    </row>
    <row r="599" spans="1:12">
      <c r="A599" t="s">
        <v>506</v>
      </c>
      <c r="B599" t="s">
        <v>2410</v>
      </c>
      <c r="C599" s="6">
        <v>39</v>
      </c>
      <c r="D599" t="s">
        <v>2182</v>
      </c>
      <c r="E599" t="s">
        <v>2218</v>
      </c>
      <c r="F599" t="s">
        <v>2219</v>
      </c>
      <c r="G599" t="s">
        <v>2200</v>
      </c>
      <c r="H599" t="s">
        <v>2197</v>
      </c>
      <c r="I599" t="s">
        <v>2198</v>
      </c>
      <c r="J599" t="s">
        <v>2203</v>
      </c>
      <c r="K599" s="4">
        <v>45424</v>
      </c>
      <c r="L599" t="s">
        <v>77</v>
      </c>
    </row>
    <row r="600" spans="1:12">
      <c r="A600" t="s">
        <v>589</v>
      </c>
      <c r="B600" t="s">
        <v>2332</v>
      </c>
      <c r="C600" s="6">
        <v>90</v>
      </c>
      <c r="D600" t="s">
        <v>2182</v>
      </c>
      <c r="E600" t="s">
        <v>2231</v>
      </c>
      <c r="F600" t="s">
        <v>2212</v>
      </c>
      <c r="G600" t="s">
        <v>2213</v>
      </c>
      <c r="H600" t="s">
        <v>2186</v>
      </c>
      <c r="I600" t="s">
        <v>2187</v>
      </c>
      <c r="J600" t="s">
        <v>2203</v>
      </c>
      <c r="K600" s="4">
        <v>44936</v>
      </c>
      <c r="L600" t="s">
        <v>77</v>
      </c>
    </row>
    <row r="601" spans="1:12">
      <c r="A601" t="s">
        <v>926</v>
      </c>
      <c r="B601" t="s">
        <v>2289</v>
      </c>
      <c r="C601" s="6">
        <v>43</v>
      </c>
      <c r="D601" t="s">
        <v>2182</v>
      </c>
      <c r="E601" t="s">
        <v>2298</v>
      </c>
      <c r="F601" t="s">
        <v>2219</v>
      </c>
      <c r="G601" t="s">
        <v>2200</v>
      </c>
      <c r="H601" t="s">
        <v>2186</v>
      </c>
      <c r="I601" t="s">
        <v>2187</v>
      </c>
      <c r="J601" t="s">
        <v>2188</v>
      </c>
      <c r="K601" s="4">
        <v>44858</v>
      </c>
      <c r="L601" t="s">
        <v>77</v>
      </c>
    </row>
  </sheetData>
  <conditionalFormatting sqref="J2:J601">
    <cfRule type="expression" dxfId="0" priority="1">
      <formula>J2="High"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/>
  </sheetViews>
  <sheetFormatPr defaultRowHeight="13.8"/>
  <cols>
    <col min="1" max="1" width="14" customWidth="1"/>
    <col min="2" max="2" width="24" customWidth="1"/>
    <col min="3" max="3" width="14" customWidth="1"/>
    <col min="4" max="4" width="26" customWidth="1"/>
    <col min="5" max="7" width="16" customWidth="1"/>
    <col min="8" max="8" width="24" customWidth="1"/>
  </cols>
  <sheetData>
    <row r="1" spans="1:8" ht="24" customHeight="1">
      <c r="A1" s="3" t="s">
        <v>35</v>
      </c>
      <c r="B1" s="3" t="s">
        <v>2670</v>
      </c>
      <c r="C1" s="3" t="s">
        <v>34</v>
      </c>
      <c r="D1" s="3" t="s">
        <v>2671</v>
      </c>
      <c r="E1" s="3" t="s">
        <v>2672</v>
      </c>
      <c r="F1" s="3" t="s">
        <v>2673</v>
      </c>
      <c r="G1" s="3" t="s">
        <v>2674</v>
      </c>
      <c r="H1" s="3" t="s">
        <v>2675</v>
      </c>
    </row>
    <row r="2" spans="1:8">
      <c r="A2" t="s">
        <v>421</v>
      </c>
      <c r="B2" t="s">
        <v>2676</v>
      </c>
      <c r="C2" t="s">
        <v>201</v>
      </c>
      <c r="D2" t="s">
        <v>2677</v>
      </c>
      <c r="E2" s="6">
        <v>10</v>
      </c>
      <c r="F2" t="s">
        <v>2678</v>
      </c>
      <c r="G2" s="5">
        <v>1000</v>
      </c>
      <c r="H2" s="6">
        <v>58</v>
      </c>
    </row>
    <row r="3" spans="1:8">
      <c r="A3" t="s">
        <v>449</v>
      </c>
      <c r="B3" t="s">
        <v>2679</v>
      </c>
      <c r="C3" t="s">
        <v>201</v>
      </c>
      <c r="D3" t="s">
        <v>2677</v>
      </c>
      <c r="E3" s="6">
        <v>20</v>
      </c>
      <c r="F3" t="s">
        <v>2678</v>
      </c>
      <c r="G3" s="5">
        <v>800</v>
      </c>
      <c r="H3" s="6">
        <v>56</v>
      </c>
    </row>
    <row r="4" spans="1:8">
      <c r="A4" t="s">
        <v>327</v>
      </c>
      <c r="B4" t="s">
        <v>2680</v>
      </c>
      <c r="C4" t="s">
        <v>201</v>
      </c>
      <c r="D4" t="s">
        <v>2681</v>
      </c>
      <c r="E4" s="6">
        <v>21</v>
      </c>
      <c r="F4" t="s">
        <v>2678</v>
      </c>
      <c r="G4" s="5">
        <v>1000</v>
      </c>
      <c r="H4" s="6">
        <v>114</v>
      </c>
    </row>
    <row r="5" spans="1:8">
      <c r="A5" t="s">
        <v>202</v>
      </c>
      <c r="B5" t="s">
        <v>2682</v>
      </c>
      <c r="C5" t="s">
        <v>201</v>
      </c>
      <c r="D5" t="s">
        <v>2683</v>
      </c>
      <c r="E5" s="6">
        <v>20</v>
      </c>
      <c r="F5" t="s">
        <v>2678</v>
      </c>
      <c r="G5" s="5">
        <v>2500</v>
      </c>
      <c r="H5" s="6">
        <v>45</v>
      </c>
    </row>
    <row r="6" spans="1:8">
      <c r="A6" t="s">
        <v>280</v>
      </c>
      <c r="B6" t="s">
        <v>2684</v>
      </c>
      <c r="C6" t="s">
        <v>201</v>
      </c>
      <c r="D6" t="s">
        <v>2681</v>
      </c>
      <c r="E6" s="6">
        <v>15</v>
      </c>
      <c r="F6" t="s">
        <v>2678</v>
      </c>
      <c r="G6" s="5">
        <v>1000</v>
      </c>
      <c r="H6" s="6">
        <v>72</v>
      </c>
    </row>
    <row r="7" spans="1:8">
      <c r="A7" t="s">
        <v>515</v>
      </c>
      <c r="B7" t="s">
        <v>2685</v>
      </c>
      <c r="C7" t="s">
        <v>201</v>
      </c>
      <c r="D7" t="s">
        <v>2677</v>
      </c>
      <c r="E7" s="6">
        <v>4</v>
      </c>
      <c r="F7" t="s">
        <v>2678</v>
      </c>
      <c r="G7" s="5">
        <v>1200</v>
      </c>
      <c r="H7" s="6">
        <v>89</v>
      </c>
    </row>
    <row r="8" spans="1:8">
      <c r="A8" t="s">
        <v>388</v>
      </c>
      <c r="B8" t="s">
        <v>2686</v>
      </c>
      <c r="C8" t="s">
        <v>90</v>
      </c>
      <c r="D8" t="s">
        <v>2687</v>
      </c>
      <c r="E8" s="6">
        <v>16</v>
      </c>
      <c r="F8" t="s">
        <v>2678</v>
      </c>
      <c r="G8" s="5">
        <v>1500</v>
      </c>
      <c r="H8" s="6">
        <v>55</v>
      </c>
    </row>
    <row r="9" spans="1:8">
      <c r="A9" t="s">
        <v>91</v>
      </c>
      <c r="B9" t="s">
        <v>2688</v>
      </c>
      <c r="C9" t="s">
        <v>90</v>
      </c>
      <c r="D9" t="s">
        <v>2689</v>
      </c>
      <c r="E9" s="6">
        <v>21</v>
      </c>
      <c r="F9" t="s">
        <v>2690</v>
      </c>
      <c r="G9" s="5">
        <v>1200</v>
      </c>
      <c r="H9" s="6">
        <v>118</v>
      </c>
    </row>
    <row r="10" spans="1:8">
      <c r="A10" t="s">
        <v>162</v>
      </c>
      <c r="B10" t="s">
        <v>2691</v>
      </c>
      <c r="C10" t="s">
        <v>90</v>
      </c>
      <c r="D10" t="s">
        <v>2687</v>
      </c>
      <c r="E10" s="6">
        <v>23</v>
      </c>
      <c r="F10" t="s">
        <v>2678</v>
      </c>
      <c r="G10" s="5">
        <v>1200</v>
      </c>
      <c r="H10" s="6">
        <v>55</v>
      </c>
    </row>
    <row r="11" spans="1:8">
      <c r="A11" t="s">
        <v>128</v>
      </c>
      <c r="B11" t="s">
        <v>2692</v>
      </c>
      <c r="C11" t="s">
        <v>90</v>
      </c>
      <c r="D11" t="s">
        <v>2687</v>
      </c>
      <c r="E11" s="6">
        <v>14</v>
      </c>
      <c r="F11" t="s">
        <v>2678</v>
      </c>
      <c r="G11" s="5">
        <v>2000</v>
      </c>
      <c r="H11" s="6">
        <v>91</v>
      </c>
    </row>
    <row r="12" spans="1:8">
      <c r="A12" t="s">
        <v>133</v>
      </c>
      <c r="B12" t="s">
        <v>2693</v>
      </c>
      <c r="C12" t="s">
        <v>90</v>
      </c>
      <c r="D12" t="s">
        <v>2694</v>
      </c>
      <c r="E12" s="6">
        <v>8</v>
      </c>
      <c r="F12" t="s">
        <v>2678</v>
      </c>
      <c r="G12" s="5">
        <v>2000</v>
      </c>
      <c r="H12" s="6">
        <v>54</v>
      </c>
    </row>
    <row r="13" spans="1:8">
      <c r="A13" t="s">
        <v>299</v>
      </c>
      <c r="B13" t="s">
        <v>2695</v>
      </c>
      <c r="C13" t="s">
        <v>90</v>
      </c>
      <c r="D13" t="s">
        <v>2689</v>
      </c>
      <c r="E13" s="6">
        <v>9</v>
      </c>
      <c r="F13" t="s">
        <v>2678</v>
      </c>
      <c r="G13" s="5">
        <v>1500</v>
      </c>
      <c r="H13" s="6">
        <v>79</v>
      </c>
    </row>
    <row r="14" spans="1:8">
      <c r="A14" t="s">
        <v>386</v>
      </c>
      <c r="B14" t="s">
        <v>2696</v>
      </c>
      <c r="C14" t="s">
        <v>121</v>
      </c>
      <c r="D14" t="s">
        <v>2697</v>
      </c>
      <c r="E14" s="6">
        <v>23</v>
      </c>
      <c r="F14" t="s">
        <v>2678</v>
      </c>
      <c r="G14" s="5">
        <v>2500</v>
      </c>
      <c r="H14" s="6">
        <v>52</v>
      </c>
    </row>
    <row r="15" spans="1:8">
      <c r="A15" t="s">
        <v>334</v>
      </c>
      <c r="B15" t="s">
        <v>2698</v>
      </c>
      <c r="C15" t="s">
        <v>121</v>
      </c>
      <c r="D15" t="s">
        <v>2699</v>
      </c>
      <c r="E15" s="6">
        <v>14</v>
      </c>
      <c r="F15" t="s">
        <v>2678</v>
      </c>
      <c r="G15" s="5">
        <v>1000</v>
      </c>
      <c r="H15" s="6">
        <v>117</v>
      </c>
    </row>
    <row r="16" spans="1:8">
      <c r="A16" t="s">
        <v>251</v>
      </c>
      <c r="B16" t="s">
        <v>2700</v>
      </c>
      <c r="C16" t="s">
        <v>121</v>
      </c>
      <c r="D16" t="s">
        <v>2697</v>
      </c>
      <c r="E16" s="6">
        <v>22</v>
      </c>
      <c r="F16" t="s">
        <v>2678</v>
      </c>
      <c r="G16" s="5">
        <v>2000</v>
      </c>
      <c r="H16" s="6">
        <v>103</v>
      </c>
    </row>
    <row r="17" spans="1:8">
      <c r="A17" t="s">
        <v>174</v>
      </c>
      <c r="B17" t="s">
        <v>2701</v>
      </c>
      <c r="C17" t="s">
        <v>121</v>
      </c>
      <c r="D17" t="s">
        <v>2697</v>
      </c>
      <c r="E17" s="6">
        <v>9</v>
      </c>
      <c r="F17" t="s">
        <v>2690</v>
      </c>
      <c r="G17" s="5">
        <v>1800</v>
      </c>
      <c r="H17" s="6">
        <v>78</v>
      </c>
    </row>
    <row r="18" spans="1:8">
      <c r="A18" t="s">
        <v>665</v>
      </c>
      <c r="B18" t="s">
        <v>2702</v>
      </c>
      <c r="C18" t="s">
        <v>121</v>
      </c>
      <c r="D18" t="s">
        <v>2699</v>
      </c>
      <c r="E18" s="6">
        <v>20</v>
      </c>
      <c r="F18" t="s">
        <v>2678</v>
      </c>
      <c r="G18" s="5">
        <v>1000</v>
      </c>
      <c r="H18" s="6">
        <v>62</v>
      </c>
    </row>
    <row r="19" spans="1:8">
      <c r="A19" t="s">
        <v>122</v>
      </c>
      <c r="B19" t="s">
        <v>2703</v>
      </c>
      <c r="C19" t="s">
        <v>121</v>
      </c>
      <c r="D19" t="s">
        <v>2697</v>
      </c>
      <c r="E19" s="6">
        <v>3</v>
      </c>
      <c r="F19" t="s">
        <v>2690</v>
      </c>
      <c r="G19" s="5">
        <v>1000</v>
      </c>
      <c r="H19" s="6">
        <v>65</v>
      </c>
    </row>
    <row r="20" spans="1:8">
      <c r="A20" t="s">
        <v>194</v>
      </c>
      <c r="B20" t="s">
        <v>2704</v>
      </c>
      <c r="C20" t="s">
        <v>82</v>
      </c>
      <c r="D20" t="s">
        <v>2705</v>
      </c>
      <c r="E20" s="6">
        <v>4</v>
      </c>
      <c r="F20" t="s">
        <v>2678</v>
      </c>
      <c r="G20" s="5">
        <v>1800</v>
      </c>
      <c r="H20" s="6">
        <v>104</v>
      </c>
    </row>
    <row r="21" spans="1:8">
      <c r="A21" t="s">
        <v>369</v>
      </c>
      <c r="B21" t="s">
        <v>2706</v>
      </c>
      <c r="C21" t="s">
        <v>82</v>
      </c>
      <c r="D21" t="s">
        <v>2705</v>
      </c>
      <c r="E21" s="6">
        <v>2</v>
      </c>
      <c r="F21" t="s">
        <v>2678</v>
      </c>
      <c r="G21" s="5">
        <v>800</v>
      </c>
      <c r="H21" s="6">
        <v>113</v>
      </c>
    </row>
    <row r="22" spans="1:8">
      <c r="A22" t="s">
        <v>331</v>
      </c>
      <c r="B22" t="s">
        <v>2707</v>
      </c>
      <c r="C22" t="s">
        <v>82</v>
      </c>
      <c r="D22" t="s">
        <v>2705</v>
      </c>
      <c r="E22" s="6">
        <v>12</v>
      </c>
      <c r="F22" t="s">
        <v>2678</v>
      </c>
      <c r="G22" s="5">
        <v>1500</v>
      </c>
      <c r="H22" s="6">
        <v>65</v>
      </c>
    </row>
    <row r="23" spans="1:8">
      <c r="A23" t="s">
        <v>155</v>
      </c>
      <c r="B23" t="s">
        <v>2708</v>
      </c>
      <c r="C23" t="s">
        <v>82</v>
      </c>
      <c r="D23" t="s">
        <v>2705</v>
      </c>
      <c r="E23" s="6">
        <v>10</v>
      </c>
      <c r="F23" t="s">
        <v>2709</v>
      </c>
      <c r="G23" s="5">
        <v>2500</v>
      </c>
      <c r="H23" s="6">
        <v>67</v>
      </c>
    </row>
    <row r="24" spans="1:8">
      <c r="A24" t="s">
        <v>83</v>
      </c>
      <c r="B24" t="s">
        <v>2710</v>
      </c>
      <c r="C24" t="s">
        <v>82</v>
      </c>
      <c r="D24" t="s">
        <v>2705</v>
      </c>
      <c r="E24" s="6">
        <v>11</v>
      </c>
      <c r="F24" t="s">
        <v>2690</v>
      </c>
      <c r="G24" s="5">
        <v>1800</v>
      </c>
      <c r="H24" s="6">
        <v>70</v>
      </c>
    </row>
    <row r="25" spans="1:8">
      <c r="A25" t="s">
        <v>272</v>
      </c>
      <c r="B25" t="s">
        <v>2711</v>
      </c>
      <c r="C25" t="s">
        <v>82</v>
      </c>
      <c r="D25" t="s">
        <v>2712</v>
      </c>
      <c r="E25" s="6">
        <v>19</v>
      </c>
      <c r="F25" t="s">
        <v>2709</v>
      </c>
      <c r="G25" s="5">
        <v>1800</v>
      </c>
      <c r="H25" s="6">
        <v>45</v>
      </c>
    </row>
    <row r="26" spans="1:8">
      <c r="A26" t="s">
        <v>267</v>
      </c>
      <c r="B26" t="s">
        <v>2713</v>
      </c>
      <c r="C26" t="s">
        <v>111</v>
      </c>
      <c r="D26" t="s">
        <v>2714</v>
      </c>
      <c r="E26" s="6">
        <v>2</v>
      </c>
      <c r="F26" t="s">
        <v>2678</v>
      </c>
      <c r="G26" s="5">
        <v>1200</v>
      </c>
      <c r="H26" s="6">
        <v>84</v>
      </c>
    </row>
    <row r="27" spans="1:8">
      <c r="A27" t="s">
        <v>112</v>
      </c>
      <c r="B27" t="s">
        <v>2698</v>
      </c>
      <c r="C27" t="s">
        <v>111</v>
      </c>
      <c r="D27" t="s">
        <v>2715</v>
      </c>
      <c r="E27" s="6">
        <v>20</v>
      </c>
      <c r="F27" t="s">
        <v>2709</v>
      </c>
      <c r="G27" s="5">
        <v>800</v>
      </c>
      <c r="H27" s="6">
        <v>107</v>
      </c>
    </row>
    <row r="28" spans="1:8">
      <c r="A28" t="s">
        <v>355</v>
      </c>
      <c r="B28" t="s">
        <v>2716</v>
      </c>
      <c r="C28" t="s">
        <v>111</v>
      </c>
      <c r="D28" t="s">
        <v>2717</v>
      </c>
      <c r="E28" s="6">
        <v>6</v>
      </c>
      <c r="F28" t="s">
        <v>2678</v>
      </c>
      <c r="G28" s="5">
        <v>1500</v>
      </c>
      <c r="H28" s="6">
        <v>115</v>
      </c>
    </row>
    <row r="29" spans="1:8">
      <c r="A29" t="s">
        <v>222</v>
      </c>
      <c r="B29" t="s">
        <v>2718</v>
      </c>
      <c r="C29" t="s">
        <v>111</v>
      </c>
      <c r="D29" t="s">
        <v>2717</v>
      </c>
      <c r="E29" s="6">
        <v>21</v>
      </c>
      <c r="F29" t="s">
        <v>2678</v>
      </c>
      <c r="G29" s="5">
        <v>1000</v>
      </c>
      <c r="H29" s="6">
        <v>114</v>
      </c>
    </row>
    <row r="30" spans="1:8">
      <c r="A30" t="s">
        <v>397</v>
      </c>
      <c r="B30" t="s">
        <v>2719</v>
      </c>
      <c r="C30" t="s">
        <v>111</v>
      </c>
      <c r="D30" t="s">
        <v>2717</v>
      </c>
      <c r="E30" s="6">
        <v>11</v>
      </c>
      <c r="F30" t="s">
        <v>2678</v>
      </c>
      <c r="G30" s="5">
        <v>2000</v>
      </c>
      <c r="H30" s="6">
        <v>92</v>
      </c>
    </row>
    <row r="31" spans="1:8">
      <c r="A31" t="s">
        <v>116</v>
      </c>
      <c r="B31" t="s">
        <v>2720</v>
      </c>
      <c r="C31" t="s">
        <v>111</v>
      </c>
      <c r="D31" t="s">
        <v>2714</v>
      </c>
      <c r="E31" s="6">
        <v>5</v>
      </c>
      <c r="F31" t="s">
        <v>2678</v>
      </c>
      <c r="G31" s="5">
        <v>800</v>
      </c>
      <c r="H31" s="6">
        <v>88</v>
      </c>
    </row>
    <row r="32" spans="1:8">
      <c r="A32" t="s">
        <v>339</v>
      </c>
      <c r="B32" t="s">
        <v>2721</v>
      </c>
      <c r="C32" t="s">
        <v>178</v>
      </c>
      <c r="D32" t="s">
        <v>2722</v>
      </c>
      <c r="E32" s="6">
        <v>9</v>
      </c>
      <c r="F32" t="s">
        <v>2678</v>
      </c>
      <c r="G32" s="5">
        <v>800</v>
      </c>
      <c r="H32" s="6">
        <v>54</v>
      </c>
    </row>
    <row r="33" spans="1:8">
      <c r="A33" t="s">
        <v>462</v>
      </c>
      <c r="B33" t="s">
        <v>2723</v>
      </c>
      <c r="C33" t="s">
        <v>178</v>
      </c>
      <c r="D33" t="s">
        <v>2724</v>
      </c>
      <c r="E33" s="6">
        <v>4</v>
      </c>
      <c r="F33" t="s">
        <v>2709</v>
      </c>
      <c r="G33" s="5">
        <v>2500</v>
      </c>
      <c r="H33" s="6">
        <v>87</v>
      </c>
    </row>
    <row r="34" spans="1:8">
      <c r="A34" t="s">
        <v>179</v>
      </c>
      <c r="B34" t="s">
        <v>2725</v>
      </c>
      <c r="C34" t="s">
        <v>178</v>
      </c>
      <c r="D34" t="s">
        <v>2724</v>
      </c>
      <c r="E34" s="6">
        <v>10</v>
      </c>
      <c r="F34" t="s">
        <v>2678</v>
      </c>
      <c r="G34" s="5">
        <v>1000</v>
      </c>
      <c r="H34" s="6">
        <v>114</v>
      </c>
    </row>
    <row r="35" spans="1:8">
      <c r="A35" t="s">
        <v>622</v>
      </c>
      <c r="B35" t="s">
        <v>2726</v>
      </c>
      <c r="C35" t="s">
        <v>178</v>
      </c>
      <c r="D35" t="s">
        <v>2722</v>
      </c>
      <c r="E35" s="6">
        <v>17</v>
      </c>
      <c r="F35" t="s">
        <v>2678</v>
      </c>
      <c r="G35" s="5">
        <v>1500</v>
      </c>
      <c r="H35" s="6">
        <v>97</v>
      </c>
    </row>
    <row r="36" spans="1:8">
      <c r="A36" t="s">
        <v>218</v>
      </c>
      <c r="B36" t="s">
        <v>2727</v>
      </c>
      <c r="C36" t="s">
        <v>178</v>
      </c>
      <c r="D36" t="s">
        <v>2724</v>
      </c>
      <c r="E36" s="6">
        <v>23</v>
      </c>
      <c r="F36" t="s">
        <v>2678</v>
      </c>
      <c r="G36" s="5">
        <v>1500</v>
      </c>
      <c r="H36" s="6">
        <v>97</v>
      </c>
    </row>
    <row r="37" spans="1:8">
      <c r="A37" t="s">
        <v>415</v>
      </c>
      <c r="B37" t="s">
        <v>2728</v>
      </c>
      <c r="C37" t="s">
        <v>178</v>
      </c>
      <c r="D37" t="s">
        <v>2722</v>
      </c>
      <c r="E37" s="6">
        <v>22</v>
      </c>
      <c r="F37" t="s">
        <v>2709</v>
      </c>
      <c r="G37" s="5">
        <v>800</v>
      </c>
      <c r="H37" s="6">
        <v>52</v>
      </c>
    </row>
    <row r="38" spans="1:8">
      <c r="A38" t="s">
        <v>343</v>
      </c>
      <c r="B38" t="s">
        <v>2729</v>
      </c>
      <c r="C38" t="s">
        <v>138</v>
      </c>
      <c r="D38" t="s">
        <v>2730</v>
      </c>
      <c r="E38" s="6">
        <v>9</v>
      </c>
      <c r="F38" t="s">
        <v>2678</v>
      </c>
      <c r="G38" s="5">
        <v>1800</v>
      </c>
      <c r="H38" s="6">
        <v>102</v>
      </c>
    </row>
    <row r="39" spans="1:8">
      <c r="A39" t="s">
        <v>260</v>
      </c>
      <c r="B39" t="s">
        <v>2731</v>
      </c>
      <c r="C39" t="s">
        <v>138</v>
      </c>
      <c r="D39" t="s">
        <v>2730</v>
      </c>
      <c r="E39" s="6">
        <v>10</v>
      </c>
      <c r="F39" t="s">
        <v>2678</v>
      </c>
      <c r="G39" s="5">
        <v>2500</v>
      </c>
      <c r="H39" s="6">
        <v>54</v>
      </c>
    </row>
    <row r="40" spans="1:8">
      <c r="A40" t="s">
        <v>352</v>
      </c>
      <c r="B40" t="s">
        <v>2732</v>
      </c>
      <c r="C40" t="s">
        <v>138</v>
      </c>
      <c r="D40" t="s">
        <v>2730</v>
      </c>
      <c r="E40" s="6">
        <v>3</v>
      </c>
      <c r="F40" t="s">
        <v>2678</v>
      </c>
      <c r="G40" s="5">
        <v>1800</v>
      </c>
      <c r="H40" s="6">
        <v>46</v>
      </c>
    </row>
    <row r="41" spans="1:8">
      <c r="A41" t="s">
        <v>235</v>
      </c>
      <c r="B41" t="s">
        <v>2733</v>
      </c>
      <c r="C41" t="s">
        <v>138</v>
      </c>
      <c r="D41" t="s">
        <v>2730</v>
      </c>
      <c r="E41" s="6">
        <v>15</v>
      </c>
      <c r="F41" t="s">
        <v>2678</v>
      </c>
      <c r="G41" s="5">
        <v>1000</v>
      </c>
      <c r="H41" s="6">
        <v>96</v>
      </c>
    </row>
    <row r="42" spans="1:8">
      <c r="A42" t="s">
        <v>444</v>
      </c>
      <c r="B42" t="s">
        <v>2734</v>
      </c>
      <c r="C42" t="s">
        <v>138</v>
      </c>
      <c r="D42" t="s">
        <v>2730</v>
      </c>
      <c r="E42" s="6">
        <v>14</v>
      </c>
      <c r="F42" t="s">
        <v>2678</v>
      </c>
      <c r="G42" s="5">
        <v>1500</v>
      </c>
      <c r="H42" s="6">
        <v>78</v>
      </c>
    </row>
    <row r="43" spans="1:8">
      <c r="A43" t="s">
        <v>139</v>
      </c>
      <c r="B43" t="s">
        <v>2735</v>
      </c>
      <c r="C43" t="s">
        <v>138</v>
      </c>
      <c r="D43" t="s">
        <v>2736</v>
      </c>
      <c r="E43" s="6">
        <v>15</v>
      </c>
      <c r="F43" t="s">
        <v>2678</v>
      </c>
      <c r="G43" s="5">
        <v>2000</v>
      </c>
      <c r="H43" s="6">
        <v>116</v>
      </c>
    </row>
    <row r="44" spans="1:8">
      <c r="A44" t="s">
        <v>214</v>
      </c>
      <c r="B44" t="s">
        <v>2737</v>
      </c>
      <c r="C44" t="s">
        <v>103</v>
      </c>
      <c r="D44" t="s">
        <v>2738</v>
      </c>
      <c r="E44" s="6">
        <v>8</v>
      </c>
      <c r="F44" t="s">
        <v>2678</v>
      </c>
      <c r="G44" s="5">
        <v>800</v>
      </c>
      <c r="H44" s="6">
        <v>119</v>
      </c>
    </row>
    <row r="45" spans="1:8">
      <c r="A45" t="s">
        <v>104</v>
      </c>
      <c r="B45" t="s">
        <v>2739</v>
      </c>
      <c r="C45" t="s">
        <v>103</v>
      </c>
      <c r="D45" t="s">
        <v>2738</v>
      </c>
      <c r="E45" s="6">
        <v>12</v>
      </c>
      <c r="F45" t="s">
        <v>2678</v>
      </c>
      <c r="G45" s="5">
        <v>1800</v>
      </c>
      <c r="H45" s="6">
        <v>106</v>
      </c>
    </row>
    <row r="46" spans="1:8">
      <c r="A46" t="s">
        <v>364</v>
      </c>
      <c r="B46" t="s">
        <v>2740</v>
      </c>
      <c r="C46" t="s">
        <v>103</v>
      </c>
      <c r="D46" t="s">
        <v>2738</v>
      </c>
      <c r="E46" s="6">
        <v>3</v>
      </c>
      <c r="F46" t="s">
        <v>2709</v>
      </c>
      <c r="G46" s="5">
        <v>800</v>
      </c>
      <c r="H46" s="6">
        <v>68</v>
      </c>
    </row>
    <row r="47" spans="1:8">
      <c r="A47" t="s">
        <v>207</v>
      </c>
      <c r="B47" t="s">
        <v>2741</v>
      </c>
      <c r="C47" t="s">
        <v>103</v>
      </c>
      <c r="D47" t="s">
        <v>2738</v>
      </c>
      <c r="E47" s="6">
        <v>23</v>
      </c>
      <c r="F47" t="s">
        <v>2690</v>
      </c>
      <c r="G47" s="5">
        <v>1500</v>
      </c>
      <c r="H47" s="6">
        <v>60</v>
      </c>
    </row>
    <row r="48" spans="1:8">
      <c r="A48" t="s">
        <v>243</v>
      </c>
      <c r="B48" t="s">
        <v>2742</v>
      </c>
      <c r="C48" t="s">
        <v>103</v>
      </c>
      <c r="D48" t="s">
        <v>2738</v>
      </c>
      <c r="E48" s="6">
        <v>20</v>
      </c>
      <c r="F48" t="s">
        <v>2678</v>
      </c>
      <c r="G48" s="5">
        <v>1800</v>
      </c>
      <c r="H48" s="6">
        <v>55</v>
      </c>
    </row>
    <row r="49" spans="1:8">
      <c r="A49" t="s">
        <v>412</v>
      </c>
      <c r="B49" t="s">
        <v>2743</v>
      </c>
      <c r="C49" t="s">
        <v>103</v>
      </c>
      <c r="D49" t="s">
        <v>2744</v>
      </c>
      <c r="E49" s="6">
        <v>18</v>
      </c>
      <c r="F49" t="s">
        <v>2678</v>
      </c>
      <c r="G49" s="5">
        <v>1200</v>
      </c>
      <c r="H49" s="6">
        <v>71</v>
      </c>
    </row>
    <row r="50" spans="1:8">
      <c r="A50" t="s">
        <v>100</v>
      </c>
      <c r="B50" t="s">
        <v>2745</v>
      </c>
      <c r="C50" t="s">
        <v>57</v>
      </c>
      <c r="D50" t="s">
        <v>2746</v>
      </c>
      <c r="E50" s="6">
        <v>10</v>
      </c>
      <c r="F50" t="s">
        <v>2678</v>
      </c>
      <c r="G50" s="5">
        <v>2000</v>
      </c>
      <c r="H50" s="6">
        <v>83</v>
      </c>
    </row>
    <row r="51" spans="1:8">
      <c r="A51" t="s">
        <v>71</v>
      </c>
      <c r="B51" t="s">
        <v>2747</v>
      </c>
      <c r="C51" t="s">
        <v>57</v>
      </c>
      <c r="D51" t="s">
        <v>2746</v>
      </c>
      <c r="E51" s="6">
        <v>2</v>
      </c>
      <c r="F51" t="s">
        <v>2678</v>
      </c>
      <c r="G51" s="5">
        <v>1800</v>
      </c>
      <c r="H51" s="6">
        <v>57</v>
      </c>
    </row>
    <row r="52" spans="1:8">
      <c r="A52" t="s">
        <v>184</v>
      </c>
      <c r="B52" t="s">
        <v>2748</v>
      </c>
      <c r="C52" t="s">
        <v>57</v>
      </c>
      <c r="D52" t="s">
        <v>2746</v>
      </c>
      <c r="E52" s="6">
        <v>18</v>
      </c>
      <c r="F52" t="s">
        <v>2678</v>
      </c>
      <c r="G52" s="5">
        <v>1200</v>
      </c>
      <c r="H52" s="6">
        <v>53</v>
      </c>
    </row>
    <row r="53" spans="1:8">
      <c r="A53" t="s">
        <v>58</v>
      </c>
      <c r="B53" t="s">
        <v>2749</v>
      </c>
      <c r="C53" t="s">
        <v>57</v>
      </c>
      <c r="D53" t="s">
        <v>2750</v>
      </c>
      <c r="E53" s="6">
        <v>11</v>
      </c>
      <c r="F53" t="s">
        <v>2678</v>
      </c>
      <c r="G53" s="5">
        <v>2500</v>
      </c>
      <c r="H53" s="6">
        <v>114</v>
      </c>
    </row>
    <row r="54" spans="1:8">
      <c r="A54" t="s">
        <v>211</v>
      </c>
      <c r="B54" t="s">
        <v>2751</v>
      </c>
      <c r="C54" t="s">
        <v>57</v>
      </c>
      <c r="D54" t="s">
        <v>2752</v>
      </c>
      <c r="E54" s="6">
        <v>22</v>
      </c>
      <c r="F54" t="s">
        <v>2678</v>
      </c>
      <c r="G54" s="5">
        <v>2000</v>
      </c>
      <c r="H54" s="6">
        <v>115</v>
      </c>
    </row>
    <row r="55" spans="1:8">
      <c r="A55" t="s">
        <v>169</v>
      </c>
      <c r="B55" t="s">
        <v>2753</v>
      </c>
      <c r="C55" t="s">
        <v>57</v>
      </c>
      <c r="D55" t="s">
        <v>2746</v>
      </c>
      <c r="E55" s="6">
        <v>10</v>
      </c>
      <c r="F55" t="s">
        <v>2678</v>
      </c>
      <c r="G55" s="5">
        <v>800</v>
      </c>
      <c r="H55" s="6">
        <v>115</v>
      </c>
    </row>
    <row r="56" spans="1:8">
      <c r="A56" t="s">
        <v>304</v>
      </c>
      <c r="B56" t="s">
        <v>2701</v>
      </c>
      <c r="C56" t="s">
        <v>150</v>
      </c>
      <c r="D56" t="s">
        <v>2754</v>
      </c>
      <c r="E56" s="6">
        <v>21</v>
      </c>
      <c r="F56" t="s">
        <v>2678</v>
      </c>
      <c r="G56" s="5">
        <v>1200</v>
      </c>
      <c r="H56" s="6">
        <v>71</v>
      </c>
    </row>
    <row r="57" spans="1:8">
      <c r="A57" t="s">
        <v>151</v>
      </c>
      <c r="B57" t="s">
        <v>2755</v>
      </c>
      <c r="C57" t="s">
        <v>150</v>
      </c>
      <c r="D57" t="s">
        <v>2756</v>
      </c>
      <c r="E57" s="6">
        <v>17</v>
      </c>
      <c r="F57" t="s">
        <v>2678</v>
      </c>
      <c r="G57" s="5">
        <v>2500</v>
      </c>
      <c r="H57" s="6">
        <v>51</v>
      </c>
    </row>
    <row r="58" spans="1:8">
      <c r="A58" t="s">
        <v>187</v>
      </c>
      <c r="B58" t="s">
        <v>2757</v>
      </c>
      <c r="C58" t="s">
        <v>150</v>
      </c>
      <c r="D58" t="s">
        <v>2754</v>
      </c>
      <c r="E58" s="6">
        <v>3</v>
      </c>
      <c r="F58" t="s">
        <v>2678</v>
      </c>
      <c r="G58" s="5">
        <v>2500</v>
      </c>
      <c r="H58" s="6">
        <v>61</v>
      </c>
    </row>
    <row r="59" spans="1:8">
      <c r="A59" t="s">
        <v>228</v>
      </c>
      <c r="B59" t="s">
        <v>2758</v>
      </c>
      <c r="C59" t="s">
        <v>150</v>
      </c>
      <c r="D59" t="s">
        <v>2759</v>
      </c>
      <c r="E59" s="6">
        <v>16</v>
      </c>
      <c r="F59" t="s">
        <v>2678</v>
      </c>
      <c r="G59" s="5">
        <v>1500</v>
      </c>
      <c r="H59" s="6">
        <v>116</v>
      </c>
    </row>
    <row r="60" spans="1:8">
      <c r="A60" t="s">
        <v>239</v>
      </c>
      <c r="B60" t="s">
        <v>2760</v>
      </c>
      <c r="C60" t="s">
        <v>150</v>
      </c>
      <c r="D60" t="s">
        <v>2759</v>
      </c>
      <c r="E60" s="6">
        <v>24</v>
      </c>
      <c r="F60" t="s">
        <v>2709</v>
      </c>
      <c r="G60" s="5">
        <v>1800</v>
      </c>
      <c r="H60" s="6">
        <v>49</v>
      </c>
    </row>
    <row r="61" spans="1:8">
      <c r="A61" t="s">
        <v>247</v>
      </c>
      <c r="B61" t="s">
        <v>2761</v>
      </c>
      <c r="C61" t="s">
        <v>150</v>
      </c>
      <c r="D61" t="s">
        <v>2756</v>
      </c>
      <c r="E61" s="6">
        <v>19</v>
      </c>
      <c r="F61" t="s">
        <v>2678</v>
      </c>
      <c r="G61" s="5">
        <v>1000</v>
      </c>
      <c r="H61" s="6">
        <v>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3.8"/>
  <cols>
    <col min="1" max="1" width="14" customWidth="1"/>
    <col min="2" max="2" width="22" customWidth="1"/>
    <col min="3" max="3" width="16" customWidth="1"/>
    <col min="4" max="4" width="24" customWidth="1"/>
    <col min="5" max="5" width="16" customWidth="1"/>
    <col min="6" max="8" width="24" customWidth="1"/>
  </cols>
  <sheetData>
    <row r="1" spans="1:8" ht="24" customHeight="1">
      <c r="A1" s="3" t="s">
        <v>34</v>
      </c>
      <c r="B1" s="3" t="s">
        <v>2762</v>
      </c>
      <c r="C1" s="3" t="s">
        <v>2763</v>
      </c>
      <c r="D1" s="3" t="s">
        <v>2764</v>
      </c>
      <c r="E1" s="3" t="s">
        <v>2765</v>
      </c>
      <c r="F1" s="3" t="s">
        <v>2766</v>
      </c>
      <c r="G1" s="3" t="s">
        <v>2767</v>
      </c>
      <c r="H1" s="3" t="s">
        <v>2768</v>
      </c>
    </row>
    <row r="2" spans="1:8">
      <c r="A2" t="s">
        <v>201</v>
      </c>
      <c r="B2" t="s">
        <v>124</v>
      </c>
      <c r="C2">
        <v>1</v>
      </c>
      <c r="D2" t="s">
        <v>2769</v>
      </c>
      <c r="E2" s="5">
        <v>2500000</v>
      </c>
      <c r="F2" s="7">
        <v>4.0999999999999996</v>
      </c>
      <c r="G2" s="8">
        <v>0.12</v>
      </c>
      <c r="H2" s="7">
        <v>2</v>
      </c>
    </row>
    <row r="3" spans="1:8">
      <c r="A3" t="s">
        <v>90</v>
      </c>
      <c r="B3" t="s">
        <v>2687</v>
      </c>
      <c r="C3">
        <v>5</v>
      </c>
      <c r="D3" t="s">
        <v>2770</v>
      </c>
      <c r="E3" s="5">
        <v>3200000</v>
      </c>
      <c r="F3" s="7">
        <v>4.3</v>
      </c>
      <c r="G3" s="8">
        <v>0.1</v>
      </c>
      <c r="H3" s="7">
        <v>4</v>
      </c>
    </row>
    <row r="4" spans="1:8">
      <c r="A4" t="s">
        <v>121</v>
      </c>
      <c r="B4" t="s">
        <v>2697</v>
      </c>
      <c r="C4">
        <v>6</v>
      </c>
      <c r="D4" t="s">
        <v>2771</v>
      </c>
      <c r="E4" s="5">
        <v>2800000</v>
      </c>
      <c r="F4" s="7">
        <v>4.2</v>
      </c>
      <c r="G4" s="8">
        <v>0.11</v>
      </c>
      <c r="H4" s="7">
        <v>5</v>
      </c>
    </row>
    <row r="5" spans="1:8">
      <c r="A5" t="s">
        <v>82</v>
      </c>
      <c r="B5" t="s">
        <v>2712</v>
      </c>
      <c r="C5">
        <v>4</v>
      </c>
      <c r="D5" t="s">
        <v>2772</v>
      </c>
      <c r="E5" s="5">
        <v>2100000</v>
      </c>
      <c r="F5" s="7">
        <v>4</v>
      </c>
      <c r="G5" s="8">
        <v>0.09</v>
      </c>
      <c r="H5" s="7">
        <v>3.5</v>
      </c>
    </row>
    <row r="6" spans="1:8">
      <c r="A6" t="s">
        <v>111</v>
      </c>
      <c r="B6" t="s">
        <v>2773</v>
      </c>
      <c r="C6">
        <v>3</v>
      </c>
      <c r="D6" t="s">
        <v>2774</v>
      </c>
      <c r="E6" s="5">
        <v>1800000</v>
      </c>
      <c r="F6" s="7">
        <v>4.2</v>
      </c>
      <c r="G6" s="8">
        <v>0.08</v>
      </c>
      <c r="H6" s="7">
        <v>2.5</v>
      </c>
    </row>
    <row r="7" spans="1:8">
      <c r="A7" t="s">
        <v>178</v>
      </c>
      <c r="B7" t="s">
        <v>93</v>
      </c>
      <c r="C7">
        <v>7</v>
      </c>
      <c r="D7" t="s">
        <v>2775</v>
      </c>
      <c r="E7" s="5">
        <v>3600000</v>
      </c>
      <c r="F7" s="7">
        <v>4.0999999999999996</v>
      </c>
      <c r="G7" s="8">
        <v>0.13</v>
      </c>
      <c r="H7" s="7">
        <v>6</v>
      </c>
    </row>
    <row r="8" spans="1:8">
      <c r="A8" t="s">
        <v>138</v>
      </c>
      <c r="B8" t="s">
        <v>2730</v>
      </c>
      <c r="C8">
        <v>2</v>
      </c>
      <c r="D8" t="s">
        <v>2776</v>
      </c>
      <c r="E8" s="5">
        <v>1700000</v>
      </c>
      <c r="F8" s="7">
        <v>4.4000000000000004</v>
      </c>
      <c r="G8" s="8">
        <v>7.0000000000000007E-2</v>
      </c>
      <c r="H8" s="7">
        <v>2</v>
      </c>
    </row>
    <row r="9" spans="1:8">
      <c r="A9" t="s">
        <v>103</v>
      </c>
      <c r="B9" t="s">
        <v>2738</v>
      </c>
      <c r="C9">
        <v>6</v>
      </c>
      <c r="D9" t="s">
        <v>2777</v>
      </c>
      <c r="E9" s="5">
        <v>2600000</v>
      </c>
      <c r="F9" s="7">
        <v>4.0999999999999996</v>
      </c>
      <c r="G9" s="8">
        <v>0.14000000000000001</v>
      </c>
      <c r="H9" s="7">
        <v>5</v>
      </c>
    </row>
    <row r="10" spans="1:8">
      <c r="A10" t="s">
        <v>57</v>
      </c>
      <c r="B10" t="s">
        <v>2746</v>
      </c>
      <c r="C10">
        <v>5</v>
      </c>
      <c r="D10" t="s">
        <v>2778</v>
      </c>
      <c r="E10" s="5">
        <v>2300000</v>
      </c>
      <c r="F10" s="7">
        <v>4</v>
      </c>
      <c r="G10" s="8">
        <v>0.12</v>
      </c>
      <c r="H10" s="7">
        <v>4</v>
      </c>
    </row>
    <row r="11" spans="1:8">
      <c r="A11" t="s">
        <v>150</v>
      </c>
      <c r="B11" t="s">
        <v>2759</v>
      </c>
      <c r="C11">
        <v>4</v>
      </c>
      <c r="D11" t="s">
        <v>2779</v>
      </c>
      <c r="E11" s="5">
        <v>2400000</v>
      </c>
      <c r="F11" s="7">
        <v>4.3</v>
      </c>
      <c r="G11" s="8">
        <v>0.06</v>
      </c>
      <c r="H11" s="7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/>
  </sheetViews>
  <sheetFormatPr defaultRowHeight="13.8"/>
  <cols>
    <col min="1" max="1" width="14" customWidth="1"/>
    <col min="2" max="2" width="26" customWidth="1"/>
    <col min="3" max="3" width="24" customWidth="1"/>
    <col min="4" max="4" width="16" customWidth="1"/>
    <col min="5" max="5" width="24" customWidth="1"/>
    <col min="6" max="7" width="16" customWidth="1"/>
    <col min="8" max="8" width="24" customWidth="1"/>
  </cols>
  <sheetData>
    <row r="1" spans="1:8" ht="24" customHeight="1">
      <c r="A1" s="3" t="s">
        <v>36</v>
      </c>
      <c r="B1" s="3" t="s">
        <v>2780</v>
      </c>
      <c r="C1" s="3" t="s">
        <v>2781</v>
      </c>
      <c r="D1" s="3" t="s">
        <v>2782</v>
      </c>
      <c r="E1" s="3" t="s">
        <v>2783</v>
      </c>
      <c r="F1" s="3" t="s">
        <v>2784</v>
      </c>
      <c r="G1" s="3" t="s">
        <v>2785</v>
      </c>
      <c r="H1" s="3" t="s">
        <v>2786</v>
      </c>
    </row>
    <row r="2" spans="1:8">
      <c r="A2" t="s">
        <v>197</v>
      </c>
      <c r="B2" t="s">
        <v>2787</v>
      </c>
      <c r="C2" t="s">
        <v>2788</v>
      </c>
      <c r="D2" t="s">
        <v>2203</v>
      </c>
      <c r="E2" s="5">
        <v>18000</v>
      </c>
      <c r="F2" s="6">
        <v>2</v>
      </c>
      <c r="G2" s="6">
        <v>6</v>
      </c>
      <c r="H2" t="s">
        <v>90</v>
      </c>
    </row>
    <row r="3" spans="1:8">
      <c r="A3" t="s">
        <v>92</v>
      </c>
      <c r="B3" t="s">
        <v>2689</v>
      </c>
      <c r="C3" t="s">
        <v>2788</v>
      </c>
      <c r="D3" t="s">
        <v>2193</v>
      </c>
      <c r="E3" s="5">
        <v>42000</v>
      </c>
      <c r="F3" s="6">
        <v>5</v>
      </c>
      <c r="G3" s="6">
        <v>9</v>
      </c>
      <c r="H3" t="s">
        <v>90</v>
      </c>
    </row>
    <row r="4" spans="1:8">
      <c r="A4" t="s">
        <v>129</v>
      </c>
      <c r="B4" t="s">
        <v>2789</v>
      </c>
      <c r="C4" t="s">
        <v>2788</v>
      </c>
      <c r="D4" t="s">
        <v>2193</v>
      </c>
      <c r="E4" s="5">
        <v>30000</v>
      </c>
      <c r="F4" s="6">
        <v>3</v>
      </c>
      <c r="G4" s="6">
        <v>8</v>
      </c>
      <c r="H4" t="s">
        <v>90</v>
      </c>
    </row>
    <row r="5" spans="1:8">
      <c r="A5" t="s">
        <v>252</v>
      </c>
      <c r="B5" t="s">
        <v>2790</v>
      </c>
      <c r="C5" t="s">
        <v>2791</v>
      </c>
      <c r="D5" t="s">
        <v>2193</v>
      </c>
      <c r="E5" s="5">
        <v>52000</v>
      </c>
      <c r="F5" s="6">
        <v>6</v>
      </c>
      <c r="G5" s="6">
        <v>10</v>
      </c>
      <c r="H5" t="s">
        <v>121</v>
      </c>
    </row>
    <row r="6" spans="1:8">
      <c r="A6" t="s">
        <v>256</v>
      </c>
      <c r="B6" t="s">
        <v>2792</v>
      </c>
      <c r="C6" t="s">
        <v>2791</v>
      </c>
      <c r="D6" t="s">
        <v>2203</v>
      </c>
      <c r="E6" s="5">
        <v>16000</v>
      </c>
      <c r="F6" s="6">
        <v>1</v>
      </c>
      <c r="G6" s="6">
        <v>5</v>
      </c>
      <c r="H6" t="s">
        <v>121</v>
      </c>
    </row>
    <row r="7" spans="1:8">
      <c r="A7" t="s">
        <v>123</v>
      </c>
      <c r="B7" t="s">
        <v>2793</v>
      </c>
      <c r="C7" t="s">
        <v>2791</v>
      </c>
      <c r="D7" t="s">
        <v>2193</v>
      </c>
      <c r="E7" s="5">
        <v>31000</v>
      </c>
      <c r="F7" s="6">
        <v>3</v>
      </c>
      <c r="G7" s="6">
        <v>8</v>
      </c>
      <c r="H7" t="s">
        <v>121</v>
      </c>
    </row>
    <row r="8" spans="1:8">
      <c r="A8" t="s">
        <v>291</v>
      </c>
      <c r="B8" t="s">
        <v>2794</v>
      </c>
      <c r="C8" t="s">
        <v>2795</v>
      </c>
      <c r="D8" t="s">
        <v>2203</v>
      </c>
      <c r="E8" s="5">
        <v>35000</v>
      </c>
      <c r="F8" s="6">
        <v>4</v>
      </c>
      <c r="G8" s="6">
        <v>7</v>
      </c>
      <c r="H8" t="s">
        <v>82</v>
      </c>
    </row>
    <row r="9" spans="1:8">
      <c r="A9" t="s">
        <v>84</v>
      </c>
      <c r="B9" t="s">
        <v>2796</v>
      </c>
      <c r="C9" t="s">
        <v>2795</v>
      </c>
      <c r="D9" t="s">
        <v>2188</v>
      </c>
      <c r="E9" s="5">
        <v>8500</v>
      </c>
      <c r="F9" s="6">
        <v>1</v>
      </c>
      <c r="G9" s="6">
        <v>3</v>
      </c>
      <c r="H9" t="s">
        <v>82</v>
      </c>
    </row>
    <row r="10" spans="1:8">
      <c r="A10" t="s">
        <v>156</v>
      </c>
      <c r="B10" t="s">
        <v>2797</v>
      </c>
      <c r="C10" t="s">
        <v>2795</v>
      </c>
      <c r="D10" t="s">
        <v>2193</v>
      </c>
      <c r="E10" s="5">
        <v>65000</v>
      </c>
      <c r="F10" s="6">
        <v>7</v>
      </c>
      <c r="G10" s="6">
        <v>10</v>
      </c>
      <c r="H10" t="s">
        <v>82</v>
      </c>
    </row>
    <row r="11" spans="1:8">
      <c r="A11" t="s">
        <v>117</v>
      </c>
      <c r="B11" t="s">
        <v>2798</v>
      </c>
      <c r="C11" t="s">
        <v>2799</v>
      </c>
      <c r="D11" t="s">
        <v>2188</v>
      </c>
      <c r="E11" s="5">
        <v>7000</v>
      </c>
      <c r="F11" s="6">
        <v>1</v>
      </c>
      <c r="G11" s="6">
        <v>3</v>
      </c>
      <c r="H11" t="s">
        <v>111</v>
      </c>
    </row>
    <row r="12" spans="1:8">
      <c r="A12" t="s">
        <v>113</v>
      </c>
      <c r="B12" t="s">
        <v>2800</v>
      </c>
      <c r="C12" t="s">
        <v>2801</v>
      </c>
      <c r="D12" t="s">
        <v>2203</v>
      </c>
      <c r="E12" s="5">
        <v>22000</v>
      </c>
      <c r="F12" s="6">
        <v>3</v>
      </c>
      <c r="G12" s="6">
        <v>7</v>
      </c>
      <c r="H12" t="s">
        <v>111</v>
      </c>
    </row>
    <row r="13" spans="1:8">
      <c r="A13" t="s">
        <v>384</v>
      </c>
      <c r="B13" t="s">
        <v>2802</v>
      </c>
      <c r="C13" t="s">
        <v>2799</v>
      </c>
      <c r="D13" t="s">
        <v>2193</v>
      </c>
      <c r="E13" s="5">
        <v>45000</v>
      </c>
      <c r="F13" s="6">
        <v>5</v>
      </c>
      <c r="G13" s="6">
        <v>9</v>
      </c>
      <c r="H13" t="s">
        <v>111</v>
      </c>
    </row>
    <row r="14" spans="1:8">
      <c r="A14" t="s">
        <v>180</v>
      </c>
      <c r="B14" t="s">
        <v>2803</v>
      </c>
      <c r="C14" t="s">
        <v>2804</v>
      </c>
      <c r="D14" t="s">
        <v>2193</v>
      </c>
      <c r="E14" s="5">
        <v>55000</v>
      </c>
      <c r="F14" s="6">
        <v>4</v>
      </c>
      <c r="G14" s="6">
        <v>9</v>
      </c>
      <c r="H14" t="s">
        <v>178</v>
      </c>
    </row>
    <row r="15" spans="1:8">
      <c r="A15" t="s">
        <v>358</v>
      </c>
      <c r="B15" t="s">
        <v>2805</v>
      </c>
      <c r="C15" t="s">
        <v>2804</v>
      </c>
      <c r="D15" t="s">
        <v>2203</v>
      </c>
      <c r="E15" s="5">
        <v>48000</v>
      </c>
      <c r="F15" s="6">
        <v>3</v>
      </c>
      <c r="G15" s="6">
        <v>7</v>
      </c>
      <c r="H15" t="s">
        <v>178</v>
      </c>
    </row>
    <row r="16" spans="1:8">
      <c r="A16" t="s">
        <v>340</v>
      </c>
      <c r="B16" t="s">
        <v>2806</v>
      </c>
      <c r="C16" t="s">
        <v>2804</v>
      </c>
      <c r="D16" t="s">
        <v>2193</v>
      </c>
      <c r="E16" s="5">
        <v>60000</v>
      </c>
      <c r="F16" s="6">
        <v>6</v>
      </c>
      <c r="G16" s="6">
        <v>10</v>
      </c>
      <c r="H16" t="s">
        <v>178</v>
      </c>
    </row>
    <row r="17" spans="1:8">
      <c r="A17" t="s">
        <v>140</v>
      </c>
      <c r="B17" t="s">
        <v>2807</v>
      </c>
      <c r="C17" t="s">
        <v>2808</v>
      </c>
      <c r="D17" t="s">
        <v>2203</v>
      </c>
      <c r="E17" s="5">
        <v>15000</v>
      </c>
      <c r="F17" s="6">
        <v>2</v>
      </c>
      <c r="G17" s="6">
        <v>6</v>
      </c>
      <c r="H17" t="s">
        <v>138</v>
      </c>
    </row>
    <row r="18" spans="1:8">
      <c r="A18" t="s">
        <v>261</v>
      </c>
      <c r="B18" t="s">
        <v>2809</v>
      </c>
      <c r="C18" t="s">
        <v>2808</v>
      </c>
      <c r="D18" t="s">
        <v>2188</v>
      </c>
      <c r="E18" s="5">
        <v>6500</v>
      </c>
      <c r="F18" s="6">
        <v>1</v>
      </c>
      <c r="G18" s="6">
        <v>3</v>
      </c>
      <c r="H18" t="s">
        <v>138</v>
      </c>
    </row>
    <row r="19" spans="1:8">
      <c r="A19" t="s">
        <v>236</v>
      </c>
      <c r="B19" t="s">
        <v>2810</v>
      </c>
      <c r="C19" t="s">
        <v>2808</v>
      </c>
      <c r="D19" t="s">
        <v>2193</v>
      </c>
      <c r="E19" s="5">
        <v>28000</v>
      </c>
      <c r="F19" s="6">
        <v>4</v>
      </c>
      <c r="G19" s="6">
        <v>8</v>
      </c>
      <c r="H19" t="s">
        <v>138</v>
      </c>
    </row>
    <row r="20" spans="1:8">
      <c r="A20" t="s">
        <v>145</v>
      </c>
      <c r="B20" t="s">
        <v>2811</v>
      </c>
      <c r="C20" t="s">
        <v>2812</v>
      </c>
      <c r="D20" t="s">
        <v>2203</v>
      </c>
      <c r="E20" s="5">
        <v>26000</v>
      </c>
      <c r="F20" s="6">
        <v>2</v>
      </c>
      <c r="G20" s="6">
        <v>6</v>
      </c>
      <c r="H20" t="s">
        <v>103</v>
      </c>
    </row>
    <row r="21" spans="1:8">
      <c r="A21" t="s">
        <v>244</v>
      </c>
      <c r="B21" t="s">
        <v>2813</v>
      </c>
      <c r="C21" t="s">
        <v>2812</v>
      </c>
      <c r="D21" t="s">
        <v>2193</v>
      </c>
      <c r="E21" s="5">
        <v>50000</v>
      </c>
      <c r="F21" s="6">
        <v>5</v>
      </c>
      <c r="G21" s="6">
        <v>9</v>
      </c>
      <c r="H21" t="s">
        <v>103</v>
      </c>
    </row>
    <row r="22" spans="1:8">
      <c r="A22" t="s">
        <v>105</v>
      </c>
      <c r="B22" t="s">
        <v>2814</v>
      </c>
      <c r="C22" t="s">
        <v>2812</v>
      </c>
      <c r="D22" t="s">
        <v>2193</v>
      </c>
      <c r="E22" s="5">
        <v>42000</v>
      </c>
      <c r="F22" s="6">
        <v>4</v>
      </c>
      <c r="G22" s="6">
        <v>9</v>
      </c>
      <c r="H22" t="s">
        <v>103</v>
      </c>
    </row>
    <row r="23" spans="1:8">
      <c r="A23" t="s">
        <v>59</v>
      </c>
      <c r="B23" t="s">
        <v>2815</v>
      </c>
      <c r="C23" t="s">
        <v>2816</v>
      </c>
      <c r="D23" t="s">
        <v>2193</v>
      </c>
      <c r="E23" s="5">
        <v>38000</v>
      </c>
      <c r="F23" s="6">
        <v>4</v>
      </c>
      <c r="G23" s="6">
        <v>8</v>
      </c>
      <c r="H23" t="s">
        <v>57</v>
      </c>
    </row>
    <row r="24" spans="1:8">
      <c r="A24" t="s">
        <v>170</v>
      </c>
      <c r="B24" t="s">
        <v>2817</v>
      </c>
      <c r="C24" t="s">
        <v>2816</v>
      </c>
      <c r="D24" t="s">
        <v>2193</v>
      </c>
      <c r="E24" s="5">
        <v>44000</v>
      </c>
      <c r="F24" s="6">
        <v>5</v>
      </c>
      <c r="G24" s="6">
        <v>9</v>
      </c>
      <c r="H24" t="s">
        <v>57</v>
      </c>
    </row>
    <row r="25" spans="1:8">
      <c r="A25" t="s">
        <v>72</v>
      </c>
      <c r="B25" t="s">
        <v>2818</v>
      </c>
      <c r="C25" t="s">
        <v>2816</v>
      </c>
      <c r="D25" t="s">
        <v>2188</v>
      </c>
      <c r="E25" s="5">
        <v>9000</v>
      </c>
      <c r="F25" s="6">
        <v>1</v>
      </c>
      <c r="G25" s="6">
        <v>4</v>
      </c>
      <c r="H25" t="s">
        <v>57</v>
      </c>
    </row>
    <row r="26" spans="1:8">
      <c r="A26" t="s">
        <v>152</v>
      </c>
      <c r="B26" t="s">
        <v>2819</v>
      </c>
      <c r="C26" t="s">
        <v>2820</v>
      </c>
      <c r="D26" t="s">
        <v>2203</v>
      </c>
      <c r="E26" s="5">
        <v>24000</v>
      </c>
      <c r="F26" s="6">
        <v>2</v>
      </c>
      <c r="G26" s="6">
        <v>6</v>
      </c>
      <c r="H26" t="s">
        <v>150</v>
      </c>
    </row>
    <row r="27" spans="1:8">
      <c r="A27" t="s">
        <v>229</v>
      </c>
      <c r="B27" t="s">
        <v>2821</v>
      </c>
      <c r="C27" t="s">
        <v>2820</v>
      </c>
      <c r="D27" t="s">
        <v>2203</v>
      </c>
      <c r="E27" s="5">
        <v>38000</v>
      </c>
      <c r="F27" s="6">
        <v>3</v>
      </c>
      <c r="G27" s="6">
        <v>7</v>
      </c>
      <c r="H27" t="s">
        <v>150</v>
      </c>
    </row>
    <row r="28" spans="1:8">
      <c r="A28" t="s">
        <v>188</v>
      </c>
      <c r="B28" t="s">
        <v>2822</v>
      </c>
      <c r="C28" t="s">
        <v>2820</v>
      </c>
      <c r="D28" t="s">
        <v>2193</v>
      </c>
      <c r="E28" s="5">
        <v>70000</v>
      </c>
      <c r="F28" s="6">
        <v>5</v>
      </c>
      <c r="G28" s="6">
        <v>10</v>
      </c>
      <c r="H28" t="s">
        <v>150</v>
      </c>
    </row>
    <row r="29" spans="1:8">
      <c r="A29" t="s">
        <v>203</v>
      </c>
      <c r="B29" t="s">
        <v>2823</v>
      </c>
      <c r="C29" t="s">
        <v>124</v>
      </c>
      <c r="D29" t="s">
        <v>2193</v>
      </c>
      <c r="E29" s="5">
        <v>30000</v>
      </c>
      <c r="F29" s="6">
        <v>2</v>
      </c>
      <c r="G29" s="6">
        <v>8</v>
      </c>
      <c r="H29" t="s">
        <v>201</v>
      </c>
    </row>
    <row r="30" spans="1:8">
      <c r="A30" t="s">
        <v>295</v>
      </c>
      <c r="B30" t="s">
        <v>2824</v>
      </c>
      <c r="C30" t="s">
        <v>124</v>
      </c>
      <c r="D30" t="s">
        <v>2193</v>
      </c>
      <c r="E30" s="5">
        <v>36000</v>
      </c>
      <c r="F30" s="6">
        <v>3</v>
      </c>
      <c r="G30" s="6">
        <v>9</v>
      </c>
      <c r="H30" t="s">
        <v>201</v>
      </c>
    </row>
    <row r="31" spans="1:8">
      <c r="A31" t="s">
        <v>281</v>
      </c>
      <c r="B31" t="s">
        <v>2825</v>
      </c>
      <c r="C31" t="s">
        <v>124</v>
      </c>
      <c r="D31" t="s">
        <v>2188</v>
      </c>
      <c r="E31" s="5">
        <v>8000</v>
      </c>
      <c r="F31" s="6">
        <v>1</v>
      </c>
      <c r="G31" s="6">
        <v>4</v>
      </c>
      <c r="H31" t="s">
        <v>201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defaultRowHeight="13.8"/>
  <cols>
    <col min="1" max="1" width="14" customWidth="1"/>
    <col min="2" max="2" width="26" customWidth="1"/>
    <col min="3" max="3" width="16" customWidth="1"/>
    <col min="4" max="4" width="20" customWidth="1"/>
    <col min="5" max="5" width="22" customWidth="1"/>
    <col min="6" max="6" width="16" customWidth="1"/>
  </cols>
  <sheetData>
    <row r="1" spans="1:6" ht="24" customHeight="1">
      <c r="A1" s="3" t="s">
        <v>44</v>
      </c>
      <c r="B1" s="3" t="s">
        <v>2826</v>
      </c>
      <c r="C1" s="3" t="s">
        <v>2827</v>
      </c>
      <c r="D1" s="3" t="s">
        <v>2828</v>
      </c>
      <c r="E1" s="3" t="s">
        <v>2829</v>
      </c>
      <c r="F1" s="3" t="s">
        <v>2830</v>
      </c>
    </row>
    <row r="2" spans="1:6">
      <c r="A2" t="s">
        <v>75</v>
      </c>
      <c r="B2" t="s">
        <v>2831</v>
      </c>
      <c r="C2" t="s">
        <v>2832</v>
      </c>
      <c r="D2" s="9">
        <v>0.55000000000000004</v>
      </c>
      <c r="E2" s="6">
        <v>12</v>
      </c>
      <c r="F2" s="5">
        <v>300</v>
      </c>
    </row>
    <row r="3" spans="1:6">
      <c r="A3" t="s">
        <v>106</v>
      </c>
      <c r="B3" t="s">
        <v>2833</v>
      </c>
      <c r="C3" t="s">
        <v>2834</v>
      </c>
      <c r="D3" s="9">
        <v>0.65</v>
      </c>
      <c r="E3" s="6">
        <v>8</v>
      </c>
      <c r="F3" s="5">
        <v>700</v>
      </c>
    </row>
    <row r="4" spans="1:6">
      <c r="A4" t="s">
        <v>141</v>
      </c>
      <c r="B4" t="s">
        <v>2835</v>
      </c>
      <c r="C4" t="s">
        <v>2834</v>
      </c>
      <c r="D4" s="9">
        <v>0.85</v>
      </c>
      <c r="E4" s="6">
        <v>5</v>
      </c>
      <c r="F4" s="5">
        <v>1200</v>
      </c>
    </row>
    <row r="5" spans="1:6">
      <c r="A5" t="s">
        <v>85</v>
      </c>
      <c r="B5" t="s">
        <v>2836</v>
      </c>
      <c r="C5" t="s">
        <v>2837</v>
      </c>
      <c r="D5" s="9">
        <v>0.75</v>
      </c>
      <c r="E5" s="6">
        <v>7</v>
      </c>
      <c r="F5" s="5">
        <v>900</v>
      </c>
    </row>
    <row r="6" spans="1:6">
      <c r="A6" t="s">
        <v>95</v>
      </c>
      <c r="B6" t="s">
        <v>2838</v>
      </c>
      <c r="C6" t="s">
        <v>2839</v>
      </c>
      <c r="D6" s="9">
        <v>0</v>
      </c>
      <c r="E6" s="6">
        <v>0</v>
      </c>
      <c r="F6" s="5">
        <v>0</v>
      </c>
    </row>
    <row r="7" spans="1:6">
      <c r="A7" t="s">
        <v>62</v>
      </c>
      <c r="B7" t="s">
        <v>2840</v>
      </c>
      <c r="C7" t="s">
        <v>2832</v>
      </c>
      <c r="D7" s="9">
        <v>0.7</v>
      </c>
      <c r="E7" s="6">
        <v>10</v>
      </c>
      <c r="F7" s="5">
        <v>400</v>
      </c>
    </row>
    <row r="8" spans="1:6">
      <c r="A8" t="s">
        <v>134</v>
      </c>
      <c r="B8" t="s">
        <v>2841</v>
      </c>
      <c r="C8" t="s">
        <v>2842</v>
      </c>
      <c r="D8" s="9">
        <v>0.45</v>
      </c>
      <c r="E8" s="6">
        <v>15</v>
      </c>
      <c r="F8" s="5"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defaultRowHeight="13.8"/>
  <cols>
    <col min="1" max="1" width="28" customWidth="1"/>
    <col min="2" max="2" width="50" customWidth="1"/>
    <col min="3" max="3" width="42" customWidth="1"/>
  </cols>
  <sheetData>
    <row r="1" spans="1:3" ht="24" customHeight="1">
      <c r="A1" s="3" t="s">
        <v>2843</v>
      </c>
      <c r="B1" s="3" t="s">
        <v>2844</v>
      </c>
      <c r="C1" s="3" t="s">
        <v>2845</v>
      </c>
    </row>
    <row r="2" spans="1:3">
      <c r="A2" t="s">
        <v>2846</v>
      </c>
      <c r="B2" t="s">
        <v>2847</v>
      </c>
      <c r="C2" t="s">
        <v>2848</v>
      </c>
    </row>
    <row r="3" spans="1:3">
      <c r="A3" t="s">
        <v>2849</v>
      </c>
      <c r="B3" t="s">
        <v>2850</v>
      </c>
      <c r="C3" t="s">
        <v>2851</v>
      </c>
    </row>
    <row r="4" spans="1:3">
      <c r="A4" t="s">
        <v>2852</v>
      </c>
      <c r="B4" t="s">
        <v>2853</v>
      </c>
      <c r="C4" t="s">
        <v>2854</v>
      </c>
    </row>
    <row r="5" spans="1:3">
      <c r="A5" t="s">
        <v>2855</v>
      </c>
      <c r="B5" t="s">
        <v>2856</v>
      </c>
      <c r="C5" t="s">
        <v>2857</v>
      </c>
    </row>
    <row r="6" spans="1:3">
      <c r="A6" t="s">
        <v>2858</v>
      </c>
      <c r="B6" t="s">
        <v>2859</v>
      </c>
      <c r="C6" t="s">
        <v>2860</v>
      </c>
    </row>
    <row r="7" spans="1:3">
      <c r="A7" t="s">
        <v>2861</v>
      </c>
      <c r="B7" t="s">
        <v>2862</v>
      </c>
      <c r="C7" t="s">
        <v>2863</v>
      </c>
    </row>
    <row r="8" spans="1:3">
      <c r="A8" t="s">
        <v>2864</v>
      </c>
      <c r="B8" t="s">
        <v>2865</v>
      </c>
      <c r="C8" t="s">
        <v>2866</v>
      </c>
    </row>
    <row r="9" spans="1:3">
      <c r="A9" t="s">
        <v>2867</v>
      </c>
      <c r="B9" t="s">
        <v>2868</v>
      </c>
      <c r="C9" t="s">
        <v>2869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Patient_Visits</vt:lpstr>
      <vt:lpstr>Prepared_Visits</vt:lpstr>
      <vt:lpstr>Patients</vt:lpstr>
      <vt:lpstr>Doctors</vt:lpstr>
      <vt:lpstr>Departments</vt:lpstr>
      <vt:lpstr>Diagnosis_Guide</vt:lpstr>
      <vt:lpstr>Insurance_Plans</vt:lpstr>
      <vt:lpstr>Suggested_KPIs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Touch Computer</dc:creator>
  <cp:lastModifiedBy>Alexa Assistant</cp:lastModifiedBy>
  <dcterms:created xsi:type="dcterms:W3CDTF">2026-06-08T23:19:03Z</dcterms:created>
  <dcterms:modified xsi:type="dcterms:W3CDTF">2026-06-13T11:04:47Z</dcterms:modified>
</cp:coreProperties>
</file>